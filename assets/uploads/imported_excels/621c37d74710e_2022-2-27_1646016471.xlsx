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2\"/>
    </mc:Choice>
  </mc:AlternateContent>
  <xr:revisionPtr revIDLastSave="0" documentId="8_{840E9492-C6FF-477A-A7FA-981A7A50A2EE}" xr6:coauthVersionLast="47" xr6:coauthVersionMax="47" xr10:uidLastSave="{00000000-0000-0000-0000-000000000000}"/>
  <bookViews>
    <workbookView xWindow="-120" yWindow="-120" windowWidth="20730" windowHeight="11160" tabRatio="915" firstSheet="1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5" i="30" l="1"/>
  <c r="F15" i="29"/>
  <c r="F8" i="30"/>
  <c r="F8" i="29"/>
  <c r="E8" i="27"/>
  <c r="E66" i="40"/>
  <c r="E67" i="40"/>
  <c r="E68" i="40"/>
  <c r="E69" i="40"/>
  <c r="E70" i="40"/>
  <c r="E50" i="22"/>
  <c r="F7" i="30"/>
  <c r="E43" i="17"/>
  <c r="E9" i="17"/>
  <c r="E50" i="12"/>
  <c r="E51" i="12"/>
  <c r="E52" i="12"/>
  <c r="E53" i="12"/>
  <c r="E54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36" i="11"/>
  <c r="E37" i="11"/>
  <c r="E38" i="11"/>
  <c r="E39" i="11"/>
  <c r="E40" i="11"/>
  <c r="E41" i="11"/>
  <c r="E42" i="11"/>
  <c r="E43" i="11"/>
  <c r="E44" i="11"/>
  <c r="E45" i="11"/>
  <c r="E46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0" i="11"/>
  <c r="E131" i="11"/>
  <c r="E132" i="11"/>
  <c r="E133" i="11"/>
  <c r="E134" i="11"/>
  <c r="E156" i="10"/>
  <c r="G156" i="10" s="1"/>
  <c r="E157" i="10"/>
  <c r="G157" i="10" s="1"/>
  <c r="E158" i="10"/>
  <c r="G158" i="10" s="1"/>
  <c r="E8" i="10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1" i="5"/>
  <c r="E58" i="5"/>
  <c r="E54" i="5"/>
  <c r="E42" i="4"/>
  <c r="O86" i="3"/>
  <c r="E158" i="3"/>
  <c r="E55" i="31" l="1"/>
  <c r="G157" i="43" l="1"/>
  <c r="G158" i="43"/>
  <c r="G112" i="30" l="1"/>
  <c r="E66" i="28" l="1"/>
  <c r="E67" i="28"/>
  <c r="E68" i="28"/>
  <c r="E69" i="28"/>
  <c r="E70" i="28"/>
  <c r="E9" i="27" l="1"/>
  <c r="E10" i="27"/>
  <c r="E11" i="27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8" i="40"/>
  <c r="E9" i="40"/>
  <c r="E10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40" i="21"/>
  <c r="E149" i="20" l="1"/>
  <c r="G9" i="50"/>
  <c r="E12" i="19"/>
  <c r="E11" i="19"/>
  <c r="G11" i="19" l="1"/>
  <c r="E132" i="18"/>
  <c r="E158" i="19"/>
  <c r="G158" i="19" s="1"/>
  <c r="E15" i="17"/>
  <c r="E157" i="16" l="1"/>
  <c r="E158" i="16"/>
  <c r="E150" i="16"/>
  <c r="G157" i="15" l="1"/>
  <c r="G158" i="15"/>
  <c r="G157" i="14" l="1"/>
  <c r="G158" i="14"/>
  <c r="G158" i="13" l="1"/>
  <c r="H158" i="13" s="1"/>
  <c r="G157" i="13"/>
  <c r="H157" i="13" s="1"/>
  <c r="J157" i="13" l="1"/>
  <c r="H157" i="14"/>
  <c r="J158" i="13"/>
  <c r="H158" i="14"/>
  <c r="E36" i="12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H157" i="5" s="1"/>
  <c r="J157" i="5" s="1"/>
  <c r="E158" i="5"/>
  <c r="G158" i="5" s="1"/>
  <c r="H158" i="5" s="1"/>
  <c r="J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G157" i="2"/>
  <c r="J158" i="14" l="1"/>
  <c r="H158" i="15"/>
  <c r="J158" i="15" s="1"/>
  <c r="J157" i="14"/>
  <c r="H157" i="15"/>
  <c r="J157" i="15" s="1"/>
  <c r="H157" i="33"/>
  <c r="J157" i="33" s="1"/>
  <c r="H158" i="33"/>
  <c r="J158" i="33" s="1"/>
  <c r="E156" i="31"/>
  <c r="G156" i="31" s="1"/>
  <c r="E157" i="31"/>
  <c r="G157" i="31" s="1"/>
  <c r="E158" i="31"/>
  <c r="G158" i="31" s="1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36" i="43"/>
  <c r="E37" i="43"/>
  <c r="E38" i="43"/>
  <c r="E39" i="43"/>
  <c r="E40" i="43"/>
  <c r="E41" i="43"/>
  <c r="E42" i="43"/>
  <c r="E43" i="43"/>
  <c r="E44" i="43"/>
  <c r="E45" i="43"/>
  <c r="E46" i="43"/>
  <c r="E157" i="30" l="1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F191" i="18"/>
  <c r="E157" i="18"/>
  <c r="G157" i="18" s="1"/>
  <c r="E158" i="18"/>
  <c r="G158" i="18" s="1"/>
  <c r="E156" i="17"/>
  <c r="E157" i="17"/>
  <c r="G157" i="17" s="1"/>
  <c r="E158" i="17"/>
  <c r="G158" i="17" s="1"/>
  <c r="H158" i="43" l="1"/>
  <c r="J158" i="30"/>
  <c r="H157" i="43"/>
  <c r="J157" i="30"/>
  <c r="H158" i="22"/>
  <c r="H157" i="22"/>
  <c r="G158" i="16"/>
  <c r="H158" i="16" s="1"/>
  <c r="J158" i="16" s="1"/>
  <c r="G157" i="16"/>
  <c r="H157" i="16" s="1"/>
  <c r="J157" i="16" s="1"/>
  <c r="G15" i="15"/>
  <c r="J157" i="43" l="1"/>
  <c r="H157" i="31"/>
  <c r="J158" i="43"/>
  <c r="H158" i="31"/>
  <c r="J157" i="22"/>
  <c r="H157" i="23"/>
  <c r="J158" i="22"/>
  <c r="H158" i="23"/>
  <c r="H157" i="17"/>
  <c r="H158" i="17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8" i="23" l="1"/>
  <c r="H158" i="24"/>
  <c r="J157" i="23"/>
  <c r="H157" i="24"/>
  <c r="J158" i="17"/>
  <c r="H158" i="18"/>
  <c r="J157" i="17"/>
  <c r="H157" i="18"/>
  <c r="E121" i="33"/>
  <c r="E49" i="33"/>
  <c r="E134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J157" i="24" l="1"/>
  <c r="H157" i="25"/>
  <c r="H157" i="40" s="1"/>
  <c r="H157" i="27" s="1"/>
  <c r="J158" i="24"/>
  <c r="H158" i="25"/>
  <c r="H158" i="40" s="1"/>
  <c r="H158" i="27" s="1"/>
  <c r="J157" i="18"/>
  <c r="H157" i="19"/>
  <c r="J157" i="19" s="1"/>
  <c r="J158" i="18"/>
  <c r="H158" i="19"/>
  <c r="J158" i="19" s="1"/>
  <c r="H190" i="20"/>
  <c r="I190" i="20" s="1"/>
  <c r="K190" i="20" s="1"/>
  <c r="H190" i="19"/>
  <c r="I190" i="19" s="1"/>
  <c r="K190" i="19" s="1"/>
  <c r="H158" i="28" l="1"/>
  <c r="J158" i="28" s="1"/>
  <c r="J158" i="27"/>
  <c r="H157" i="28"/>
  <c r="J157" i="28" s="1"/>
  <c r="J157" i="27"/>
  <c r="E134" i="10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1" i="20"/>
  <c r="E12" i="20"/>
  <c r="E57" i="19"/>
  <c r="E84" i="17" l="1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3" l="1"/>
  <c r="O11" i="2" l="1"/>
  <c r="E79" i="25" l="1"/>
  <c r="E155" i="31"/>
  <c r="G155" i="31" s="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E155" i="15"/>
  <c r="G155" i="15" s="1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H156" i="3" s="1"/>
  <c r="J156" i="3" s="1"/>
  <c r="G155" i="3"/>
  <c r="H155" i="3" s="1"/>
  <c r="J155" i="3" s="1"/>
  <c r="G156" i="2"/>
  <c r="G155" i="2"/>
  <c r="J156" i="2"/>
  <c r="J155" i="2"/>
  <c r="G159" i="14" l="1"/>
  <c r="G159" i="13"/>
  <c r="G159" i="16"/>
  <c r="G159" i="15"/>
  <c r="G159" i="17"/>
  <c r="H159" i="17" s="1"/>
  <c r="J159" i="17" s="1"/>
  <c r="H156" i="4"/>
  <c r="H156" i="5" s="1"/>
  <c r="H156" i="33" s="1"/>
  <c r="J156" i="33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G55" i="21" s="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G88" i="19" s="1"/>
  <c r="E87" i="19"/>
  <c r="E86" i="19"/>
  <c r="E85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G114" i="17" s="1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2" i="16"/>
  <c r="E11" i="16"/>
  <c r="E185" i="15"/>
  <c r="E184" i="15"/>
  <c r="E183" i="15"/>
  <c r="E180" i="15"/>
  <c r="E179" i="15"/>
  <c r="E178" i="15"/>
  <c r="E175" i="15"/>
  <c r="E173" i="15"/>
  <c r="E168" i="15"/>
  <c r="E167" i="15"/>
  <c r="E166" i="15"/>
  <c r="E165" i="15"/>
  <c r="E164" i="15"/>
  <c r="E163" i="15"/>
  <c r="E162" i="15"/>
  <c r="E161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8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49" i="12"/>
  <c r="E35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7" i="5"/>
  <c r="E56" i="5"/>
  <c r="E55" i="5"/>
  <c r="E53" i="5"/>
  <c r="E52" i="5"/>
  <c r="E51" i="5"/>
  <c r="E50" i="5"/>
  <c r="E49" i="5"/>
  <c r="E46" i="5"/>
  <c r="E45" i="5"/>
  <c r="E44" i="5"/>
  <c r="E43" i="5"/>
  <c r="E42" i="5"/>
  <c r="E39" i="5"/>
  <c r="E38" i="5"/>
  <c r="E37" i="5"/>
  <c r="E36" i="5"/>
  <c r="E35" i="5"/>
  <c r="E24" i="5"/>
  <c r="E23" i="5"/>
  <c r="E22" i="5"/>
  <c r="E12" i="5"/>
  <c r="E11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40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" i="31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7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I7" i="3"/>
  <c r="E27" i="2" l="1"/>
  <c r="G27" i="2" s="1"/>
  <c r="G22" i="19"/>
  <c r="G24" i="19" s="1"/>
  <c r="E29" i="19" s="1"/>
  <c r="E24" i="19"/>
  <c r="G8" i="3"/>
  <c r="E27" i="3" s="1"/>
  <c r="E8" i="4"/>
  <c r="E8" i="5" s="1"/>
  <c r="E8" i="33" s="1"/>
  <c r="E15" i="4"/>
  <c r="E15" i="5" s="1"/>
  <c r="E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i="3" s="1"/>
  <c r="E9" i="4"/>
  <c r="E9" i="5" s="1"/>
  <c r="E9" i="33" s="1"/>
  <c r="G19" i="3"/>
  <c r="E19" i="4"/>
  <c r="E19" i="5" s="1"/>
  <c r="G18" i="3"/>
  <c r="E10" i="16"/>
  <c r="G10" i="16" s="1"/>
  <c r="E15" i="16"/>
  <c r="G15" i="17" s="1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s="1"/>
  <c r="J20" i="2" s="1"/>
  <c r="I20" i="2" s="1"/>
  <c r="G20" i="3" l="1"/>
  <c r="H20" i="3" s="1"/>
  <c r="H9" i="3"/>
  <c r="J9" i="3" s="1"/>
  <c r="G7" i="3"/>
  <c r="H7" i="3" s="1"/>
  <c r="J7" i="3" s="1"/>
  <c r="P16" i="3"/>
  <c r="G10" i="3"/>
  <c r="H10" i="3" s="1"/>
  <c r="J10" i="3" s="1"/>
  <c r="G15" i="3"/>
  <c r="H15" i="3" s="1"/>
  <c r="J15" i="3" s="1"/>
  <c r="I16" i="3" s="1"/>
  <c r="E19" i="33"/>
  <c r="E15" i="7"/>
  <c r="E9" i="7"/>
  <c r="E8" i="7"/>
  <c r="E10" i="17"/>
  <c r="E7" i="7"/>
  <c r="E15" i="18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G180" i="27"/>
  <c r="AC23" i="45" s="1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E31" i="40" s="1"/>
  <c r="G31" i="40" s="1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G15" i="16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79" i="16" l="1"/>
  <c r="AO18" i="44"/>
  <c r="G125" i="17"/>
  <c r="G47" i="17"/>
  <c r="G135" i="17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G15" i="18"/>
  <c r="G79" i="18" s="1"/>
  <c r="G80" i="18" s="1"/>
  <c r="E7" i="8"/>
  <c r="G10" i="17"/>
  <c r="E8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I125" i="17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I135" i="17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G188" i="25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Z18" i="44" s="1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80" i="15" s="1"/>
  <c r="G181" i="14"/>
  <c r="G189" i="14" s="1"/>
  <c r="I90" i="14"/>
  <c r="G176" i="13"/>
  <c r="G181" i="13"/>
  <c r="G189" i="13" s="1"/>
  <c r="I85" i="13"/>
  <c r="G186" i="12"/>
  <c r="G47" i="12"/>
  <c r="I90" i="11"/>
  <c r="G71" i="11"/>
  <c r="G47" i="11"/>
  <c r="G186" i="10"/>
  <c r="G47" i="10"/>
  <c r="G71" i="9"/>
  <c r="G96" i="9"/>
  <c r="G47" i="9"/>
  <c r="I88" i="31"/>
  <c r="G59" i="31"/>
  <c r="G176" i="31"/>
  <c r="G181" i="31"/>
  <c r="G189" i="31" s="1"/>
  <c r="G64" i="31"/>
  <c r="G96" i="31"/>
  <c r="G47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96" i="15"/>
  <c r="G80" i="16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1" i="22"/>
  <c r="I90" i="22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G176" i="30"/>
  <c r="G96" i="30"/>
  <c r="G104" i="30"/>
  <c r="G64" i="30"/>
  <c r="I85" i="30"/>
  <c r="I88" i="29"/>
  <c r="G59" i="29"/>
  <c r="G176" i="29"/>
  <c r="G181" i="29"/>
  <c r="G189" i="29" s="1"/>
  <c r="G64" i="29"/>
  <c r="I85" i="29"/>
  <c r="I90" i="28"/>
  <c r="G71" i="28"/>
  <c r="I85" i="28"/>
  <c r="G47" i="28"/>
  <c r="G59" i="28"/>
  <c r="G64" i="28"/>
  <c r="G94" i="28"/>
  <c r="G98" i="28"/>
  <c r="I88" i="27"/>
  <c r="G94" i="27"/>
  <c r="G59" i="27"/>
  <c r="G98" i="27"/>
  <c r="G176" i="27"/>
  <c r="G181" i="27"/>
  <c r="G189" i="27" s="1"/>
  <c r="G96" i="27"/>
  <c r="G104" i="27"/>
  <c r="G64" i="27"/>
  <c r="I85" i="27"/>
  <c r="I88" i="40"/>
  <c r="G94" i="40"/>
  <c r="G59" i="40"/>
  <c r="G98" i="40"/>
  <c r="G176" i="40"/>
  <c r="G181" i="40"/>
  <c r="G189" i="40" s="1"/>
  <c r="G104" i="40"/>
  <c r="G64" i="40"/>
  <c r="I85" i="40"/>
  <c r="I88" i="25"/>
  <c r="G59" i="25"/>
  <c r="G176" i="25"/>
  <c r="G181" i="25"/>
  <c r="G189" i="25" s="1"/>
  <c r="G64" i="25"/>
  <c r="G47" i="25"/>
  <c r="I85" i="25"/>
  <c r="I90" i="24"/>
  <c r="G71" i="24"/>
  <c r="I85" i="24"/>
  <c r="G47" i="24"/>
  <c r="I88" i="24"/>
  <c r="G59" i="24"/>
  <c r="G64" i="24"/>
  <c r="G94" i="24"/>
  <c r="G98" i="24"/>
  <c r="I88" i="23"/>
  <c r="G94" i="23"/>
  <c r="G59" i="23"/>
  <c r="G98" i="23"/>
  <c r="G176" i="23"/>
  <c r="G181" i="23"/>
  <c r="G189" i="23" s="1"/>
  <c r="G96" i="23"/>
  <c r="G104" i="23"/>
  <c r="G64" i="23"/>
  <c r="I85" i="23"/>
  <c r="I88" i="22"/>
  <c r="G94" i="22"/>
  <c r="G59" i="22"/>
  <c r="G98" i="22"/>
  <c r="G176" i="22"/>
  <c r="G181" i="22"/>
  <c r="G189" i="22" s="1"/>
  <c r="G96" i="22"/>
  <c r="G104" i="22"/>
  <c r="G64" i="22"/>
  <c r="I85" i="22"/>
  <c r="G64" i="21"/>
  <c r="G59" i="21"/>
  <c r="G71" i="21"/>
  <c r="I85" i="21"/>
  <c r="I90" i="21"/>
  <c r="G47" i="21"/>
  <c r="I88" i="21"/>
  <c r="G94" i="21"/>
  <c r="G98" i="21"/>
  <c r="I88" i="20"/>
  <c r="G59" i="20"/>
  <c r="G176" i="20"/>
  <c r="G181" i="20"/>
  <c r="G189" i="20" s="1"/>
  <c r="G96" i="20"/>
  <c r="G64" i="20"/>
  <c r="G47" i="20"/>
  <c r="I85" i="20"/>
  <c r="G64" i="19"/>
  <c r="I90" i="19"/>
  <c r="G96" i="19"/>
  <c r="G59" i="19"/>
  <c r="G71" i="19"/>
  <c r="I88" i="19"/>
  <c r="G94" i="19"/>
  <c r="G98" i="19"/>
  <c r="I85" i="18"/>
  <c r="G71" i="18"/>
  <c r="G47" i="18"/>
  <c r="G59" i="18"/>
  <c r="G64" i="18"/>
  <c r="G94" i="18"/>
  <c r="G98" i="18"/>
  <c r="G71" i="17"/>
  <c r="I85" i="17"/>
  <c r="I90" i="17"/>
  <c r="G186" i="17"/>
  <c r="G59" i="17"/>
  <c r="G60" i="17" s="1"/>
  <c r="G64" i="17"/>
  <c r="G94" i="17"/>
  <c r="G98" i="17"/>
  <c r="E28" i="17"/>
  <c r="G28" i="17" s="1"/>
  <c r="I88" i="16"/>
  <c r="G94" i="16"/>
  <c r="G59" i="16"/>
  <c r="G98" i="16"/>
  <c r="G176" i="16"/>
  <c r="G181" i="16"/>
  <c r="G189" i="16" s="1"/>
  <c r="G96" i="16"/>
  <c r="G104" i="16"/>
  <c r="G64" i="16"/>
  <c r="I85" i="16"/>
  <c r="E28" i="16"/>
  <c r="G28" i="16" s="1"/>
  <c r="I90" i="15"/>
  <c r="G64" i="15"/>
  <c r="G59" i="15"/>
  <c r="G71" i="15"/>
  <c r="I85" i="15"/>
  <c r="G47" i="15"/>
  <c r="G60" i="15" s="1"/>
  <c r="I88" i="15"/>
  <c r="G94" i="15"/>
  <c r="G98" i="15"/>
  <c r="E28" i="15"/>
  <c r="G28" i="15" s="1"/>
  <c r="I85" i="14"/>
  <c r="G186" i="14"/>
  <c r="G71" i="14"/>
  <c r="G47" i="14"/>
  <c r="G59" i="14"/>
  <c r="G64" i="14"/>
  <c r="G94" i="14"/>
  <c r="G98" i="14"/>
  <c r="G59" i="13"/>
  <c r="G71" i="13"/>
  <c r="G64" i="13"/>
  <c r="I90" i="13"/>
  <c r="G96" i="13"/>
  <c r="G186" i="13"/>
  <c r="G47" i="13"/>
  <c r="I88" i="13"/>
  <c r="G64" i="12"/>
  <c r="I88" i="12"/>
  <c r="G94" i="12"/>
  <c r="G59" i="12"/>
  <c r="G98" i="12"/>
  <c r="G176" i="12"/>
  <c r="G181" i="12"/>
  <c r="G189" i="12" s="1"/>
  <c r="G104" i="12"/>
  <c r="I85" i="12"/>
  <c r="G64" i="11"/>
  <c r="I88" i="11"/>
  <c r="G94" i="11"/>
  <c r="G59" i="11"/>
  <c r="G98" i="11"/>
  <c r="G176" i="11"/>
  <c r="G181" i="11"/>
  <c r="G189" i="11" s="1"/>
  <c r="G104" i="11"/>
  <c r="I85" i="11"/>
  <c r="G104" i="10"/>
  <c r="G64" i="10"/>
  <c r="I88" i="10"/>
  <c r="G94" i="10"/>
  <c r="G59" i="10"/>
  <c r="G98" i="10"/>
  <c r="G100" i="10"/>
  <c r="G102" i="10"/>
  <c r="G176" i="10"/>
  <c r="G181" i="10"/>
  <c r="G189" i="10" s="1"/>
  <c r="G96" i="10"/>
  <c r="I85" i="10"/>
  <c r="G64" i="9"/>
  <c r="I88" i="9"/>
  <c r="G59" i="9"/>
  <c r="G94" i="9"/>
  <c r="G98" i="9"/>
  <c r="G176" i="9"/>
  <c r="G181" i="9"/>
  <c r="G189" i="9" s="1"/>
  <c r="G104" i="9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H27" i="2"/>
  <c r="G60" i="16" l="1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G59" i="2"/>
  <c r="H59" i="2" s="1"/>
  <c r="I13" i="3"/>
  <c r="G19" i="7"/>
  <c r="E30" i="7" s="1"/>
  <c r="G30" i="7" s="1"/>
  <c r="G15" i="8"/>
  <c r="G79" i="8" s="1"/>
  <c r="G9" i="8"/>
  <c r="G8" i="8"/>
  <c r="E27" i="8" s="1"/>
  <c r="G27" i="8" s="1"/>
  <c r="G9" i="7"/>
  <c r="E10" i="18"/>
  <c r="G7" i="8"/>
  <c r="G60" i="18"/>
  <c r="G60" i="29"/>
  <c r="E28" i="18"/>
  <c r="G28" i="18" s="1"/>
  <c r="AD11" i="44"/>
  <c r="AD10" i="44"/>
  <c r="AD9" i="44"/>
  <c r="AD8" i="44"/>
  <c r="AD7" i="44"/>
  <c r="AD6" i="44"/>
  <c r="E15" i="19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0"/>
  <c r="G186" i="8"/>
  <c r="G96" i="8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4"/>
  <c r="G60" i="13"/>
  <c r="G60" i="9"/>
  <c r="I88" i="8"/>
  <c r="G104" i="8"/>
  <c r="G59" i="8"/>
  <c r="G102" i="8"/>
  <c r="G176" i="8"/>
  <c r="G181" i="8"/>
  <c r="G189" i="8" s="1"/>
  <c r="G64" i="8"/>
  <c r="G47" i="8"/>
  <c r="I85" i="8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G64" i="7"/>
  <c r="G47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I88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H112" i="3" l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G15" i="9" s="1"/>
  <c r="H8" i="8"/>
  <c r="G187" i="7"/>
  <c r="G20" i="7"/>
  <c r="E19" i="8"/>
  <c r="E15" i="20"/>
  <c r="G99" i="8"/>
  <c r="G97" i="8"/>
  <c r="G101" i="8"/>
  <c r="E7" i="9"/>
  <c r="H7" i="8"/>
  <c r="G95" i="8"/>
  <c r="E8" i="9"/>
  <c r="G10" i="18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69" i="31" l="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H15" i="9"/>
  <c r="E10" i="19"/>
  <c r="E10" i="20" s="1"/>
  <c r="G15" i="19"/>
  <c r="H20" i="7"/>
  <c r="G19" i="8"/>
  <c r="E15" i="21"/>
  <c r="G79" i="9"/>
  <c r="G80" i="9" s="1"/>
  <c r="E28" i="9"/>
  <c r="G28" i="9" s="1"/>
  <c r="H28" i="9" s="1"/>
  <c r="E15" i="10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J64" i="43" l="1"/>
  <c r="H71" i="31"/>
  <c r="J71" i="31" s="1"/>
  <c r="G10" i="19"/>
  <c r="H10" i="19" s="1"/>
  <c r="G79" i="19"/>
  <c r="G80" i="19" s="1"/>
  <c r="H80" i="19" s="1"/>
  <c r="E28" i="19"/>
  <c r="G28" i="19" s="1"/>
  <c r="E19" i="9"/>
  <c r="G19" i="9" s="1"/>
  <c r="G8" i="10"/>
  <c r="E27" i="10" s="1"/>
  <c r="G27" i="10" s="1"/>
  <c r="G187" i="8"/>
  <c r="E30" i="8"/>
  <c r="G30" i="8" s="1"/>
  <c r="G20" i="8"/>
  <c r="H20" i="8" s="1"/>
  <c r="H19" i="8"/>
  <c r="G15" i="10"/>
  <c r="E15" i="22"/>
  <c r="G15" i="21"/>
  <c r="G15" i="20"/>
  <c r="H79" i="9"/>
  <c r="G10" i="20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0" i="20" l="1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E15" i="23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7" i="10" s="1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30" i="9" l="1"/>
  <c r="E7" i="11"/>
  <c r="G7" i="11" s="1"/>
  <c r="H7" i="11" s="1"/>
  <c r="H32" i="9"/>
  <c r="G19" i="10"/>
  <c r="H19" i="10" s="1"/>
  <c r="E15" i="24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7" i="12" l="1"/>
  <c r="G7" i="12" s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G15" i="12"/>
  <c r="G79" i="23"/>
  <c r="G80" i="23" s="1"/>
  <c r="E28" i="23"/>
  <c r="G28" i="23" s="1"/>
  <c r="G15" i="24"/>
  <c r="E15" i="25"/>
  <c r="G99" i="11"/>
  <c r="H99" i="11" s="1"/>
  <c r="G97" i="11"/>
  <c r="H97" i="11" s="1"/>
  <c r="G103" i="11"/>
  <c r="H103" i="11" s="1"/>
  <c r="G105" i="11"/>
  <c r="H105" i="11" s="1"/>
  <c r="G101" i="11"/>
  <c r="H101" i="11" s="1"/>
  <c r="G95" i="11"/>
  <c r="H95" i="11" s="1"/>
  <c r="I59" i="11"/>
  <c r="E27" i="11"/>
  <c r="G27" i="11" s="1"/>
  <c r="H8" i="11"/>
  <c r="E9" i="12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G19" i="11" l="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G105" i="12"/>
  <c r="H105" i="12" s="1"/>
  <c r="G97" i="12"/>
  <c r="H97" i="12" s="1"/>
  <c r="G99" i="12"/>
  <c r="H99" i="12" s="1"/>
  <c r="G95" i="12"/>
  <c r="H95" i="12" s="1"/>
  <c r="G101" i="12"/>
  <c r="H101" i="12" s="1"/>
  <c r="G103" i="12"/>
  <c r="H103" i="12" s="1"/>
  <c r="I59" i="12"/>
  <c r="E7" i="13"/>
  <c r="E8" i="13"/>
  <c r="G8" i="12"/>
  <c r="E27" i="12" s="1"/>
  <c r="G27" i="12" s="1"/>
  <c r="H7" i="12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79" i="12" l="1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G79" i="25"/>
  <c r="E28" i="25"/>
  <c r="G28" i="25" s="1"/>
  <c r="G15" i="14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7" i="13"/>
  <c r="H7" i="13" s="1"/>
  <c r="G9" i="13"/>
  <c r="H9" i="13" s="1"/>
  <c r="E9" i="14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7" i="14" l="1"/>
  <c r="G7" i="14" s="1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H99" i="13" s="1"/>
  <c r="G105" i="13"/>
  <c r="H105" i="13" s="1"/>
  <c r="G97" i="13"/>
  <c r="H97" i="13" s="1"/>
  <c r="G103" i="13"/>
  <c r="H103" i="13" s="1"/>
  <c r="G101" i="13"/>
  <c r="H101" i="13" s="1"/>
  <c r="G95" i="13"/>
  <c r="H95" i="13" s="1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19" i="12" l="1"/>
  <c r="G187" i="12"/>
  <c r="E10" i="24"/>
  <c r="G10" i="24" s="1"/>
  <c r="H10" i="24" s="1"/>
  <c r="E7" i="15"/>
  <c r="E7" i="16" s="1"/>
  <c r="E30" i="12"/>
  <c r="G30" i="12" s="1"/>
  <c r="G20" i="12"/>
  <c r="H20" i="12" s="1"/>
  <c r="E19" i="13"/>
  <c r="G15" i="28"/>
  <c r="E15" i="29"/>
  <c r="G15" i="29" s="1"/>
  <c r="G79" i="29" s="1"/>
  <c r="G80" i="29" s="1"/>
  <c r="E28" i="27"/>
  <c r="G28" i="27" s="1"/>
  <c r="H15" i="27"/>
  <c r="G79" i="27"/>
  <c r="H28" i="40"/>
  <c r="G80" i="40"/>
  <c r="G80" i="14"/>
  <c r="H79" i="14"/>
  <c r="H79" i="15" s="1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I59" i="14"/>
  <c r="H7" i="14"/>
  <c r="G8" i="15"/>
  <c r="E8" i="16"/>
  <c r="E9" i="16"/>
  <c r="G9" i="16" s="1"/>
  <c r="G9" i="15"/>
  <c r="H9" i="15" s="1"/>
  <c r="H27" i="14"/>
  <c r="H135" i="22"/>
  <c r="H135" i="23"/>
  <c r="H135" i="18"/>
  <c r="H135" i="19"/>
  <c r="H135" i="24"/>
  <c r="H135" i="30" s="1"/>
  <c r="H135" i="20"/>
  <c r="H135" i="16"/>
  <c r="H135" i="13"/>
  <c r="H135" i="14" s="1"/>
  <c r="J135" i="14" s="1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E27" i="15" l="1"/>
  <c r="G27" i="15" s="1"/>
  <c r="H27" i="15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E28" i="29"/>
  <c r="G28" i="29" s="1"/>
  <c r="E15" i="30"/>
  <c r="G15" i="30" s="1"/>
  <c r="G7" i="15"/>
  <c r="G105" i="15" s="1"/>
  <c r="H105" i="15" s="1"/>
  <c r="G19" i="13"/>
  <c r="G187" i="13" s="1"/>
  <c r="G32" i="12"/>
  <c r="H32" i="12" s="1"/>
  <c r="H30" i="12"/>
  <c r="G80" i="27"/>
  <c r="H28" i="27"/>
  <c r="H15" i="28"/>
  <c r="H15" i="29" s="1"/>
  <c r="E28" i="28"/>
  <c r="G28" i="28" s="1"/>
  <c r="G79" i="28"/>
  <c r="H9" i="16"/>
  <c r="E10" i="25"/>
  <c r="H135" i="43"/>
  <c r="J135" i="43" s="1"/>
  <c r="H135" i="40"/>
  <c r="H135" i="27"/>
  <c r="H135" i="29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N7" i="15" l="1"/>
  <c r="H79" i="40"/>
  <c r="H79" i="27" s="1"/>
  <c r="H79" i="28" s="1"/>
  <c r="H79" i="29" s="1"/>
  <c r="G103" i="15"/>
  <c r="H103" i="15" s="1"/>
  <c r="G99" i="15"/>
  <c r="H99" i="15" s="1"/>
  <c r="G95" i="15"/>
  <c r="H95" i="15" s="1"/>
  <c r="G97" i="15"/>
  <c r="H97" i="15" s="1"/>
  <c r="I59" i="15"/>
  <c r="G101" i="15"/>
  <c r="H101" i="15" s="1"/>
  <c r="H7" i="15"/>
  <c r="H28" i="28"/>
  <c r="H28" i="29" s="1"/>
  <c r="G20" i="13"/>
  <c r="H20" i="13" s="1"/>
  <c r="E30" i="13"/>
  <c r="G30" i="13" s="1"/>
  <c r="G32" i="13" s="1"/>
  <c r="H32" i="13" s="1"/>
  <c r="H19" i="13"/>
  <c r="E19" i="14"/>
  <c r="G80" i="28"/>
  <c r="G9" i="17"/>
  <c r="H9" i="17" s="1"/>
  <c r="E9" i="18"/>
  <c r="E7" i="17"/>
  <c r="G7" i="16"/>
  <c r="G10" i="25"/>
  <c r="H10" i="25" s="1"/>
  <c r="G8" i="16"/>
  <c r="G79" i="30"/>
  <c r="G80" i="30" s="1"/>
  <c r="E28" i="30"/>
  <c r="G28" i="30" s="1"/>
  <c r="E15" i="43"/>
  <c r="F15" i="43" s="1"/>
  <c r="H15" i="30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E27" i="16" l="1"/>
  <c r="G27" i="16" s="1"/>
  <c r="H27" i="16" s="1"/>
  <c r="H30" i="13"/>
  <c r="H28" i="30"/>
  <c r="G19" i="14"/>
  <c r="H19" i="14" s="1"/>
  <c r="G8" i="17"/>
  <c r="E27" i="17" s="1"/>
  <c r="G27" i="17" s="1"/>
  <c r="E8" i="18"/>
  <c r="E9" i="19"/>
  <c r="G103" i="16"/>
  <c r="H103" i="16" s="1"/>
  <c r="H7" i="16"/>
  <c r="G97" i="16"/>
  <c r="H97" i="16" s="1"/>
  <c r="G95" i="16"/>
  <c r="H95" i="16" s="1"/>
  <c r="G101" i="16"/>
  <c r="H101" i="16" s="1"/>
  <c r="G105" i="16"/>
  <c r="H105" i="16" s="1"/>
  <c r="I59" i="16"/>
  <c r="G99" i="16"/>
  <c r="H99" i="16" s="1"/>
  <c r="G7" i="17"/>
  <c r="E7" i="18"/>
  <c r="G15" i="43"/>
  <c r="H79" i="30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30" i="14" l="1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G7" i="18"/>
  <c r="E7" i="19"/>
  <c r="G7" i="19" s="1"/>
  <c r="H27" i="17"/>
  <c r="G101" i="17"/>
  <c r="H101" i="17" s="1"/>
  <c r="G103" i="17"/>
  <c r="H103" i="17" s="1"/>
  <c r="I59" i="17"/>
  <c r="G105" i="17"/>
  <c r="H105" i="17" s="1"/>
  <c r="H7" i="17"/>
  <c r="G97" i="17"/>
  <c r="H97" i="17" s="1"/>
  <c r="G99" i="17"/>
  <c r="H99" i="17" s="1"/>
  <c r="G95" i="17"/>
  <c r="H95" i="17" s="1"/>
  <c r="H156" i="40"/>
  <c r="H156" i="27" s="1"/>
  <c r="H156" i="28" s="1"/>
  <c r="J156" i="25"/>
  <c r="E28" i="43"/>
  <c r="G28" i="43" s="1"/>
  <c r="H28" i="43" s="1"/>
  <c r="G79" i="43"/>
  <c r="G80" i="43" s="1"/>
  <c r="E15" i="31"/>
  <c r="F15" i="31" s="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O8" i="18" l="1"/>
  <c r="E27" i="18"/>
  <c r="G27" i="18" s="1"/>
  <c r="H27" i="18" s="1"/>
  <c r="G19" i="15"/>
  <c r="G32" i="14"/>
  <c r="H32" i="14" s="1"/>
  <c r="H30" i="14"/>
  <c r="G15" i="31"/>
  <c r="E8" i="20"/>
  <c r="G8" i="19"/>
  <c r="H9" i="19"/>
  <c r="E9" i="20"/>
  <c r="G95" i="19"/>
  <c r="G95" i="18"/>
  <c r="H95" i="18" s="1"/>
  <c r="G97" i="18"/>
  <c r="H97" i="18" s="1"/>
  <c r="I59" i="18"/>
  <c r="G99" i="18"/>
  <c r="H99" i="18" s="1"/>
  <c r="H7" i="18"/>
  <c r="G105" i="18"/>
  <c r="H105" i="18" s="1"/>
  <c r="G103" i="18"/>
  <c r="H103" i="18" s="1"/>
  <c r="G101" i="18"/>
  <c r="H101" i="18" s="1"/>
  <c r="H79" i="43"/>
  <c r="G8" i="40"/>
  <c r="E27" i="40" s="1"/>
  <c r="G27" i="40" s="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E27" i="19" l="1"/>
  <c r="G27" i="19" s="1"/>
  <c r="N8" i="19"/>
  <c r="O8" i="19" s="1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G79" i="31"/>
  <c r="G80" i="31" s="1"/>
  <c r="E28" i="31"/>
  <c r="G28" i="31" s="1"/>
  <c r="H28" i="31" s="1"/>
  <c r="G7" i="20"/>
  <c r="E7" i="21"/>
  <c r="G9" i="20"/>
  <c r="H9" i="20" s="1"/>
  <c r="E9" i="21"/>
  <c r="G105" i="19"/>
  <c r="H105" i="19" s="1"/>
  <c r="H95" i="19"/>
  <c r="G97" i="19"/>
  <c r="H97" i="19" s="1"/>
  <c r="I59" i="19"/>
  <c r="G99" i="19"/>
  <c r="H99" i="19" s="1"/>
  <c r="G101" i="19"/>
  <c r="H101" i="19" s="1"/>
  <c r="G103" i="19"/>
  <c r="H103" i="19" s="1"/>
  <c r="H7" i="19"/>
  <c r="G10" i="27"/>
  <c r="H10" i="27" s="1"/>
  <c r="H27" i="19"/>
  <c r="E8" i="2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79" i="31" l="1"/>
  <c r="E10" i="28"/>
  <c r="G10" i="28" s="1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G7" i="21"/>
  <c r="E7" i="22"/>
  <c r="G103" i="20"/>
  <c r="H103" i="20" s="1"/>
  <c r="G99" i="20"/>
  <c r="H99" i="20" s="1"/>
  <c r="G101" i="20"/>
  <c r="H101" i="20" s="1"/>
  <c r="G97" i="20"/>
  <c r="H97" i="20" s="1"/>
  <c r="G95" i="20"/>
  <c r="H95" i="20" s="1"/>
  <c r="G105" i="20"/>
  <c r="H105" i="20" s="1"/>
  <c r="H7" i="20"/>
  <c r="I59" i="20"/>
  <c r="G8" i="27"/>
  <c r="E27" i="27" s="1"/>
  <c r="G27" i="27" s="1"/>
  <c r="E8" i="28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1" l="1"/>
  <c r="E27" i="21" s="1"/>
  <c r="G27" i="21" s="1"/>
  <c r="H27" i="21" s="1"/>
  <c r="H30" i="16"/>
  <c r="G19" i="17"/>
  <c r="E9" i="23"/>
  <c r="G7" i="22"/>
  <c r="E7" i="23"/>
  <c r="I59" i="21"/>
  <c r="G101" i="21"/>
  <c r="H101" i="21" s="1"/>
  <c r="H7" i="21"/>
  <c r="G103" i="21"/>
  <c r="H103" i="21" s="1"/>
  <c r="G97" i="21"/>
  <c r="H97" i="21" s="1"/>
  <c r="G99" i="21"/>
  <c r="H99" i="21" s="1"/>
  <c r="G95" i="21"/>
  <c r="H95" i="21" s="1"/>
  <c r="G105" i="21"/>
  <c r="H105" i="21" s="1"/>
  <c r="E10" i="29"/>
  <c r="G8" i="22"/>
  <c r="E27" i="22" s="1"/>
  <c r="G27" i="22" s="1"/>
  <c r="E8" i="23"/>
  <c r="G8" i="28"/>
  <c r="E8" i="29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14" i="48"/>
  <c r="E15" i="48"/>
  <c r="E21" i="48"/>
  <c r="E22" i="48"/>
  <c r="E23" i="48"/>
  <c r="E24" i="48"/>
  <c r="E25" i="48"/>
  <c r="E26" i="48"/>
  <c r="E27" i="48"/>
  <c r="E28" i="48"/>
  <c r="E29" i="48"/>
  <c r="E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E30" i="17" l="1"/>
  <c r="G30" i="17" s="1"/>
  <c r="G20" i="17"/>
  <c r="H20" i="17" s="1"/>
  <c r="G187" i="17"/>
  <c r="H187" i="17" s="1"/>
  <c r="J187" i="17" s="1"/>
  <c r="E19" i="18"/>
  <c r="H19" i="17"/>
  <c r="G7" i="23"/>
  <c r="E7" i="24"/>
  <c r="H7" i="22"/>
  <c r="I59" i="22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G8" i="29"/>
  <c r="G9" i="23"/>
  <c r="E9" i="24"/>
  <c r="G10" i="29"/>
  <c r="H10" i="29" s="1"/>
  <c r="G8" i="23"/>
  <c r="E27" i="23" s="1"/>
  <c r="G27" i="23" s="1"/>
  <c r="E8" i="24"/>
  <c r="G9" i="22"/>
  <c r="H9" i="22" s="1"/>
  <c r="H27" i="22"/>
  <c r="G27" i="28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9" i="23" l="1"/>
  <c r="G19" i="18"/>
  <c r="G32" i="17"/>
  <c r="H32" i="17" s="1"/>
  <c r="H30" i="17"/>
  <c r="E27" i="29"/>
  <c r="G27" i="29" s="1"/>
  <c r="O8" i="29"/>
  <c r="O15" i="29"/>
  <c r="E10" i="30"/>
  <c r="G9" i="24"/>
  <c r="E9" i="25"/>
  <c r="G8" i="24"/>
  <c r="E27" i="24" s="1"/>
  <c r="G27" i="24" s="1"/>
  <c r="E8" i="25"/>
  <c r="G8" i="25" s="1"/>
  <c r="E27" i="25" s="1"/>
  <c r="G27" i="25" s="1"/>
  <c r="G7" i="24"/>
  <c r="E7" i="25"/>
  <c r="H27" i="23"/>
  <c r="G105" i="23"/>
  <c r="H105" i="23" s="1"/>
  <c r="G95" i="23"/>
  <c r="H95" i="23" s="1"/>
  <c r="I59" i="23"/>
  <c r="G101" i="23"/>
  <c r="H101" i="23" s="1"/>
  <c r="H7" i="23"/>
  <c r="G103" i="23"/>
  <c r="H103" i="23" s="1"/>
  <c r="G99" i="23"/>
  <c r="H99" i="23" s="1"/>
  <c r="G97" i="23"/>
  <c r="H97" i="23" s="1"/>
  <c r="E8" i="30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9" i="24" l="1"/>
  <c r="G20" i="18"/>
  <c r="H20" i="18" s="1"/>
  <c r="G187" i="18"/>
  <c r="H187" i="18" s="1"/>
  <c r="J187" i="18" s="1"/>
  <c r="E30" i="18"/>
  <c r="G30" i="18" s="1"/>
  <c r="G32" i="18" s="1"/>
  <c r="H32" i="18" s="1"/>
  <c r="E19" i="19"/>
  <c r="H19" i="18"/>
  <c r="G9" i="25"/>
  <c r="G7" i="25"/>
  <c r="E7" i="40"/>
  <c r="G10" i="30"/>
  <c r="H10" i="30" s="1"/>
  <c r="H7" i="24"/>
  <c r="G99" i="24"/>
  <c r="H99" i="24" s="1"/>
  <c r="G95" i="24"/>
  <c r="H95" i="24" s="1"/>
  <c r="I59" i="24"/>
  <c r="G101" i="24"/>
  <c r="H101" i="24" s="1"/>
  <c r="G105" i="24"/>
  <c r="H105" i="24" s="1"/>
  <c r="G97" i="24"/>
  <c r="H97" i="24" s="1"/>
  <c r="G103" i="24"/>
  <c r="H103" i="24" s="1"/>
  <c r="G8" i="30"/>
  <c r="E27" i="30" s="1"/>
  <c r="G27" i="30" s="1"/>
  <c r="H27" i="24"/>
  <c r="H27" i="25" s="1"/>
  <c r="H27" i="40" s="1"/>
  <c r="H27" i="27" s="1"/>
  <c r="H27" i="28" s="1"/>
  <c r="H27" i="29" s="1"/>
  <c r="G7" i="28"/>
  <c r="O9" i="28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9" i="25" l="1"/>
  <c r="E8" i="43"/>
  <c r="E19" i="20"/>
  <c r="G19" i="19"/>
  <c r="H30" i="18"/>
  <c r="E10" i="43"/>
  <c r="G7" i="40"/>
  <c r="E7" i="27"/>
  <c r="G95" i="25"/>
  <c r="H95" i="25" s="1"/>
  <c r="G99" i="25"/>
  <c r="H99" i="25" s="1"/>
  <c r="G103" i="25"/>
  <c r="H103" i="25" s="1"/>
  <c r="G97" i="25"/>
  <c r="H97" i="25" s="1"/>
  <c r="G101" i="25"/>
  <c r="H101" i="25" s="1"/>
  <c r="I59" i="25"/>
  <c r="H7" i="25"/>
  <c r="G105" i="25"/>
  <c r="H105" i="25" s="1"/>
  <c r="G9" i="40"/>
  <c r="H27" i="30"/>
  <c r="G105" i="28"/>
  <c r="G103" i="28"/>
  <c r="G101" i="28"/>
  <c r="G97" i="28"/>
  <c r="G95" i="28"/>
  <c r="G99" i="28"/>
  <c r="I59" i="28"/>
  <c r="E7" i="29"/>
  <c r="F7" i="29" s="1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F8" i="43" l="1"/>
  <c r="E8" i="31" s="1"/>
  <c r="F8" i="31" s="1"/>
  <c r="G8" i="31" s="1"/>
  <c r="E27" i="31" s="1"/>
  <c r="G27" i="31" s="1"/>
  <c r="G7" i="27"/>
  <c r="G99" i="27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E9" i="28"/>
  <c r="O10" i="29"/>
  <c r="H7" i="40"/>
  <c r="G105" i="40"/>
  <c r="H105" i="40" s="1"/>
  <c r="G103" i="40"/>
  <c r="H103" i="40" s="1"/>
  <c r="G99" i="40"/>
  <c r="H99" i="40" s="1"/>
  <c r="I59" i="40"/>
  <c r="G101" i="40"/>
  <c r="H101" i="40" s="1"/>
  <c r="G97" i="40"/>
  <c r="H97" i="40" s="1"/>
  <c r="G95" i="40"/>
  <c r="H95" i="40" s="1"/>
  <c r="G8" i="43"/>
  <c r="E27" i="43" s="1"/>
  <c r="G27" i="43" s="1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G103" i="27" l="1"/>
  <c r="H103" i="27" s="1"/>
  <c r="H103" i="28" s="1"/>
  <c r="G101" i="27"/>
  <c r="H101" i="27" s="1"/>
  <c r="H101" i="28" s="1"/>
  <c r="G105" i="27"/>
  <c r="G97" i="27"/>
  <c r="H97" i="27" s="1"/>
  <c r="H97" i="28" s="1"/>
  <c r="H7" i="27"/>
  <c r="H7" i="28" s="1"/>
  <c r="G95" i="27"/>
  <c r="I59" i="27"/>
  <c r="H9" i="27"/>
  <c r="H30" i="19"/>
  <c r="H99" i="27"/>
  <c r="H99" i="28" s="1"/>
  <c r="H105" i="27"/>
  <c r="H105" i="28" s="1"/>
  <c r="H19" i="20"/>
  <c r="G20" i="20"/>
  <c r="H20" i="20" s="1"/>
  <c r="G187" i="20"/>
  <c r="H187" i="20" s="1"/>
  <c r="J187" i="20" s="1"/>
  <c r="E30" i="20"/>
  <c r="G30" i="20" s="1"/>
  <c r="G19" i="21"/>
  <c r="G7" i="29"/>
  <c r="I59" i="29" s="1"/>
  <c r="H95" i="27"/>
  <c r="H95" i="28" s="1"/>
  <c r="E9" i="29"/>
  <c r="G9" i="28"/>
  <c r="G10" i="43"/>
  <c r="H10" i="43" s="1"/>
  <c r="H10" i="50" s="1"/>
  <c r="E10" i="31"/>
  <c r="G10" i="31" s="1"/>
  <c r="H27" i="43"/>
  <c r="H27" i="31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32" i="20" l="1"/>
  <c r="H32" i="20" s="1"/>
  <c r="H9" i="28"/>
  <c r="G103" i="29"/>
  <c r="H103" i="29" s="1"/>
  <c r="G101" i="29"/>
  <c r="H101" i="29" s="1"/>
  <c r="G97" i="29"/>
  <c r="H97" i="29" s="1"/>
  <c r="G105" i="29"/>
  <c r="H105" i="29" s="1"/>
  <c r="G95" i="29"/>
  <c r="H95" i="29" s="1"/>
  <c r="G99" i="29"/>
  <c r="H99" i="29" s="1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G9" i="29"/>
  <c r="E9" i="30"/>
  <c r="G9" i="30" s="1"/>
  <c r="O12" i="29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H32" i="21" l="1"/>
  <c r="H9" i="29"/>
  <c r="H9" i="30" s="1"/>
  <c r="E19" i="23"/>
  <c r="G19" i="23" s="1"/>
  <c r="H19" i="22"/>
  <c r="E9" i="43"/>
  <c r="G9" i="43" s="1"/>
  <c r="H30" i="21"/>
  <c r="E30" i="22"/>
  <c r="G30" i="22" s="1"/>
  <c r="G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F7" i="43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32" i="22" l="1"/>
  <c r="H9" i="43"/>
  <c r="H9" i="50" s="1"/>
  <c r="J9" i="50" s="1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E9" i="31"/>
  <c r="G9" i="31" s="1"/>
  <c r="E7" i="3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32" i="23" l="1"/>
  <c r="H9" i="31"/>
  <c r="H30" i="23"/>
  <c r="G19" i="24"/>
  <c r="AB25" i="49"/>
  <c r="N7" i="31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19" i="25" l="1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32" i="25" s="1"/>
  <c r="H32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19" i="40" l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G20" i="40"/>
  <c r="H20" i="40" s="1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E19" i="31"/>
  <c r="G19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E30" i="31"/>
  <c r="G30" i="31" s="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3" i="16" s="1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0" l="1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J12" i="43"/>
  <c r="J9" i="43"/>
  <c r="J10" i="43"/>
  <c r="J9" i="31"/>
  <c r="J10" i="31"/>
  <c r="J15" i="43"/>
  <c r="I16" i="43" s="1"/>
  <c r="J15" i="31"/>
  <c r="I16" i="31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11" i="19" l="1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<sst xmlns="http://schemas.openxmlformats.org/spreadsheetml/2006/main" count="10760" uniqueCount="373">
  <si>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</si>
  <si>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</si>
  <si>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</si>
  <si>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</si>
  <si>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</si>
  <si>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</si>
  <si>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</si>
  <si>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</si>
  <si>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</si>
  <si>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</si>
  <si>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</si>
  <si>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</si>
  <si>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</si>
  <si>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</si>
  <si>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</si>
  <si>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</si>
  <si>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</si>
  <si>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</si>
  <si>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</si>
  <si>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</si>
  <si>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</si>
  <si>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</si>
  <si>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</si>
  <si>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</si>
  <si>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</si>
  <si>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</si>
  <si>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</si>
  <si>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</si>
  <si>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</si>
  <si>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</si>
  <si>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</si>
  <si>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</si>
  <si>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</si>
  <si>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</si>
  <si>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</si>
  <si>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</si>
  <si>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</si>
  <si>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</si>
  <si>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</si>
  <si>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</si>
  <si>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</si>
  <si>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</si>
  <si>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</si>
  <si>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</si>
  <si>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</si>
  <si>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</si>
  <si>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</si>
  <si>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</si>
  <si>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</si>
  <si>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</si>
  <si>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</si>
  <si>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</si>
  <si>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</si>
  <si>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</si>
  <si>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</si>
  <si>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</si>
  <si>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</si>
  <si>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</si>
  <si>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</si>
  <si>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</si>
  <si>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</si>
  <si>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</si>
  <si>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</si>
  <si>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</si>
  <si>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</si>
  <si>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</si>
  <si>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</si>
  <si>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</si>
  <si>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</si>
  <si>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</si>
  <si>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</si>
  <si>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</si>
  <si>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</si>
  <si>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</si>
  <si>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</si>
  <si>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</si>
  <si>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</si>
  <si>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</si>
  <si>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</si>
  <si>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</si>
  <si>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</si>
  <si>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</si>
  <si>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</si>
  <si>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</si>
  <si>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</si>
  <si>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</si>
  <si>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</si>
  <si>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</si>
  <si>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</si>
  <si>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</si>
  <si>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</si>
  <si>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</si>
  <si>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</si>
  <si>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</si>
  <si>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</si>
  <si>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</si>
  <si>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</si>
  <si>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</si>
  <si>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</si>
  <si>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</si>
  <si>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</si>
  <si>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</si>
  <si>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</si>
  <si>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</si>
  <si>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</si>
  <si>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</si>
  <si>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</si>
  <si>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</si>
  <si>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</si>
  <si>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</si>
  <si>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</si>
  <si>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</si>
  <si>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</si>
  <si>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</si>
  <si>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</si>
  <si>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</si>
  <si>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</si>
  <si>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</si>
  <si>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</si>
  <si>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</si>
  <si>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</si>
  <si>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</si>
  <si>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</si>
  <si>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</si>
  <si>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</si>
  <si>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</si>
  <si>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</si>
  <si>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</si>
  <si>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</si>
  <si>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</si>
  <si>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</si>
  <si>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</si>
  <si>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</si>
  <si>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</si>
  <si>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</si>
  <si>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</si>
  <si>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</si>
  <si>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</si>
  <si>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</si>
  <si>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</si>
  <si>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</si>
  <si>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</si>
  <si>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</si>
  <si>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</si>
  <si>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</si>
  <si>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</si>
  <si>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</si>
  <si>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</si>
  <si>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</si>
  <si>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</si>
  <si>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</si>
  <si>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</si>
  <si>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</si>
  <si>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</si>
  <si>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</si>
  <si>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</si>
  <si>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</si>
  <si>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</si>
  <si>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</si>
  <si>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</si>
  <si>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</si>
  <si>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</si>
  <si>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</si>
  <si>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</si>
  <si>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</si>
  <si>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</si>
  <si>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</si>
  <si>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</si>
  <si>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</si>
  <si>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</si>
  <si>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</si>
  <si>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</si>
  <si>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</si>
  <si>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</si>
  <si>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</si>
  <si>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</si>
  <si>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</si>
  <si>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</si>
  <si>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</si>
  <si>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</si>
  <si>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</si>
  <si>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</si>
  <si>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</si>
  <si>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</si>
  <si>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</si>
  <si>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</si>
  <si>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</si>
  <si>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</si>
  <si>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</si>
  <si>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</si>
  <si>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</si>
  <si>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</si>
  <si>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</si>
  <si>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</si>
  <si>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</si>
  <si>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</si>
  <si>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</si>
  <si>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</si>
  <si>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</si>
  <si>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</si>
  <si>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</si>
  <si>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</si>
  <si>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</si>
  <si>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</si>
  <si>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</si>
  <si>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</si>
  <si>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</si>
  <si>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</si>
  <si>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</si>
  <si>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</si>
  <si>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</si>
  <si>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</si>
  <si>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</si>
  <si>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</si>
  <si>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</si>
  <si>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</si>
  <si>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</si>
  <si>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</si>
  <si>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</si>
  <si>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</si>
  <si>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</si>
  <si>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</si>
  <si>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</si>
  <si>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</si>
  <si>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</si>
  <si>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</si>
  <si>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</si>
  <si>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</si>
  <si>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</si>
  <si>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</si>
  <si>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</si>
  <si>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</si>
  <si>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</si>
  <si>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</si>
  <si>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</si>
  <si>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</si>
  <si>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</si>
  <si>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</si>
  <si>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</si>
  <si>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</si>
  <si>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</si>
  <si>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</si>
  <si>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</si>
  <si>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</si>
  <si>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</si>
  <si>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</si>
  <si>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</si>
  <si>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</si>
  <si>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</si>
  <si>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</si>
  <si>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</si>
  <si>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</si>
  <si>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</si>
  <si>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</si>
  <si>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</si>
  <si>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</si>
  <si>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</si>
  <si>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</si>
  <si>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</si>
  <si>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</si>
  <si>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</si>
  <si>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</si>
  <si>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</si>
  <si>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</si>
  <si>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</si>
  <si>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</si>
  <si>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</si>
  <si>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</si>
  <si>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</si>
  <si>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</si>
  <si>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</si>
  <si>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</si>
  <si>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</si>
  <si>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</si>
  <si>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</si>
  <si>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</si>
  <si>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</si>
  <si>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</si>
  <si>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</si>
  <si>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</si>
  <si>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</si>
  <si>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</si>
  <si>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</si>
  <si>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</si>
  <si>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</si>
  <si>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</si>
  <si>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</si>
  <si>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</si>
  <si>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</si>
  <si>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</si>
  <si>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</si>
  <si>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</si>
  <si>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</si>
  <si>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</si>
  <si>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</si>
  <si>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</si>
  <si>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</si>
  <si>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</si>
  <si>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</si>
  <si>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</si>
  <si>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</si>
  <si>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</si>
  <si>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</si>
  <si>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</si>
  <si>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</si>
  <si>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</si>
  <si>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</si>
  <si>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</si>
  <si>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</si>
  <si>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</si>
  <si>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</si>
  <si>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</si>
  <si>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</si>
  <si>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</si>
  <si>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</si>
  <si>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</si>
  <si>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</si>
  <si>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</si>
  <si>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</si>
  <si>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</si>
  <si>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</si>
  <si>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</si>
  <si>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</si>
  <si>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</si>
  <si>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</si>
  <si>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</si>
  <si>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</si>
  <si>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</si>
  <si>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</si>
  <si>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</si>
  <si>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</si>
  <si>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</si>
  <si>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</si>
  <si>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</si>
  <si>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</si>
  <si>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</si>
  <si>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</si>
  <si>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</si>
  <si>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</si>
  <si>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</si>
  <si>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</si>
  <si>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</si>
  <si>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</si>
  <si>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</si>
  <si>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</si>
  <si>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</si>
  <si>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</si>
  <si>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</si>
  <si>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</si>
  <si>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</si>
  <si>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</si>
  <si>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</si>
  <si>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</si>
  <si>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</si>
  <si>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</si>
  <si>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</si>
  <si>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</si>
  <si>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</si>
  <si>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</si>
  <si>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</si>
  <si>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</si>
  <si>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</si>
  <si>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</si>
  <si>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</si>
  <si>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</si>
  <si>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</si>
  <si>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</si>
  <si>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</si>
  <si>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</si>
  <si>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</si>
  <si>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project</t>
  </si>
  <si>
    <t xml:space="preserve">Pool &amp; Spa wet facilites startted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</si>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</sst>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%"/>
    <numFmt numFmtId="167" formatCode="[$-809]d\ mmmm\ yyyy;@"/>
    <numFmt numFmtId="168" formatCode="0.0E+00"/>
    <numFmt numFmtId="169" formatCode="#,##0;[Red]#,##0"/>
    <numFmt numFmtId="170" formatCode="_(* #,##0_);_(* \(#,##0\);_(* &quot;-&quot;??_);_(@_)"/>
    <numFmt numFmtId="171" formatCode="[$-809]dd\ mmmm\ yyyy;@"/>
    <numFmt numFmtId="172" formatCode="0_ ;[Red]\-0\ "/>
  </numFmts>
  <fonts count="88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b/>
      <i/>
      <sz val="16"/>
      <name val="Arial Unicode MS"/>
      <family val="2"/>
    </font>
    <font>
      <sz val="18"/>
      <color indexed="8"/>
      <name val="Arial Unicode MS"/>
      <family val="2"/>
    </font>
    <font>
      <sz val="18"/>
      <name val="Arial Unicode MS"/>
      <family val="2"/>
    </font>
    <font>
      <i/>
      <sz val="20"/>
      <name val="Arial"/>
      <family val="2"/>
    </font>
    <font>
      <sz val="12"/>
      <color rgb="FFFF0000"/>
      <name val="Cambria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82" fillId="0" borderId="0" applyFont="0" applyFill="0" applyBorder="0" applyAlignment="0" applyProtection="0"/>
  </cellStyleXfs>
  <cellXfs count="979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5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5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5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5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5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5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65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6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5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7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8" fontId="32" fillId="8" borderId="16" xfId="3" applyNumberFormat="1" applyFont="1" applyFill="1" applyBorder="1" applyAlignment="1">
      <alignment vertical="center"/>
    </xf>
    <xf numFmtId="168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1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5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1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0" fillId="9" borderId="1" xfId="3" applyFont="1" applyFill="1" applyBorder="1" applyAlignment="1">
      <alignment horizont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>
      <alignment horizontal="left"/>
    </xf>
    <xf numFmtId="0" fontId="70" fillId="9" borderId="1" xfId="3" applyFont="1" applyFill="1" applyBorder="1" applyAlignment="1"/>
    <xf numFmtId="1" fontId="70" fillId="9" borderId="1" xfId="3" applyNumberFormat="1" applyFont="1" applyFill="1" applyBorder="1" applyAlignment="1">
      <alignment horizontal="center"/>
    </xf>
    <xf numFmtId="1" fontId="70" fillId="9" borderId="12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left"/>
    </xf>
    <xf numFmtId="2" fontId="70" fillId="9" borderId="1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/>
    </xf>
    <xf numFmtId="0" fontId="70" fillId="12" borderId="12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center"/>
    </xf>
    <xf numFmtId="1" fontId="70" fillId="8" borderId="1" xfId="3" applyNumberFormat="1" applyFont="1" applyFill="1" applyBorder="1" applyAlignment="1">
      <alignment horizontal="center"/>
    </xf>
    <xf numFmtId="1" fontId="70" fillId="8" borderId="12" xfId="5" applyNumberFormat="1" applyFont="1" applyFill="1" applyBorder="1" applyAlignment="1" applyProtection="1">
      <alignment horizontal="center"/>
    </xf>
    <xf numFmtId="0" fontId="70" fillId="8" borderId="5" xfId="3" applyFont="1" applyFill="1" applyBorder="1" applyAlignment="1">
      <alignment horizontal="left" vertical="center"/>
    </xf>
    <xf numFmtId="0" fontId="70" fillId="8" borderId="10" xfId="3" applyFont="1" applyFill="1" applyBorder="1" applyAlignment="1">
      <alignment horizontal="left" vertical="center"/>
    </xf>
    <xf numFmtId="1" fontId="70" fillId="2" borderId="7" xfId="3" applyNumberFormat="1" applyFont="1" applyFill="1" applyBorder="1" applyAlignment="1">
      <alignment horizontal="center"/>
    </xf>
    <xf numFmtId="168" fontId="70" fillId="8" borderId="1" xfId="3" applyNumberFormat="1" applyFont="1" applyFill="1" applyBorder="1" applyAlignment="1">
      <alignment vertical="center"/>
    </xf>
    <xf numFmtId="0" fontId="70" fillId="0" borderId="1" xfId="4" applyFont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0" fontId="70" fillId="13" borderId="1" xfId="3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/>
    </xf>
    <xf numFmtId="0" fontId="70" fillId="2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0" fillId="2" borderId="1" xfId="3" applyFont="1" applyFill="1" applyBorder="1" applyAlignment="1">
      <alignment horizontal="left" vertical="center"/>
    </xf>
    <xf numFmtId="0" fontId="70" fillId="2" borderId="1" xfId="3" applyFont="1" applyFill="1" applyBorder="1" applyAlignment="1">
      <alignment horizontal="center"/>
    </xf>
    <xf numFmtId="1" fontId="70" fillId="2" borderId="12" xfId="5" applyNumberFormat="1" applyFont="1" applyFill="1" applyBorder="1" applyAlignment="1" applyProtection="1">
      <alignment horizontal="center"/>
    </xf>
    <xf numFmtId="0" fontId="72" fillId="0" borderId="1" xfId="4" applyFont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 applyProtection="1">
      <alignment horizontal="center"/>
    </xf>
    <xf numFmtId="0" fontId="70" fillId="13" borderId="1" xfId="3" applyFont="1" applyFill="1" applyBorder="1" applyAlignment="1">
      <alignment horizontal="center" vertical="center"/>
    </xf>
    <xf numFmtId="0" fontId="75" fillId="2" borderId="3" xfId="3" applyFont="1" applyFill="1" applyBorder="1" applyAlignment="1">
      <alignment horizontal="center"/>
    </xf>
    <xf numFmtId="0" fontId="75" fillId="2" borderId="4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75" fillId="13" borderId="3" xfId="3" applyFont="1" applyFill="1" applyBorder="1" applyAlignment="1">
      <alignment horizontal="center"/>
    </xf>
    <xf numFmtId="0" fontId="75" fillId="13" borderId="4" xfId="3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0" fillId="12" borderId="1" xfId="3" applyFont="1" applyFill="1" applyBorder="1" applyAlignment="1">
      <alignment horizontal="left"/>
    </xf>
    <xf numFmtId="2" fontId="70" fillId="8" borderId="1" xfId="3" applyNumberFormat="1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justify"/>
    </xf>
    <xf numFmtId="0" fontId="70" fillId="17" borderId="1" xfId="3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0" fillId="12" borderId="1" xfId="5" applyNumberFormat="1" applyFont="1" applyFill="1" applyBorder="1" applyAlignment="1">
      <alignment horizontal="center"/>
    </xf>
    <xf numFmtId="1" fontId="70" fillId="12" borderId="12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0" fontId="70" fillId="8" borderId="6" xfId="3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center"/>
    </xf>
    <xf numFmtId="1" fontId="70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1" fontId="70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0" borderId="0" xfId="3" applyFont="1" applyFill="1" applyBorder="1" applyAlignment="1">
      <alignment horizontal="center"/>
    </xf>
    <xf numFmtId="0" fontId="73" fillId="0" borderId="1" xfId="0" applyFont="1" applyFill="1" applyBorder="1"/>
    <xf numFmtId="0" fontId="70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0" fillId="0" borderId="1" xfId="3" applyNumberFormat="1" applyFont="1" applyFill="1" applyBorder="1" applyAlignment="1">
      <alignment horizontal="center"/>
    </xf>
    <xf numFmtId="1" fontId="70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5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6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67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8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1" fontId="70" fillId="0" borderId="1" xfId="5" applyNumberFormat="1" applyFont="1" applyFill="1" applyBorder="1" applyAlignment="1" applyProtection="1">
      <alignment horizontal="center"/>
    </xf>
    <xf numFmtId="0" fontId="70" fillId="0" borderId="1" xfId="3" applyFont="1" applyFill="1" applyBorder="1" applyAlignment="1">
      <alignment horizontal="center" vertical="center"/>
    </xf>
    <xf numFmtId="0" fontId="70" fillId="0" borderId="0" xfId="4" applyFont="1" applyFill="1" applyBorder="1" applyAlignment="1">
      <alignment horizontal="center"/>
    </xf>
    <xf numFmtId="1" fontId="70" fillId="0" borderId="0" xfId="3" applyNumberFormat="1" applyFont="1" applyFill="1" applyBorder="1" applyAlignment="1">
      <alignment horizontal="center"/>
    </xf>
    <xf numFmtId="1" fontId="70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1" fontId="70" fillId="9" borderId="1" xfId="3" applyNumberFormat="1" applyFont="1" applyFill="1" applyBorder="1" applyAlignment="1">
      <alignment horizontal="center"/>
    </xf>
    <xf numFmtId="0" fontId="77" fillId="2" borderId="0" xfId="3" applyFont="1" applyFill="1" applyBorder="1" applyAlignment="1">
      <alignment horizontal="center" vertical="center"/>
    </xf>
    <xf numFmtId="165" fontId="77" fillId="2" borderId="0" xfId="3" applyNumberFormat="1" applyFont="1" applyFill="1" applyBorder="1" applyAlignment="1">
      <alignment horizontal="center"/>
    </xf>
    <xf numFmtId="0" fontId="78" fillId="2" borderId="0" xfId="3" applyFont="1" applyFill="1" applyBorder="1" applyAlignment="1">
      <alignment horizontal="center" vertical="center"/>
    </xf>
    <xf numFmtId="2" fontId="70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78" fillId="2" borderId="0" xfId="5" applyNumberFormat="1" applyFont="1" applyFill="1" applyBorder="1" applyAlignment="1" applyProtection="1">
      <alignment horizontal="center"/>
    </xf>
    <xf numFmtId="0" fontId="78" fillId="2" borderId="0" xfId="3" applyFont="1" applyFill="1" applyBorder="1" applyAlignment="1">
      <alignment horizontal="center"/>
    </xf>
    <xf numFmtId="0" fontId="78" fillId="17" borderId="3" xfId="3" applyFont="1" applyFill="1" applyBorder="1" applyAlignment="1">
      <alignment vertical="justify"/>
    </xf>
    <xf numFmtId="1" fontId="73" fillId="2" borderId="0" xfId="0" applyNumberFormat="1" applyFont="1" applyFill="1"/>
    <xf numFmtId="1" fontId="73" fillId="0" borderId="0" xfId="0" applyNumberFormat="1" applyFont="1"/>
    <xf numFmtId="165" fontId="78" fillId="2" borderId="0" xfId="5" applyNumberFormat="1" applyFont="1" applyFill="1" applyBorder="1" applyAlignment="1" applyProtection="1">
      <alignment horizontal="center"/>
    </xf>
    <xf numFmtId="0" fontId="70" fillId="0" borderId="0" xfId="0" applyFont="1" applyBorder="1"/>
    <xf numFmtId="0" fontId="70" fillId="0" borderId="0" xfId="0" applyFont="1"/>
    <xf numFmtId="165" fontId="78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5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0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2" fontId="38" fillId="10" borderId="1" xfId="3" applyNumberFormat="1" applyFont="1" applyFill="1" applyBorder="1" applyAlignment="1">
      <alignment horizontal="center"/>
    </xf>
    <xf numFmtId="172" fontId="32" fillId="9" borderId="1" xfId="3" applyNumberFormat="1" applyFont="1" applyFill="1" applyBorder="1" applyAlignment="1">
      <alignment horizontal="center" vertical="center"/>
    </xf>
    <xf numFmtId="172" fontId="32" fillId="9" borderId="1" xfId="3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 wrapText="1" shrinkToFit="1"/>
    </xf>
    <xf numFmtId="172" fontId="38" fillId="12" borderId="1" xfId="3" applyNumberFormat="1" applyFont="1" applyFill="1" applyBorder="1" applyAlignment="1">
      <alignment horizontal="center" vertical="center"/>
    </xf>
    <xf numFmtId="172" fontId="38" fillId="2" borderId="1" xfId="5" applyNumberFormat="1" applyFont="1" applyFill="1" applyBorder="1" applyAlignment="1">
      <alignment horizontal="center" vertical="center"/>
    </xf>
    <xf numFmtId="172" fontId="38" fillId="2" borderId="6" xfId="5" applyNumberFormat="1" applyFont="1" applyFill="1" applyBorder="1" applyAlignment="1">
      <alignment horizontal="center" vertical="center"/>
    </xf>
    <xf numFmtId="172" fontId="38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/>
    </xf>
    <xf numFmtId="172" fontId="45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 vertical="center"/>
    </xf>
    <xf numFmtId="172" fontId="43" fillId="8" borderId="1" xfId="3" applyNumberFormat="1" applyFont="1" applyFill="1" applyBorder="1" applyAlignment="1">
      <alignment horizontal="center"/>
    </xf>
    <xf numFmtId="172" fontId="43" fillId="8" borderId="1" xfId="5" applyNumberFormat="1" applyFont="1" applyFill="1" applyBorder="1" applyAlignment="1" applyProtection="1">
      <alignment horizontal="center" vertical="center"/>
    </xf>
    <xf numFmtId="172" fontId="45" fillId="8" borderId="1" xfId="5" applyNumberFormat="1" applyFont="1" applyFill="1" applyBorder="1" applyAlignment="1" applyProtection="1">
      <alignment horizontal="center" vertical="center"/>
    </xf>
    <xf numFmtId="172" fontId="24" fillId="17" borderId="3" xfId="3" applyNumberFormat="1" applyFont="1" applyFill="1" applyBorder="1" applyAlignment="1">
      <alignment vertical="justify"/>
    </xf>
    <xf numFmtId="172" fontId="38" fillId="12" borderId="1" xfId="3" applyNumberFormat="1" applyFont="1" applyFill="1" applyBorder="1" applyAlignment="1">
      <alignment horizontal="center"/>
    </xf>
    <xf numFmtId="172" fontId="38" fillId="10" borderId="1" xfId="5" applyNumberFormat="1" applyFont="1" applyFill="1" applyBorder="1" applyAlignment="1">
      <alignment horizontal="center" vertical="center"/>
    </xf>
    <xf numFmtId="172" fontId="43" fillId="17" borderId="1" xfId="3" applyNumberFormat="1" applyFont="1" applyFill="1" applyBorder="1" applyAlignment="1">
      <alignment horizontal="center"/>
    </xf>
    <xf numFmtId="172" fontId="43" fillId="2" borderId="1" xfId="3" applyNumberFormat="1" applyFont="1" applyFill="1" applyBorder="1" applyAlignment="1">
      <alignment horizontal="center"/>
    </xf>
    <xf numFmtId="172" fontId="43" fillId="0" borderId="0" xfId="0" applyNumberFormat="1" applyFont="1" applyBorder="1"/>
    <xf numFmtId="172" fontId="38" fillId="12" borderId="1" xfId="5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/>
    </xf>
    <xf numFmtId="172" fontId="38" fillId="8" borderId="1" xfId="6" applyNumberFormat="1" applyFont="1" applyFill="1" applyBorder="1" applyAlignment="1">
      <alignment horizontal="center"/>
    </xf>
    <xf numFmtId="172" fontId="38" fillId="8" borderId="6" xfId="6" applyNumberFormat="1" applyFont="1" applyFill="1" applyBorder="1" applyAlignment="1">
      <alignment horizontal="center"/>
    </xf>
    <xf numFmtId="172" fontId="48" fillId="0" borderId="0" xfId="0" applyNumberFormat="1" applyFont="1"/>
    <xf numFmtId="172" fontId="43" fillId="0" borderId="0" xfId="0" applyNumberFormat="1" applyFont="1"/>
    <xf numFmtId="172" fontId="43" fillId="0" borderId="1" xfId="0" applyNumberFormat="1" applyFont="1" applyBorder="1"/>
    <xf numFmtId="172" fontId="32" fillId="2" borderId="1" xfId="5" applyNumberFormat="1" applyFont="1" applyFill="1" applyBorder="1" applyAlignment="1">
      <alignment horizontal="center" vertical="center"/>
    </xf>
    <xf numFmtId="172" fontId="38" fillId="2" borderId="0" xfId="5" applyNumberFormat="1" applyFont="1" applyFill="1" applyBorder="1" applyAlignment="1">
      <alignment horizontal="center" vertical="center"/>
    </xf>
    <xf numFmtId="172" fontId="38" fillId="0" borderId="1" xfId="3" applyNumberFormat="1" applyFont="1" applyFill="1" applyBorder="1" applyAlignment="1">
      <alignment horizontal="center"/>
    </xf>
    <xf numFmtId="172" fontId="43" fillId="0" borderId="1" xfId="0" applyNumberFormat="1" applyFont="1" applyBorder="1" applyAlignment="1">
      <alignment horizontal="center"/>
    </xf>
    <xf numFmtId="172" fontId="43" fillId="0" borderId="1" xfId="0" applyNumberFormat="1" applyFont="1" applyFill="1" applyBorder="1" applyAlignment="1">
      <alignment horizontal="center"/>
    </xf>
    <xf numFmtId="172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81" fillId="0" borderId="16" xfId="1" applyFont="1" applyFill="1" applyBorder="1" applyAlignment="1">
      <alignment vertical="top" wrapText="1"/>
    </xf>
    <xf numFmtId="0" fontId="81" fillId="0" borderId="1" xfId="1" applyFont="1" applyFill="1" applyBorder="1" applyAlignment="1">
      <alignment horizontal="center" vertical="top" wrapText="1"/>
    </xf>
    <xf numFmtId="0" fontId="8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0" fontId="48" fillId="0" borderId="1" xfId="0" applyFont="1" applyFill="1" applyBorder="1" applyAlignment="1">
      <alignment horizontal="center"/>
    </xf>
    <xf numFmtId="1" fontId="70" fillId="17" borderId="1" xfId="3" applyNumberFormat="1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1" fontId="70" fillId="12" borderId="12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/>
    </xf>
    <xf numFmtId="1" fontId="38" fillId="8" borderId="1" xfId="5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center" wrapText="1"/>
    </xf>
    <xf numFmtId="0" fontId="48" fillId="0" borderId="0" xfId="0" applyFont="1" applyBorder="1" applyAlignment="1">
      <alignment horizontal="center"/>
    </xf>
    <xf numFmtId="1" fontId="48" fillId="0" borderId="24" xfId="0" applyNumberFormat="1" applyFont="1" applyBorder="1" applyAlignment="1">
      <alignment horizontal="center"/>
    </xf>
    <xf numFmtId="166" fontId="70" fillId="0" borderId="1" xfId="6" applyNumberFormat="1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0" fontId="48" fillId="12" borderId="0" xfId="0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0" fillId="8" borderId="1" xfId="9" applyNumberFormat="1" applyFont="1" applyFill="1" applyBorder="1" applyAlignment="1">
      <alignment horizontal="center"/>
    </xf>
    <xf numFmtId="1" fontId="73" fillId="8" borderId="1" xfId="5" applyNumberFormat="1" applyFont="1" applyFill="1" applyBorder="1" applyAlignment="1" applyProtection="1">
      <alignment horizontal="center"/>
    </xf>
    <xf numFmtId="1" fontId="78" fillId="17" borderId="3" xfId="3" applyNumberFormat="1" applyFont="1" applyFill="1" applyBorder="1" applyAlignment="1">
      <alignment horizontal="center"/>
    </xf>
    <xf numFmtId="1" fontId="78" fillId="17" borderId="21" xfId="3" applyNumberFormat="1" applyFont="1" applyFill="1" applyBorder="1" applyAlignment="1">
      <alignment horizontal="center"/>
    </xf>
    <xf numFmtId="1" fontId="70" fillId="17" borderId="12" xfId="3" applyNumberFormat="1" applyFont="1" applyFill="1" applyBorder="1" applyAlignment="1">
      <alignment horizontal="center"/>
    </xf>
    <xf numFmtId="164" fontId="70" fillId="8" borderId="1" xfId="19" applyFont="1" applyFill="1" applyBorder="1" applyAlignment="1">
      <alignment horizontal="center"/>
    </xf>
    <xf numFmtId="164" fontId="74" fillId="2" borderId="1" xfId="19" applyFont="1" applyFill="1" applyBorder="1" applyAlignment="1">
      <alignment horizontal="center"/>
    </xf>
    <xf numFmtId="164" fontId="70" fillId="8" borderId="12" xfId="19" applyFont="1" applyFill="1" applyBorder="1" applyAlignment="1" applyProtection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8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43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6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85" fillId="9" borderId="1" xfId="3" applyFont="1" applyFill="1" applyBorder="1" applyAlignment="1">
      <alignment horizontal="center" vertical="center"/>
    </xf>
    <xf numFmtId="2" fontId="85" fillId="9" borderId="1" xfId="3" applyNumberFormat="1" applyFont="1" applyFill="1" applyBorder="1" applyAlignment="1">
      <alignment horizontal="center"/>
    </xf>
    <xf numFmtId="2" fontId="70" fillId="2" borderId="1" xfId="4" applyNumberFormat="1" applyFont="1" applyFill="1" applyBorder="1" applyAlignment="1">
      <alignment horizontal="center"/>
    </xf>
    <xf numFmtId="2" fontId="70" fillId="0" borderId="1" xfId="4" applyNumberFormat="1" applyFont="1" applyBorder="1" applyAlignment="1">
      <alignment horizontal="center"/>
    </xf>
    <xf numFmtId="0" fontId="74" fillId="2" borderId="1" xfId="4" applyFont="1" applyFill="1" applyBorder="1" applyAlignment="1">
      <alignment horizontal="center"/>
    </xf>
    <xf numFmtId="2" fontId="75" fillId="8" borderId="1" xfId="3" applyNumberFormat="1" applyFont="1" applyFill="1" applyBorder="1" applyAlignment="1">
      <alignment horizontal="center"/>
    </xf>
    <xf numFmtId="2" fontId="70" fillId="8" borderId="1" xfId="9" applyNumberFormat="1" applyFont="1" applyFill="1" applyBorder="1" applyAlignment="1">
      <alignment horizontal="center"/>
    </xf>
    <xf numFmtId="0" fontId="86" fillId="17" borderId="3" xfId="3" applyFont="1" applyFill="1" applyBorder="1" applyAlignment="1">
      <alignment horizontal="center" vertical="justify"/>
    </xf>
    <xf numFmtId="0" fontId="70" fillId="0" borderId="1" xfId="4" applyFont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38" fontId="70" fillId="9" borderId="1" xfId="3" applyNumberFormat="1" applyFont="1" applyFill="1" applyBorder="1" applyAlignment="1">
      <alignment horizontal="center"/>
    </xf>
    <xf numFmtId="38" fontId="70" fillId="12" borderId="1" xfId="3" applyNumberFormat="1" applyFont="1" applyFill="1" applyBorder="1" applyAlignment="1">
      <alignment horizontal="center"/>
    </xf>
    <xf numFmtId="1" fontId="70" fillId="2" borderId="1" xfId="5" applyNumberFormat="1" applyFont="1" applyFill="1" applyBorder="1" applyAlignment="1">
      <alignment horizontal="center"/>
    </xf>
    <xf numFmtId="1" fontId="48" fillId="12" borderId="1" xfId="3" applyNumberFormat="1" applyFont="1" applyFill="1" applyBorder="1" applyAlignment="1">
      <alignment horizontal="center"/>
    </xf>
    <xf numFmtId="1" fontId="73" fillId="2" borderId="1" xfId="5" applyNumberFormat="1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/>
    </xf>
    <xf numFmtId="1" fontId="48" fillId="8" borderId="1" xfId="3" applyNumberFormat="1" applyFont="1" applyFill="1" applyBorder="1" applyAlignment="1">
      <alignment horizontal="center"/>
    </xf>
    <xf numFmtId="1" fontId="48" fillId="8" borderId="1" xfId="5" applyNumberFormat="1" applyFont="1" applyFill="1" applyBorder="1" applyAlignment="1" applyProtection="1">
      <alignment horizontal="center"/>
    </xf>
    <xf numFmtId="164" fontId="74" fillId="8" borderId="1" xfId="19" applyFont="1" applyFill="1" applyBorder="1" applyAlignment="1" applyProtection="1">
      <alignment horizontal="center"/>
    </xf>
    <xf numFmtId="1" fontId="48" fillId="17" borderId="1" xfId="3" applyNumberFormat="1" applyFont="1" applyFill="1" applyBorder="1" applyAlignment="1">
      <alignment horizontal="center"/>
    </xf>
    <xf numFmtId="38" fontId="70" fillId="2" borderId="1" xfId="5" applyNumberFormat="1" applyFont="1" applyFill="1" applyBorder="1" applyAlignment="1">
      <alignment horizontal="center"/>
    </xf>
    <xf numFmtId="38" fontId="48" fillId="2" borderId="1" xfId="3" applyNumberFormat="1" applyFont="1" applyFill="1" applyBorder="1" applyAlignment="1">
      <alignment horizontal="center"/>
    </xf>
    <xf numFmtId="38" fontId="48" fillId="0" borderId="0" xfId="0" applyNumberFormat="1" applyFont="1" applyBorder="1" applyAlignment="1">
      <alignment horizontal="center"/>
    </xf>
    <xf numFmtId="38" fontId="48" fillId="17" borderId="1" xfId="3" applyNumberFormat="1" applyFont="1" applyFill="1" applyBorder="1" applyAlignment="1">
      <alignment horizontal="center"/>
    </xf>
    <xf numFmtId="38" fontId="70" fillId="12" borderId="1" xfId="5" applyNumberFormat="1" applyFont="1" applyFill="1" applyBorder="1" applyAlignment="1">
      <alignment horizontal="center"/>
    </xf>
    <xf numFmtId="38" fontId="70" fillId="0" borderId="1" xfId="5" applyNumberFormat="1" applyFont="1" applyFill="1" applyBorder="1" applyAlignment="1">
      <alignment horizontal="center"/>
    </xf>
    <xf numFmtId="38" fontId="48" fillId="12" borderId="1" xfId="3" applyNumberFormat="1" applyFont="1" applyFill="1" applyBorder="1" applyAlignment="1">
      <alignment horizontal="center"/>
    </xf>
    <xf numFmtId="38" fontId="70" fillId="8" borderId="1" xfId="3" applyNumberFormat="1" applyFont="1" applyFill="1" applyBorder="1" applyAlignment="1">
      <alignment horizontal="center"/>
    </xf>
    <xf numFmtId="38" fontId="70" fillId="8" borderId="1" xfId="6" applyNumberFormat="1" applyFont="1" applyFill="1" applyBorder="1" applyAlignment="1">
      <alignment horizontal="center"/>
    </xf>
    <xf numFmtId="38" fontId="70" fillId="8" borderId="6" xfId="6" applyNumberFormat="1" applyFont="1" applyFill="1" applyBorder="1" applyAlignment="1">
      <alignment horizontal="center"/>
    </xf>
    <xf numFmtId="38" fontId="48" fillId="0" borderId="0" xfId="0" applyNumberFormat="1" applyFont="1" applyAlignment="1">
      <alignment horizontal="center"/>
    </xf>
    <xf numFmtId="38" fontId="48" fillId="0" borderId="1" xfId="0" applyNumberFormat="1" applyFont="1" applyBorder="1" applyAlignment="1">
      <alignment horizontal="center"/>
    </xf>
    <xf numFmtId="38" fontId="70" fillId="0" borderId="0" xfId="5" applyNumberFormat="1" applyFont="1" applyFill="1" applyBorder="1" applyAlignment="1">
      <alignment horizontal="center"/>
    </xf>
    <xf numFmtId="38" fontId="70" fillId="0" borderId="1" xfId="3" applyNumberFormat="1" applyFont="1" applyFill="1" applyBorder="1" applyAlignment="1">
      <alignment horizontal="center"/>
    </xf>
    <xf numFmtId="38" fontId="48" fillId="12" borderId="1" xfId="0" applyNumberFormat="1" applyFont="1" applyFill="1" applyBorder="1" applyAlignment="1">
      <alignment horizontal="center"/>
    </xf>
    <xf numFmtId="165" fontId="83" fillId="2" borderId="0" xfId="3" applyNumberFormat="1" applyFont="1" applyFill="1" applyBorder="1" applyAlignment="1">
      <alignment horizontal="center" vertical="center" wrapText="1" shrinkToFit="1"/>
    </xf>
    <xf numFmtId="0" fontId="87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>
      <alignment horizontal="center" vertic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4" fillId="0" borderId="2" xfId="4" applyFont="1" applyBorder="1" applyAlignment="1">
      <alignment horizontal="left"/>
    </xf>
    <xf numFmtId="0" fontId="84" fillId="0" borderId="3" xfId="4" applyFont="1" applyBorder="1" applyAlignment="1">
      <alignment horizontal="left"/>
    </xf>
    <xf numFmtId="0" fontId="84" fillId="0" borderId="4" xfId="4" applyFont="1" applyBorder="1" applyAlignment="1">
      <alignment horizontal="left"/>
    </xf>
    <xf numFmtId="0" fontId="72" fillId="0" borderId="2" xfId="4" applyFont="1" applyFill="1" applyBorder="1" applyAlignment="1">
      <alignment horizontal="center"/>
    </xf>
    <xf numFmtId="0" fontId="72" fillId="0" borderId="3" xfId="4" applyFont="1" applyFill="1" applyBorder="1" applyAlignment="1">
      <alignment horizontal="center"/>
    </xf>
    <xf numFmtId="0" fontId="72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0" fillId="2" borderId="20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0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2" fillId="0" borderId="1" xfId="4" applyFont="1" applyFill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70" fillId="13" borderId="13" xfId="3" applyFont="1" applyFill="1" applyBorder="1" applyAlignment="1">
      <alignment horizontal="left"/>
    </xf>
    <xf numFmtId="0" fontId="70" fillId="13" borderId="3" xfId="3" applyFont="1" applyFill="1" applyBorder="1" applyAlignment="1">
      <alignment horizontal="left"/>
    </xf>
    <xf numFmtId="0" fontId="70" fillId="13" borderId="4" xfId="3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0" fillId="8" borderId="13" xfId="3" applyFont="1" applyFill="1" applyBorder="1" applyAlignment="1">
      <alignment horizontal="left"/>
    </xf>
    <xf numFmtId="0" fontId="70" fillId="8" borderId="3" xfId="3" applyFont="1" applyFill="1" applyBorder="1" applyAlignment="1">
      <alignment horizontal="left"/>
    </xf>
    <xf numFmtId="0" fontId="70" fillId="8" borderId="4" xfId="3" applyFont="1" applyFill="1" applyBorder="1" applyAlignment="1">
      <alignment horizontal="left"/>
    </xf>
    <xf numFmtId="0" fontId="70" fillId="8" borderId="0" xfId="3" applyFont="1" applyFill="1" applyBorder="1" applyAlignment="1">
      <alignment vertical="center"/>
    </xf>
    <xf numFmtId="0" fontId="70" fillId="0" borderId="2" xfId="4" applyFont="1" applyBorder="1" applyAlignment="1">
      <alignment horizontal="left" vertical="center"/>
    </xf>
    <xf numFmtId="0" fontId="70" fillId="0" borderId="3" xfId="4" applyFont="1" applyBorder="1" applyAlignment="1">
      <alignment horizontal="left" vertical="center"/>
    </xf>
    <xf numFmtId="0" fontId="70" fillId="0" borderId="4" xfId="4" applyFont="1" applyBorder="1" applyAlignment="1">
      <alignment horizontal="left" vertical="center"/>
    </xf>
    <xf numFmtId="0" fontId="70" fillId="8" borderId="19" xfId="3" applyFont="1" applyFill="1" applyBorder="1" applyAlignment="1">
      <alignment horizontal="left"/>
    </xf>
    <xf numFmtId="0" fontId="70" fillId="8" borderId="8" xfId="3" applyFont="1" applyFill="1" applyBorder="1" applyAlignment="1">
      <alignment horizontal="left"/>
    </xf>
    <xf numFmtId="0" fontId="70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0" fillId="12" borderId="13" xfId="3" applyFont="1" applyFill="1" applyBorder="1" applyAlignment="1">
      <alignment horizontal="center" vertical="center"/>
    </xf>
    <xf numFmtId="0" fontId="70" fillId="12" borderId="3" xfId="3" applyFont="1" applyFill="1" applyBorder="1" applyAlignment="1">
      <alignment horizontal="center" vertical="center"/>
    </xf>
    <xf numFmtId="0" fontId="70" fillId="12" borderId="4" xfId="3" applyFont="1" applyFill="1" applyBorder="1" applyAlignment="1">
      <alignment horizontal="center" vertical="center"/>
    </xf>
    <xf numFmtId="0" fontId="70" fillId="12" borderId="13" xfId="3" applyFont="1" applyFill="1" applyBorder="1" applyAlignment="1">
      <alignment horizontal="center"/>
    </xf>
    <xf numFmtId="0" fontId="70" fillId="12" borderId="3" xfId="3" applyFont="1" applyFill="1" applyBorder="1" applyAlignment="1">
      <alignment horizontal="center"/>
    </xf>
    <xf numFmtId="0" fontId="70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70" fillId="0" borderId="13" xfId="4" applyFont="1" applyBorder="1" applyAlignment="1">
      <alignment horizontal="left"/>
    </xf>
    <xf numFmtId="0" fontId="70" fillId="0" borderId="3" xfId="4" applyFont="1" applyBorder="1" applyAlignment="1">
      <alignment horizontal="left"/>
    </xf>
    <xf numFmtId="0" fontId="70" fillId="0" borderId="4" xfId="4" applyFont="1" applyBorder="1" applyAlignment="1">
      <alignment horizontal="left"/>
    </xf>
    <xf numFmtId="0" fontId="73" fillId="8" borderId="14" xfId="3" applyFont="1" applyFill="1" applyBorder="1" applyAlignment="1">
      <alignment horizontal="center"/>
    </xf>
    <xf numFmtId="0" fontId="73" fillId="8" borderId="11" xfId="3" applyFont="1" applyFill="1" applyBorder="1" applyAlignment="1">
      <alignment horizontal="center"/>
    </xf>
    <xf numFmtId="0" fontId="73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0" fillId="9" borderId="2" xfId="3" applyFont="1" applyFill="1" applyBorder="1" applyAlignment="1">
      <alignment horizontal="center"/>
    </xf>
    <xf numFmtId="0" fontId="70" fillId="9" borderId="4" xfId="3" applyFont="1" applyFill="1" applyBorder="1" applyAlignment="1">
      <alignment horizontal="center"/>
    </xf>
    <xf numFmtId="0" fontId="79" fillId="17" borderId="13" xfId="3" applyFont="1" applyFill="1" applyBorder="1" applyAlignment="1">
      <alignment horizontal="center" vertical="center"/>
    </xf>
    <xf numFmtId="0" fontId="79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72" fillId="0" borderId="2" xfId="4" applyFont="1" applyFill="1" applyBorder="1" applyAlignment="1">
      <alignment horizontal="left"/>
    </xf>
    <xf numFmtId="0" fontId="72" fillId="0" borderId="3" xfId="4" applyFont="1" applyFill="1" applyBorder="1" applyAlignment="1">
      <alignment horizontal="left"/>
    </xf>
    <xf numFmtId="0" fontId="72" fillId="0" borderId="4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0" fillId="0" borderId="1" xfId="4" applyFont="1" applyFill="1" applyBorder="1" applyAlignment="1">
      <alignment horizontal="left"/>
    </xf>
    <xf numFmtId="0" fontId="70" fillId="0" borderId="2" xfId="4" applyFont="1" applyFill="1" applyBorder="1" applyAlignment="1">
      <alignment horizontal="left"/>
    </xf>
    <xf numFmtId="0" fontId="70" fillId="0" borderId="3" xfId="4" applyFont="1" applyFill="1" applyBorder="1" applyAlignment="1">
      <alignment horizontal="left"/>
    </xf>
    <xf numFmtId="0" fontId="70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8" fontId="32" fillId="8" borderId="13" xfId="3" applyNumberFormat="1" applyFont="1" applyFill="1" applyBorder="1" applyAlignment="1">
      <alignment horizontal="left" vertical="center"/>
    </xf>
    <xf numFmtId="168" fontId="32" fillId="8" borderId="3" xfId="3" applyNumberFormat="1" applyFont="1" applyFill="1" applyBorder="1" applyAlignment="1">
      <alignment horizontal="left" vertical="center"/>
    </xf>
    <xf numFmtId="168" fontId="32" fillId="8" borderId="4" xfId="3" applyNumberFormat="1" applyFont="1" applyFill="1" applyBorder="1" applyAlignment="1">
      <alignment horizontal="left" vertical="center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24.05000000000291</c:v>
                </c:pt>
                <c:pt idx="1">
                  <c:v>24</c:v>
                </c:pt>
                <c:pt idx="2">
                  <c:v>24</c:v>
                </c:pt>
                <c:pt idx="3">
                  <c:v>25.440000000002328</c:v>
                </c:pt>
                <c:pt idx="4">
                  <c:v>24.059999999997672</c:v>
                </c:pt>
                <c:pt idx="5">
                  <c:v>24.430000000000291</c:v>
                </c:pt>
                <c:pt idx="6">
                  <c:v>25.370000000002619</c:v>
                </c:pt>
                <c:pt idx="7">
                  <c:v>23.129999999994197</c:v>
                </c:pt>
                <c:pt idx="8">
                  <c:v>23.150000000002819</c:v>
                </c:pt>
                <c:pt idx="9">
                  <c:v>24</c:v>
                </c:pt>
                <c:pt idx="10">
                  <c:v>24</c:v>
                </c:pt>
                <c:pt idx="11">
                  <c:v>26</c:v>
                </c:pt>
                <c:pt idx="12">
                  <c:v>26</c:v>
                </c:pt>
                <c:pt idx="13">
                  <c:v>24</c:v>
                </c:pt>
                <c:pt idx="14">
                  <c:v>24</c:v>
                </c:pt>
                <c:pt idx="15">
                  <c:v>23.539999999999964</c:v>
                </c:pt>
                <c:pt idx="16">
                  <c:v>23.860000000000127</c:v>
                </c:pt>
                <c:pt idx="17">
                  <c:v>24.15000000000191</c:v>
                </c:pt>
                <c:pt idx="18">
                  <c:v>24.369999999995798</c:v>
                </c:pt>
                <c:pt idx="19">
                  <c:v>24.059999999999945</c:v>
                </c:pt>
                <c:pt idx="20">
                  <c:v>24.390000000003511</c:v>
                </c:pt>
                <c:pt idx="21">
                  <c:v>24.190000000000055</c:v>
                </c:pt>
                <c:pt idx="22">
                  <c:v>24.289999999997235</c:v>
                </c:pt>
                <c:pt idx="23">
                  <c:v>23.599999999998545</c:v>
                </c:pt>
                <c:pt idx="24">
                  <c:v>24.400000000001455</c:v>
                </c:pt>
                <c:pt idx="25">
                  <c:v>24</c:v>
                </c:pt>
                <c:pt idx="26">
                  <c:v>24</c:v>
                </c:pt>
                <c:pt idx="27">
                  <c:v>-724.44999999999709</c:v>
                </c:pt>
                <c:pt idx="28">
                  <c:v>23.860000000000582</c:v>
                </c:pt>
                <c:pt idx="29">
                  <c:v>24</c:v>
                </c:pt>
                <c:pt idx="30">
                  <c:v>23.689999999995052</c:v>
                </c:pt>
                <c:pt idx="31">
                  <c:v>1.5799999999999272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70602496"/>
        <c:axId val="170604032"/>
      </c:lineChart>
      <c:catAx>
        <c:axId val="17060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04032"/>
        <c:crosses val="autoZero"/>
        <c:auto val="1"/>
        <c:lblAlgn val="ctr"/>
        <c:lblOffset val="100"/>
        <c:noMultiLvlLbl val="0"/>
      </c:catAx>
      <c:valAx>
        <c:axId val="17060403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7060249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11.539999999989959</c:v>
                </c:pt>
                <c:pt idx="1">
                  <c:v>9.3899999999994179</c:v>
                </c:pt>
                <c:pt idx="2">
                  <c:v>12.120000000006257</c:v>
                </c:pt>
                <c:pt idx="3">
                  <c:v>9.9900000000016007</c:v>
                </c:pt>
                <c:pt idx="4">
                  <c:v>13.520000000004075</c:v>
                </c:pt>
                <c:pt idx="5">
                  <c:v>14.339999999989232</c:v>
                </c:pt>
                <c:pt idx="6">
                  <c:v>13.950000000000728</c:v>
                </c:pt>
                <c:pt idx="7">
                  <c:v>13.280000000002474</c:v>
                </c:pt>
                <c:pt idx="8">
                  <c:v>14.430000000000291</c:v>
                </c:pt>
                <c:pt idx="9">
                  <c:v>15.569999999999709</c:v>
                </c:pt>
                <c:pt idx="10">
                  <c:v>15</c:v>
                </c:pt>
                <c:pt idx="11">
                  <c:v>19.629999999997381</c:v>
                </c:pt>
                <c:pt idx="12">
                  <c:v>18.580000000001746</c:v>
                </c:pt>
                <c:pt idx="13">
                  <c:v>17.959999999999127</c:v>
                </c:pt>
                <c:pt idx="14">
                  <c:v>20.100000000002183</c:v>
                </c:pt>
                <c:pt idx="15">
                  <c:v>19.82999999999447</c:v>
                </c:pt>
                <c:pt idx="16">
                  <c:v>15.489999999997963</c:v>
                </c:pt>
                <c:pt idx="17">
                  <c:v>14.980000000003201</c:v>
                </c:pt>
                <c:pt idx="18">
                  <c:v>17.120000000002619</c:v>
                </c:pt>
                <c:pt idx="19">
                  <c:v>15.730000000003201</c:v>
                </c:pt>
                <c:pt idx="20">
                  <c:v>20.999999999992724</c:v>
                </c:pt>
                <c:pt idx="21">
                  <c:v>18.340000000011059</c:v>
                </c:pt>
                <c:pt idx="22">
                  <c:v>17.239999999994325</c:v>
                </c:pt>
                <c:pt idx="23">
                  <c:v>18</c:v>
                </c:pt>
                <c:pt idx="24">
                  <c:v>17</c:v>
                </c:pt>
                <c:pt idx="25">
                  <c:v>18.540000000004511</c:v>
                </c:pt>
                <c:pt idx="26">
                  <c:v>17.359999999989668</c:v>
                </c:pt>
                <c:pt idx="27">
                  <c:v>-463.63999999999942</c:v>
                </c:pt>
                <c:pt idx="28">
                  <c:v>10.860000000007858</c:v>
                </c:pt>
                <c:pt idx="29">
                  <c:v>11.129999999997381</c:v>
                </c:pt>
                <c:pt idx="30">
                  <c:v>11.620000000006257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0637184"/>
        <c:axId val="170638720"/>
      </c:lineChart>
      <c:catAx>
        <c:axId val="17063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38720"/>
        <c:crosses val="autoZero"/>
        <c:auto val="1"/>
        <c:lblAlgn val="ctr"/>
        <c:lblOffset val="100"/>
        <c:noMultiLvlLbl val="0"/>
      </c:catAx>
      <c:valAx>
        <c:axId val="17063872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3718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595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235</c:v>
                </c:pt>
                <c:pt idx="1">
                  <c:v>183</c:v>
                </c:pt>
                <c:pt idx="2">
                  <c:v>233</c:v>
                </c:pt>
                <c:pt idx="3">
                  <c:v>261</c:v>
                </c:pt>
                <c:pt idx="4">
                  <c:v>294</c:v>
                </c:pt>
                <c:pt idx="5">
                  <c:v>275</c:v>
                </c:pt>
                <c:pt idx="6">
                  <c:v>242</c:v>
                </c:pt>
                <c:pt idx="7">
                  <c:v>232</c:v>
                </c:pt>
                <c:pt idx="8">
                  <c:v>256</c:v>
                </c:pt>
                <c:pt idx="9">
                  <c:v>317</c:v>
                </c:pt>
                <c:pt idx="10">
                  <c:v>316</c:v>
                </c:pt>
                <c:pt idx="11">
                  <c:v>339</c:v>
                </c:pt>
                <c:pt idx="12">
                  <c:v>296</c:v>
                </c:pt>
                <c:pt idx="13">
                  <c:v>296</c:v>
                </c:pt>
                <c:pt idx="14">
                  <c:v>316</c:v>
                </c:pt>
                <c:pt idx="15">
                  <c:v>298</c:v>
                </c:pt>
                <c:pt idx="16">
                  <c:v>306</c:v>
                </c:pt>
                <c:pt idx="17">
                  <c:v>298</c:v>
                </c:pt>
                <c:pt idx="18">
                  <c:v>328</c:v>
                </c:pt>
                <c:pt idx="19">
                  <c:v>360</c:v>
                </c:pt>
                <c:pt idx="20">
                  <c:v>265</c:v>
                </c:pt>
                <c:pt idx="21">
                  <c:v>243</c:v>
                </c:pt>
                <c:pt idx="22">
                  <c:v>315</c:v>
                </c:pt>
                <c:pt idx="23">
                  <c:v>274</c:v>
                </c:pt>
                <c:pt idx="24">
                  <c:v>233</c:v>
                </c:pt>
                <c:pt idx="25">
                  <c:v>315</c:v>
                </c:pt>
                <c:pt idx="26">
                  <c:v>310</c:v>
                </c:pt>
                <c:pt idx="27">
                  <c:v>-1570</c:v>
                </c:pt>
                <c:pt idx="28">
                  <c:v>312</c:v>
                </c:pt>
                <c:pt idx="29">
                  <c:v>226</c:v>
                </c:pt>
                <c:pt idx="30">
                  <c:v>146</c:v>
                </c:pt>
                <c:pt idx="31">
                  <c:v>6750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91775104"/>
        <c:axId val="191776640"/>
      </c:lineChart>
      <c:catAx>
        <c:axId val="191775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76640"/>
        <c:crosses val="autoZero"/>
        <c:auto val="1"/>
        <c:lblAlgn val="ctr"/>
        <c:lblOffset val="100"/>
        <c:noMultiLvlLbl val="0"/>
      </c:catAx>
      <c:valAx>
        <c:axId val="191776640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75104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4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918.55799999996088</c:v>
                </c:pt>
                <c:pt idx="1">
                  <c:v>983.14500000001863</c:v>
                </c:pt>
                <c:pt idx="2">
                  <c:v>1012.3479999999981</c:v>
                </c:pt>
                <c:pt idx="3">
                  <c:v>997.95200000004843</c:v>
                </c:pt>
                <c:pt idx="4">
                  <c:v>1047.8699999998789</c:v>
                </c:pt>
                <c:pt idx="5">
                  <c:v>1049.5</c:v>
                </c:pt>
                <c:pt idx="6">
                  <c:v>1030.6800000001676</c:v>
                </c:pt>
                <c:pt idx="7">
                  <c:v>1052.1799999999348</c:v>
                </c:pt>
                <c:pt idx="8">
                  <c:v>1070</c:v>
                </c:pt>
                <c:pt idx="9">
                  <c:v>1152</c:v>
                </c:pt>
                <c:pt idx="10">
                  <c:v>1118</c:v>
                </c:pt>
                <c:pt idx="11">
                  <c:v>1293</c:v>
                </c:pt>
                <c:pt idx="12">
                  <c:v>1108</c:v>
                </c:pt>
                <c:pt idx="13">
                  <c:v>1095</c:v>
                </c:pt>
                <c:pt idx="14">
                  <c:v>1135.2800000000279</c:v>
                </c:pt>
                <c:pt idx="15">
                  <c:v>1092.9150000000373</c:v>
                </c:pt>
                <c:pt idx="16">
                  <c:v>1023.3799999998882</c:v>
                </c:pt>
                <c:pt idx="17">
                  <c:v>1056.8049999999348</c:v>
                </c:pt>
                <c:pt idx="18">
                  <c:v>1032.7900000000373</c:v>
                </c:pt>
                <c:pt idx="19">
                  <c:v>1045.6000000000931</c:v>
                </c:pt>
                <c:pt idx="20">
                  <c:v>1175.1399999998976</c:v>
                </c:pt>
                <c:pt idx="21">
                  <c:v>1110.8900000001304</c:v>
                </c:pt>
                <c:pt idx="22">
                  <c:v>1061.1999999999534</c:v>
                </c:pt>
                <c:pt idx="23">
                  <c:v>1141</c:v>
                </c:pt>
                <c:pt idx="24">
                  <c:v>1157</c:v>
                </c:pt>
                <c:pt idx="25">
                  <c:v>1096</c:v>
                </c:pt>
                <c:pt idx="26">
                  <c:v>1097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33553.233000000007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261120"/>
        <c:axId val="190262656"/>
      </c:lineChart>
      <c:catAx>
        <c:axId val="19026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262656"/>
        <c:crosses val="autoZero"/>
        <c:auto val="1"/>
        <c:lblAlgn val="ctr"/>
        <c:lblOffset val="100"/>
        <c:noMultiLvlLbl val="0"/>
      </c:catAx>
      <c:valAx>
        <c:axId val="19026265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261120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639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2609.5899999999965</c:v>
                </c:pt>
                <c:pt idx="1">
                  <c:v>2628.2200000000012</c:v>
                </c:pt>
                <c:pt idx="2">
                  <c:v>2641.8299999999945</c:v>
                </c:pt>
                <c:pt idx="3">
                  <c:v>2666.7100000000064</c:v>
                </c:pt>
                <c:pt idx="4">
                  <c:v>2758.0200000000041</c:v>
                </c:pt>
                <c:pt idx="5">
                  <c:v>2776.5599999999977</c:v>
                </c:pt>
                <c:pt idx="6">
                  <c:v>3066.4900000000052</c:v>
                </c:pt>
                <c:pt idx="7">
                  <c:v>2923.2899999999936</c:v>
                </c:pt>
                <c:pt idx="8">
                  <c:v>3001</c:v>
                </c:pt>
                <c:pt idx="9">
                  <c:v>3035</c:v>
                </c:pt>
                <c:pt idx="10">
                  <c:v>3148</c:v>
                </c:pt>
                <c:pt idx="11">
                  <c:v>3245</c:v>
                </c:pt>
                <c:pt idx="12">
                  <c:v>3279</c:v>
                </c:pt>
                <c:pt idx="13">
                  <c:v>3213</c:v>
                </c:pt>
                <c:pt idx="14">
                  <c:v>3189.1999999999971</c:v>
                </c:pt>
                <c:pt idx="15">
                  <c:v>3126.6800000000076</c:v>
                </c:pt>
                <c:pt idx="16">
                  <c:v>3014.1399999999994</c:v>
                </c:pt>
                <c:pt idx="17">
                  <c:v>3089.679999999993</c:v>
                </c:pt>
                <c:pt idx="18">
                  <c:v>3138.6000000000058</c:v>
                </c:pt>
                <c:pt idx="19">
                  <c:v>3029.6999999999971</c:v>
                </c:pt>
                <c:pt idx="20">
                  <c:v>3097.5</c:v>
                </c:pt>
                <c:pt idx="21">
                  <c:v>3093.4600000000064</c:v>
                </c:pt>
                <c:pt idx="22">
                  <c:v>3147.0399999999936</c:v>
                </c:pt>
                <c:pt idx="23">
                  <c:v>3236</c:v>
                </c:pt>
                <c:pt idx="24">
                  <c:v>3213</c:v>
                </c:pt>
                <c:pt idx="25">
                  <c:v>3217</c:v>
                </c:pt>
                <c:pt idx="26">
                  <c:v>3029</c:v>
                </c:pt>
                <c:pt idx="27">
                  <c:v>-89484</c:v>
                </c:pt>
                <c:pt idx="28">
                  <c:v>2606</c:v>
                </c:pt>
                <c:pt idx="29">
                  <c:v>2616</c:v>
                </c:pt>
                <c:pt idx="30">
                  <c:v>2649.2900000000009</c:v>
                </c:pt>
                <c:pt idx="31">
                  <c:v>7.2759576141834259E-12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90767872"/>
        <c:axId val="190769408"/>
      </c:lineChart>
      <c:catAx>
        <c:axId val="19076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769408"/>
        <c:crosses val="autoZero"/>
        <c:auto val="1"/>
        <c:lblAlgn val="ctr"/>
        <c:lblOffset val="100"/>
        <c:noMultiLvlLbl val="0"/>
      </c:catAx>
      <c:valAx>
        <c:axId val="190769408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767872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1246.0200000000004</c:v>
                </c:pt>
                <c:pt idx="1">
                  <c:v>1388.3099999999977</c:v>
                </c:pt>
                <c:pt idx="2">
                  <c:v>1437.6200000000026</c:v>
                </c:pt>
                <c:pt idx="3">
                  <c:v>1328.9400000000023</c:v>
                </c:pt>
                <c:pt idx="4">
                  <c:v>1448.8099999999977</c:v>
                </c:pt>
                <c:pt idx="5">
                  <c:v>1654.0999999999985</c:v>
                </c:pt>
                <c:pt idx="6">
                  <c:v>1666.4199999999983</c:v>
                </c:pt>
                <c:pt idx="7">
                  <c:v>1754.8000000000029</c:v>
                </c:pt>
                <c:pt idx="8">
                  <c:v>1514</c:v>
                </c:pt>
                <c:pt idx="9">
                  <c:v>1557</c:v>
                </c:pt>
                <c:pt idx="10">
                  <c:v>1435</c:v>
                </c:pt>
                <c:pt idx="11">
                  <c:v>1625</c:v>
                </c:pt>
                <c:pt idx="12">
                  <c:v>1533</c:v>
                </c:pt>
                <c:pt idx="13">
                  <c:v>1426</c:v>
                </c:pt>
                <c:pt idx="14">
                  <c:v>1456.1299999999974</c:v>
                </c:pt>
                <c:pt idx="15">
                  <c:v>1572.5699999999997</c:v>
                </c:pt>
                <c:pt idx="16">
                  <c:v>1470.9800000000032</c:v>
                </c:pt>
                <c:pt idx="17">
                  <c:v>1628.2200000000012</c:v>
                </c:pt>
                <c:pt idx="18">
                  <c:v>1534.7099999999991</c:v>
                </c:pt>
                <c:pt idx="19">
                  <c:v>1525.25</c:v>
                </c:pt>
                <c:pt idx="20">
                  <c:v>1538.8899999999994</c:v>
                </c:pt>
                <c:pt idx="21">
                  <c:v>1451.8399999999965</c:v>
                </c:pt>
                <c:pt idx="22">
                  <c:v>1512.4100000000035</c:v>
                </c:pt>
                <c:pt idx="23">
                  <c:v>1591</c:v>
                </c:pt>
                <c:pt idx="24">
                  <c:v>1492</c:v>
                </c:pt>
                <c:pt idx="25">
                  <c:v>1580</c:v>
                </c:pt>
                <c:pt idx="26">
                  <c:v>1519</c:v>
                </c:pt>
                <c:pt idx="27">
                  <c:v>-44539</c:v>
                </c:pt>
                <c:pt idx="28">
                  <c:v>1192</c:v>
                </c:pt>
                <c:pt idx="29">
                  <c:v>1206</c:v>
                </c:pt>
                <c:pt idx="30">
                  <c:v>1252.9799999999996</c:v>
                </c:pt>
                <c:pt idx="31">
                  <c:v>3.637978807091713E-12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04384"/>
        <c:axId val="191910272"/>
      </c:lineChart>
      <c:catAx>
        <c:axId val="1919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10272"/>
        <c:crosses val="autoZero"/>
        <c:auto val="1"/>
        <c:lblAlgn val="ctr"/>
        <c:lblOffset val="100"/>
        <c:noMultiLvlLbl val="0"/>
      </c:catAx>
      <c:valAx>
        <c:axId val="191910272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043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0.40589999999999998</c:v>
                </c:pt>
                <c:pt idx="1">
                  <c:v>0.52</c:v>
                </c:pt>
                <c:pt idx="2">
                  <c:v>0.51</c:v>
                </c:pt>
                <c:pt idx="3">
                  <c:v>0.89610000000000001</c:v>
                </c:pt>
                <c:pt idx="4">
                  <c:v>1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0.71</c:v>
                </c:pt>
                <c:pt idx="8">
                  <c:v>0.45</c:v>
                </c:pt>
                <c:pt idx="9">
                  <c:v>0.91</c:v>
                </c:pt>
                <c:pt idx="10">
                  <c:v>0.54</c:v>
                </c:pt>
                <c:pt idx="11">
                  <c:v>0.73</c:v>
                </c:pt>
                <c:pt idx="12">
                  <c:v>0.67</c:v>
                </c:pt>
                <c:pt idx="13">
                  <c:v>0.45</c:v>
                </c:pt>
                <c:pt idx="14">
                  <c:v>0.5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0.68310000000000004</c:v>
                </c:pt>
                <c:pt idx="20">
                  <c:v>0.71</c:v>
                </c:pt>
                <c:pt idx="21">
                  <c:v>0.55000000000000004</c:v>
                </c:pt>
                <c:pt idx="22">
                  <c:v>0.85</c:v>
                </c:pt>
                <c:pt idx="23">
                  <c:v>0.94</c:v>
                </c:pt>
                <c:pt idx="24">
                  <c:v>0.95</c:v>
                </c:pt>
                <c:pt idx="25">
                  <c:v>0.81</c:v>
                </c:pt>
                <c:pt idx="26">
                  <c:v>0.6</c:v>
                </c:pt>
                <c:pt idx="27">
                  <c:v>0.63</c:v>
                </c:pt>
                <c:pt idx="28">
                  <c:v>0.76</c:v>
                </c:pt>
                <c:pt idx="29">
                  <c:v>0.46</c:v>
                </c:pt>
                <c:pt idx="30">
                  <c:v>23</c:v>
                </c:pt>
                <c:pt idx="31">
                  <c:v>1.3795129032258064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43040"/>
        <c:axId val="191944576"/>
      </c:lineChart>
      <c:catAx>
        <c:axId val="191943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44576"/>
        <c:crosses val="autoZero"/>
        <c:auto val="1"/>
        <c:lblAlgn val="ctr"/>
        <c:lblOffset val="100"/>
        <c:noMultiLvlLbl val="0"/>
      </c:catAx>
      <c:valAx>
        <c:axId val="1919445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919430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17458.849999999977</c:v>
                </c:pt>
                <c:pt idx="1">
                  <c:v>18338</c:v>
                </c:pt>
                <c:pt idx="2">
                  <c:v>19219</c:v>
                </c:pt>
                <c:pt idx="3">
                  <c:v>18612.709999999963</c:v>
                </c:pt>
                <c:pt idx="4">
                  <c:v>20830.960000000079</c:v>
                </c:pt>
                <c:pt idx="5">
                  <c:v>20612</c:v>
                </c:pt>
                <c:pt idx="6">
                  <c:v>21704.239999999991</c:v>
                </c:pt>
                <c:pt idx="7">
                  <c:v>19730.089999999967</c:v>
                </c:pt>
                <c:pt idx="8">
                  <c:v>19467</c:v>
                </c:pt>
                <c:pt idx="9">
                  <c:v>20373</c:v>
                </c:pt>
                <c:pt idx="10">
                  <c:v>21020</c:v>
                </c:pt>
                <c:pt idx="11">
                  <c:v>22339</c:v>
                </c:pt>
                <c:pt idx="12">
                  <c:v>22200</c:v>
                </c:pt>
                <c:pt idx="13">
                  <c:v>21261</c:v>
                </c:pt>
                <c:pt idx="14">
                  <c:v>21100</c:v>
                </c:pt>
                <c:pt idx="15">
                  <c:v>20625.099999999999</c:v>
                </c:pt>
                <c:pt idx="16">
                  <c:v>20039.870000000003</c:v>
                </c:pt>
                <c:pt idx="17">
                  <c:v>20626.43</c:v>
                </c:pt>
                <c:pt idx="18">
                  <c:v>21297.179999999993</c:v>
                </c:pt>
                <c:pt idx="19">
                  <c:v>20695.800000000003</c:v>
                </c:pt>
                <c:pt idx="20">
                  <c:v>20905.690000000002</c:v>
                </c:pt>
                <c:pt idx="21">
                  <c:v>20737.679999999993</c:v>
                </c:pt>
                <c:pt idx="22">
                  <c:v>20890.850000000006</c:v>
                </c:pt>
                <c:pt idx="23">
                  <c:v>21762</c:v>
                </c:pt>
                <c:pt idx="24">
                  <c:v>21934</c:v>
                </c:pt>
                <c:pt idx="25">
                  <c:v>20998</c:v>
                </c:pt>
                <c:pt idx="26">
                  <c:v>19054</c:v>
                </c:pt>
                <c:pt idx="27">
                  <c:v>20000</c:v>
                </c:pt>
                <c:pt idx="28">
                  <c:v>20000</c:v>
                </c:pt>
                <c:pt idx="29">
                  <c:v>20000</c:v>
                </c:pt>
                <c:pt idx="30">
                  <c:v>20000</c:v>
                </c:pt>
                <c:pt idx="31">
                  <c:v>633832.44999999995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91871232"/>
        <c:axId val="191877120"/>
      </c:lineChart>
      <c:catAx>
        <c:axId val="19187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77120"/>
        <c:crosses val="autoZero"/>
        <c:auto val="1"/>
        <c:lblAlgn val="ctr"/>
        <c:lblOffset val="100"/>
        <c:noMultiLvlLbl val="0"/>
      </c:catAx>
      <c:valAx>
        <c:axId val="191877120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7123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11.769999999999982</c:v>
                </c:pt>
                <c:pt idx="1">
                  <c:v>11.460000000000036</c:v>
                </c:pt>
                <c:pt idx="2">
                  <c:v>11</c:v>
                </c:pt>
                <c:pt idx="3">
                  <c:v>11.4699999999998</c:v>
                </c:pt>
                <c:pt idx="4">
                  <c:v>10.619999999999891</c:v>
                </c:pt>
                <c:pt idx="5">
                  <c:v>11.170000000000073</c:v>
                </c:pt>
                <c:pt idx="6">
                  <c:v>11.099999999999909</c:v>
                </c:pt>
                <c:pt idx="7">
                  <c:v>11.100000000000364</c:v>
                </c:pt>
                <c:pt idx="8">
                  <c:v>11.150000000000091</c:v>
                </c:pt>
                <c:pt idx="9">
                  <c:v>12</c:v>
                </c:pt>
                <c:pt idx="10">
                  <c:v>12</c:v>
                </c:pt>
                <c:pt idx="11">
                  <c:v>11.860000000000127</c:v>
                </c:pt>
                <c:pt idx="12">
                  <c:v>10.599999999999909</c:v>
                </c:pt>
                <c:pt idx="13">
                  <c:v>11.170000000000073</c:v>
                </c:pt>
                <c:pt idx="14">
                  <c:v>10.589999999999691</c:v>
                </c:pt>
                <c:pt idx="15">
                  <c:v>11.200000000000273</c:v>
                </c:pt>
                <c:pt idx="16">
                  <c:v>11.329999999999927</c:v>
                </c:pt>
                <c:pt idx="17">
                  <c:v>11.320000000000164</c:v>
                </c:pt>
                <c:pt idx="18">
                  <c:v>11.339999999999691</c:v>
                </c:pt>
                <c:pt idx="19">
                  <c:v>11.0300000000002</c:v>
                </c:pt>
                <c:pt idx="20">
                  <c:v>10.039999999999964</c:v>
                </c:pt>
                <c:pt idx="21">
                  <c:v>11</c:v>
                </c:pt>
                <c:pt idx="22">
                  <c:v>10.289999999999964</c:v>
                </c:pt>
                <c:pt idx="23">
                  <c:v>10.230000000000018</c:v>
                </c:pt>
                <c:pt idx="24">
                  <c:v>12.75</c:v>
                </c:pt>
                <c:pt idx="25">
                  <c:v>12.050000000000182</c:v>
                </c:pt>
                <c:pt idx="26">
                  <c:v>12.269999999999982</c:v>
                </c:pt>
                <c:pt idx="27">
                  <c:v>-8.9200000000000728</c:v>
                </c:pt>
                <c:pt idx="28">
                  <c:v>11</c:v>
                </c:pt>
                <c:pt idx="29">
                  <c:v>11.609999999999673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82976"/>
        <c:axId val="191992960"/>
      </c:lineChart>
      <c:catAx>
        <c:axId val="19198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92960"/>
        <c:crosses val="autoZero"/>
        <c:auto val="1"/>
        <c:lblAlgn val="ctr"/>
        <c:lblOffset val="100"/>
        <c:noMultiLvlLbl val="0"/>
      </c:catAx>
      <c:valAx>
        <c:axId val="191992960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829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403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297.04000000003725</c:v>
                </c:pt>
                <c:pt idx="1">
                  <c:v>284.73999999999069</c:v>
                </c:pt>
                <c:pt idx="2">
                  <c:v>303.77999999991152</c:v>
                </c:pt>
                <c:pt idx="3">
                  <c:v>301.6600000000326</c:v>
                </c:pt>
                <c:pt idx="4">
                  <c:v>302.52000000001863</c:v>
                </c:pt>
                <c:pt idx="5">
                  <c:v>301</c:v>
                </c:pt>
                <c:pt idx="6">
                  <c:v>341</c:v>
                </c:pt>
                <c:pt idx="7">
                  <c:v>316</c:v>
                </c:pt>
                <c:pt idx="8">
                  <c:v>324</c:v>
                </c:pt>
                <c:pt idx="9">
                  <c:v>287</c:v>
                </c:pt>
                <c:pt idx="10">
                  <c:v>294</c:v>
                </c:pt>
                <c:pt idx="11">
                  <c:v>280.39099999994505</c:v>
                </c:pt>
                <c:pt idx="12">
                  <c:v>295.77900000009686</c:v>
                </c:pt>
                <c:pt idx="13">
                  <c:v>298.61999999999534</c:v>
                </c:pt>
                <c:pt idx="14">
                  <c:v>298.39000000001397</c:v>
                </c:pt>
                <c:pt idx="15">
                  <c:v>298.97999999998137</c:v>
                </c:pt>
                <c:pt idx="16">
                  <c:v>290.11999999999534</c:v>
                </c:pt>
                <c:pt idx="17">
                  <c:v>272.14000000001397</c:v>
                </c:pt>
                <c:pt idx="18">
                  <c:v>298.35999999998603</c:v>
                </c:pt>
                <c:pt idx="19">
                  <c:v>277.21999999997206</c:v>
                </c:pt>
                <c:pt idx="20">
                  <c:v>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500.70199999999932</c:v>
                </c:pt>
                <c:pt idx="1">
                  <c:v>567.1299999998937</c:v>
                </c:pt>
                <c:pt idx="2">
                  <c:v>589.11000000008971</c:v>
                </c:pt>
                <c:pt idx="3">
                  <c:v>573.73000000014326</c:v>
                </c:pt>
                <c:pt idx="4">
                  <c:v>587.65999999990891</c:v>
                </c:pt>
                <c:pt idx="5">
                  <c:v>617.80000000000291</c:v>
                </c:pt>
                <c:pt idx="6">
                  <c:v>651</c:v>
                </c:pt>
                <c:pt idx="7">
                  <c:v>622</c:v>
                </c:pt>
                <c:pt idx="8">
                  <c:v>755</c:v>
                </c:pt>
                <c:pt idx="9">
                  <c:v>647</c:v>
                </c:pt>
                <c:pt idx="10">
                  <c:v>669</c:v>
                </c:pt>
                <c:pt idx="11">
                  <c:v>715.02900000008231</c:v>
                </c:pt>
                <c:pt idx="12">
                  <c:v>659.76599999995233</c:v>
                </c:pt>
                <c:pt idx="13">
                  <c:v>590.65999999986707</c:v>
                </c:pt>
                <c:pt idx="14">
                  <c:v>593.96499999992739</c:v>
                </c:pt>
                <c:pt idx="15">
                  <c:v>592.17000000004555</c:v>
                </c:pt>
                <c:pt idx="16">
                  <c:v>607.13000000011198</c:v>
                </c:pt>
                <c:pt idx="17">
                  <c:v>774.0299999998897</c:v>
                </c:pt>
                <c:pt idx="18">
                  <c:v>670.97000000014305</c:v>
                </c:pt>
                <c:pt idx="19">
                  <c:v>636.47999999997774</c:v>
                </c:pt>
                <c:pt idx="20">
                  <c:v>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150.01000000000931</c:v>
                </c:pt>
                <c:pt idx="1">
                  <c:v>134</c:v>
                </c:pt>
                <c:pt idx="2">
                  <c:v>109.80999999999767</c:v>
                </c:pt>
                <c:pt idx="3">
                  <c:v>98.489999999990687</c:v>
                </c:pt>
                <c:pt idx="4">
                  <c:v>110.60000000000582</c:v>
                </c:pt>
                <c:pt idx="5">
                  <c:v>107</c:v>
                </c:pt>
                <c:pt idx="6">
                  <c:v>114</c:v>
                </c:pt>
                <c:pt idx="7">
                  <c:v>124</c:v>
                </c:pt>
                <c:pt idx="8">
                  <c:v>152</c:v>
                </c:pt>
                <c:pt idx="9">
                  <c:v>119</c:v>
                </c:pt>
                <c:pt idx="10">
                  <c:v>93</c:v>
                </c:pt>
                <c:pt idx="11">
                  <c:v>88.660000000003492</c:v>
                </c:pt>
                <c:pt idx="12">
                  <c:v>94.169999999983702</c:v>
                </c:pt>
                <c:pt idx="13">
                  <c:v>95.400000000023283</c:v>
                </c:pt>
                <c:pt idx="14">
                  <c:v>112.64999999999418</c:v>
                </c:pt>
                <c:pt idx="15">
                  <c:v>92.040000000008149</c:v>
                </c:pt>
                <c:pt idx="16">
                  <c:v>102.04999999998836</c:v>
                </c:pt>
                <c:pt idx="17">
                  <c:v>94.869999999995343</c:v>
                </c:pt>
                <c:pt idx="18">
                  <c:v>100.16000000000349</c:v>
                </c:pt>
                <c:pt idx="19">
                  <c:v>109</c:v>
                </c:pt>
                <c:pt idx="20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36864"/>
        <c:axId val="192442752"/>
      </c:lineChart>
      <c:catAx>
        <c:axId val="19243686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92442752"/>
        <c:crosses val="autoZero"/>
        <c:auto val="1"/>
        <c:lblAlgn val="ctr"/>
        <c:lblOffset val="100"/>
        <c:noMultiLvlLbl val="0"/>
      </c:catAx>
      <c:valAx>
        <c:axId val="1924427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924368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466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0.23097846076142278</c:v>
                </c:pt>
                <c:pt idx="1">
                  <c:v>3469.6100000000006</c:v>
                </c:pt>
                <c:pt idx="2">
                  <c:v>3484.5699999999943</c:v>
                </c:pt>
                <c:pt idx="3">
                  <c:v>2816.8300000000017</c:v>
                </c:pt>
                <c:pt idx="4">
                  <c:v>0</c:v>
                </c:pt>
                <c:pt idx="5">
                  <c:v>3426.9199999999983</c:v>
                </c:pt>
                <c:pt idx="6">
                  <c:v>4458.75</c:v>
                </c:pt>
                <c:pt idx="7">
                  <c:v>4082.4900000000066</c:v>
                </c:pt>
                <c:pt idx="8">
                  <c:v>3894.5299999999988</c:v>
                </c:pt>
                <c:pt idx="9">
                  <c:v>4557</c:v>
                </c:pt>
                <c:pt idx="10">
                  <c:v>4736</c:v>
                </c:pt>
                <c:pt idx="11">
                  <c:v>4928</c:v>
                </c:pt>
                <c:pt idx="12">
                  <c:v>5019</c:v>
                </c:pt>
                <c:pt idx="13">
                  <c:v>4624</c:v>
                </c:pt>
                <c:pt idx="14">
                  <c:v>4586.5399999999881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96741376"/>
        <c:axId val="196751360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991714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752896"/>
        <c:axId val="196754432"/>
      </c:lineChart>
      <c:catAx>
        <c:axId val="19674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751360"/>
        <c:crosses val="autoZero"/>
        <c:auto val="1"/>
        <c:lblAlgn val="ctr"/>
        <c:lblOffset val="100"/>
        <c:noMultiLvlLbl val="0"/>
      </c:catAx>
      <c:valAx>
        <c:axId val="19675136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741376"/>
        <c:crosses val="autoZero"/>
        <c:crossBetween val="between"/>
        <c:minorUnit val="50"/>
      </c:valAx>
      <c:catAx>
        <c:axId val="196752896"/>
        <c:scaling>
          <c:orientation val="minMax"/>
        </c:scaling>
        <c:delete val="1"/>
        <c:axPos val="b"/>
        <c:majorTickMark val="out"/>
        <c:minorTickMark val="none"/>
        <c:tickLblPos val="none"/>
        <c:crossAx val="196754432"/>
        <c:crosses val="autoZero"/>
        <c:auto val="1"/>
        <c:lblAlgn val="ctr"/>
        <c:lblOffset val="100"/>
        <c:noMultiLvlLbl val="0"/>
      </c:catAx>
      <c:valAx>
        <c:axId val="19675443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75289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24640"/>
        <c:axId val="195834624"/>
      </c:lineChart>
      <c:catAx>
        <c:axId val="19582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834624"/>
        <c:crosses val="autoZero"/>
        <c:auto val="1"/>
        <c:lblAlgn val="ctr"/>
        <c:lblOffset val="100"/>
        <c:noMultiLvlLbl val="0"/>
      </c:catAx>
      <c:valAx>
        <c:axId val="195834624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8246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991714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95871872"/>
        <c:axId val="195873408"/>
      </c:lineChart>
      <c:catAx>
        <c:axId val="19587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873408"/>
        <c:crosses val="autoZero"/>
        <c:auto val="1"/>
        <c:lblAlgn val="ctr"/>
        <c:lblOffset val="100"/>
        <c:noMultiLvlLbl val="0"/>
      </c:catAx>
      <c:valAx>
        <c:axId val="195873408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8718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1682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158</c:v>
                </c:pt>
                <c:pt idx="1">
                  <c:v>170</c:v>
                </c:pt>
                <c:pt idx="2">
                  <c:v>186</c:v>
                </c:pt>
                <c:pt idx="3">
                  <c:v>182</c:v>
                </c:pt>
                <c:pt idx="4">
                  <c:v>0</c:v>
                </c:pt>
                <c:pt idx="5">
                  <c:v>243</c:v>
                </c:pt>
                <c:pt idx="6">
                  <c:v>228</c:v>
                </c:pt>
                <c:pt idx="7">
                  <c:v>214</c:v>
                </c:pt>
                <c:pt idx="8">
                  <c:v>238</c:v>
                </c:pt>
                <c:pt idx="9">
                  <c:v>256</c:v>
                </c:pt>
                <c:pt idx="10">
                  <c:v>297</c:v>
                </c:pt>
                <c:pt idx="11">
                  <c:v>291</c:v>
                </c:pt>
                <c:pt idx="12">
                  <c:v>261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079424"/>
        <c:axId val="19708096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991714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082496"/>
        <c:axId val="197088384"/>
      </c:lineChart>
      <c:catAx>
        <c:axId val="19707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080960"/>
        <c:crosses val="autoZero"/>
        <c:auto val="1"/>
        <c:lblAlgn val="ctr"/>
        <c:lblOffset val="100"/>
        <c:noMultiLvlLbl val="0"/>
      </c:catAx>
      <c:valAx>
        <c:axId val="19708096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079424"/>
        <c:crosses val="autoZero"/>
        <c:crossBetween val="between"/>
      </c:valAx>
      <c:catAx>
        <c:axId val="197082496"/>
        <c:scaling>
          <c:orientation val="minMax"/>
        </c:scaling>
        <c:delete val="1"/>
        <c:axPos val="b"/>
        <c:majorTickMark val="out"/>
        <c:minorTickMark val="none"/>
        <c:tickLblPos val="none"/>
        <c:crossAx val="197088384"/>
        <c:crosses val="autoZero"/>
        <c:auto val="1"/>
        <c:lblAlgn val="ctr"/>
        <c:lblOffset val="100"/>
        <c:noMultiLvlLbl val="0"/>
      </c:catAx>
      <c:valAx>
        <c:axId val="19708838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0824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48</c:v>
                </c:pt>
                <c:pt idx="1">
                  <c:v>49</c:v>
                </c:pt>
                <c:pt idx="2">
                  <c:v>35</c:v>
                </c:pt>
                <c:pt idx="3">
                  <c:v>37</c:v>
                </c:pt>
                <c:pt idx="4">
                  <c:v>0</c:v>
                </c:pt>
                <c:pt idx="5">
                  <c:v>67</c:v>
                </c:pt>
                <c:pt idx="6">
                  <c:v>58</c:v>
                </c:pt>
                <c:pt idx="7">
                  <c:v>40</c:v>
                </c:pt>
                <c:pt idx="8">
                  <c:v>46</c:v>
                </c:pt>
                <c:pt idx="9">
                  <c:v>58</c:v>
                </c:pt>
                <c:pt idx="10">
                  <c:v>85</c:v>
                </c:pt>
                <c:pt idx="11">
                  <c:v>66</c:v>
                </c:pt>
                <c:pt idx="12">
                  <c:v>43</c:v>
                </c:pt>
                <c:pt idx="13">
                  <c:v>45</c:v>
                </c:pt>
                <c:pt idx="1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8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0</c:v>
                </c:pt>
                <c:pt idx="5">
                  <c:v>9</c:v>
                </c:pt>
                <c:pt idx="6">
                  <c:v>23</c:v>
                </c:pt>
                <c:pt idx="7">
                  <c:v>33</c:v>
                </c:pt>
                <c:pt idx="8">
                  <c:v>14</c:v>
                </c:pt>
                <c:pt idx="9">
                  <c:v>8</c:v>
                </c:pt>
                <c:pt idx="10">
                  <c:v>12</c:v>
                </c:pt>
                <c:pt idx="11">
                  <c:v>5</c:v>
                </c:pt>
                <c:pt idx="12">
                  <c:v>8</c:v>
                </c:pt>
                <c:pt idx="13">
                  <c:v>287</c:v>
                </c:pt>
                <c:pt idx="14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31648"/>
        <c:axId val="196543616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991714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45152"/>
        <c:axId val="196559232"/>
      </c:lineChart>
      <c:catAx>
        <c:axId val="197131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543616"/>
        <c:crosses val="autoZero"/>
        <c:auto val="1"/>
        <c:lblAlgn val="ctr"/>
        <c:lblOffset val="100"/>
        <c:noMultiLvlLbl val="0"/>
      </c:catAx>
      <c:valAx>
        <c:axId val="196543616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31648"/>
        <c:crosses val="autoZero"/>
        <c:crossBetween val="between"/>
        <c:majorUnit val="2"/>
      </c:valAx>
      <c:catAx>
        <c:axId val="196545152"/>
        <c:scaling>
          <c:orientation val="minMax"/>
        </c:scaling>
        <c:delete val="1"/>
        <c:axPos val="b"/>
        <c:majorTickMark val="out"/>
        <c:minorTickMark val="none"/>
        <c:tickLblPos val="none"/>
        <c:crossAx val="196559232"/>
        <c:crosses val="autoZero"/>
        <c:auto val="1"/>
        <c:lblAlgn val="ctr"/>
        <c:lblOffset val="100"/>
        <c:noMultiLvlLbl val="0"/>
      </c:catAx>
      <c:valAx>
        <c:axId val="19655923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54515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7" workbookViewId="0">
      <selection activeCell="C2" sqref="C2:C32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2</v>
      </c>
      <c r="D2" s="274">
        <v>2022</v>
      </c>
      <c r="E2" s="275">
        <f>(IF('Daily HLP'!H4&gt;0,'Daily HLP'!H4,0))</f>
        <v>17458.849999999977</v>
      </c>
      <c r="F2" s="276">
        <v>9</v>
      </c>
      <c r="G2" s="276">
        <f>(IF('Daily HLP'!L4&gt;0,'Daily HLP'!L4,0))</f>
        <v>918.55799999996088</v>
      </c>
      <c r="H2" s="276">
        <v>75</v>
      </c>
      <c r="I2" s="276">
        <f>(IF('Daily HLP'!O4&gt;0,'Daily HLP'!O4,0))</f>
        <v>235</v>
      </c>
      <c r="J2" s="276">
        <v>99</v>
      </c>
      <c r="K2" s="281">
        <f>Occupancy!G2</f>
        <v>126</v>
      </c>
      <c r="L2" s="275">
        <f>Occupancy!F2</f>
        <v>290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2</v>
      </c>
      <c r="D3" s="274">
        <v>2022</v>
      </c>
      <c r="E3" s="275">
        <f>(IF('Daily HLP'!H5&gt;0,'Daily HLP'!H5,0))</f>
        <v>18338</v>
      </c>
      <c r="F3" s="276">
        <v>9</v>
      </c>
      <c r="G3" s="276">
        <f>(IF('Daily HLP'!L5&gt;0,'Daily HLP'!L5,0))</f>
        <v>983.14500000001863</v>
      </c>
      <c r="H3" s="276">
        <v>75</v>
      </c>
      <c r="I3" s="276">
        <f>(IF('Daily HLP'!O5&gt;0,'Daily HLP'!O5,0))</f>
        <v>183</v>
      </c>
      <c r="J3" s="276">
        <v>99</v>
      </c>
      <c r="K3" s="281">
        <f>Occupancy!G3</f>
        <v>142</v>
      </c>
      <c r="L3" s="275">
        <f>Occupancy!F3</f>
        <v>352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2</v>
      </c>
      <c r="D4" s="274">
        <v>2022</v>
      </c>
      <c r="E4" s="275">
        <f>(IF('Daily HLP'!H6&gt;0,'Daily HLP'!H6,0))</f>
        <v>19219</v>
      </c>
      <c r="F4" s="276">
        <v>9</v>
      </c>
      <c r="G4" s="276">
        <f>(IF('Daily HLP'!L6&gt;0,'Daily HLP'!L6,0))</f>
        <v>1012.3479999999981</v>
      </c>
      <c r="H4" s="276">
        <v>75</v>
      </c>
      <c r="I4" s="276">
        <f>(IF('Daily HLP'!O6&gt;0,'Daily HLP'!O6,0))</f>
        <v>233</v>
      </c>
      <c r="J4" s="276">
        <v>99</v>
      </c>
      <c r="K4" s="281">
        <f>Occupancy!G4</f>
        <v>145</v>
      </c>
      <c r="L4" s="275">
        <f>Occupancy!F4</f>
        <v>406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2</v>
      </c>
      <c r="D5" s="274">
        <v>2022</v>
      </c>
      <c r="E5" s="275">
        <f>(IF('Daily HLP'!H7&gt;0,'Daily HLP'!H7,0))</f>
        <v>18612.709999999963</v>
      </c>
      <c r="F5" s="276">
        <v>9</v>
      </c>
      <c r="G5" s="276">
        <f>(IF('Daily HLP'!L7&gt;0,'Daily HLP'!L7,0))</f>
        <v>997.95200000004843</v>
      </c>
      <c r="H5" s="276">
        <v>75</v>
      </c>
      <c r="I5" s="276">
        <f>(IF('Daily HLP'!O7&gt;0,'Daily HLP'!O7,0))</f>
        <v>261</v>
      </c>
      <c r="J5" s="276">
        <v>99</v>
      </c>
      <c r="K5" s="281">
        <f>Occupancy!G5</f>
        <v>166</v>
      </c>
      <c r="L5" s="275">
        <f>Occupancy!F5</f>
        <v>461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2</v>
      </c>
      <c r="D6" s="274">
        <v>2022</v>
      </c>
      <c r="E6" s="275">
        <f>(IF('Daily HLP'!H8&gt;0,'Daily HLP'!H8,0))</f>
        <v>20830.960000000079</v>
      </c>
      <c r="F6" s="276">
        <v>9</v>
      </c>
      <c r="G6" s="276">
        <f>(IF('Daily HLP'!L8&gt;0,'Daily HLP'!L8,0))</f>
        <v>1047.8699999998789</v>
      </c>
      <c r="H6" s="276">
        <v>75</v>
      </c>
      <c r="I6" s="276">
        <f>(IF('Daily HLP'!O8&gt;0,'Daily HLP'!O8,0))</f>
        <v>294</v>
      </c>
      <c r="J6" s="276">
        <v>99</v>
      </c>
      <c r="K6" s="281">
        <f>Occupancy!G6</f>
        <v>171</v>
      </c>
      <c r="L6" s="275">
        <f>Occupancy!F6</f>
        <v>1487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2</v>
      </c>
      <c r="D7" s="274">
        <v>2022</v>
      </c>
      <c r="E7" s="275">
        <f>(IF('Daily HLP'!H9&gt;0,'Daily HLP'!H9,0))</f>
        <v>20612</v>
      </c>
      <c r="F7" s="276">
        <v>9</v>
      </c>
      <c r="G7" s="276">
        <f>(IF('Daily HLP'!L9&gt;0,'Daily HLP'!L9,0))</f>
        <v>1049.5</v>
      </c>
      <c r="H7" s="276">
        <v>75</v>
      </c>
      <c r="I7" s="276">
        <f>(IF('Daily HLP'!O9&gt;0,'Daily HLP'!O9,0))</f>
        <v>275</v>
      </c>
      <c r="J7" s="276">
        <v>99</v>
      </c>
      <c r="K7" s="281">
        <f>Occupancy!G7</f>
        <v>150</v>
      </c>
      <c r="L7" s="275">
        <f>Occupancy!F7</f>
        <v>494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2</v>
      </c>
      <c r="D8" s="274">
        <v>2022</v>
      </c>
      <c r="E8" s="275">
        <f>(IF('Daily HLP'!H10&gt;0,'Daily HLP'!H10,0))</f>
        <v>21704.239999999991</v>
      </c>
      <c r="F8" s="276">
        <v>9</v>
      </c>
      <c r="G8" s="276">
        <f>(IF('Daily HLP'!L10&gt;0,'Daily HLP'!L10,0))</f>
        <v>1030.6800000001676</v>
      </c>
      <c r="H8" s="276">
        <v>75</v>
      </c>
      <c r="I8" s="276">
        <f>(IF('Daily HLP'!O10&gt;0,'Daily HLP'!O10,0))</f>
        <v>242</v>
      </c>
      <c r="J8" s="276">
        <v>99</v>
      </c>
      <c r="K8" s="281">
        <f>Occupancy!G8</f>
        <v>159</v>
      </c>
      <c r="L8" s="275">
        <f>Occupancy!F8</f>
        <v>704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2</v>
      </c>
      <c r="D9" s="274">
        <v>2022</v>
      </c>
      <c r="E9" s="275">
        <f>(IF('Daily HLP'!H11&gt;0,'Daily HLP'!H11,0))</f>
        <v>19730.089999999967</v>
      </c>
      <c r="F9" s="276">
        <v>9</v>
      </c>
      <c r="G9" s="276">
        <f>(IF('Daily HLP'!L11&gt;0,'Daily HLP'!L11,0))</f>
        <v>1052.1799999999348</v>
      </c>
      <c r="H9" s="276">
        <v>75</v>
      </c>
      <c r="I9" s="276">
        <f>(IF('Daily HLP'!O11&gt;0,'Daily HLP'!O11,0))</f>
        <v>232</v>
      </c>
      <c r="J9" s="276">
        <v>99</v>
      </c>
      <c r="K9" s="281">
        <f>Occupancy!G9</f>
        <v>129</v>
      </c>
      <c r="L9" s="275">
        <f>Occupancy!F9</f>
        <v>418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2</v>
      </c>
      <c r="D10" s="274">
        <v>2022</v>
      </c>
      <c r="E10" s="275">
        <f>(IF('Daily HLP'!H12&gt;0,'Daily HLP'!H12,0))</f>
        <v>19467</v>
      </c>
      <c r="F10" s="276">
        <v>9</v>
      </c>
      <c r="G10" s="276">
        <f>(IF('Daily HLP'!L12&gt;0,'Daily HLP'!L12,0))</f>
        <v>1070</v>
      </c>
      <c r="H10" s="276">
        <v>75</v>
      </c>
      <c r="I10" s="276">
        <f>(IF('Daily HLP'!O12&gt;0,'Daily HLP'!O12,0))</f>
        <v>256</v>
      </c>
      <c r="J10" s="276">
        <v>99</v>
      </c>
      <c r="K10" s="281">
        <f>Occupancy!G10</f>
        <v>144</v>
      </c>
      <c r="L10" s="275">
        <f>Occupancy!F10</f>
        <v>483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2</v>
      </c>
      <c r="D11" s="274">
        <v>2022</v>
      </c>
      <c r="E11" s="275">
        <f>(IF('Daily HLP'!H13&gt;0,'Daily HLP'!H13,0))</f>
        <v>20373</v>
      </c>
      <c r="F11" s="276">
        <v>9</v>
      </c>
      <c r="G11" s="276">
        <f>(IF('Daily HLP'!L13&gt;0,'Daily HLP'!L13,0))</f>
        <v>1152</v>
      </c>
      <c r="H11" s="276">
        <v>75</v>
      </c>
      <c r="I11" s="276">
        <f>(IF('Daily HLP'!O13&gt;0,'Daily HLP'!O13,0))</f>
        <v>317</v>
      </c>
      <c r="J11" s="276">
        <v>99</v>
      </c>
      <c r="K11" s="281">
        <f>Occupancy!G11</f>
        <v>149</v>
      </c>
      <c r="L11" s="275">
        <f>Occupancy!F11</f>
        <v>723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2</v>
      </c>
      <c r="D12" s="274">
        <v>2022</v>
      </c>
      <c r="E12" s="275">
        <f>(IF('Daily HLP'!H14&gt;0,'Daily HLP'!H14,0))</f>
        <v>21020</v>
      </c>
      <c r="F12" s="276">
        <v>9</v>
      </c>
      <c r="G12" s="276">
        <f>(IF('Daily HLP'!L14&gt;0,'Daily HLP'!L14,0))</f>
        <v>1118</v>
      </c>
      <c r="H12" s="276">
        <v>75</v>
      </c>
      <c r="I12" s="276">
        <f>(IF('Daily HLP'!O14&gt;0,'Daily HLP'!O14,0))</f>
        <v>316</v>
      </c>
      <c r="J12" s="276">
        <v>99</v>
      </c>
      <c r="K12" s="281">
        <f>Occupancy!G12</f>
        <v>148</v>
      </c>
      <c r="L12" s="275">
        <f>Occupancy!F12</f>
        <v>899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2</v>
      </c>
      <c r="D13" s="274">
        <v>2022</v>
      </c>
      <c r="E13" s="275">
        <f>(IF('Daily HLP'!H15&gt;0,'Daily HLP'!H15,0))</f>
        <v>22339</v>
      </c>
      <c r="F13" s="276">
        <v>9</v>
      </c>
      <c r="G13" s="276">
        <f>(IF('Daily HLP'!L15&gt;0,'Daily HLP'!L15,0))</f>
        <v>1293</v>
      </c>
      <c r="H13" s="276">
        <v>75</v>
      </c>
      <c r="I13" s="276">
        <f>(IF('Daily HLP'!O15&gt;0,'Daily HLP'!O15,0))</f>
        <v>339</v>
      </c>
      <c r="J13" s="276">
        <v>99</v>
      </c>
      <c r="K13" s="281">
        <f>Occupancy!G13</f>
        <v>154</v>
      </c>
      <c r="L13" s="275">
        <f>Occupancy!F13</f>
        <v>683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2</v>
      </c>
      <c r="D14" s="274">
        <v>2022</v>
      </c>
      <c r="E14" s="275">
        <f>(IF('Daily HLP'!H16&gt;0,'Daily HLP'!H16,0))</f>
        <v>22200</v>
      </c>
      <c r="F14" s="276">
        <v>9</v>
      </c>
      <c r="G14" s="276">
        <f>(IF('Daily HLP'!L16&gt;0,'Daily HLP'!L16,0))</f>
        <v>1108</v>
      </c>
      <c r="H14" s="276">
        <v>75</v>
      </c>
      <c r="I14" s="276">
        <f>(IF('Daily HLP'!O16&gt;0,'Daily HLP'!O16,0))</f>
        <v>296</v>
      </c>
      <c r="J14" s="276">
        <v>99</v>
      </c>
      <c r="K14" s="281">
        <f>Occupancy!G14</f>
        <v>142</v>
      </c>
      <c r="L14" s="275">
        <f>Occupancy!F14</f>
        <v>1001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2</v>
      </c>
      <c r="D15" s="274">
        <v>2022</v>
      </c>
      <c r="E15" s="275">
        <f>(IF('Daily HLP'!H17&gt;0,'Daily HLP'!H17,0))</f>
        <v>21261</v>
      </c>
      <c r="F15" s="276">
        <v>9</v>
      </c>
      <c r="G15" s="276">
        <f>(IF('Daily HLP'!L17&gt;0,'Daily HLP'!L17,0))</f>
        <v>1095</v>
      </c>
      <c r="H15" s="276">
        <v>75</v>
      </c>
      <c r="I15" s="276">
        <f>(IF('Daily HLP'!O17&gt;0,'Daily HLP'!O17,0))</f>
        <v>296</v>
      </c>
      <c r="J15" s="276">
        <v>99</v>
      </c>
      <c r="K15" s="281">
        <f>Occupancy!G15</f>
        <v>155</v>
      </c>
      <c r="L15" s="275">
        <f>Occupancy!F15</f>
        <v>612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2</v>
      </c>
      <c r="D16" s="274">
        <v>2022</v>
      </c>
      <c r="E16" s="275">
        <f>(IF('Daily HLP'!H18&gt;0,'Daily HLP'!H18,0))</f>
        <v>21100</v>
      </c>
      <c r="F16" s="276">
        <v>9</v>
      </c>
      <c r="G16" s="276">
        <f>(IF('Daily HLP'!L18&gt;0,'Daily HLP'!L18,0))</f>
        <v>1135.2800000000279</v>
      </c>
      <c r="H16" s="276">
        <v>75</v>
      </c>
      <c r="I16" s="276">
        <f>(IF('Daily HLP'!O18&gt;0,'Daily HLP'!O18,0))</f>
        <v>316</v>
      </c>
      <c r="J16" s="276">
        <v>99</v>
      </c>
      <c r="K16" s="281">
        <f>Occupancy!G16</f>
        <v>149</v>
      </c>
      <c r="L16" s="275">
        <f>Occupancy!F16</f>
        <v>562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2</v>
      </c>
      <c r="D17" s="274">
        <v>2022</v>
      </c>
      <c r="E17" s="275">
        <f>(IF('Daily HLP'!H19&gt;0,'Daily HLP'!H19,0))</f>
        <v>20625.099999999999</v>
      </c>
      <c r="F17" s="276">
        <v>9</v>
      </c>
      <c r="G17" s="276">
        <f>(IF('Daily HLP'!L19&gt;0,'Daily HLP'!L19,0))</f>
        <v>1092.9150000000373</v>
      </c>
      <c r="H17" s="276">
        <v>75</v>
      </c>
      <c r="I17" s="276">
        <f>(IF('Daily HLP'!O19&gt;0,'Daily HLP'!O19,0))</f>
        <v>298</v>
      </c>
      <c r="J17" s="276">
        <v>99</v>
      </c>
      <c r="K17" s="281">
        <f>Occupancy!G17</f>
        <v>159</v>
      </c>
      <c r="L17" s="275">
        <f>Occupancy!F17</f>
        <v>521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2</v>
      </c>
      <c r="D18" s="274">
        <v>2022</v>
      </c>
      <c r="E18" s="275">
        <f>(IF('Daily HLP'!H20&gt;0,'Daily HLP'!H20,0))</f>
        <v>20039.870000000003</v>
      </c>
      <c r="F18" s="276">
        <v>9</v>
      </c>
      <c r="G18" s="276">
        <f>(IF('Daily HLP'!L20&gt;0,'Daily HLP'!L20,0))</f>
        <v>1023.3799999998882</v>
      </c>
      <c r="H18" s="276">
        <v>75</v>
      </c>
      <c r="I18" s="276">
        <f>(IF('Daily HLP'!O20&gt;0,'Daily HLP'!O20,0))</f>
        <v>306</v>
      </c>
      <c r="J18" s="276">
        <v>99</v>
      </c>
      <c r="K18" s="281">
        <f>Occupancy!G18</f>
        <v>170</v>
      </c>
      <c r="L18" s="275">
        <f>Occupancy!F18</f>
        <v>487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2</v>
      </c>
      <c r="D19" s="274">
        <v>2022</v>
      </c>
      <c r="E19" s="275">
        <f>(IF('Daily HLP'!H21&gt;0,'Daily HLP'!H21,0))</f>
        <v>20626.43</v>
      </c>
      <c r="F19" s="276">
        <v>9</v>
      </c>
      <c r="G19" s="276">
        <f>(IF('Daily HLP'!L21&gt;0,'Daily HLP'!L21,0))</f>
        <v>1056.8049999999348</v>
      </c>
      <c r="H19" s="276">
        <v>75</v>
      </c>
      <c r="I19" s="276">
        <f>(IF('Daily HLP'!O21&gt;0,'Daily HLP'!O21,0))</f>
        <v>298</v>
      </c>
      <c r="J19" s="276">
        <v>99</v>
      </c>
      <c r="K19" s="281">
        <f>Occupancy!G19</f>
        <v>175</v>
      </c>
      <c r="L19" s="275">
        <f>Occupancy!F19</f>
        <v>639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2</v>
      </c>
      <c r="D20" s="274">
        <v>2022</v>
      </c>
      <c r="E20" s="275">
        <f>(IF('Daily HLP'!H22&gt;0,'Daily HLP'!H22,0))</f>
        <v>21297.179999999993</v>
      </c>
      <c r="F20" s="276">
        <v>9</v>
      </c>
      <c r="G20" s="276">
        <f>(IF('Daily HLP'!L22&gt;0,'Daily HLP'!L22,0))</f>
        <v>1032.7900000000373</v>
      </c>
      <c r="H20" s="276">
        <v>75</v>
      </c>
      <c r="I20" s="276">
        <f>(IF('Daily HLP'!O22&gt;0,'Daily HLP'!O22,0))</f>
        <v>328</v>
      </c>
      <c r="J20" s="276">
        <v>99</v>
      </c>
      <c r="K20" s="281">
        <f>Occupancy!G20</f>
        <v>172</v>
      </c>
      <c r="L20" s="275">
        <f>Occupancy!F20</f>
        <v>668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2</v>
      </c>
      <c r="D21" s="274">
        <v>2022</v>
      </c>
      <c r="E21" s="275">
        <f>(IF('Daily HLP'!H23&gt;0,'Daily HLP'!H23,0))</f>
        <v>20695.800000000003</v>
      </c>
      <c r="F21" s="276">
        <v>9</v>
      </c>
      <c r="G21" s="276">
        <f>(IF('Daily HLP'!L23&gt;0,'Daily HLP'!L23,0))</f>
        <v>1045.6000000000931</v>
      </c>
      <c r="H21" s="276">
        <v>75</v>
      </c>
      <c r="I21" s="276">
        <f>(IF('Daily HLP'!O23&gt;0,'Daily HLP'!O23,0))</f>
        <v>360</v>
      </c>
      <c r="J21" s="276">
        <v>99</v>
      </c>
      <c r="K21" s="281">
        <f>Occupancy!G21</f>
        <v>150</v>
      </c>
      <c r="L21" s="275">
        <f>Occupancy!F21</f>
        <v>483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2</v>
      </c>
      <c r="D22" s="274">
        <v>2022</v>
      </c>
      <c r="E22" s="275">
        <f>(IF('Daily HLP'!H24&gt;0,'Daily HLP'!H24,0))</f>
        <v>20905.690000000002</v>
      </c>
      <c r="F22" s="276">
        <v>9</v>
      </c>
      <c r="G22" s="276">
        <f>(IF('Daily HLP'!L24&gt;0,'Daily HLP'!L24,0))</f>
        <v>1175.1399999998976</v>
      </c>
      <c r="H22" s="276">
        <v>75</v>
      </c>
      <c r="I22" s="276">
        <f>(IF('Daily HLP'!O24&gt;0,'Daily HLP'!O24,0))</f>
        <v>265</v>
      </c>
      <c r="J22" s="276">
        <v>99</v>
      </c>
      <c r="K22" s="281">
        <f>Occupancy!G22</f>
        <v>155</v>
      </c>
      <c r="L22" s="275">
        <f>Occupancy!F22</f>
        <v>430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2</v>
      </c>
      <c r="D23" s="274">
        <v>2022</v>
      </c>
      <c r="E23" s="275">
        <f>(IF('Daily HLP'!H25&gt;0,'Daily HLP'!H25,0))</f>
        <v>20737.679999999993</v>
      </c>
      <c r="F23" s="276">
        <v>9</v>
      </c>
      <c r="G23" s="276">
        <f>(IF('Daily HLP'!L25&gt;0,'Daily HLP'!L25,0))</f>
        <v>1110.8900000001304</v>
      </c>
      <c r="H23" s="276">
        <v>75</v>
      </c>
      <c r="I23" s="276">
        <f>(IF('Daily HLP'!O25&gt;0,'Daily HLP'!O25,0))</f>
        <v>243</v>
      </c>
      <c r="J23" s="276">
        <v>99</v>
      </c>
      <c r="K23" s="281">
        <f>Occupancy!G23</f>
        <v>157</v>
      </c>
      <c r="L23" s="275">
        <f>Occupancy!F23</f>
        <v>563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2</v>
      </c>
      <c r="D24" s="274">
        <v>2022</v>
      </c>
      <c r="E24" s="275">
        <f>(IF('Daily HLP'!H26&gt;0,'Daily HLP'!H26,0))</f>
        <v>20890.850000000006</v>
      </c>
      <c r="F24" s="276">
        <v>9</v>
      </c>
      <c r="G24" s="276">
        <f>(IF('Daily HLP'!L26&gt;0,'Daily HLP'!L26,0))</f>
        <v>1061.1999999999534</v>
      </c>
      <c r="H24" s="276">
        <v>75</v>
      </c>
      <c r="I24" s="276">
        <f>(IF('Daily HLP'!O26&gt;0,'Daily HLP'!O26,0))</f>
        <v>315</v>
      </c>
      <c r="J24" s="276">
        <v>99</v>
      </c>
      <c r="K24" s="281">
        <f>Occupancy!G24</f>
        <v>160</v>
      </c>
      <c r="L24" s="275">
        <f>Occupancy!F24</f>
        <v>686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2</v>
      </c>
      <c r="D25" s="274">
        <v>2022</v>
      </c>
      <c r="E25" s="275">
        <f>(IF('Daily HLP'!H27&gt;0,'Daily HLP'!H27,0))</f>
        <v>21762</v>
      </c>
      <c r="F25" s="276">
        <v>9</v>
      </c>
      <c r="G25" s="276">
        <f>(IF('Daily HLP'!L27&gt;0,'Daily HLP'!L27,0))</f>
        <v>1141</v>
      </c>
      <c r="H25" s="276">
        <v>75</v>
      </c>
      <c r="I25" s="276">
        <f>(IF('Daily HLP'!O27&gt;0,'Daily HLP'!O27,0))</f>
        <v>274</v>
      </c>
      <c r="J25" s="276">
        <v>99</v>
      </c>
      <c r="K25" s="281">
        <f>Occupancy!G25</f>
        <v>158</v>
      </c>
      <c r="L25" s="275">
        <f>Occupancy!F25</f>
        <v>467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2</v>
      </c>
      <c r="D26" s="274">
        <v>2022</v>
      </c>
      <c r="E26" s="275">
        <f>(IF('Daily HLP'!H28&gt;0,'Daily HLP'!H28,0))</f>
        <v>21934</v>
      </c>
      <c r="F26" s="276">
        <v>9</v>
      </c>
      <c r="G26" s="276">
        <f>(IF('Daily HLP'!L28&gt;0,'Daily HLP'!L28,0))</f>
        <v>1157</v>
      </c>
      <c r="H26" s="276">
        <v>75</v>
      </c>
      <c r="I26" s="276">
        <f>(IF('Daily HLP'!O28&gt;0,'Daily HLP'!O28,0))</f>
        <v>233</v>
      </c>
      <c r="J26" s="276">
        <v>99</v>
      </c>
      <c r="K26" s="281">
        <f>Occupancy!G26</f>
        <v>160</v>
      </c>
      <c r="L26" s="275">
        <f>Occupancy!F26</f>
        <v>948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2</v>
      </c>
      <c r="D27" s="274">
        <v>2022</v>
      </c>
      <c r="E27" s="275">
        <f>(IF('Daily HLP'!H29&gt;0,'Daily HLP'!H29,0))</f>
        <v>20998</v>
      </c>
      <c r="F27" s="276">
        <v>9</v>
      </c>
      <c r="G27" s="276">
        <f>(IF('Daily HLP'!L29&gt;0,'Daily HLP'!L29,0))</f>
        <v>1096</v>
      </c>
      <c r="H27" s="276">
        <v>75</v>
      </c>
      <c r="I27" s="276">
        <f>(IF('Daily HLP'!O29&gt;0,'Daily HLP'!O29,0))</f>
        <v>315</v>
      </c>
      <c r="J27" s="276">
        <v>99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2</v>
      </c>
      <c r="D28" s="274">
        <v>2022</v>
      </c>
      <c r="E28" s="275">
        <f>(IF('Daily HLP'!H30&gt;0,'Daily HLP'!H30,0))</f>
        <v>19054</v>
      </c>
      <c r="F28" s="276">
        <v>9</v>
      </c>
      <c r="G28" s="276">
        <f>(IF('Daily HLP'!L30&gt;0,'Daily HLP'!L30,0))</f>
        <v>1097</v>
      </c>
      <c r="H28" s="276">
        <v>75</v>
      </c>
      <c r="I28" s="276">
        <f>(IF('Daily HLP'!O30&gt;0,'Daily HLP'!O30,0))</f>
        <v>310</v>
      </c>
      <c r="J28" s="276">
        <v>99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2</v>
      </c>
      <c r="D29" s="274">
        <v>2022</v>
      </c>
      <c r="E29" s="275">
        <f>(IF('Daily HLP'!H31&gt;0,'Daily HLP'!H31,0))</f>
        <v>20000</v>
      </c>
      <c r="F29" s="276">
        <v>9</v>
      </c>
      <c r="G29" s="276">
        <f>(IF('Daily HLP'!L31&gt;0,'Daily HLP'!L31,0))</f>
        <v>1100</v>
      </c>
      <c r="H29" s="276">
        <v>75</v>
      </c>
      <c r="I29" s="276">
        <f>(IF('Daily HLP'!O31&gt;0,'Daily HLP'!O31,0))</f>
        <v>0</v>
      </c>
      <c r="J29" s="276">
        <v>99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2</v>
      </c>
      <c r="D30" s="274">
        <v>2022</v>
      </c>
      <c r="E30" s="275">
        <f>(IF('Daily HLP'!H32&gt;0,'Daily HLP'!H32,0))</f>
        <v>20000</v>
      </c>
      <c r="F30" s="276">
        <v>9</v>
      </c>
      <c r="G30" s="276">
        <f>(IF('Daily HLP'!L32&gt;0,'Daily HLP'!L32,0))</f>
        <v>1100</v>
      </c>
      <c r="H30" s="276">
        <v>75</v>
      </c>
      <c r="I30" s="276">
        <f>(IF('Daily HLP'!O32&gt;0,'Daily HLP'!O32,0))</f>
        <v>312</v>
      </c>
      <c r="J30" s="276">
        <v>99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2</v>
      </c>
      <c r="D31" s="274">
        <v>2022</v>
      </c>
      <c r="E31" s="275">
        <f>(IF('Daily HLP'!H33&gt;0,'Daily HLP'!H33,0))</f>
        <v>20000</v>
      </c>
      <c r="F31" s="276">
        <v>9</v>
      </c>
      <c r="G31" s="276">
        <f>(IF('Daily HLP'!L33&gt;0,'Daily HLP'!L33,0))</f>
        <v>1100</v>
      </c>
      <c r="H31" s="276">
        <v>75</v>
      </c>
      <c r="I31" s="276">
        <f>(IF('Daily HLP'!O33&gt;0,'Daily HLP'!O33,0))</f>
        <v>226</v>
      </c>
      <c r="J31" s="276">
        <v>99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2</v>
      </c>
      <c r="D32" s="274">
        <v>2022</v>
      </c>
      <c r="E32" s="275">
        <f>(IF('Daily HLP'!H34&gt;0,'Daily HLP'!H34,0))</f>
        <v>20000</v>
      </c>
      <c r="F32" s="276">
        <v>9</v>
      </c>
      <c r="G32" s="276">
        <f>(IF('Daily HLP'!L34&gt;0,'Daily HLP'!L34,0))</f>
        <v>1100</v>
      </c>
      <c r="H32" s="276">
        <v>75</v>
      </c>
      <c r="I32" s="276">
        <f>(IF('Daily HLP'!O34&gt;0,'Daily HLP'!O34,0))</f>
        <v>146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2</v>
      </c>
      <c r="D2" s="288">
        <v>2022</v>
      </c>
      <c r="E2" s="294">
        <f>(IF('Section Load'!F5&gt;0,'Section Load'!F5,0))</f>
        <v>2185.1000000000022</v>
      </c>
      <c r="F2" s="294">
        <f>(IF('Section Load'!G5&gt;0,'Section Load'!G5,0))</f>
        <v>1554.1100000000006</v>
      </c>
      <c r="G2" s="294">
        <f>(IF('Section Load'!H5&gt;0,'Section Load'!H5,0))</f>
        <v>1620.2699999999968</v>
      </c>
      <c r="H2" s="294">
        <f>(IF('Section Load'!I5&gt;0,'Section Load'!I5,0))</f>
        <v>2609.5899999999965</v>
      </c>
      <c r="I2" s="294">
        <f>(IF('Section Load'!J5&gt;0,'Section Load'!J5,0))</f>
        <v>3987.7899999999936</v>
      </c>
      <c r="J2" s="294">
        <f>(IF('Section Load'!K5&gt;0,'Section Load'!K5,0))</f>
        <v>1901.929999999993</v>
      </c>
      <c r="K2" s="294">
        <f>(IF('Section Load'!L5&gt;0,'Section Load'!L5,0))</f>
        <v>938.92000000000553</v>
      </c>
      <c r="L2" s="294">
        <f>(IF('Section Load'!M5&gt;0,'Section Load'!M5,0))</f>
        <v>710.76000000000204</v>
      </c>
      <c r="M2" s="294">
        <f>(IF('Section Load'!N5&gt;0,'Section Load'!N5,0))</f>
        <v>61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165.58999999999651</v>
      </c>
      <c r="Q2" s="294">
        <f>(IF('Section Load'!R5&gt;0,'Section Load'!R5,0))</f>
        <v>73.470000000001164</v>
      </c>
      <c r="R2" s="294">
        <f>(IF('Section Load'!S5&gt;0,'Section Load'!S5,0))</f>
        <v>12.779999999999745</v>
      </c>
      <c r="S2" s="294">
        <f>(IF('Section Load'!T5&gt;0,'Section Load'!T5,0))</f>
        <v>394</v>
      </c>
      <c r="T2" s="294">
        <f>(IF('Section Load'!U5&gt;0,'Section Load'!U5,0))</f>
        <v>196</v>
      </c>
      <c r="U2" s="294">
        <f>(IF('Section Load'!V5&gt;0,'Section Load'!V5,0))</f>
        <v>369.28000000002794</v>
      </c>
      <c r="V2" s="294">
        <f>(IF('Section Load'!W5&gt;0,'Section Load'!W5,0))</f>
        <v>195.04000000003725</v>
      </c>
      <c r="W2" s="294">
        <f>(IF('Section Load'!X5&gt;0,'Section Load'!X5,0))</f>
        <v>29</v>
      </c>
      <c r="X2" s="294">
        <f>(IF('Section Load'!Y5&gt;0,'Section Load'!Y5,0))</f>
        <v>187.13000000000011</v>
      </c>
      <c r="Y2" s="294">
        <f>(IF('Section Load'!Z5&gt;0,'Section Load'!Z5,0))</f>
        <v>226</v>
      </c>
      <c r="Z2" s="294">
        <f>(IF('Section Load'!AA5&gt;0,'Section Load'!AA5,0))</f>
        <v>48.28000000002794</v>
      </c>
      <c r="AA2" s="294">
        <f>(IF('Section Load'!AB5&gt;0,'Section Load'!AB5,0))</f>
        <v>42</v>
      </c>
      <c r="AB2" s="294">
        <f>(IF('Section Load'!AC5&gt;0,'Section Load'!AC5,0))</f>
        <v>0</v>
      </c>
      <c r="AC2" s="294">
        <f>(IF('Section Load'!AD5&gt;0,'Section Load'!AD5,0))</f>
        <v>32.199999999994361</v>
      </c>
      <c r="AD2" s="294">
        <f>(IF('Section Load'!AE5&gt;0,'Section Load'!AE5,0))</f>
        <v>0</v>
      </c>
      <c r="AE2" s="294">
        <f>(IF('Section Load'!AF5&gt;0,'Section Load'!AF5,0))</f>
        <v>21.820000000000164</v>
      </c>
      <c r="AF2" s="294">
        <f>(IF('Section Load'!AG5&gt;0,'Section Load'!AG5,0))</f>
        <v>310.5</v>
      </c>
      <c r="AG2" s="294">
        <f>(IF('Section Load'!AH5&gt;0,'Section Load'!AH5,0))</f>
        <v>441.15000000002328</v>
      </c>
      <c r="AH2" s="294">
        <f>(IF('Section Load'!AI5&gt;0,'Section Load'!AI5,0))</f>
        <v>414.13999999999942</v>
      </c>
      <c r="AI2" s="294">
        <f>(IF('Section Load'!AJ5&gt;0,'Section Load'!AJ5,0))</f>
        <v>720.88000000000466</v>
      </c>
      <c r="AJ2" s="294">
        <f>(IF('Section Load'!AK5&gt;0,'Section Load'!AK5,0))</f>
        <v>206.03000000001339</v>
      </c>
      <c r="AK2" s="294">
        <f>(IF('Section Load'!AL5&gt;0,'Section Load'!AL5,0))</f>
        <v>261.25</v>
      </c>
      <c r="AL2" s="294">
        <f>(IF('Section Load'!AM5&gt;0,'Section Load'!AM5,0))</f>
        <v>492.57000000000698</v>
      </c>
      <c r="AM2" s="295">
        <f>(IF('Water Report'!$D$7&gt;0,'Water Report'!$D$7,0))</f>
        <v>63</v>
      </c>
      <c r="AN2" s="295">
        <f>(IF('Water Report'!$D$8&gt;0,'Water Report'!$D$8,0))</f>
        <v>132</v>
      </c>
      <c r="AO2" s="295">
        <f>(IF('Water Report'!$D$9&gt;0,'Water Report'!$D$9,0))</f>
        <v>71</v>
      </c>
      <c r="AP2" s="295">
        <f>(IF('Water Report'!$D$10&gt;0,'Water Report'!$D$10,0))</f>
        <v>17</v>
      </c>
      <c r="AQ2" s="295">
        <f>(IF('Water Report'!$D$11&gt;0,'Water Report'!$D$11,0))</f>
        <v>14</v>
      </c>
      <c r="AR2" s="295">
        <f>(IF('Water Report'!$D$13&gt;0,'Water Report'!$D$13,0))</f>
        <v>39</v>
      </c>
      <c r="AS2" s="295">
        <f>(IF('Water Report'!$D$14&gt;0,'Water Report'!$D$14,0))</f>
        <v>9</v>
      </c>
      <c r="AT2" s="295">
        <f>(IF('Water Report'!$D$15&gt;0,'Water Report'!$D$15,0))</f>
        <v>8</v>
      </c>
      <c r="AU2" s="295">
        <f>(IF('Water Report'!$D$17&gt;0,'Water Report'!$D$17,0))</f>
        <v>0</v>
      </c>
      <c r="AV2" s="295">
        <f>(IF('Water Report'!$D$18&gt;0,'Water Report'!$D$18,0))</f>
        <v>11</v>
      </c>
      <c r="AW2" s="295">
        <f>(IF('Water Report'!$D$19&gt;0,'Water Report'!$D$19,0))</f>
        <v>10</v>
      </c>
      <c r="AX2" s="301">
        <f>(IF('Water Report'!$D$21&gt;0,'Water Report'!$D$21,0))</f>
        <v>43</v>
      </c>
      <c r="AY2" s="301">
        <f>(IF('Water Report'!$D$22&gt;0,'Water Report'!$D$22,0))</f>
        <v>29</v>
      </c>
      <c r="AZ2" s="301">
        <f>(IF('Water Report'!$D$23&gt;0,'Water Report'!$D$23,0))</f>
        <v>3</v>
      </c>
      <c r="BA2" s="301">
        <f>(IF('Water Report'!$D$14&gt;0,'Water Report'!$D$14,0))</f>
        <v>9</v>
      </c>
      <c r="BB2" s="301">
        <f>(IF('Water Report'!$D$15&gt;0,'Water Report'!$D$15,0))</f>
        <v>8</v>
      </c>
      <c r="BC2" s="301">
        <f>(IF('Water Report'!$D$13&gt;0,'Water Report'!$D$13,0))</f>
        <v>39</v>
      </c>
      <c r="BD2" s="301">
        <f>(IF('Water Report'!$D$24&gt;0,'Water Report'!$D$24,0))</f>
        <v>235</v>
      </c>
      <c r="BE2" s="301">
        <f>(IF('Water Report'!$D$25&gt;0,'Water Report'!$D$25,0))</f>
        <v>119</v>
      </c>
      <c r="BF2" s="301">
        <f>(IF('Water Report'!$D$27&gt;0,'Water Report'!$D$27,0))</f>
        <v>85</v>
      </c>
      <c r="BG2" s="296">
        <f>(IF('Section Load'!AN5&gt;0,'Section Load'!AN5,0))</f>
        <v>918.55799999996088</v>
      </c>
      <c r="BH2" s="296">
        <f>(IF('Section Load'!AO5&gt;0,'Section Load'!AO5,0))</f>
        <v>314.53100000007544</v>
      </c>
      <c r="BI2" s="296">
        <f>(IF('Section Load'!AP5&gt;0,'Section Load'!AP5,0))</f>
        <v>0</v>
      </c>
      <c r="BJ2" s="296">
        <f>(IF('Section Load'!AQ5&gt;0,'Section Load'!AQ5,0))</f>
        <v>91.059999999997672</v>
      </c>
      <c r="BK2" s="296">
        <f>(IF('Section Load'!AR5&gt;0,'Section Load'!AR5,0))</f>
        <v>29.700000000004366</v>
      </c>
      <c r="BL2" s="296">
        <f>(IF('Section Load'!AS5&gt;0,'Section Load'!AS5,0))</f>
        <v>0</v>
      </c>
      <c r="BM2" s="296">
        <f>(IF('Section Load'!AT5&gt;0,'Section Load'!AT5,0))</f>
        <v>483.26699999988341</v>
      </c>
    </row>
    <row r="3" spans="1:65" x14ac:dyDescent="0.25">
      <c r="A3" s="287" t="s">
        <v>268</v>
      </c>
      <c r="B3" s="288">
        <f>B2+1</f>
        <v>2</v>
      </c>
      <c r="C3" s="288">
        <v>2</v>
      </c>
      <c r="D3" s="288">
        <v>2022</v>
      </c>
      <c r="E3" s="294">
        <f>(IF('Section Load'!F6&gt;0,'Section Load'!F6,0))</f>
        <v>2435.0399999999972</v>
      </c>
      <c r="F3" s="294">
        <f>(IF('Section Load'!G6&gt;0,'Section Load'!G6,0))</f>
        <v>1547.1000000000058</v>
      </c>
      <c r="G3" s="294">
        <f>(IF('Section Load'!H6&gt;0,'Section Load'!H6,0))</f>
        <v>1758.7900000000009</v>
      </c>
      <c r="H3" s="294">
        <f>(IF('Section Load'!I6&gt;0,'Section Load'!I6,0))</f>
        <v>2628.2200000000012</v>
      </c>
      <c r="I3" s="294">
        <f>(IF('Section Load'!J6&gt;0,'Section Load'!J6,0))</f>
        <v>3469.6100000000006</v>
      </c>
      <c r="J3" s="294">
        <f>(IF('Section Load'!K6&gt;0,'Section Load'!K6,0))</f>
        <v>1997.1600000000035</v>
      </c>
      <c r="K3" s="294">
        <f>(IF('Section Load'!L6&gt;0,'Section Load'!L6,0))</f>
        <v>987.52999999999884</v>
      </c>
      <c r="L3" s="294">
        <f>(IF('Section Load'!M6&gt;0,'Section Load'!M6,0))</f>
        <v>811.5</v>
      </c>
      <c r="M3" s="294">
        <f>(IF('Section Load'!N6&gt;0,'Section Load'!N6,0))</f>
        <v>59</v>
      </c>
      <c r="N3" s="294">
        <f>(IF('Section Load'!O6&gt;0,'Section Load'!O6,0))</f>
        <v>2</v>
      </c>
      <c r="O3" s="294">
        <f>(IF('Section Load'!P6&gt;0,'Section Load'!P6,0))</f>
        <v>10.600000000005821</v>
      </c>
      <c r="P3" s="294">
        <f>(IF('Section Load'!Q6&gt;0,'Section Load'!Q6,0))</f>
        <v>176.63000000000466</v>
      </c>
      <c r="Q3" s="294">
        <f>(IF('Section Load'!R6&gt;0,'Section Load'!R6,0))</f>
        <v>71.670000000001892</v>
      </c>
      <c r="R3" s="294">
        <f>(IF('Section Load'!S6&gt;0,'Section Load'!S6,0))</f>
        <v>13.710000000000036</v>
      </c>
      <c r="S3" s="294">
        <f>(IF('Section Load'!T6&gt;0,'Section Load'!T6,0))</f>
        <v>392</v>
      </c>
      <c r="T3" s="294">
        <f>(IF('Section Load'!U6&gt;0,'Section Load'!U6,0))</f>
        <v>210</v>
      </c>
      <c r="U3" s="294">
        <f>(IF('Section Load'!V6&gt;0,'Section Load'!V6,0))</f>
        <v>396.31999999994878</v>
      </c>
      <c r="V3" s="294">
        <f>(IF('Section Load'!W6&gt;0,'Section Load'!W6,0))</f>
        <v>266.23999999999069</v>
      </c>
      <c r="W3" s="294">
        <f>(IF('Section Load'!X6&gt;0,'Section Load'!X6,0))</f>
        <v>24.690000000000055</v>
      </c>
      <c r="X3" s="294">
        <f>(IF('Section Load'!Y6&gt;0,'Section Load'!Y6,0))</f>
        <v>198.44999999999982</v>
      </c>
      <c r="Y3" s="294">
        <f>(IF('Section Load'!Z6&gt;0,'Section Load'!Z6,0))</f>
        <v>317</v>
      </c>
      <c r="Z3" s="294">
        <f>(IF('Section Load'!AA6&gt;0,'Section Load'!AA6,0))</f>
        <v>52.839999999967404</v>
      </c>
      <c r="AA3" s="294">
        <f>(IF('Section Load'!AB6&gt;0,'Section Load'!AB6,0))</f>
        <v>38.100000000005821</v>
      </c>
      <c r="AB3" s="294">
        <f>(IF('Section Load'!AC6&gt;0,'Section Load'!AC6,0))</f>
        <v>0</v>
      </c>
      <c r="AC3" s="294">
        <f>(IF('Section Load'!AD6&gt;0,'Section Load'!AD6,0))</f>
        <v>36.30000000000291</v>
      </c>
      <c r="AD3" s="294">
        <f>(IF('Section Load'!AE6&gt;0,'Section Load'!AE6,0))</f>
        <v>0</v>
      </c>
      <c r="AE3" s="294">
        <f>(IF('Section Load'!AF6&gt;0,'Section Load'!AF6,0))</f>
        <v>35.460000000000036</v>
      </c>
      <c r="AF3" s="294">
        <f>(IF('Section Load'!AG6&gt;0,'Section Load'!AG6,0))</f>
        <v>318.04000000000815</v>
      </c>
      <c r="AG3" s="294">
        <f>(IF('Section Load'!AH6&gt;0,'Section Load'!AH6,0))</f>
        <v>423.19000000000233</v>
      </c>
      <c r="AH3" s="294">
        <f>(IF('Section Load'!AI6&gt;0,'Section Load'!AI6,0))</f>
        <v>417.20999999999913</v>
      </c>
      <c r="AI3" s="294">
        <f>(IF('Section Load'!AJ6&gt;0,'Section Load'!AJ6,0))</f>
        <v>713.23999999999069</v>
      </c>
      <c r="AJ3" s="294">
        <f>(IF('Section Load'!AK6&gt;0,'Section Load'!AK6,0))</f>
        <v>214.61000000000058</v>
      </c>
      <c r="AK3" s="294">
        <f>(IF('Section Load'!AL6&gt;0,'Section Load'!AL6,0))</f>
        <v>257.38999999998487</v>
      </c>
      <c r="AL3" s="294">
        <f>(IF('Section Load'!AM6&gt;0,'Section Load'!AM6,0))</f>
        <v>568.0399999999936</v>
      </c>
      <c r="AM3" s="295">
        <f>(IF('Water Report'!$E$7&gt;0,'Water Report'!$E$7,0))</f>
        <v>105</v>
      </c>
      <c r="AN3" s="295">
        <f>(IF('Water Report'!$E$8&gt;0,'Water Report'!$E$8,0))</f>
        <v>159</v>
      </c>
      <c r="AO3" s="295">
        <f>(IF('Water Report'!$E$9&gt;0,'Water Report'!$E$9,0))</f>
        <v>71</v>
      </c>
      <c r="AP3" s="295">
        <f>(IF('Water Report'!$E$10&gt;0,'Water Report'!$E$10,0))</f>
        <v>20</v>
      </c>
      <c r="AQ3" s="295">
        <f>(IF('Water Report'!$E$11&gt;0,'Water Report'!$E$11,0))</f>
        <v>20</v>
      </c>
      <c r="AR3" s="295">
        <f>(IF('Water Report'!$E$13&gt;0,'Water Report'!$E$13,0))</f>
        <v>30</v>
      </c>
      <c r="AS3" s="295">
        <f>(IF('Water Report'!$E$14&gt;0,'Water Report'!$E$14,0))</f>
        <v>19</v>
      </c>
      <c r="AT3" s="295">
        <f>(IF('Water Report'!$E$15&gt;0,'Water Report'!$E$15,0))</f>
        <v>10</v>
      </c>
      <c r="AU3" s="295">
        <f>(IF('Water Report'!$E$17&gt;0,'Water Report'!$E$17,0))</f>
        <v>0</v>
      </c>
      <c r="AV3" s="295">
        <f>(IF('Water Report'!$E$18&gt;0,'Water Report'!$E$18,0))</f>
        <v>11</v>
      </c>
      <c r="AW3" s="295">
        <f>(IF('Water Report'!$E$19&gt;0,'Water Report'!$E$19,0))</f>
        <v>9</v>
      </c>
      <c r="AX3" s="301">
        <f>(IF('Water Report'!$E$21&gt;0,'Water Report'!$E$21,0))</f>
        <v>90</v>
      </c>
      <c r="AY3" s="301">
        <f>(IF('Water Report'!$E$22&gt;0,'Water Report'!$E$22,0))</f>
        <v>37</v>
      </c>
      <c r="AZ3" s="301">
        <f>(IF('Water Report'!$E$23&gt;0,'Water Report'!$E$23,0))</f>
        <v>5</v>
      </c>
      <c r="BA3" s="301">
        <f>(IF('Water Report'!$E$14&gt;0,'Water Report'!$E$14,0))</f>
        <v>19</v>
      </c>
      <c r="BB3" s="301">
        <f>(IF('Water Report'!$E$15&gt;0,'Water Report'!$E$15,0))</f>
        <v>10</v>
      </c>
      <c r="BC3" s="301">
        <f>(IF('Water Report'!$E$13&gt;0,'Water Report'!$E$13,0))</f>
        <v>30</v>
      </c>
      <c r="BD3" s="301">
        <f>(IF('Water Report'!$E$24&gt;0,'Water Report'!$E$24,0))</f>
        <v>183</v>
      </c>
      <c r="BE3" s="301">
        <f>(IF('Water Report'!$E$25&gt;0,'Water Report'!$E$25,0))</f>
        <v>140</v>
      </c>
      <c r="BF3" s="301">
        <f>(IF('Water Report'!$E$27&gt;0,'Water Report'!$E$27,0))</f>
        <v>125</v>
      </c>
      <c r="BG3" s="296">
        <f>(IF('Section Load'!AN6&gt;0,'Section Load'!AN6,0))</f>
        <v>983.14500000001863</v>
      </c>
      <c r="BH3" s="296">
        <f>(IF('Section Load'!AO6&gt;0,'Section Load'!AO6,0))</f>
        <v>311.03599999996368</v>
      </c>
      <c r="BI3" s="296">
        <f>(IF('Section Load'!AP6&gt;0,'Section Load'!AP6,0))</f>
        <v>0</v>
      </c>
      <c r="BJ3" s="296">
        <f>(IF('Section Load'!AQ6&gt;0,'Section Load'!AQ6,0))</f>
        <v>115.70999999999185</v>
      </c>
      <c r="BK3" s="296">
        <f>(IF('Section Load'!AR6&gt;0,'Section Load'!AR6,0))</f>
        <v>49.19999999999709</v>
      </c>
      <c r="BL3" s="296">
        <f>(IF('Section Load'!AS6&gt;0,'Section Load'!AS6,0))</f>
        <v>1.7000000000007276</v>
      </c>
      <c r="BM3" s="296">
        <f>(IF('Section Load'!AT6&gt;0,'Section Load'!AT6,0))</f>
        <v>505.49900000006528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2</v>
      </c>
      <c r="D4" s="288">
        <v>2022</v>
      </c>
      <c r="E4" s="294">
        <f>(IF('Section Load'!F7&gt;0,'Section Load'!F7,0))</f>
        <v>2503.1700000000019</v>
      </c>
      <c r="F4" s="294">
        <f>(IF('Section Load'!G7&gt;0,'Section Load'!G7,0))</f>
        <v>1552.1100000000006</v>
      </c>
      <c r="G4" s="294">
        <f>(IF('Section Load'!H7&gt;0,'Section Load'!H7,0))</f>
        <v>1668.1500000000015</v>
      </c>
      <c r="H4" s="294">
        <f>(IF('Section Load'!I7&gt;0,'Section Load'!I7,0))</f>
        <v>2641.8299999999945</v>
      </c>
      <c r="I4" s="294">
        <f>(IF('Section Load'!J7&gt;0,'Section Load'!J7,0))</f>
        <v>3484.5699999999943</v>
      </c>
      <c r="J4" s="294">
        <f>(IF('Section Load'!K7&gt;0,'Section Load'!K7,0))</f>
        <v>2229.6699999999983</v>
      </c>
      <c r="K4" s="294">
        <f>(IF('Section Load'!L7&gt;0,'Section Load'!L7,0))</f>
        <v>1070.0599999999977</v>
      </c>
      <c r="L4" s="294">
        <f>(IF('Section Load'!M7&gt;0,'Section Load'!M7,0))</f>
        <v>935.69999999999709</v>
      </c>
      <c r="M4" s="294">
        <f>(IF('Section Load'!N7&gt;0,'Section Load'!N7,0))</f>
        <v>78</v>
      </c>
      <c r="N4" s="294">
        <f>(IF('Section Load'!O7&gt;0,'Section Load'!O7,0))</f>
        <v>1</v>
      </c>
      <c r="O4" s="294">
        <f>(IF('Section Load'!P7&gt;0,'Section Load'!P7,0))</f>
        <v>1.1999999999970896</v>
      </c>
      <c r="P4" s="294">
        <f>(IF('Section Load'!Q7&gt;0,'Section Load'!Q7,0))</f>
        <v>159.29999999999563</v>
      </c>
      <c r="Q4" s="294">
        <f>(IF('Section Load'!R7&gt;0,'Section Load'!R7,0))</f>
        <v>63.109999999996944</v>
      </c>
      <c r="R4" s="294">
        <f>(IF('Section Load'!S7&gt;0,'Section Load'!S7,0))</f>
        <v>14.670000000000073</v>
      </c>
      <c r="S4" s="294">
        <f>(IF('Section Load'!T7&gt;0,'Section Load'!T7,0))</f>
        <v>417</v>
      </c>
      <c r="T4" s="294">
        <f>(IF('Section Load'!U7&gt;0,'Section Load'!U7,0))</f>
        <v>210</v>
      </c>
      <c r="U4" s="294">
        <f>(IF('Section Load'!V7&gt;0,'Section Load'!V7,0))</f>
        <v>377.88000000000466</v>
      </c>
      <c r="V4" s="294">
        <f>(IF('Section Load'!W7&gt;0,'Section Load'!W7,0))</f>
        <v>244.64000000001397</v>
      </c>
      <c r="W4" s="294">
        <f>(IF('Section Load'!X7&gt;0,'Section Load'!X7,0))</f>
        <v>26.450000000000273</v>
      </c>
      <c r="X4" s="294">
        <f>(IF('Section Load'!Y7&gt;0,'Section Load'!Y7,0))</f>
        <v>202.4399999999996</v>
      </c>
      <c r="Y4" s="294">
        <f>(IF('Section Load'!Z7&gt;0,'Section Load'!Z7,0))</f>
        <v>193</v>
      </c>
      <c r="Z4" s="294">
        <f>(IF('Section Load'!AA7&gt;0,'Section Load'!AA7,0))</f>
        <v>53.559999999997672</v>
      </c>
      <c r="AA4" s="294">
        <f>(IF('Section Load'!AB7&gt;0,'Section Load'!AB7,0))</f>
        <v>39.80000000000291</v>
      </c>
      <c r="AB4" s="294">
        <f>(IF('Section Load'!AC7&gt;0,'Section Load'!AC7,0))</f>
        <v>0</v>
      </c>
      <c r="AC4" s="294">
        <f>(IF('Section Load'!AD7&gt;0,'Section Load'!AD7,0))</f>
        <v>33.699999999999818</v>
      </c>
      <c r="AD4" s="294">
        <f>(IF('Section Load'!AE7&gt;0,'Section Load'!AE7,0))</f>
        <v>0</v>
      </c>
      <c r="AE4" s="294">
        <f>(IF('Section Load'!AF7&gt;0,'Section Load'!AF7,0))</f>
        <v>20.509999999999764</v>
      </c>
      <c r="AF4" s="294">
        <f>(IF('Section Load'!AG7&gt;0,'Section Load'!AG7,0))</f>
        <v>331.33999999999651</v>
      </c>
      <c r="AG4" s="294">
        <f>(IF('Section Load'!AH7&gt;0,'Section Load'!AH7,0))</f>
        <v>418.71999999997206</v>
      </c>
      <c r="AH4" s="294">
        <f>(IF('Section Load'!AI7&gt;0,'Section Load'!AI7,0))</f>
        <v>433.95999999999913</v>
      </c>
      <c r="AI4" s="294">
        <f>(IF('Section Load'!AJ7&gt;0,'Section Load'!AJ7,0))</f>
        <v>734.20000000001164</v>
      </c>
      <c r="AJ4" s="294">
        <f>(IF('Section Load'!AK7&gt;0,'Section Load'!AK7,0))</f>
        <v>250.57999999998719</v>
      </c>
      <c r="AK4" s="294">
        <f>(IF('Section Load'!AL7&gt;0,'Section Load'!AL7,0))</f>
        <v>255.67999999999302</v>
      </c>
      <c r="AL4" s="294">
        <f>(IF('Section Load'!AM7&gt;0,'Section Load'!AM7,0))</f>
        <v>565.15000000000873</v>
      </c>
      <c r="AM4" s="295">
        <f>(IF('Water Report'!$F$7&gt;0,'Water Report'!$F$7,0))</f>
        <v>74</v>
      </c>
      <c r="AN4" s="295">
        <f>(IF('Water Report'!$F$8&gt;0,'Water Report'!$F$8,0))</f>
        <v>132</v>
      </c>
      <c r="AO4" s="295">
        <f>(IF('Water Report'!$F$9&gt;0,'Water Report'!$G$9,0))</f>
        <v>87</v>
      </c>
      <c r="AP4" s="295">
        <f>(IF('Water Report'!$F$10&gt;0,'Water Report'!$F$10,0))</f>
        <v>22</v>
      </c>
      <c r="AQ4" s="295">
        <f>(IF('Water Report'!$F$11&gt;0,'Water Report'!$F$11,0))</f>
        <v>20</v>
      </c>
      <c r="AR4" s="295">
        <f>(IF('Water Report'!$F$13&gt;0,'Water Report'!$F$13,0))</f>
        <v>28</v>
      </c>
      <c r="AS4" s="295">
        <f>(IF('Water Report'!$F$14&gt;0,'Water Report'!$F$14,0))</f>
        <v>9</v>
      </c>
      <c r="AT4" s="295">
        <f>(IF('Water Report'!$F$15&gt;0,'Water Report'!$F$15,0))</f>
        <v>9</v>
      </c>
      <c r="AU4" s="295">
        <f>(IF('Water Report'!$F$17&gt;0,'Water Report'!$F$17,0))</f>
        <v>0</v>
      </c>
      <c r="AV4" s="295">
        <f>(IF('Water Report'!$F$18&gt;0,'Water Report'!$F$18,0))</f>
        <v>12</v>
      </c>
      <c r="AW4" s="295">
        <f>(IF('Water Report'!$F$19&gt;0,'Water Report'!$F$19,0))</f>
        <v>9</v>
      </c>
      <c r="AX4" s="301">
        <f>(IF('Water Report'!$F$21&gt;0,'Water Report'!$F$21,0))</f>
        <v>9</v>
      </c>
      <c r="AY4" s="301">
        <f>(IF('Water Report'!$F$22&gt;0,'Water Report'!$F$22,0))</f>
        <v>34</v>
      </c>
      <c r="AZ4" s="301">
        <f>(IF('Water Report'!$F$23&gt;0,'Water Report'!$F$23,0))</f>
        <v>11</v>
      </c>
      <c r="BA4" s="301">
        <f>(IF('Water Report'!$F$14&gt;0,'Water Report'!$F$14,0))</f>
        <v>9</v>
      </c>
      <c r="BB4" s="301">
        <f>(IF('Water Report'!$F$15&gt;0,'Water Report'!$F$15,0))</f>
        <v>9</v>
      </c>
      <c r="BC4" s="301">
        <f>(IF('Water Report'!$F$13&gt;0,'Water Report'!$F$13,0))</f>
        <v>28</v>
      </c>
      <c r="BD4" s="301">
        <f>(IF('Water Report'!$F$24&gt;0,'Water Report'!$F$24,0))</f>
        <v>233</v>
      </c>
      <c r="BE4" s="301">
        <f>(IF('Water Report'!$F$25&gt;0,'Water Report'!$F$25,0))</f>
        <v>154</v>
      </c>
      <c r="BF4" s="301">
        <f>(IF('Water Report'!$F$27&gt;0,'Water Report'!$F$27,0))</f>
        <v>48</v>
      </c>
      <c r="BG4" s="296">
        <f>(IF('Section Load'!AN7&gt;0,'Section Load'!AN7,0))</f>
        <v>1012.3479999999981</v>
      </c>
      <c r="BH4" s="296">
        <f>(IF('Section Load'!AO7&gt;0,'Section Load'!AO7,0))</f>
        <v>310.54399999999441</v>
      </c>
      <c r="BI4" s="296">
        <f>(IF('Section Load'!AP7&gt;0,'Section Load'!AP7,0))</f>
        <v>0</v>
      </c>
      <c r="BJ4" s="296">
        <f>(IF('Section Load'!AQ7&gt;0,'Section Load'!AQ7,0))</f>
        <v>122.32000000000698</v>
      </c>
      <c r="BK4" s="296">
        <f>(IF('Section Load'!AR7&gt;0,'Section Load'!AR7,0))</f>
        <v>46.400000000001455</v>
      </c>
      <c r="BL4" s="296">
        <f>(IF('Section Load'!AS7&gt;0,'Section Load'!AS7,0))</f>
        <v>1.5999999999985448</v>
      </c>
      <c r="BM4" s="296">
        <f>(IF('Section Load'!AT7&gt;0,'Section Load'!AT7,0))</f>
        <v>531.48399999999674</v>
      </c>
    </row>
    <row r="5" spans="1:65" x14ac:dyDescent="0.25">
      <c r="A5" s="287" t="s">
        <v>268</v>
      </c>
      <c r="B5" s="288">
        <f t="shared" si="0"/>
        <v>4</v>
      </c>
      <c r="C5" s="288">
        <v>2</v>
      </c>
      <c r="D5" s="288">
        <v>2022</v>
      </c>
      <c r="E5" s="294">
        <f>(IF('Section Load'!F8&gt;0,'Section Load'!F8,0))</f>
        <v>2682.8700000000026</v>
      </c>
      <c r="F5" s="294">
        <f>(IF('Section Load'!G8&gt;0,'Section Load'!G8,0))</f>
        <v>1614.0999999999985</v>
      </c>
      <c r="G5" s="294">
        <f>(IF('Section Load'!H8&gt;0,'Section Load'!H8,0))</f>
        <v>1858.4700000000012</v>
      </c>
      <c r="H5" s="294">
        <f>(IF('Section Load'!I8&gt;0,'Section Load'!I8,0))</f>
        <v>2666.7100000000064</v>
      </c>
      <c r="I5" s="294">
        <f>(IF('Section Load'!J8&gt;0,'Section Load'!J8,0))</f>
        <v>2816.8300000000017</v>
      </c>
      <c r="J5" s="294">
        <f>(IF('Section Load'!K8&gt;0,'Section Load'!K8,0))</f>
        <v>2395.179999999993</v>
      </c>
      <c r="K5" s="294">
        <f>(IF('Section Load'!L8&gt;0,'Section Load'!L8,0))</f>
        <v>1149.75</v>
      </c>
      <c r="L5" s="294">
        <f>(IF('Section Load'!M8&gt;0,'Section Load'!M8,0))</f>
        <v>861.87000000000262</v>
      </c>
      <c r="M5" s="294">
        <f>(IF('Section Load'!N8&gt;0,'Section Load'!N8,0))</f>
        <v>102</v>
      </c>
      <c r="N5" s="294">
        <f>(IF('Section Load'!O8&gt;0,'Section Load'!O8,0))</f>
        <v>3</v>
      </c>
      <c r="O5" s="294">
        <f>(IF('Section Load'!P8&gt;0,'Section Load'!P8,0))</f>
        <v>1.1999999999970896</v>
      </c>
      <c r="P5" s="294">
        <f>(IF('Section Load'!Q8&gt;0,'Section Load'!Q8,0))</f>
        <v>187.95999999999913</v>
      </c>
      <c r="Q5" s="294">
        <f>(IF('Section Load'!R8&gt;0,'Section Load'!R8,0))</f>
        <v>65.520000000000437</v>
      </c>
      <c r="R5" s="294">
        <f>(IF('Section Load'!S8&gt;0,'Section Load'!S8,0))</f>
        <v>14.8100000000004</v>
      </c>
      <c r="S5" s="294">
        <f>(IF('Section Load'!T8&gt;0,'Section Load'!T8,0))</f>
        <v>381</v>
      </c>
      <c r="T5" s="294">
        <f>(IF('Section Load'!U8&gt;0,'Section Load'!U8,0))</f>
        <v>212</v>
      </c>
      <c r="U5" s="294">
        <f>(IF('Section Load'!V8&gt;0,'Section Load'!V8,0))</f>
        <v>396.43999999994412</v>
      </c>
      <c r="V5" s="294">
        <f>(IF('Section Load'!W8&gt;0,'Section Load'!W8,0))</f>
        <v>309.43999999994412</v>
      </c>
      <c r="W5" s="294">
        <f>(IF('Section Load'!X8&gt;0,'Section Load'!X8,0))</f>
        <v>27.959999999999582</v>
      </c>
      <c r="X5" s="294">
        <f>(IF('Section Load'!Y8&gt;0,'Section Load'!Y8,0))</f>
        <v>201.18000000000029</v>
      </c>
      <c r="Y5" s="294">
        <f>(IF('Section Load'!Z8&gt;0,'Section Load'!Z8,0))</f>
        <v>257</v>
      </c>
      <c r="Z5" s="294">
        <f>(IF('Section Load'!AA8&gt;0,'Section Load'!AA8,0))</f>
        <v>57.239999999990687</v>
      </c>
      <c r="AA5" s="294">
        <f>(IF('Section Load'!AB8&gt;0,'Section Load'!AB8,0))</f>
        <v>34</v>
      </c>
      <c r="AB5" s="294">
        <f>(IF('Section Load'!AC8&gt;0,'Section Load'!AC8,0))</f>
        <v>0</v>
      </c>
      <c r="AC5" s="294">
        <f>(IF('Section Load'!AD8&gt;0,'Section Load'!AD8,0))</f>
        <v>33.099999999993997</v>
      </c>
      <c r="AD5" s="294">
        <f>(IF('Section Load'!AE8&gt;0,'Section Load'!AE8,0))</f>
        <v>8.07</v>
      </c>
      <c r="AE5" s="294">
        <f>(IF('Section Load'!AF8&gt;0,'Section Load'!AF8,0))</f>
        <v>77.290000000000418</v>
      </c>
      <c r="AF5" s="294">
        <f>(IF('Section Load'!AG8&gt;0,'Section Load'!AG8,0))</f>
        <v>342.33999999999651</v>
      </c>
      <c r="AG5" s="294">
        <f>(IF('Section Load'!AH8&gt;0,'Section Load'!AH8,0))</f>
        <v>410.06000000002678</v>
      </c>
      <c r="AH5" s="294">
        <f>(IF('Section Load'!AI8&gt;0,'Section Load'!AI8,0))</f>
        <v>427.38999999999942</v>
      </c>
      <c r="AI5" s="294">
        <f>(IF('Section Load'!AJ8&gt;0,'Section Load'!AJ8,0))</f>
        <v>720.55999999999767</v>
      </c>
      <c r="AJ5" s="294">
        <f>(IF('Section Load'!AK8&gt;0,'Section Load'!AK8,0))</f>
        <v>251.76000000000931</v>
      </c>
      <c r="AK5" s="294">
        <f>(IF('Section Load'!AL8&gt;0,'Section Load'!AL8,0))</f>
        <v>260.30999999999767</v>
      </c>
      <c r="AL5" s="294">
        <f>(IF('Section Load'!AM8&gt;0,'Section Load'!AM8,0))</f>
        <v>690.82999999998719</v>
      </c>
      <c r="AM5" s="295">
        <f>(IF('Water Report'!$G$7&gt;0,'Water Report'!$F$7,0))</f>
        <v>74</v>
      </c>
      <c r="AN5" s="295">
        <f>(IF('Water Report'!$G$8&gt;0,'Water Report'!$F$8,0))</f>
        <v>132</v>
      </c>
      <c r="AO5" s="295">
        <f>(IF('Water Report'!$G$9&gt;0,'Water Report'!$H$9,0))</f>
        <v>100</v>
      </c>
      <c r="AP5" s="295">
        <f>(IF('Water Report'!$G$10&gt;0,'Water Report'!$G$10,0))</f>
        <v>30</v>
      </c>
      <c r="AQ5" s="295">
        <f>(IF('Water Report'!$G$11&gt;0,'Water Report'!$G$11,0))</f>
        <v>25</v>
      </c>
      <c r="AR5" s="295">
        <f>(IF('Water Report'!$G$13&gt;0,'Water Report'!$G$13,0))</f>
        <v>28</v>
      </c>
      <c r="AS5" s="295">
        <f>(IF('Water Report'!$G$14&gt;0,'Water Report'!$G$14,0))</f>
        <v>7</v>
      </c>
      <c r="AT5" s="295">
        <f>(IF('Water Report'!$G$15&gt;0,'Water Report'!$G$15,0))</f>
        <v>9</v>
      </c>
      <c r="AU5" s="295">
        <f>(IF('Water Report'!$G$17&gt;0,'Water Report'!$G$17,0))</f>
        <v>0</v>
      </c>
      <c r="AV5" s="295">
        <f>(IF('Water Report'!$G$18&gt;0,'Water Report'!$G$18,0))</f>
        <v>12</v>
      </c>
      <c r="AW5" s="295">
        <f>(IF('Water Report'!$G$19&gt;0,'Water Report'!$G$19,0))</f>
        <v>10</v>
      </c>
      <c r="AX5" s="301">
        <f>(IF('Water Report'!$G$21&gt;0,'Water Report'!$G$21,0))</f>
        <v>87</v>
      </c>
      <c r="AY5" s="301">
        <f>(IF('Water Report'!$G$22&gt;0,'Water Report'!$G$22,0))</f>
        <v>23</v>
      </c>
      <c r="AZ5" s="301">
        <f>(IF('Water Report'!$G$23&gt;0,'Water Report'!$G$23,0))</f>
        <v>10</v>
      </c>
      <c r="BA5" s="301">
        <f>(IF('Water Report'!$G$14&gt;0,'Water Report'!$G$14,0))</f>
        <v>7</v>
      </c>
      <c r="BB5" s="301">
        <f>(IF('Water Report'!$G$15&gt;0,'Water Report'!$G$15,0))</f>
        <v>9</v>
      </c>
      <c r="BC5" s="301">
        <f>(IF('Water Report'!$G$13&gt;0,'Water Report'!$G$13,0))</f>
        <v>28</v>
      </c>
      <c r="BD5" s="301">
        <f>(IF('Water Report'!$G$24&gt;0,'Water Report'!$G$24,0))</f>
        <v>261</v>
      </c>
      <c r="BE5" s="301">
        <f>(IF('Water Report'!$G$25&gt;0,'Water Report'!$G$25,0))</f>
        <v>158</v>
      </c>
      <c r="BF5" s="301">
        <f>(IF('Water Report'!$G$27&gt;0,'Water Report'!$G$27,0))</f>
        <v>125</v>
      </c>
      <c r="BG5" s="296">
        <f>(IF('Section Load'!AN8&gt;0,'Section Load'!AN8,0))</f>
        <v>997.95200000004843</v>
      </c>
      <c r="BH5" s="296">
        <f>(IF('Section Load'!AO8&gt;0,'Section Load'!AO8,0))</f>
        <v>297.04000000003725</v>
      </c>
      <c r="BI5" s="296">
        <f>(IF('Section Load'!AP8&gt;0,'Section Load'!AP8,0))</f>
        <v>0</v>
      </c>
      <c r="BJ5" s="296">
        <f>(IF('Section Load'!AQ8&gt;0,'Section Load'!AQ8,0))</f>
        <v>150.01000000000931</v>
      </c>
      <c r="BK5" s="296">
        <f>(IF('Section Load'!AR8&gt;0,'Section Load'!AR8,0))</f>
        <v>47.900000000001455</v>
      </c>
      <c r="BL5" s="296">
        <f>(IF('Section Load'!AS8&gt;0,'Section Load'!AS8,0))</f>
        <v>2.3000000000010914</v>
      </c>
      <c r="BM5" s="296">
        <f>(IF('Section Load'!AT8&gt;0,'Section Load'!AT8,0))</f>
        <v>500.70199999999932</v>
      </c>
    </row>
    <row r="6" spans="1:65" x14ac:dyDescent="0.25">
      <c r="A6" s="287" t="s">
        <v>268</v>
      </c>
      <c r="B6" s="288">
        <f t="shared" si="0"/>
        <v>5</v>
      </c>
      <c r="C6" s="288">
        <v>2</v>
      </c>
      <c r="D6" s="288">
        <v>2022</v>
      </c>
      <c r="E6" s="294">
        <f>(IF('Section Load'!F9&gt;0,'Section Load'!F9,0))</f>
        <v>2888.9999999999964</v>
      </c>
      <c r="F6" s="294">
        <f>(IF('Section Load'!G9&gt;0,'Section Load'!G9,0))</f>
        <v>1683.9199999999983</v>
      </c>
      <c r="G6" s="294">
        <f>(IF('Section Load'!H9&gt;0,'Section Load'!H9,0))</f>
        <v>1939.4400000000023</v>
      </c>
      <c r="H6" s="294">
        <f>(IF('Section Load'!I9&gt;0,'Section Load'!I9,0))</f>
        <v>2758.0200000000041</v>
      </c>
      <c r="I6" s="294">
        <f>(IF('Section Load'!J9&gt;0,'Section Load'!J9,0))</f>
        <v>3196.3899999999994</v>
      </c>
      <c r="J6" s="294">
        <f>(IF('Section Load'!K9&gt;0,'Section Load'!K9,0))</f>
        <v>2237.7600000000093</v>
      </c>
      <c r="K6" s="294">
        <f>(IF('Section Load'!L9&gt;0,'Section Load'!L9,0))</f>
        <v>1526.75</v>
      </c>
      <c r="L6" s="294">
        <f>(IF('Section Load'!M9&gt;0,'Section Load'!M9,0))</f>
        <v>1353.260000000002</v>
      </c>
      <c r="M6" s="294">
        <f>(IF('Section Load'!N9&gt;0,'Section Load'!N9,0))</f>
        <v>97</v>
      </c>
      <c r="N6" s="294">
        <f>(IF('Section Load'!O9&gt;0,'Section Load'!O9,0))</f>
        <v>11</v>
      </c>
      <c r="O6" s="294">
        <f>(IF('Section Load'!P9&gt;0,'Section Load'!P9,0))</f>
        <v>1.1999999999970896</v>
      </c>
      <c r="P6" s="294">
        <f>(IF('Section Load'!Q9&gt;0,'Section Load'!Q9,0))</f>
        <v>186.5</v>
      </c>
      <c r="Q6" s="294">
        <f>(IF('Section Load'!R9&gt;0,'Section Load'!R9,0))</f>
        <v>68.260000000002037</v>
      </c>
      <c r="R6" s="294">
        <f>(IF('Section Load'!S9&gt;0,'Section Load'!S9,0))</f>
        <v>8.2599999999993088</v>
      </c>
      <c r="S6" s="294">
        <f>(IF('Section Load'!T9&gt;0,'Section Load'!T9,0))</f>
        <v>450</v>
      </c>
      <c r="T6" s="294">
        <f>(IF('Section Load'!U9&gt;0,'Section Load'!U9,0))</f>
        <v>213</v>
      </c>
      <c r="U6" s="294">
        <f>(IF('Section Load'!V9&gt;0,'Section Load'!V9,0))</f>
        <v>414.56000000005588</v>
      </c>
      <c r="V6" s="294">
        <f>(IF('Section Load'!W9&gt;0,'Section Load'!W9,0))</f>
        <v>385.44000000006054</v>
      </c>
      <c r="W6" s="294">
        <f>(IF('Section Load'!X9&gt;0,'Section Load'!X9,0))</f>
        <v>27.8100000000004</v>
      </c>
      <c r="X6" s="294">
        <f>(IF('Section Load'!Y9&gt;0,'Section Load'!Y9,0))</f>
        <v>243.92000000000007</v>
      </c>
      <c r="Y6" s="294">
        <f>(IF('Section Load'!Z9&gt;0,'Section Load'!Z9,0))</f>
        <v>255</v>
      </c>
      <c r="Z6" s="294">
        <f>(IF('Section Load'!AA9&gt;0,'Section Load'!AA9,0))</f>
        <v>56.520000000018626</v>
      </c>
      <c r="AA6" s="294">
        <f>(IF('Section Load'!AB9&gt;0,'Section Load'!AB9,0))</f>
        <v>33.899999999994179</v>
      </c>
      <c r="AB6" s="294">
        <f>(IF('Section Load'!AC9&gt;0,'Section Load'!AC9,0))</f>
        <v>0</v>
      </c>
      <c r="AC6" s="294">
        <f>(IF('Section Load'!AD9&gt;0,'Section Load'!AD9,0))</f>
        <v>33.5</v>
      </c>
      <c r="AD6" s="294">
        <f>(IF('Section Load'!AE9&gt;0,'Section Load'!AE9,0))</f>
        <v>27.28</v>
      </c>
      <c r="AE6" s="294">
        <f>(IF('Section Load'!AF9&gt;0,'Section Load'!AF9,0))</f>
        <v>109.17999999999984</v>
      </c>
      <c r="AF6" s="294">
        <f>(IF('Section Load'!AG9&gt;0,'Section Load'!AG9,0))</f>
        <v>341.54000000000815</v>
      </c>
      <c r="AG6" s="294">
        <f>(IF('Section Load'!AH9&gt;0,'Section Load'!AH9,0))</f>
        <v>387.07999999998719</v>
      </c>
      <c r="AH6" s="294">
        <f>(IF('Section Load'!AI9&gt;0,'Section Load'!AI9,0))</f>
        <v>409.87000000000262</v>
      </c>
      <c r="AI6" s="294">
        <f>(IF('Section Load'!AJ9&gt;0,'Section Load'!AJ9,0))</f>
        <v>720.76000000000931</v>
      </c>
      <c r="AJ6" s="294">
        <f>(IF('Section Load'!AK9&gt;0,'Section Load'!AK9,0))</f>
        <v>259.33000000000175</v>
      </c>
      <c r="AK6" s="294">
        <f>(IF('Section Load'!AL9&gt;0,'Section Load'!AL9,0))</f>
        <v>248.3300000000163</v>
      </c>
      <c r="AL6" s="294">
        <f>(IF('Section Load'!AM9&gt;0,'Section Load'!AM9,0))</f>
        <v>692.97000000000116</v>
      </c>
      <c r="AM6" s="295">
        <f>(IF('Water Report'!$H$7&gt;0,'Water Report'!$H$7,0))</f>
        <v>136</v>
      </c>
      <c r="AN6" s="295">
        <f>(IF('Water Report'!$H$8&gt;0,'Water Report'!$H$8,0))</f>
        <v>128</v>
      </c>
      <c r="AO6" s="295">
        <f>(IF('Water Report'!$H$9&gt;0,'Water Report'!$H$9,0))</f>
        <v>100</v>
      </c>
      <c r="AP6" s="295">
        <f>(IF('Water Report'!$H$10&gt;0,'Water Report'!$H$10,0))</f>
        <v>48</v>
      </c>
      <c r="AQ6" s="295">
        <f>(IF('Water Report'!$H$11&gt;0,'Water Report'!$H$11,0))</f>
        <v>26</v>
      </c>
      <c r="AR6" s="295">
        <f>(IF('Water Report'!$H$13&gt;0,'Water Report'!$H$13,0))</f>
        <v>33</v>
      </c>
      <c r="AS6" s="295">
        <f>(IF('Water Report'!$H$14&gt;0,'Water Report'!$H$14,0))</f>
        <v>8</v>
      </c>
      <c r="AT6" s="295">
        <f>(IF('Water Report'!$H$15&gt;0,'Water Report'!$H$15,0))</f>
        <v>9</v>
      </c>
      <c r="AU6" s="295">
        <f>(IF('Water Report'!$H$17&gt;0,'Water Report'!$H$17,0))</f>
        <v>0</v>
      </c>
      <c r="AV6" s="295">
        <f>(IF('Water Report'!$H$18&gt;0,'Water Report'!$H$18,0))</f>
        <v>15</v>
      </c>
      <c r="AW6" s="295">
        <f>(IF('Water Report'!$H$19&gt;0,'Water Report'!$H$19,0))</f>
        <v>11</v>
      </c>
      <c r="AX6" s="301">
        <f>(IF('Water Report'!$H$21&gt;0,'Water Report'!$H$21,0))</f>
        <v>64</v>
      </c>
      <c r="AY6" s="301">
        <f>(IF('Water Report'!$H$22&gt;0,'Water Report'!$H$22,0))</f>
        <v>32</v>
      </c>
      <c r="AZ6" s="301">
        <f>(IF('Water Report'!$H$23&gt;0,'Water Report'!$H$23,0))</f>
        <v>17</v>
      </c>
      <c r="BA6" s="301">
        <f>(IF('Water Report'!$H$14&gt;0,'Water Report'!$H$14,0))</f>
        <v>8</v>
      </c>
      <c r="BB6" s="301">
        <f>(IF('Water Report'!$H$15&gt;0,'Water Report'!$H$15,0))</f>
        <v>9</v>
      </c>
      <c r="BC6" s="301">
        <f>(IF('Water Report'!$H$13&gt;0,'Water Report'!$H$13,0))</f>
        <v>33</v>
      </c>
      <c r="BD6" s="301">
        <f>(IF('Water Report'!$H$24&gt;0,'Water Report'!$H$24,0))</f>
        <v>294</v>
      </c>
      <c r="BE6" s="301">
        <f>(IF('Water Report'!$H$25&gt;0,'Water Report'!$H$25,0))</f>
        <v>191</v>
      </c>
      <c r="BF6" s="301">
        <f>(IF('Water Report'!$H$27&gt;0,'Water Report'!$H$27,0))</f>
        <v>114</v>
      </c>
      <c r="BG6" s="296">
        <f>(IF('Section Load'!AN9&gt;0,'Section Load'!AN9,0))</f>
        <v>1047.8699999998789</v>
      </c>
      <c r="BH6" s="296">
        <f>(IF('Section Load'!AO9&gt;0,'Section Load'!AO9,0))</f>
        <v>284.73999999999069</v>
      </c>
      <c r="BI6" s="296">
        <f>(IF('Section Load'!AP9&gt;0,'Section Load'!AP9,0))</f>
        <v>0</v>
      </c>
      <c r="BJ6" s="296">
        <f>(IF('Section Load'!AQ9&gt;0,'Section Load'!AQ9,0))</f>
        <v>134</v>
      </c>
      <c r="BK6" s="296">
        <f>(IF('Section Load'!AR9&gt;0,'Section Load'!AR9,0))</f>
        <v>59.799999999995634</v>
      </c>
      <c r="BL6" s="296">
        <f>(IF('Section Load'!AS9&gt;0,'Section Load'!AS9,0))</f>
        <v>2.1999999999989086</v>
      </c>
      <c r="BM6" s="296">
        <f>(IF('Section Load'!AT9&gt;0,'Section Load'!AT9,0))</f>
        <v>567.1299999998937</v>
      </c>
    </row>
    <row r="7" spans="1:65" x14ac:dyDescent="0.25">
      <c r="A7" s="287" t="s">
        <v>268</v>
      </c>
      <c r="B7" s="288">
        <f t="shared" si="0"/>
        <v>6</v>
      </c>
      <c r="C7" s="288">
        <v>2</v>
      </c>
      <c r="D7" s="288">
        <v>2022</v>
      </c>
      <c r="E7" s="294">
        <f>(IF('Section Load'!F10&gt;0,'Section Load'!F10,0))</f>
        <v>3019.2900000000009</v>
      </c>
      <c r="F7" s="294">
        <f>(IF('Section Load'!G10&gt;0,'Section Load'!G10,0))</f>
        <v>1645.6599999999962</v>
      </c>
      <c r="G7" s="294">
        <f>(IF('Section Load'!H10&gt;0,'Section Load'!H10,0))</f>
        <v>1915.0299999999988</v>
      </c>
      <c r="H7" s="294">
        <f>(IF('Section Load'!I10&gt;0,'Section Load'!I10,0))</f>
        <v>2776.5599999999977</v>
      </c>
      <c r="I7" s="294">
        <f>(IF('Section Load'!J10&gt;0,'Section Load'!J10,0))</f>
        <v>3426.9199999999983</v>
      </c>
      <c r="J7" s="294">
        <f>(IF('Section Load'!K10&gt;0,'Section Load'!K10,0))</f>
        <v>2145.3499999999913</v>
      </c>
      <c r="K7" s="294">
        <f>(IF('Section Load'!L10&gt;0,'Section Load'!L10,0))</f>
        <v>1272.5999999999985</v>
      </c>
      <c r="L7" s="294">
        <f>(IF('Section Load'!M10&gt;0,'Section Load'!M10,0))</f>
        <v>902.15999999999622</v>
      </c>
      <c r="M7" s="294">
        <f>(IF('Section Load'!N10&gt;0,'Section Load'!N10,0))</f>
        <v>89</v>
      </c>
      <c r="N7" s="294">
        <f>(IF('Section Load'!O10&gt;0,'Section Load'!O10,0))</f>
        <v>5</v>
      </c>
      <c r="O7" s="294">
        <f>(IF('Section Load'!P10&gt;0,'Section Load'!P10,0))</f>
        <v>0.80000000000291038</v>
      </c>
      <c r="P7" s="294">
        <f>(IF('Section Load'!Q10&gt;0,'Section Load'!Q10,0))</f>
        <v>166.01000000000204</v>
      </c>
      <c r="Q7" s="294">
        <f>(IF('Section Load'!R10&gt;0,'Section Load'!R10,0))</f>
        <v>66.869999999998981</v>
      </c>
      <c r="R7" s="294">
        <f>(IF('Section Load'!S10&gt;0,'Section Load'!S10,0))</f>
        <v>7.180000000000291</v>
      </c>
      <c r="S7" s="294">
        <f>(IF('Section Load'!T10&gt;0,'Section Load'!T10,0))</f>
        <v>456</v>
      </c>
      <c r="T7" s="294">
        <f>(IF('Section Load'!U10&gt;0,'Section Load'!U10,0))</f>
        <v>212</v>
      </c>
      <c r="U7" s="294">
        <f>(IF('Section Load'!V10&gt;0,'Section Load'!V10,0))</f>
        <v>394.1600000000326</v>
      </c>
      <c r="V7" s="294">
        <f>(IF('Section Load'!W10&gt;0,'Section Load'!W10,0))</f>
        <v>355.52000000001863</v>
      </c>
      <c r="W7" s="294">
        <f>(IF('Section Load'!X10&gt;0,'Section Load'!X10,0))</f>
        <v>29.339999999999691</v>
      </c>
      <c r="X7" s="294">
        <f>(IF('Section Load'!Y10&gt;0,'Section Load'!Y10,0))</f>
        <v>227.27999999999975</v>
      </c>
      <c r="Y7" s="294">
        <f>(IF('Section Load'!Z10&gt;0,'Section Load'!Z10,0))</f>
        <v>241</v>
      </c>
      <c r="Z7" s="294">
        <f>(IF('Section Load'!AA10&gt;0,'Section Load'!AA10,0))</f>
        <v>31.840000000025611</v>
      </c>
      <c r="AA7" s="294">
        <f>(IF('Section Load'!AB10&gt;0,'Section Load'!AB10,0))</f>
        <v>18.100000000005821</v>
      </c>
      <c r="AB7" s="294">
        <f>(IF('Section Load'!AC10&gt;0,'Section Load'!AC10,0))</f>
        <v>0</v>
      </c>
      <c r="AC7" s="294">
        <f>(IF('Section Load'!AD10&gt;0,'Section Load'!AD10,0))</f>
        <v>34.600000000005821</v>
      </c>
      <c r="AD7" s="294">
        <f>(IF('Section Load'!AE10&gt;0,'Section Load'!AE10,0))</f>
        <v>236.35</v>
      </c>
      <c r="AE7" s="294">
        <f>(IF('Section Load'!AF10&gt;0,'Section Load'!AF10,0))</f>
        <v>118.32000000000016</v>
      </c>
      <c r="AF7" s="294">
        <f>(IF('Section Load'!AG10&gt;0,'Section Load'!AG10,0))</f>
        <v>326.33999999999651</v>
      </c>
      <c r="AG7" s="294">
        <f>(IF('Section Load'!AH10&gt;0,'Section Load'!AH10,0))</f>
        <v>386.94000000000233</v>
      </c>
      <c r="AH7" s="294">
        <f>(IF('Section Load'!AI10&gt;0,'Section Load'!AI10,0))</f>
        <v>394</v>
      </c>
      <c r="AI7" s="294">
        <f>(IF('Section Load'!AJ10&gt;0,'Section Load'!AJ10,0))</f>
        <v>732.44000000000233</v>
      </c>
      <c r="AJ7" s="294">
        <f>(IF('Section Load'!AK10&gt;0,'Section Load'!AK10,0))</f>
        <v>222.33000000000175</v>
      </c>
      <c r="AK7" s="294">
        <f>(IF('Section Load'!AL10&gt;0,'Section Load'!AL10,0))</f>
        <v>250.45999999999185</v>
      </c>
      <c r="AL7" s="294">
        <f>(IF('Section Load'!AM10&gt;0,'Section Load'!AM10,0))</f>
        <v>622.38999999999942</v>
      </c>
      <c r="AM7" s="295">
        <f>(IF('Water Report'!$I$7&gt;0,'Water Report'!$I$7,0))</f>
        <v>143</v>
      </c>
      <c r="AN7" s="295">
        <f>(IF('Water Report'!$I$8&gt;0,'Water Report'!$I$8,0))</f>
        <v>132</v>
      </c>
      <c r="AO7" s="295">
        <f>(IF('Water Report'!$I$9&gt;0,'Water Report'!$I$9,0))</f>
        <v>110</v>
      </c>
      <c r="AP7" s="295">
        <f>(IF('Water Report'!$I$10&gt;0,'Water Report'!$I$10,0))</f>
        <v>26</v>
      </c>
      <c r="AQ7" s="295">
        <f>(IF('Water Report'!$I$11&gt;0,'Water Report'!$I$11,0))</f>
        <v>31</v>
      </c>
      <c r="AR7" s="295">
        <f>(IF('Water Report'!$I$13&gt;0,'Water Report'!$I$13,0))</f>
        <v>56</v>
      </c>
      <c r="AS7" s="295">
        <f>(IF('Water Report'!$I$14&gt;0,'Water Report'!$I$14,0))</f>
        <v>11</v>
      </c>
      <c r="AT7" s="295">
        <f>(IF('Water Report'!$I$15&gt;0,'Water Report'!$I$15,0))</f>
        <v>9</v>
      </c>
      <c r="AU7" s="295">
        <f>(IF('Water Report'!$I$17&gt;0,'Water Report'!$I$17,0))</f>
        <v>0</v>
      </c>
      <c r="AV7" s="295">
        <f>(IF('Water Report'!$I$18&gt;0,'Water Report'!$I$18,0))</f>
        <v>16</v>
      </c>
      <c r="AW7" s="295">
        <f>(IF('Water Report'!$I$19&gt;0,'Water Report'!$I$19,0))</f>
        <v>11</v>
      </c>
      <c r="AX7" s="301">
        <f>(IF('Water Report'!$I$21&gt;0,'Water Report'!$I$21,0))</f>
        <v>41</v>
      </c>
      <c r="AY7" s="301">
        <f>(IF('Water Report'!$I$22&gt;0,'Water Report'!$I$22,0))</f>
        <v>70</v>
      </c>
      <c r="AZ7" s="301">
        <f>(IF('Water Report'!$I$23&gt;0,'Water Report'!$I$23,0))</f>
        <v>0</v>
      </c>
      <c r="BA7" s="301">
        <f>(IF('Water Report'!$I$14&gt;0,'Water Report'!$I$14,0))</f>
        <v>11</v>
      </c>
      <c r="BB7" s="301">
        <f>(IF('Water Report'!$I$15&gt;0,'Water Report'!$I$15,0))</f>
        <v>9</v>
      </c>
      <c r="BC7" s="301">
        <f>(IF('Water Report'!$I$13&gt;0,'Water Report'!$I$13,0))</f>
        <v>56</v>
      </c>
      <c r="BD7" s="301">
        <f>(IF('Water Report'!$I$24&gt;0,'Water Report'!$I$24,0))</f>
        <v>275</v>
      </c>
      <c r="BE7" s="301">
        <f>(IF('Water Report'!$I$25&gt;0,'Water Report'!$I$25,0))</f>
        <v>187</v>
      </c>
      <c r="BF7" s="301">
        <f>(IF('Water Report'!$I$27&gt;0,'Water Report'!$I$27,0))</f>
        <v>97</v>
      </c>
      <c r="BG7" s="296">
        <f>(IF('Section Load'!AN10&gt;0,'Section Load'!AN10,0))</f>
        <v>1049.5</v>
      </c>
      <c r="BH7" s="296">
        <f>(IF('Section Load'!AO10&gt;0,'Section Load'!AO10,0))</f>
        <v>303.77999999991152</v>
      </c>
      <c r="BI7" s="296">
        <f>(IF('Section Load'!AP10&gt;0,'Section Load'!AP10,0))</f>
        <v>0</v>
      </c>
      <c r="BJ7" s="296">
        <f>(IF('Section Load'!AQ10&gt;0,'Section Load'!AQ10,0))</f>
        <v>109.80999999999767</v>
      </c>
      <c r="BK7" s="296">
        <f>(IF('Section Load'!AR10&gt;0,'Section Load'!AR10,0))</f>
        <v>45.5</v>
      </c>
      <c r="BL7" s="296">
        <f>(IF('Section Load'!AS10&gt;0,'Section Load'!AS10,0))</f>
        <v>1.3000000000010914</v>
      </c>
      <c r="BM7" s="296">
        <f>(IF('Section Load'!AT10&gt;0,'Section Load'!AT10,0))</f>
        <v>589.11000000008971</v>
      </c>
    </row>
    <row r="8" spans="1:65" x14ac:dyDescent="0.25">
      <c r="A8" s="287" t="s">
        <v>268</v>
      </c>
      <c r="B8" s="288">
        <f t="shared" si="0"/>
        <v>7</v>
      </c>
      <c r="C8" s="288">
        <v>2</v>
      </c>
      <c r="D8" s="288">
        <v>2022</v>
      </c>
      <c r="E8" s="294">
        <f>(IF('Section Load'!F11&gt;0,'Section Load'!F11,0))</f>
        <v>3100.3399999999965</v>
      </c>
      <c r="F8" s="294">
        <f>(IF('Section Load'!G11&gt;0,'Section Load'!G11,0))</f>
        <v>1658.8400000000038</v>
      </c>
      <c r="G8" s="294">
        <f>(IF('Section Load'!H11&gt;0,'Section Load'!H11,0))</f>
        <v>2017.739999999998</v>
      </c>
      <c r="H8" s="294">
        <f>(IF('Section Load'!I11&gt;0,'Section Load'!I11,0))</f>
        <v>3066.4900000000052</v>
      </c>
      <c r="I8" s="294">
        <f>(IF('Section Load'!J11&gt;0,'Section Load'!J11,0))</f>
        <v>4458.75</v>
      </c>
      <c r="J8" s="294">
        <f>(IF('Section Load'!K11&gt;0,'Section Load'!K11,0))</f>
        <v>2208.6800000000076</v>
      </c>
      <c r="K8" s="294">
        <f>(IF('Section Load'!L11&gt;0,'Section Load'!L11,0))</f>
        <v>1415.6200000000026</v>
      </c>
      <c r="L8" s="294">
        <f>(IF('Section Load'!M11&gt;0,'Section Load'!M11,0))</f>
        <v>840.56999999999971</v>
      </c>
      <c r="M8" s="294">
        <f>(IF('Section Load'!N11&gt;0,'Section Load'!N11,0))</f>
        <v>80</v>
      </c>
      <c r="N8" s="294">
        <f>(IF('Section Load'!O11&gt;0,'Section Load'!O11,0))</f>
        <v>33</v>
      </c>
      <c r="O8" s="294">
        <f>(IF('Section Load'!P11&gt;0,'Section Load'!P11,0))</f>
        <v>1</v>
      </c>
      <c r="P8" s="294">
        <f>(IF('Section Load'!Q11&gt;0,'Section Load'!Q11,0))</f>
        <v>180.29000000000087</v>
      </c>
      <c r="Q8" s="294">
        <f>(IF('Section Load'!R11&gt;0,'Section Load'!R11,0))</f>
        <v>74.799999999999272</v>
      </c>
      <c r="R8" s="294">
        <f>(IF('Section Load'!S11&gt;0,'Section Load'!S11,0))</f>
        <v>12.600000000000364</v>
      </c>
      <c r="S8" s="294">
        <f>(IF('Section Load'!T11&gt;0,'Section Load'!T11,0))</f>
        <v>464</v>
      </c>
      <c r="T8" s="294">
        <f>(IF('Section Load'!U11&gt;0,'Section Load'!U11,0))</f>
        <v>217</v>
      </c>
      <c r="U8" s="294">
        <f>(IF('Section Load'!V11&gt;0,'Section Load'!V11,0))</f>
        <v>413.27999999991152</v>
      </c>
      <c r="V8" s="294">
        <f>(IF('Section Load'!W11&gt;0,'Section Load'!W11,0))</f>
        <v>328.47999999998137</v>
      </c>
      <c r="W8" s="294">
        <f>(IF('Section Load'!X11&gt;0,'Section Load'!X11,0))</f>
        <v>26.360000000000127</v>
      </c>
      <c r="X8" s="294">
        <f>(IF('Section Load'!Y11&gt;0,'Section Load'!Y11,0))</f>
        <v>195.38000000000011</v>
      </c>
      <c r="Y8" s="294">
        <f>(IF('Section Load'!Z11&gt;0,'Section Load'!Z11,0))</f>
        <v>251</v>
      </c>
      <c r="Z8" s="294">
        <f>(IF('Section Load'!AA11&gt;0,'Section Load'!AA11,0))</f>
        <v>38.599999999976717</v>
      </c>
      <c r="AA8" s="294">
        <f>(IF('Section Load'!AB11&gt;0,'Section Load'!AB11,0))</f>
        <v>39.399999999994179</v>
      </c>
      <c r="AB8" s="294">
        <f>(IF('Section Load'!AC11&gt;0,'Section Load'!AC11,0))</f>
        <v>0</v>
      </c>
      <c r="AC8" s="294">
        <f>(IF('Section Load'!AD11&gt;0,'Section Load'!AD11,0))</f>
        <v>37.200000000003456</v>
      </c>
      <c r="AD8" s="294">
        <f>(IF('Section Load'!AE11&gt;0,'Section Load'!AE11,0))</f>
        <v>370.46999999999997</v>
      </c>
      <c r="AE8" s="294">
        <f>(IF('Section Load'!AF11&gt;0,'Section Load'!AF11,0))</f>
        <v>148.92999999999984</v>
      </c>
      <c r="AF8" s="294">
        <f>(IF('Section Load'!AG11&gt;0,'Section Load'!AG11,0))</f>
        <v>355.13999999998487</v>
      </c>
      <c r="AG8" s="294">
        <f>(IF('Section Load'!AH11&gt;0,'Section Load'!AH11,0))</f>
        <v>394.38000000000466</v>
      </c>
      <c r="AH8" s="294">
        <f>(IF('Section Load'!AI11&gt;0,'Section Load'!AI11,0))</f>
        <v>421.58000000000175</v>
      </c>
      <c r="AI8" s="294">
        <f>(IF('Section Load'!AJ11&gt;0,'Section Load'!AJ11,0))</f>
        <v>749.55999999999767</v>
      </c>
      <c r="AJ8" s="294">
        <f>(IF('Section Load'!AK11&gt;0,'Section Load'!AK11,0))</f>
        <v>205.54999999998836</v>
      </c>
      <c r="AK8" s="294">
        <f>(IF('Section Load'!AL11&gt;0,'Section Load'!AL11,0))</f>
        <v>250.39999999999418</v>
      </c>
      <c r="AL8" s="294">
        <f>(IF('Section Load'!AM11&gt;0,'Section Load'!AM11,0))</f>
        <v>677.02999999999884</v>
      </c>
      <c r="AM8" s="295">
        <f>(IF('Water Report'!$J$7&gt;0,'Water Report'!$J$7,0))</f>
        <v>142</v>
      </c>
      <c r="AN8" s="295">
        <f>(IF('Water Report'!$J$8&gt;0,'Water Report'!$J$8,0))</f>
        <v>124</v>
      </c>
      <c r="AO8" s="295">
        <f>(IF('Water Report'!$J$9&gt;0,'Water Report'!$J$9,0))</f>
        <v>96</v>
      </c>
      <c r="AP8" s="295">
        <f>(IF('Water Report'!$J$10&gt;0,'Water Report'!$J$10,0))</f>
        <v>21</v>
      </c>
      <c r="AQ8" s="295">
        <f>(IF('Water Report'!$J$11&gt;0,'Water Report'!$J$11,0))</f>
        <v>30</v>
      </c>
      <c r="AR8" s="295">
        <f>(IF('Water Report'!$J$13&gt;0,'Water Report'!$J$13,0))</f>
        <v>43</v>
      </c>
      <c r="AS8" s="295">
        <f>(IF('Water Report'!$J$14&gt;0,'Water Report'!$J$14,0))</f>
        <v>15</v>
      </c>
      <c r="AT8" s="295">
        <f>(IF('Water Report'!$J$15&gt;0,'Water Report'!$J$15,0))</f>
        <v>23</v>
      </c>
      <c r="AU8" s="295">
        <f>(IF('Water Report'!$J$17&gt;0,'Water Report'!$J$17,0))</f>
        <v>0</v>
      </c>
      <c r="AV8" s="295">
        <f>(IF('Water Report'!$J$18&gt;0,'Water Report'!$J$18,0))</f>
        <v>14</v>
      </c>
      <c r="AW8" s="295">
        <f>(IF('Water Report'!$J$19&gt;0,'Water Report'!$J$19,0))</f>
        <v>10</v>
      </c>
      <c r="AX8" s="301">
        <f>(IF('Water Report'!$J$21&gt;0,'Water Report'!$J$21,0))</f>
        <v>68</v>
      </c>
      <c r="AY8" s="301">
        <f>(IF('Water Report'!$J$22&gt;0,'Water Report'!$J$22,0))</f>
        <v>45</v>
      </c>
      <c r="AZ8" s="301">
        <f>(IF('Water Report'!$J$23&gt;0,'Water Report'!$J$23,0))</f>
        <v>0</v>
      </c>
      <c r="BA8" s="301">
        <f>(IF('Water Report'!$J$14&gt;0,'Water Report'!$J$14,0))</f>
        <v>15</v>
      </c>
      <c r="BB8" s="301">
        <f>(IF('Water Report'!$J$15&gt;0,'Water Report'!$J$15,0))</f>
        <v>23</v>
      </c>
      <c r="BC8" s="301">
        <f>(IF('Water Report'!$J$13&gt;0,'Water Report'!$J$13,0))</f>
        <v>43</v>
      </c>
      <c r="BD8" s="301">
        <f>(IF('Water Report'!$J$24&gt;0,'Water Report'!$J$24,0))</f>
        <v>242</v>
      </c>
      <c r="BE8" s="301">
        <f>(IF('Water Report'!$J$25&gt;0,'Water Report'!$J$25,0))</f>
        <v>185</v>
      </c>
      <c r="BF8" s="301">
        <f>(IF('Water Report'!$J$27&gt;0,'Water Report'!$J$27,0))</f>
        <v>111</v>
      </c>
      <c r="BG8" s="296">
        <f>(IF('Section Load'!AN11&gt;0,'Section Load'!AN11,0))</f>
        <v>1030.6800000001676</v>
      </c>
      <c r="BH8" s="296">
        <f>(IF('Section Load'!AO11&gt;0,'Section Load'!AO11,0))</f>
        <v>301.6600000000326</v>
      </c>
      <c r="BI8" s="296">
        <f>(IF('Section Load'!AP11&gt;0,'Section Load'!AP11,0))</f>
        <v>0</v>
      </c>
      <c r="BJ8" s="296">
        <f>(IF('Section Load'!AQ11&gt;0,'Section Load'!AQ11,0))</f>
        <v>98.489999999990687</v>
      </c>
      <c r="BK8" s="296">
        <f>(IF('Section Load'!AR11&gt;0,'Section Load'!AR11,0))</f>
        <v>55.900000000001455</v>
      </c>
      <c r="BL8" s="296">
        <f>(IF('Section Load'!AS11&gt;0,'Section Load'!AS11,0))</f>
        <v>0.8999999999996362</v>
      </c>
      <c r="BM8" s="296">
        <f>(IF('Section Load'!AT11&gt;0,'Section Load'!AT11,0))</f>
        <v>573.73000000014326</v>
      </c>
    </row>
    <row r="9" spans="1:65" x14ac:dyDescent="0.25">
      <c r="A9" s="287" t="s">
        <v>268</v>
      </c>
      <c r="B9" s="288">
        <f t="shared" si="0"/>
        <v>8</v>
      </c>
      <c r="C9" s="288">
        <v>2</v>
      </c>
      <c r="D9" s="288">
        <v>2022</v>
      </c>
      <c r="E9" s="294">
        <f>(IF('Section Load'!F12&gt;0,'Section Load'!F12,0))</f>
        <v>3021.0200000000041</v>
      </c>
      <c r="F9" s="294">
        <f>(IF('Section Load'!G12&gt;0,'Section Load'!G12,0))</f>
        <v>1609.0699999999997</v>
      </c>
      <c r="G9" s="294">
        <f>(IF('Section Load'!H12&gt;0,'Section Load'!H12,0))</f>
        <v>1914.6800000000003</v>
      </c>
      <c r="H9" s="294">
        <f>(IF('Section Load'!I12&gt;0,'Section Load'!I12,0))</f>
        <v>2923.2899999999936</v>
      </c>
      <c r="I9" s="294">
        <f>(IF('Section Load'!J12&gt;0,'Section Load'!J12,0))</f>
        <v>4082.4900000000066</v>
      </c>
      <c r="J9" s="294">
        <f>(IF('Section Load'!K12&gt;0,'Section Load'!K12,0))</f>
        <v>2123.6699999999983</v>
      </c>
      <c r="K9" s="294">
        <f>(IF('Section Load'!L12&gt;0,'Section Load'!L12,0))</f>
        <v>1131.1399999999994</v>
      </c>
      <c r="L9" s="294">
        <f>(IF('Section Load'!M12&gt;0,'Section Load'!M12,0))</f>
        <v>799.44000000000233</v>
      </c>
      <c r="M9" s="294">
        <f>(IF('Section Load'!N12&gt;0,'Section Load'!N12,0))</f>
        <v>70</v>
      </c>
      <c r="N9" s="294">
        <f>(IF('Section Load'!O12&gt;0,'Section Load'!O12,0))</f>
        <v>1</v>
      </c>
      <c r="O9" s="294">
        <f>(IF('Section Load'!P12&gt;0,'Section Load'!P12,0))</f>
        <v>2</v>
      </c>
      <c r="P9" s="294">
        <f>(IF('Section Load'!Q12&gt;0,'Section Load'!Q12,0))</f>
        <v>169.13999999999942</v>
      </c>
      <c r="Q9" s="294">
        <f>(IF('Section Load'!R12&gt;0,'Section Load'!R12,0))</f>
        <v>66.200000000000728</v>
      </c>
      <c r="R9" s="294">
        <f>(IF('Section Load'!S12&gt;0,'Section Load'!S12,0))</f>
        <v>14.149999999999636</v>
      </c>
      <c r="S9" s="294">
        <f>(IF('Section Load'!T12&gt;0,'Section Load'!T12,0))</f>
        <v>405</v>
      </c>
      <c r="T9" s="294">
        <f>(IF('Section Load'!U12&gt;0,'Section Load'!U12,0))</f>
        <v>208</v>
      </c>
      <c r="U9" s="294">
        <f>(IF('Section Load'!V12&gt;0,'Section Load'!V12,0))</f>
        <v>426.56000000005588</v>
      </c>
      <c r="V9" s="294">
        <f>(IF('Section Load'!W12&gt;0,'Section Load'!W12,0))</f>
        <v>300.23999999999069</v>
      </c>
      <c r="W9" s="294">
        <f>(IF('Section Load'!X12&gt;0,'Section Load'!X12,0))</f>
        <v>31</v>
      </c>
      <c r="X9" s="294">
        <f>(IF('Section Load'!Y12&gt;0,'Section Load'!Y12,0))</f>
        <v>202.01000000000022</v>
      </c>
      <c r="Y9" s="294">
        <f>(IF('Section Load'!Z12&gt;0,'Section Load'!Z12,0))</f>
        <v>233</v>
      </c>
      <c r="Z9" s="294">
        <f>(IF('Section Load'!AA12&gt;0,'Section Load'!AA12,0))</f>
        <v>44.559999999997672</v>
      </c>
      <c r="AA9" s="294">
        <f>(IF('Section Load'!AB12&gt;0,'Section Load'!AB12,0))</f>
        <v>42.30000000000291</v>
      </c>
      <c r="AB9" s="294">
        <f>(IF('Section Load'!AC12&gt;0,'Section Load'!AC12,0))</f>
        <v>0</v>
      </c>
      <c r="AC9" s="294">
        <f>(IF('Section Load'!AD12&gt;0,'Section Load'!AD12,0))</f>
        <v>46.299999999993815</v>
      </c>
      <c r="AD9" s="294">
        <f>(IF('Section Load'!AE12&gt;0,'Section Load'!AE12,0))</f>
        <v>290.83000000000004</v>
      </c>
      <c r="AE9" s="294">
        <f>(IF('Section Load'!AF12&gt;0,'Section Load'!AF12,0))</f>
        <v>177.53999999999996</v>
      </c>
      <c r="AF9" s="294">
        <f>(IF('Section Load'!AG12&gt;0,'Section Load'!AG12,0))</f>
        <v>372.45000000001164</v>
      </c>
      <c r="AG9" s="294">
        <f>(IF('Section Load'!AH12&gt;0,'Section Load'!AH12,0))</f>
        <v>401.92999999999302</v>
      </c>
      <c r="AH9" s="294">
        <f>(IF('Section Load'!AI12&gt;0,'Section Load'!AI12,0))</f>
        <v>424.23999999999796</v>
      </c>
      <c r="AI9" s="294">
        <f>(IF('Section Load'!AJ12&gt;0,'Section Load'!AJ12,0))</f>
        <v>705.92999999999302</v>
      </c>
      <c r="AJ9" s="294">
        <f>(IF('Section Load'!AK12&gt;0,'Section Load'!AK12,0))</f>
        <v>206.63000000000466</v>
      </c>
      <c r="AK9" s="294">
        <f>(IF('Section Load'!AL12&gt;0,'Section Load'!AL12,0))</f>
        <v>252.23000000001048</v>
      </c>
      <c r="AL9" s="294">
        <f>(IF('Section Load'!AM12&gt;0,'Section Load'!AM12,0))</f>
        <v>647.32000000000698</v>
      </c>
      <c r="AM9" s="295">
        <f>(IF('Water Report'!$K$7&gt;0,'Water Report'!$K$7,0))</f>
        <v>128</v>
      </c>
      <c r="AN9" s="295">
        <f>(IF('Water Report'!$K$8&gt;0,'Water Report'!$K$8,0))</f>
        <v>103</v>
      </c>
      <c r="AO9" s="295">
        <f>(IF('Water Report'!$K$9&gt;0,'Water Report'!$K$9,0))</f>
        <v>106</v>
      </c>
      <c r="AP9" s="295">
        <f>(IF('Water Report'!$K$10&gt;0,'Water Report'!$K$10,0))</f>
        <v>19</v>
      </c>
      <c r="AQ9" s="295">
        <f>(IF('Water Report'!$K$11&gt;0,'Water Report'!$K$11,0))</f>
        <v>16</v>
      </c>
      <c r="AR9" s="295">
        <f>(IF('Water Report'!$K$13&gt;0,'Water Report'!$K$13,0))</f>
        <v>30</v>
      </c>
      <c r="AS9" s="295">
        <f>(IF('Water Report'!$K$14&gt;0,'Water Report'!$K$14,0))</f>
        <v>10</v>
      </c>
      <c r="AT9" s="295">
        <f>(IF('Water Report'!$K$15&gt;0,'Water Report'!$K$15,0))</f>
        <v>33</v>
      </c>
      <c r="AU9" s="295">
        <f>(IF('Water Report'!$K$17&gt;0,'Water Report'!$K$17,0))</f>
        <v>0</v>
      </c>
      <c r="AV9" s="295">
        <f>(IF('Water Report'!$K$18&gt;0,'Water Report'!$K$18,0))</f>
        <v>17</v>
      </c>
      <c r="AW9" s="295">
        <f>(IF('Water Report'!$K$19&gt;0,'Water Report'!$K$19,0))</f>
        <v>12</v>
      </c>
      <c r="AX9" s="301">
        <f>(IF('Water Report'!$K$21&gt;0,'Water Report'!$K$21,0))</f>
        <v>46</v>
      </c>
      <c r="AY9" s="301">
        <f>(IF('Water Report'!$K$22&gt;0,'Water Report'!$K$22,0))</f>
        <v>25</v>
      </c>
      <c r="AZ9" s="301">
        <f>(IF('Water Report'!$K$23&gt;0,'Water Report'!$K$23,0))</f>
        <v>17</v>
      </c>
      <c r="BA9" s="301">
        <f>(IF('Water Report'!$K$14&gt;0,'Water Report'!$K$14,0))</f>
        <v>10</v>
      </c>
      <c r="BB9" s="301">
        <f>(IF('Water Report'!$K$15&gt;0,'Water Report'!$K$15,0))</f>
        <v>33</v>
      </c>
      <c r="BC9" s="301">
        <f>(IF('Water Report'!$K$13&gt;0,'Water Report'!$K$13,0))</f>
        <v>30</v>
      </c>
      <c r="BD9" s="301">
        <f>(IF('Water Report'!$K$24&gt;0,'Water Report'!$K$24,0))</f>
        <v>232</v>
      </c>
      <c r="BE9" s="301">
        <f>(IF('Water Report'!$K$25&gt;0,'Water Report'!$K$25,0))</f>
        <v>184</v>
      </c>
      <c r="BF9" s="301">
        <f>(IF('Water Report'!$K$27&gt;0,'Water Report'!$K$27,0))</f>
        <v>93</v>
      </c>
      <c r="BG9" s="296">
        <f>(IF('Section Load'!AN12&gt;0,'Section Load'!AN12,0))</f>
        <v>1052.1799999999348</v>
      </c>
      <c r="BH9" s="296">
        <f>(IF('Section Load'!AO12&gt;0,'Section Load'!AO12,0))</f>
        <v>302.52000000001863</v>
      </c>
      <c r="BI9" s="296">
        <f>(IF('Section Load'!AP12&gt;0,'Section Load'!AP12,0))</f>
        <v>0</v>
      </c>
      <c r="BJ9" s="296">
        <f>(IF('Section Load'!AQ12&gt;0,'Section Load'!AQ12,0))</f>
        <v>110.60000000000582</v>
      </c>
      <c r="BK9" s="296">
        <f>(IF('Section Load'!AR12&gt;0,'Section Load'!AR12,0))</f>
        <v>50.400000000001455</v>
      </c>
      <c r="BL9" s="296">
        <f>(IF('Section Load'!AS12&gt;0,'Section Load'!AS12,0))</f>
        <v>1</v>
      </c>
      <c r="BM9" s="296">
        <f>(IF('Section Load'!AT12&gt;0,'Section Load'!AT12,0))</f>
        <v>587.65999999990891</v>
      </c>
    </row>
    <row r="10" spans="1:65" x14ac:dyDescent="0.25">
      <c r="A10" s="287" t="s">
        <v>268</v>
      </c>
      <c r="B10" s="288">
        <f t="shared" si="0"/>
        <v>9</v>
      </c>
      <c r="C10" s="288">
        <v>2</v>
      </c>
      <c r="D10" s="288">
        <v>2022</v>
      </c>
      <c r="E10" s="294">
        <f>(IF('Section Load'!F13&gt;0,'Section Load'!F13,0))</f>
        <v>2906</v>
      </c>
      <c r="F10" s="294">
        <f>(IF('Section Load'!G13&gt;0,'Section Load'!G13,0))</f>
        <v>1638</v>
      </c>
      <c r="G10" s="294">
        <f>(IF('Section Load'!H13&gt;0,'Section Load'!H13,0))</f>
        <v>1923</v>
      </c>
      <c r="H10" s="294">
        <f>(IF('Section Load'!I13&gt;0,'Section Load'!I13,0))</f>
        <v>3001</v>
      </c>
      <c r="I10" s="294">
        <f>(IF('Section Load'!J13&gt;0,'Section Load'!J13,0))</f>
        <v>3894.5299999999988</v>
      </c>
      <c r="J10" s="294">
        <f>(IF('Section Load'!K13&gt;0,'Section Load'!K13,0))</f>
        <v>2087</v>
      </c>
      <c r="K10" s="294">
        <f>(IF('Section Load'!L13&gt;0,'Section Load'!L13,0))</f>
        <v>1118</v>
      </c>
      <c r="L10" s="294">
        <f>(IF('Section Load'!M13&gt;0,'Section Load'!M13,0))</f>
        <v>779</v>
      </c>
      <c r="M10" s="294">
        <f>(IF('Section Load'!N13&gt;0,'Section Load'!N13,0))</f>
        <v>79</v>
      </c>
      <c r="N10" s="294">
        <f>(IF('Section Load'!O13&gt;0,'Section Load'!O13,0))</f>
        <v>2</v>
      </c>
      <c r="O10" s="294">
        <f>(IF('Section Load'!P13&gt;0,'Section Load'!P13,0))</f>
        <v>1</v>
      </c>
      <c r="P10" s="294">
        <f>(IF('Section Load'!Q13&gt;0,'Section Load'!Q13,0))</f>
        <v>180</v>
      </c>
      <c r="Q10" s="294">
        <f>(IF('Section Load'!R13&gt;0,'Section Load'!R13,0))</f>
        <v>71</v>
      </c>
      <c r="R10" s="294">
        <f>(IF('Section Load'!S13&gt;0,'Section Load'!S13,0))</f>
        <v>14</v>
      </c>
      <c r="S10" s="294">
        <f>(IF('Section Load'!T13&gt;0,'Section Load'!T13,0))</f>
        <v>408</v>
      </c>
      <c r="T10" s="294">
        <f>(IF('Section Load'!U13&gt;0,'Section Load'!U13,0))</f>
        <v>213</v>
      </c>
      <c r="U10" s="294">
        <f>(IF('Section Load'!V13&gt;0,'Section Load'!V13,0))</f>
        <v>388</v>
      </c>
      <c r="V10" s="294">
        <f>(IF('Section Load'!W13&gt;0,'Section Load'!W13,0))</f>
        <v>244</v>
      </c>
      <c r="W10" s="294">
        <f>(IF('Section Load'!X13&gt;0,'Section Load'!X13,0))</f>
        <v>26</v>
      </c>
      <c r="X10" s="294">
        <f>(IF('Section Load'!Y13&gt;0,'Section Load'!Y13,0))</f>
        <v>285</v>
      </c>
      <c r="Y10" s="294">
        <f>(IF('Section Load'!Z13&gt;0,'Section Load'!Z13,0))</f>
        <v>218</v>
      </c>
      <c r="Z10" s="294">
        <f>(IF('Section Load'!AA13&gt;0,'Section Load'!AA13,0))</f>
        <v>18</v>
      </c>
      <c r="AA10" s="294">
        <f>(IF('Section Load'!AB13&gt;0,'Section Load'!AB13,0))</f>
        <v>38</v>
      </c>
      <c r="AB10" s="294">
        <f>(IF('Section Load'!AC13&gt;0,'Section Load'!AC13,0))</f>
        <v>0</v>
      </c>
      <c r="AC10" s="294">
        <f>(IF('Section Load'!AD13&gt;0,'Section Load'!AD13,0))</f>
        <v>72</v>
      </c>
      <c r="AD10" s="294">
        <f>(IF('Section Load'!AE13&gt;0,'Section Load'!AE13,0))</f>
        <v>290</v>
      </c>
      <c r="AE10" s="294">
        <f>(IF('Section Load'!AF13&gt;0,'Section Load'!AF13,0))</f>
        <v>216</v>
      </c>
      <c r="AF10" s="294">
        <f>(IF('Section Load'!AG13&gt;0,'Section Load'!AG13,0))</f>
        <v>383</v>
      </c>
      <c r="AG10" s="294">
        <f>(IF('Section Load'!AH13&gt;0,'Section Load'!AH13,0))</f>
        <v>435</v>
      </c>
      <c r="AH10" s="294">
        <f>(IF('Section Load'!AI13&gt;0,'Section Load'!AI13,0))</f>
        <v>443</v>
      </c>
      <c r="AI10" s="294">
        <f>(IF('Section Load'!AJ13&gt;0,'Section Load'!AJ13,0))</f>
        <v>741</v>
      </c>
      <c r="AJ10" s="294">
        <f>(IF('Section Load'!AK13&gt;0,'Section Load'!AK13,0))</f>
        <v>263</v>
      </c>
      <c r="AK10" s="294">
        <f>(IF('Section Load'!AL13&gt;0,'Section Load'!AL13,0))</f>
        <v>254</v>
      </c>
      <c r="AL10" s="294">
        <f>(IF('Section Load'!AM13&gt;0,'Section Load'!AM13,0))</f>
        <v>658</v>
      </c>
      <c r="AM10" s="295">
        <f>(IF('Water Report'!$L$7&gt;0,'Water Report'!$L$7,0))</f>
        <v>142</v>
      </c>
      <c r="AN10" s="295">
        <f>(IF('Water Report'!$L$8&gt;0,'Water Report'!$L$8,0))</f>
        <v>90</v>
      </c>
      <c r="AO10" s="295">
        <f>(IF('Water Report'!$L$9&gt;0,'Water Report'!$L$9,0))</f>
        <v>103</v>
      </c>
      <c r="AP10" s="295">
        <f>(IF('Water Report'!$L$10&gt;0,'Water Report'!$L$10,0))</f>
        <v>20</v>
      </c>
      <c r="AQ10" s="295">
        <f>(IF('Water Report'!$L$11&gt;0,'Water Report'!$L$11,0))</f>
        <v>55</v>
      </c>
      <c r="AR10" s="295">
        <f>(IF('Water Report'!$L$13&gt;0,'Water Report'!$L$13,0))</f>
        <v>37</v>
      </c>
      <c r="AS10" s="295">
        <f>(IF('Water Report'!$L$14&gt;0,'Water Report'!$L$14,0))</f>
        <v>9</v>
      </c>
      <c r="AT10" s="295">
        <f>(IF('Water Report'!$L$15&gt;0,'Water Report'!$L$15,0))</f>
        <v>14</v>
      </c>
      <c r="AU10" s="295">
        <f>(IF('Water Report'!$L$17&gt;0,'Water Report'!$L$17,0))</f>
        <v>5</v>
      </c>
      <c r="AV10" s="295">
        <f>(IF('Water Report'!$L$18&gt;0,'Water Report'!$L$18,0))</f>
        <v>12</v>
      </c>
      <c r="AW10" s="295">
        <f>(IF('Water Report'!$L$19&gt;0,'Water Report'!$L$19,0))</f>
        <v>12</v>
      </c>
      <c r="AX10" s="301">
        <f>(IF('Water Report'!$L$21&gt;0,'Water Report'!$L$21,0))</f>
        <v>38</v>
      </c>
      <c r="AY10" s="301">
        <f>(IF('Water Report'!$L$22&gt;0,'Water Report'!$L$22,0))</f>
        <v>35</v>
      </c>
      <c r="AZ10" s="301">
        <f>(IF('Water Report'!$L$23&gt;0,'Water Report'!$L$23,0))</f>
        <v>5</v>
      </c>
      <c r="BA10" s="301">
        <f>(IF('Water Report'!$L$14&gt;0,'Water Report'!$L$14,0))</f>
        <v>9</v>
      </c>
      <c r="BB10" s="301">
        <f>(IF('Water Report'!$L$15&gt;0,'Water Report'!$L$15,0))</f>
        <v>14</v>
      </c>
      <c r="BC10" s="301">
        <f>(IF('Water Report'!$L$13&gt;0,'Water Report'!$L$13,0))</f>
        <v>37</v>
      </c>
      <c r="BD10" s="301">
        <f>(IF('Water Report'!$L$24&gt;0,'Water Report'!$L$24,0))</f>
        <v>256</v>
      </c>
      <c r="BE10" s="301">
        <f>(IF('Water Report'!$L$25&gt;0,'Water Report'!$L$25,0))</f>
        <v>201</v>
      </c>
      <c r="BF10" s="301">
        <f>(IF('Water Report'!$L$27&gt;0,'Water Report'!$L$27,0))</f>
        <v>80</v>
      </c>
      <c r="BG10" s="296">
        <f>(IF('Section Load'!AN13&gt;0,'Section Load'!AN13,0))</f>
        <v>1070</v>
      </c>
      <c r="BH10" s="296">
        <f>(IF('Section Load'!AO13&gt;0,'Section Load'!AO13,0))</f>
        <v>301</v>
      </c>
      <c r="BI10" s="296">
        <f>(IF('Section Load'!AP13&gt;0,'Section Load'!AP13,0))</f>
        <v>0.19999999999708962</v>
      </c>
      <c r="BJ10" s="296">
        <f>(IF('Section Load'!AQ13&gt;0,'Section Load'!AQ13,0))</f>
        <v>107</v>
      </c>
      <c r="BK10" s="296">
        <f>(IF('Section Load'!AR13&gt;0,'Section Load'!AR13,0))</f>
        <v>43</v>
      </c>
      <c r="BL10" s="296">
        <f>(IF('Section Load'!AS13&gt;0,'Section Load'!AS13,0))</f>
        <v>1</v>
      </c>
      <c r="BM10" s="296">
        <f>(IF('Section Load'!AT13&gt;0,'Section Load'!AT13,0))</f>
        <v>617.80000000000291</v>
      </c>
    </row>
    <row r="11" spans="1:65" x14ac:dyDescent="0.25">
      <c r="A11" s="287" t="s">
        <v>268</v>
      </c>
      <c r="B11" s="288">
        <f t="shared" si="0"/>
        <v>10</v>
      </c>
      <c r="C11" s="288">
        <v>2</v>
      </c>
      <c r="D11" s="288">
        <v>2022</v>
      </c>
      <c r="E11" s="294">
        <f>(IF('Section Load'!F14&gt;0,'Section Load'!F14,0))</f>
        <v>2839</v>
      </c>
      <c r="F11" s="294">
        <f>(IF('Section Load'!G14&gt;0,'Section Load'!G14,0))</f>
        <v>1647</v>
      </c>
      <c r="G11" s="294">
        <f>(IF('Section Load'!H14&gt;0,'Section Load'!H14,0))</f>
        <v>1955</v>
      </c>
      <c r="H11" s="294">
        <f>(IF('Section Load'!I14&gt;0,'Section Load'!I14,0))</f>
        <v>3035</v>
      </c>
      <c r="I11" s="294">
        <f>(IF('Section Load'!J14&gt;0,'Section Load'!J14,0))</f>
        <v>4557</v>
      </c>
      <c r="J11" s="294">
        <f>(IF('Section Load'!K14&gt;0,'Section Load'!K14,0))</f>
        <v>2097</v>
      </c>
      <c r="K11" s="294">
        <f>(IF('Section Load'!L14&gt;0,'Section Load'!L14,0))</f>
        <v>1144</v>
      </c>
      <c r="L11" s="294">
        <f>(IF('Section Load'!M14&gt;0,'Section Load'!M14,0))</f>
        <v>1084</v>
      </c>
      <c r="M11" s="294">
        <f>(IF('Section Load'!N14&gt;0,'Section Load'!N14,0))</f>
        <v>74</v>
      </c>
      <c r="N11" s="294">
        <f>(IF('Section Load'!O14&gt;0,'Section Load'!O14,0))</f>
        <v>2</v>
      </c>
      <c r="O11" s="294">
        <f>(IF('Section Load'!P14&gt;0,'Section Load'!P14,0))</f>
        <v>1</v>
      </c>
      <c r="P11" s="294">
        <f>(IF('Section Load'!Q14&gt;0,'Section Load'!Q14,0))</f>
        <v>176</v>
      </c>
      <c r="Q11" s="294">
        <f>(IF('Section Load'!R14&gt;0,'Section Load'!R14,0))</f>
        <v>69</v>
      </c>
      <c r="R11" s="294">
        <f>(IF('Section Load'!S14&gt;0,'Section Load'!S14,0))</f>
        <v>16</v>
      </c>
      <c r="S11" s="294">
        <f>(IF('Section Load'!T14&gt;0,'Section Load'!T14,0))</f>
        <v>410</v>
      </c>
      <c r="T11" s="294">
        <f>(IF('Section Load'!U14&gt;0,'Section Load'!U14,0))</f>
        <v>224</v>
      </c>
      <c r="U11" s="294">
        <f>(IF('Section Load'!V14&gt;0,'Section Load'!V14,0))</f>
        <v>398</v>
      </c>
      <c r="V11" s="294">
        <f>(IF('Section Load'!W14&gt;0,'Section Load'!W14,0))</f>
        <v>286</v>
      </c>
      <c r="W11" s="294">
        <f>(IF('Section Load'!X14&gt;0,'Section Load'!X14,0))</f>
        <v>30</v>
      </c>
      <c r="X11" s="294">
        <f>(IF('Section Load'!Y14&gt;0,'Section Load'!Y14,0))</f>
        <v>197</v>
      </c>
      <c r="Y11" s="294">
        <f>(IF('Section Load'!Z14&gt;0,'Section Load'!Z14,0))</f>
        <v>226</v>
      </c>
      <c r="Z11" s="294">
        <f>(IF('Section Load'!AA14&gt;0,'Section Load'!AA14,0))</f>
        <v>15</v>
      </c>
      <c r="AA11" s="294">
        <f>(IF('Section Load'!AB14&gt;0,'Section Load'!AB14,0))</f>
        <v>42</v>
      </c>
      <c r="AB11" s="294">
        <f>(IF('Section Load'!AC14&gt;0,'Section Load'!AC14,0))</f>
        <v>0</v>
      </c>
      <c r="AC11" s="294">
        <f>(IF('Section Load'!AD14&gt;0,'Section Load'!AD14,0))</f>
        <v>93</v>
      </c>
      <c r="AD11" s="294">
        <f>(IF('Section Load'!AE14&gt;0,'Section Load'!AE14,0))</f>
        <v>328</v>
      </c>
      <c r="AE11" s="294">
        <f>(IF('Section Load'!AF14&gt;0,'Section Load'!AF14,0))</f>
        <v>114</v>
      </c>
      <c r="AF11" s="294">
        <f>(IF('Section Load'!AG14&gt;0,'Section Load'!AG14,0))</f>
        <v>412</v>
      </c>
      <c r="AG11" s="294">
        <f>(IF('Section Load'!AH14&gt;0,'Section Load'!AH14,0))</f>
        <v>419</v>
      </c>
      <c r="AH11" s="294">
        <f>(IF('Section Load'!AI14&gt;0,'Section Load'!AI14,0))</f>
        <v>445</v>
      </c>
      <c r="AI11" s="294">
        <f>(IF('Section Load'!AJ14&gt;0,'Section Load'!AJ14,0))</f>
        <v>735</v>
      </c>
      <c r="AJ11" s="294">
        <f>(IF('Section Load'!AK14&gt;0,'Section Load'!AK14,0))</f>
        <v>143</v>
      </c>
      <c r="AK11" s="294">
        <f>(IF('Section Load'!AL14&gt;0,'Section Load'!AL14,0))</f>
        <v>254</v>
      </c>
      <c r="AL11" s="294">
        <f>(IF('Section Load'!AM14&gt;0,'Section Load'!AM14,0))</f>
        <v>522</v>
      </c>
      <c r="AM11" s="295">
        <f>(IF('Water Report'!$M$7&gt;0,'Water Report'!$M$7,0))</f>
        <v>170</v>
      </c>
      <c r="AN11" s="295">
        <f>(IF('Water Report'!$M$8&gt;0,'Water Report'!$M$8,0))</f>
        <v>129</v>
      </c>
      <c r="AO11" s="295">
        <f>(IF('Water Report'!$M$9&gt;0,'Water Report'!$M$9,0))</f>
        <v>105</v>
      </c>
      <c r="AP11" s="295">
        <f>(IF('Water Report'!$M$10&gt;0,'Water Report'!$M$10,0))</f>
        <v>20</v>
      </c>
      <c r="AQ11" s="295">
        <f>(IF('Water Report'!$M$11&gt;0,'Water Report'!$M$11,0))</f>
        <v>65</v>
      </c>
      <c r="AR11" s="295">
        <f>(IF('Water Report'!$M$13&gt;0,'Water Report'!$M$13,0))</f>
        <v>40</v>
      </c>
      <c r="AS11" s="295">
        <f>(IF('Water Report'!$M$14&gt;0,'Water Report'!$M$14,0))</f>
        <v>18</v>
      </c>
      <c r="AT11" s="295">
        <f>(IF('Water Report'!$M$15&gt;0,'Water Report'!$M$15,0))</f>
        <v>8</v>
      </c>
      <c r="AU11" s="295">
        <f>(IF('Water Report'!$M$17&gt;0,'Water Report'!$M$17,0))</f>
        <v>1</v>
      </c>
      <c r="AV11" s="295">
        <f>(IF('Water Report'!$M$18&gt;0,'Water Report'!$M$18,0))</f>
        <v>14</v>
      </c>
      <c r="AW11" s="295">
        <f>(IF('Water Report'!$M$19&gt;0,'Water Report'!$M$19,0))</f>
        <v>12</v>
      </c>
      <c r="AX11" s="301">
        <f>(IF('Water Report'!$M$21&gt;0,'Water Report'!$M$21,0))</f>
        <v>47</v>
      </c>
      <c r="AY11" s="301">
        <f>(IF('Water Report'!$M$22&gt;0,'Water Report'!$M$22,0))</f>
        <v>0</v>
      </c>
      <c r="AZ11" s="301">
        <f>(IF('Water Report'!$M$23&gt;0,'Water Report'!$M$23,0))</f>
        <v>0</v>
      </c>
      <c r="BA11" s="301">
        <f>(IF('Water Report'!$M$14&gt;0,'Water Report'!$M$14,0))</f>
        <v>18</v>
      </c>
      <c r="BB11" s="301">
        <f>(IF('Water Report'!$M$15&gt;0,'Water Report'!$M$15,0))</f>
        <v>8</v>
      </c>
      <c r="BC11" s="301">
        <f>(IF('Water Report'!$M$13&gt;0,'Water Report'!$M$13,0))</f>
        <v>40</v>
      </c>
      <c r="BD11" s="301">
        <f>(IF('Water Report'!$M$24&gt;0,'Water Report'!$M$24,0))</f>
        <v>317</v>
      </c>
      <c r="BE11" s="301">
        <f>(IF('Water Report'!$M$25&gt;0,'Water Report'!$M$25,0))</f>
        <v>216</v>
      </c>
      <c r="BF11" s="301">
        <f>(IF('Water Report'!$M$27&gt;0,'Water Report'!$M$27,0))</f>
        <v>87</v>
      </c>
      <c r="BG11" s="296">
        <f>(IF('Section Load'!AN14&gt;0,'Section Load'!AN14,0))</f>
        <v>1152</v>
      </c>
      <c r="BH11" s="296">
        <f>(IF('Section Load'!AO14&gt;0,'Section Load'!AO14,0))</f>
        <v>341</v>
      </c>
      <c r="BI11" s="296">
        <f>(IF('Section Load'!AP14&gt;0,'Section Load'!AP14,0))</f>
        <v>0</v>
      </c>
      <c r="BJ11" s="296">
        <f>(IF('Section Load'!AQ14&gt;0,'Section Load'!AQ14,0))</f>
        <v>114</v>
      </c>
      <c r="BK11" s="296">
        <f>(IF('Section Load'!AR14&gt;0,'Section Load'!AR14,0))</f>
        <v>43</v>
      </c>
      <c r="BL11" s="296">
        <f>(IF('Section Load'!AS14&gt;0,'Section Load'!AS14,0))</f>
        <v>3</v>
      </c>
      <c r="BM11" s="296">
        <f>(IF('Section Load'!AT14&gt;0,'Section Load'!AT14,0))</f>
        <v>651</v>
      </c>
    </row>
    <row r="12" spans="1:65" x14ac:dyDescent="0.25">
      <c r="A12" s="287" t="s">
        <v>268</v>
      </c>
      <c r="B12" s="288">
        <f t="shared" si="0"/>
        <v>11</v>
      </c>
      <c r="C12" s="288">
        <v>2</v>
      </c>
      <c r="D12" s="288">
        <v>2022</v>
      </c>
      <c r="E12" s="294">
        <f>(IF('Section Load'!F15&gt;0,'Section Load'!F15,0))</f>
        <v>2776</v>
      </c>
      <c r="F12" s="294">
        <f>(IF('Section Load'!G15&gt;0,'Section Load'!G15,0))</f>
        <v>1684</v>
      </c>
      <c r="G12" s="294">
        <f>(IF('Section Load'!H15&gt;0,'Section Load'!H15,0))</f>
        <v>2076</v>
      </c>
      <c r="H12" s="294">
        <f>(IF('Section Load'!I15&gt;0,'Section Load'!I15,0))</f>
        <v>3148</v>
      </c>
      <c r="I12" s="294">
        <f>(IF('Section Load'!J15&gt;0,'Section Load'!J15,0))</f>
        <v>4736</v>
      </c>
      <c r="J12" s="294">
        <f>(IF('Section Load'!K15&gt;0,'Section Load'!K15,0))</f>
        <v>2112</v>
      </c>
      <c r="K12" s="294">
        <f>(IF('Section Load'!L15&gt;0,'Section Load'!L15,0))</f>
        <v>1282</v>
      </c>
      <c r="L12" s="294">
        <f>(IF('Section Load'!M15&gt;0,'Section Load'!M15,0))</f>
        <v>1077</v>
      </c>
      <c r="M12" s="294">
        <f>(IF('Section Load'!N15&gt;0,'Section Load'!N15,0))</f>
        <v>116</v>
      </c>
      <c r="N12" s="294">
        <f>(IF('Section Load'!O15&gt;0,'Section Load'!O15,0))</f>
        <v>13</v>
      </c>
      <c r="O12" s="294">
        <f>(IF('Section Load'!P15&gt;0,'Section Load'!P15,0))</f>
        <v>6</v>
      </c>
      <c r="P12" s="294">
        <f>(IF('Section Load'!Q15&gt;0,'Section Load'!Q15,0))</f>
        <v>190</v>
      </c>
      <c r="Q12" s="294">
        <f>(IF('Section Load'!R15&gt;0,'Section Load'!R15,0))</f>
        <v>70</v>
      </c>
      <c r="R12" s="294">
        <f>(IF('Section Load'!S15&gt;0,'Section Load'!S15,0))</f>
        <v>14</v>
      </c>
      <c r="S12" s="294">
        <f>(IF('Section Load'!T15&gt;0,'Section Load'!T15,0))</f>
        <v>421</v>
      </c>
      <c r="T12" s="294">
        <f>(IF('Section Load'!U15&gt;0,'Section Load'!U15,0))</f>
        <v>203</v>
      </c>
      <c r="U12" s="294">
        <f>(IF('Section Load'!V15&gt;0,'Section Load'!V15,0))</f>
        <v>412</v>
      </c>
      <c r="V12" s="294">
        <f>(IF('Section Load'!W15&gt;0,'Section Load'!W15,0))</f>
        <v>330</v>
      </c>
      <c r="W12" s="294">
        <f>(IF('Section Load'!X15&gt;0,'Section Load'!X15,0))</f>
        <v>23</v>
      </c>
      <c r="X12" s="294">
        <f>(IF('Section Load'!Y15&gt;0,'Section Load'!Y15,0))</f>
        <v>202</v>
      </c>
      <c r="Y12" s="294">
        <f>(IF('Section Load'!Z15&gt;0,'Section Load'!Z15,0))</f>
        <v>217</v>
      </c>
      <c r="Z12" s="294">
        <f>(IF('Section Load'!AA15&gt;0,'Section Load'!AA15,0))</f>
        <v>20</v>
      </c>
      <c r="AA12" s="294">
        <f>(IF('Section Load'!AB15&gt;0,'Section Load'!AB15,0))</f>
        <v>36</v>
      </c>
      <c r="AB12" s="294">
        <f>(IF('Section Load'!AC15&gt;0,'Section Load'!AC15,0))</f>
        <v>0</v>
      </c>
      <c r="AC12" s="294">
        <f>(IF('Section Load'!AD15&gt;0,'Section Load'!AD15,0))</f>
        <v>92</v>
      </c>
      <c r="AD12" s="294">
        <f>(IF('Section Load'!AE15&gt;0,'Section Load'!AE15,0))</f>
        <v>370</v>
      </c>
      <c r="AE12" s="294">
        <f>(IF('Section Load'!AF15&gt;0,'Section Load'!AF15,0))</f>
        <v>289</v>
      </c>
      <c r="AF12" s="294">
        <f>(IF('Section Load'!AG15&gt;0,'Section Load'!AG15,0))</f>
        <v>404</v>
      </c>
      <c r="AG12" s="294">
        <f>(IF('Section Load'!AH15&gt;0,'Section Load'!AH15,0))</f>
        <v>435</v>
      </c>
      <c r="AH12" s="294">
        <f>(IF('Section Load'!AI15&gt;0,'Section Load'!AI15,0))</f>
        <v>443</v>
      </c>
      <c r="AI12" s="294">
        <f>(IF('Section Load'!AJ15&gt;0,'Section Load'!AJ15,0))</f>
        <v>721</v>
      </c>
      <c r="AJ12" s="294">
        <f>(IF('Section Load'!AK15&gt;0,'Section Load'!AK15,0))</f>
        <v>212</v>
      </c>
      <c r="AK12" s="294">
        <f>(IF('Section Load'!AL15&gt;0,'Section Load'!AL15,0))</f>
        <v>250</v>
      </c>
      <c r="AL12" s="294">
        <f>(IF('Section Load'!AM15&gt;0,'Section Load'!AM15,0))</f>
        <v>494</v>
      </c>
      <c r="AM12" s="295">
        <f>(IF('Water Report'!$N$7&gt;0,'Water Report'!$N$7,0))</f>
        <v>181</v>
      </c>
      <c r="AN12" s="295">
        <f>(IF('Water Report'!$N$8&gt;0,'Water Report'!$N$8,0))</f>
        <v>136</v>
      </c>
      <c r="AO12" s="295">
        <f>(IF('Water Report'!$N$9&gt;0,'Water Report'!$N$9,0))</f>
        <v>104</v>
      </c>
      <c r="AP12" s="295">
        <f>(IF('Water Report'!$N$10&gt;0,'Water Report'!$N$10,0))</f>
        <v>31</v>
      </c>
      <c r="AQ12" s="295">
        <f>(IF('Water Report'!$N$11&gt;0,'Water Report'!$N$11,0))</f>
        <v>65</v>
      </c>
      <c r="AR12" s="295">
        <f>(IF('Water Report'!$N$13&gt;0,'Water Report'!$N$13,0))</f>
        <v>53</v>
      </c>
      <c r="AS12" s="295">
        <f>(IF('Water Report'!$N$14&gt;0,'Water Report'!$N$14,0))</f>
        <v>32</v>
      </c>
      <c r="AT12" s="295">
        <f>(IF('Water Report'!$N$15&gt;0,'Water Report'!$N$15,0))</f>
        <v>12</v>
      </c>
      <c r="AU12" s="295">
        <f>(IF('Water Report'!$N$17&gt;0,'Water Report'!$N$17,0))</f>
        <v>0</v>
      </c>
      <c r="AV12" s="295">
        <f>(IF('Water Report'!$N$18&gt;0,'Water Report'!$N$18,0))</f>
        <v>12</v>
      </c>
      <c r="AW12" s="295">
        <f>(IF('Water Report'!$N$19&gt;0,'Water Report'!$N$19,0))</f>
        <v>12</v>
      </c>
      <c r="AX12" s="301">
        <f>(IF('Water Report'!$N$21&gt;0,'Water Report'!$N$21,0))</f>
        <v>30</v>
      </c>
      <c r="AY12" s="301">
        <f>(IF('Water Report'!$N$22&gt;0,'Water Report'!$N$22,0))</f>
        <v>24</v>
      </c>
      <c r="AZ12" s="301">
        <f>(IF('Water Report'!$N$23&gt;0,'Water Report'!$N$23,0))</f>
        <v>2</v>
      </c>
      <c r="BA12" s="301">
        <f>(IF('Water Report'!$N$14&gt;0,'Water Report'!$N$14,0))</f>
        <v>32</v>
      </c>
      <c r="BB12" s="301">
        <f>(IF('Water Report'!$N$15&gt;0,'Water Report'!$N$15,0))</f>
        <v>12</v>
      </c>
      <c r="BC12" s="301">
        <f>(IF('Water Report'!$N$13&gt;0,'Water Report'!$N$13,0))</f>
        <v>53</v>
      </c>
      <c r="BD12" s="301">
        <f>(IF('Water Report'!$N$24&gt;0,'Water Report'!$N$24,0))</f>
        <v>316</v>
      </c>
      <c r="BE12" s="301">
        <f>(IF('Water Report'!$N$25&gt;0,'Water Report'!$N$25,0))</f>
        <v>244</v>
      </c>
      <c r="BF12" s="301">
        <f>(IF('Water Report'!$N$27&gt;0,'Water Report'!$N$27,0))</f>
        <v>85</v>
      </c>
      <c r="BG12" s="296">
        <f>(IF('Section Load'!AN15&gt;0,'Section Load'!AN15,0))</f>
        <v>1118</v>
      </c>
      <c r="BH12" s="296">
        <f>(IF('Section Load'!AO15&gt;0,'Section Load'!AO15,0))</f>
        <v>316</v>
      </c>
      <c r="BI12" s="296">
        <f>(IF('Section Load'!AP15&gt;0,'Section Load'!AP15,0))</f>
        <v>0</v>
      </c>
      <c r="BJ12" s="296">
        <f>(IF('Section Load'!AQ15&gt;0,'Section Load'!AQ15,0))</f>
        <v>124</v>
      </c>
      <c r="BK12" s="296">
        <f>(IF('Section Load'!AR15&gt;0,'Section Load'!AR15,0))</f>
        <v>53</v>
      </c>
      <c r="BL12" s="296">
        <f>(IF('Section Load'!AS15&gt;0,'Section Load'!AS15,0))</f>
        <v>3</v>
      </c>
      <c r="BM12" s="296">
        <f>(IF('Section Load'!AT15&gt;0,'Section Load'!AT15,0))</f>
        <v>622</v>
      </c>
    </row>
    <row r="13" spans="1:65" x14ac:dyDescent="0.25">
      <c r="A13" s="287" t="s">
        <v>268</v>
      </c>
      <c r="B13" s="288">
        <f t="shared" si="0"/>
        <v>12</v>
      </c>
      <c r="C13" s="288">
        <v>2</v>
      </c>
      <c r="D13" s="288">
        <v>2022</v>
      </c>
      <c r="E13" s="294">
        <f>(IF('Section Load'!F16&gt;0,'Section Load'!F16,0))</f>
        <v>3199</v>
      </c>
      <c r="F13" s="294">
        <f>(IF('Section Load'!G16&gt;0,'Section Load'!G16,0))</f>
        <v>1783</v>
      </c>
      <c r="G13" s="294">
        <f>(IF('Section Load'!H16&gt;0,'Section Load'!H16,0))</f>
        <v>2162</v>
      </c>
      <c r="H13" s="294">
        <f>(IF('Section Load'!I16&gt;0,'Section Load'!I16,0))</f>
        <v>3245</v>
      </c>
      <c r="I13" s="294">
        <f>(IF('Section Load'!J16&gt;0,'Section Load'!J16,0))</f>
        <v>4928</v>
      </c>
      <c r="J13" s="294">
        <f>(IF('Section Load'!K16&gt;0,'Section Load'!K16,0))</f>
        <v>2226</v>
      </c>
      <c r="K13" s="294">
        <f>(IF('Section Load'!L16&gt;0,'Section Load'!L16,0))</f>
        <v>1310</v>
      </c>
      <c r="L13" s="294">
        <f>(IF('Section Load'!M16&gt;0,'Section Load'!M16,0))</f>
        <v>1194</v>
      </c>
      <c r="M13" s="294">
        <f>(IF('Section Load'!N16&gt;0,'Section Load'!N16,0))</f>
        <v>96</v>
      </c>
      <c r="N13" s="294">
        <f>(IF('Section Load'!O16&gt;0,'Section Load'!O16,0))</f>
        <v>7</v>
      </c>
      <c r="O13" s="294">
        <f>(IF('Section Load'!P16&gt;0,'Section Load'!P16,0))</f>
        <v>0</v>
      </c>
      <c r="P13" s="294">
        <f>(IF('Section Load'!Q16&gt;0,'Section Load'!Q16,0))</f>
        <v>187</v>
      </c>
      <c r="Q13" s="294">
        <f>(IF('Section Load'!R16&gt;0,'Section Load'!R16,0))</f>
        <v>70</v>
      </c>
      <c r="R13" s="294">
        <f>(IF('Section Load'!S16&gt;0,'Section Load'!S16,0))</f>
        <v>9</v>
      </c>
      <c r="S13" s="294">
        <f>(IF('Section Load'!T16&gt;0,'Section Load'!T16,0))</f>
        <v>471</v>
      </c>
      <c r="T13" s="294">
        <f>(IF('Section Load'!U16&gt;0,'Section Load'!U16,0))</f>
        <v>220</v>
      </c>
      <c r="U13" s="294">
        <f>(IF('Section Load'!V16&gt;0,'Section Load'!V16,0))</f>
        <v>442</v>
      </c>
      <c r="V13" s="294">
        <f>(IF('Section Load'!W16&gt;0,'Section Load'!W16,0))</f>
        <v>383</v>
      </c>
      <c r="W13" s="294">
        <f>(IF('Section Load'!X16&gt;0,'Section Load'!X16,0))</f>
        <v>31</v>
      </c>
      <c r="X13" s="294">
        <f>(IF('Section Load'!Y16&gt;0,'Section Load'!Y16,0))</f>
        <v>231</v>
      </c>
      <c r="Y13" s="294">
        <f>(IF('Section Load'!Z16&gt;0,'Section Load'!Z16,0))</f>
        <v>279</v>
      </c>
      <c r="Z13" s="294">
        <f>(IF('Section Load'!AA16&gt;0,'Section Load'!AA16,0))</f>
        <v>18</v>
      </c>
      <c r="AA13" s="294">
        <f>(IF('Section Load'!AB16&gt;0,'Section Load'!AB16,0))</f>
        <v>21</v>
      </c>
      <c r="AB13" s="294">
        <f>(IF('Section Load'!AC16&gt;0,'Section Load'!AC16,0))</f>
        <v>3.7700000000004366</v>
      </c>
      <c r="AC13" s="294">
        <f>(IF('Section Load'!AD16&gt;0,'Section Load'!AD16,0))</f>
        <v>81</v>
      </c>
      <c r="AD13" s="294">
        <f>(IF('Section Load'!AE16&gt;0,'Section Load'!AE16,0))</f>
        <v>484</v>
      </c>
      <c r="AE13" s="294">
        <f>(IF('Section Load'!AF16&gt;0,'Section Load'!AF16,0))</f>
        <v>196</v>
      </c>
      <c r="AF13" s="294">
        <f>(IF('Section Load'!AG16&gt;0,'Section Load'!AG16,0))</f>
        <v>406</v>
      </c>
      <c r="AG13" s="294">
        <f>(IF('Section Load'!AH16&gt;0,'Section Load'!AH16,0))</f>
        <v>440</v>
      </c>
      <c r="AH13" s="294">
        <f>(IF('Section Load'!AI16&gt;0,'Section Load'!AI16,0))</f>
        <v>413</v>
      </c>
      <c r="AI13" s="294">
        <f>(IF('Section Load'!AJ16&gt;0,'Section Load'!AJ16,0))</f>
        <v>776</v>
      </c>
      <c r="AJ13" s="294">
        <f>(IF('Section Load'!AK16&gt;0,'Section Load'!AK16,0))</f>
        <v>184</v>
      </c>
      <c r="AK13" s="294">
        <f>(IF('Section Load'!AL16&gt;0,'Section Load'!AL16,0))</f>
        <v>263</v>
      </c>
      <c r="AL13" s="294">
        <f>(IF('Section Load'!AM16&gt;0,'Section Load'!AM16,0))</f>
        <v>698</v>
      </c>
      <c r="AM13" s="295">
        <f>(IF('Water Report'!$O$7&gt;0,'Water Report'!$O$7,0))</f>
        <v>177</v>
      </c>
      <c r="AN13" s="295">
        <f>(IF('Water Report'!$O$8&gt;0,'Water Report'!$O$8,0))</f>
        <v>182</v>
      </c>
      <c r="AO13" s="295">
        <f>(IF('Water Report'!$O$9&gt;0,'Water Report'!$O$9,0))</f>
        <v>126</v>
      </c>
      <c r="AP13" s="295">
        <f>(IF('Water Report'!$O$10&gt;0,'Water Report'!$O$10,0))</f>
        <v>28</v>
      </c>
      <c r="AQ13" s="295">
        <f>(IF('Water Report'!$O$11&gt;0,'Water Report'!$O$11,0))</f>
        <v>66</v>
      </c>
      <c r="AR13" s="295">
        <f>(IF('Water Report'!$O$13&gt;0,'Water Report'!$O$13,0))</f>
        <v>52</v>
      </c>
      <c r="AS13" s="295">
        <f>(IF('Water Report'!$O$14&gt;0,'Water Report'!$O$14,0))</f>
        <v>14</v>
      </c>
      <c r="AT13" s="295">
        <f>(IF('Water Report'!$O$15&gt;0,'Water Report'!$O$15,0))</f>
        <v>5</v>
      </c>
      <c r="AU13" s="295">
        <f>(IF('Water Report'!$O$17&gt;0,'Water Report'!$O$17,0))</f>
        <v>0</v>
      </c>
      <c r="AV13" s="295">
        <f>(IF('Water Report'!$O$18&gt;0,'Water Report'!$O$18,0))</f>
        <v>17</v>
      </c>
      <c r="AW13" s="295">
        <f>(IF('Water Report'!$O$19&gt;0,'Water Report'!$O$19,0))</f>
        <v>14</v>
      </c>
      <c r="AX13" s="301">
        <f>(IF('Water Report'!$O$21&gt;0,'Water Report'!$O$21,0))</f>
        <v>95</v>
      </c>
      <c r="AY13" s="301">
        <f>(IF('Water Report'!$O$22&gt;0,'Water Report'!$O$22,0))</f>
        <v>20</v>
      </c>
      <c r="AZ13" s="301">
        <f>(IF('Water Report'!$O$23&gt;0,'Water Report'!$O$23,0))</f>
        <v>10</v>
      </c>
      <c r="BA13" s="301">
        <f>(IF('Water Report'!$O$14&gt;0,'Water Report'!$O$14,0))</f>
        <v>14</v>
      </c>
      <c r="BB13" s="301">
        <f>(IF('Water Report'!$O$15&gt;0,'Water Report'!$O$15,0))</f>
        <v>5</v>
      </c>
      <c r="BC13" s="301">
        <f>(IF('Water Report'!$O$13&gt;0,'Water Report'!$O$13,0))</f>
        <v>52</v>
      </c>
      <c r="BD13" s="301">
        <f>(IF('Water Report'!$O$24&gt;0,'Water Report'!$O$24,0))</f>
        <v>339</v>
      </c>
      <c r="BE13" s="301">
        <f>(IF('Water Report'!$O$25&gt;0,'Water Report'!$O$25,0))</f>
        <v>239</v>
      </c>
      <c r="BF13" s="301">
        <f>(IF('Water Report'!$O$27&gt;0,'Water Report'!$O$27,0))</f>
        <v>157</v>
      </c>
      <c r="BG13" s="296">
        <f>(IF('Section Load'!AN16&gt;0,'Section Load'!AN16,0))</f>
        <v>1293</v>
      </c>
      <c r="BH13" s="296">
        <f>(IF('Section Load'!AO16&gt;0,'Section Load'!AO16,0))</f>
        <v>324</v>
      </c>
      <c r="BI13" s="296">
        <f>(IF('Section Load'!AP16&gt;0,'Section Load'!AP16,0))</f>
        <v>0</v>
      </c>
      <c r="BJ13" s="296">
        <f>(IF('Section Load'!AQ16&gt;0,'Section Load'!AQ16,0))</f>
        <v>152</v>
      </c>
      <c r="BK13" s="296">
        <f>(IF('Section Load'!AR16&gt;0,'Section Load'!AR16,0))</f>
        <v>58</v>
      </c>
      <c r="BL13" s="296">
        <f>(IF('Section Load'!AS16&gt;0,'Section Load'!AS16,0))</f>
        <v>4</v>
      </c>
      <c r="BM13" s="296">
        <f>(IF('Section Load'!AT16&gt;0,'Section Load'!AT16,0))</f>
        <v>755</v>
      </c>
    </row>
    <row r="14" spans="1:65" x14ac:dyDescent="0.25">
      <c r="A14" s="287" t="s">
        <v>268</v>
      </c>
      <c r="B14" s="288">
        <f t="shared" si="0"/>
        <v>13</v>
      </c>
      <c r="C14" s="288">
        <v>2</v>
      </c>
      <c r="D14" s="288">
        <v>2022</v>
      </c>
      <c r="E14" s="294">
        <f>(IF('Section Load'!F17&gt;0,'Section Load'!F17,0))</f>
        <v>2981</v>
      </c>
      <c r="F14" s="294">
        <f>(IF('Section Load'!G17&gt;0,'Section Load'!G17,0))</f>
        <v>1781</v>
      </c>
      <c r="G14" s="294">
        <f>(IF('Section Load'!H17&gt;0,'Section Load'!H17,0))</f>
        <v>2029</v>
      </c>
      <c r="H14" s="294">
        <f>(IF('Section Load'!I17&gt;0,'Section Load'!I17,0))</f>
        <v>3279</v>
      </c>
      <c r="I14" s="294">
        <f>(IF('Section Load'!J17&gt;0,'Section Load'!J17,0))</f>
        <v>5019</v>
      </c>
      <c r="J14" s="294">
        <f>(IF('Section Load'!K17&gt;0,'Section Load'!K17,0))</f>
        <v>2145</v>
      </c>
      <c r="K14" s="294">
        <f>(IF('Section Load'!L17&gt;0,'Section Load'!L17,0))</f>
        <v>1558</v>
      </c>
      <c r="L14" s="294">
        <f>(IF('Section Load'!M17&gt;0,'Section Load'!M17,0))</f>
        <v>1069</v>
      </c>
      <c r="M14" s="294">
        <f>(IF('Section Load'!N17&gt;0,'Section Load'!N17,0))</f>
        <v>148</v>
      </c>
      <c r="N14" s="294">
        <f>(IF('Section Load'!O17&gt;0,'Section Load'!O17,0))</f>
        <v>20</v>
      </c>
      <c r="O14" s="294">
        <f>(IF('Section Load'!P17&gt;0,'Section Load'!P17,0))</f>
        <v>0</v>
      </c>
      <c r="P14" s="294">
        <f>(IF('Section Load'!Q17&gt;0,'Section Load'!Q17,0))</f>
        <v>179</v>
      </c>
      <c r="Q14" s="294">
        <f>(IF('Section Load'!R17&gt;0,'Section Load'!R17,0))</f>
        <v>70</v>
      </c>
      <c r="R14" s="294">
        <f>(IF('Section Load'!S17&gt;0,'Section Load'!S17,0))</f>
        <v>10</v>
      </c>
      <c r="S14" s="294">
        <f>(IF('Section Load'!T17&gt;0,'Section Load'!T17,0))</f>
        <v>472</v>
      </c>
      <c r="T14" s="294">
        <f>(IF('Section Load'!U17&gt;0,'Section Load'!U17,0))</f>
        <v>208</v>
      </c>
      <c r="U14" s="294">
        <f>(IF('Section Load'!V17&gt;0,'Section Load'!V17,0))</f>
        <v>443</v>
      </c>
      <c r="V14" s="294">
        <f>(IF('Section Load'!W17&gt;0,'Section Load'!W17,0))</f>
        <v>364</v>
      </c>
      <c r="W14" s="294">
        <f>(IF('Section Load'!X17&gt;0,'Section Load'!X17,0))</f>
        <v>30</v>
      </c>
      <c r="X14" s="294">
        <f>(IF('Section Load'!Y17&gt;0,'Section Load'!Y17,0))</f>
        <v>196</v>
      </c>
      <c r="Y14" s="294">
        <f>(IF('Section Load'!Z17&gt;0,'Section Load'!Z17,0))</f>
        <v>230</v>
      </c>
      <c r="Z14" s="294">
        <f>(IF('Section Load'!AA17&gt;0,'Section Load'!AA17,0))</f>
        <v>17</v>
      </c>
      <c r="AA14" s="294">
        <f>(IF('Section Load'!AB17&gt;0,'Section Load'!AB17,0))</f>
        <v>20</v>
      </c>
      <c r="AB14" s="294">
        <f>(IF('Section Load'!AC17&gt;0,'Section Load'!AC17,0))</f>
        <v>0</v>
      </c>
      <c r="AC14" s="294">
        <f>(IF('Section Load'!AD17&gt;0,'Section Load'!AD17,0))</f>
        <v>83</v>
      </c>
      <c r="AD14" s="294">
        <f>(IF('Section Load'!AE17&gt;0,'Section Load'!AE17,0))</f>
        <v>446</v>
      </c>
      <c r="AE14" s="294">
        <f>(IF('Section Load'!AF17&gt;0,'Section Load'!AF17,0))</f>
        <v>219</v>
      </c>
      <c r="AF14" s="294">
        <f>(IF('Section Load'!AG17&gt;0,'Section Load'!AG17,0))</f>
        <v>412</v>
      </c>
      <c r="AG14" s="294">
        <f>(IF('Section Load'!AH17&gt;0,'Section Load'!AH17,0))</f>
        <v>426</v>
      </c>
      <c r="AH14" s="294">
        <f>(IF('Section Load'!AI17&gt;0,'Section Load'!AI17,0))</f>
        <v>409</v>
      </c>
      <c r="AI14" s="294">
        <f>(IF('Section Load'!AJ17&gt;0,'Section Load'!AJ17,0))</f>
        <v>757</v>
      </c>
      <c r="AJ14" s="294">
        <f>(IF('Section Load'!AK17&gt;0,'Section Load'!AK17,0))</f>
        <v>260</v>
      </c>
      <c r="AK14" s="294">
        <f>(IF('Section Load'!AL17&gt;0,'Section Load'!AL17,0))</f>
        <v>259</v>
      </c>
      <c r="AL14" s="294">
        <f>(IF('Section Load'!AM17&gt;0,'Section Load'!AM17,0))</f>
        <v>676</v>
      </c>
      <c r="AM14" s="295">
        <f>(IF('Water Report'!$P$7&gt;0,'Water Report'!$P$7,0))</f>
        <v>177</v>
      </c>
      <c r="AN14" s="295">
        <f>(IF('Water Report'!$P$8&gt;0,'Water Report'!$P$8,0))</f>
        <v>140</v>
      </c>
      <c r="AO14" s="295">
        <f>(IF('Water Report'!$P$9&gt;0,'Water Report'!$P$9,0))</f>
        <v>112</v>
      </c>
      <c r="AP14" s="295">
        <f>(IF('Water Report'!$P$10&gt;0,'Water Report'!$P$10,0))</f>
        <v>27</v>
      </c>
      <c r="AQ14" s="295">
        <f>(IF('Water Report'!$P$11&gt;0,'Water Report'!$P$11,0))</f>
        <v>71</v>
      </c>
      <c r="AR14" s="295">
        <f>(IF('Water Report'!$P$13&gt;0,'Water Report'!$P$13,0))</f>
        <v>32</v>
      </c>
      <c r="AS14" s="295">
        <f>(IF('Water Report'!$P$14&gt;0,'Water Report'!$P$14,0))</f>
        <v>11</v>
      </c>
      <c r="AT14" s="295">
        <f>(IF('Water Report'!$P$15&gt;0,'Water Report'!$P$15,0))</f>
        <v>8</v>
      </c>
      <c r="AU14" s="295">
        <f>(IF('Water Report'!$P$17&gt;0,'Water Report'!$P$17,0))</f>
        <v>0</v>
      </c>
      <c r="AV14" s="295">
        <f>(IF('Water Report'!$P$18&gt;0,'Water Report'!$P$18,0))</f>
        <v>12</v>
      </c>
      <c r="AW14" s="295">
        <f>(IF('Water Report'!$P$19&gt;0,'Water Report'!$P$19,0))</f>
        <v>13</v>
      </c>
      <c r="AX14" s="301">
        <f>(IF('Water Report'!$P$21&gt;0,'Water Report'!$P$21,0))</f>
        <v>42</v>
      </c>
      <c r="AY14" s="301">
        <f>(IF('Water Report'!$P$22&gt;0,'Water Report'!$P$22,0))</f>
        <v>31</v>
      </c>
      <c r="AZ14" s="301">
        <f>(IF('Water Report'!$P$23&gt;0,'Water Report'!$P$23,0))</f>
        <v>0</v>
      </c>
      <c r="BA14" s="301">
        <f>(IF('Water Report'!$P$14&gt;0,'Water Report'!$P$14,0))</f>
        <v>11</v>
      </c>
      <c r="BB14" s="301">
        <f>(IF('Water Report'!$P$15&gt;0,'Water Report'!$P$15,0))</f>
        <v>8</v>
      </c>
      <c r="BC14" s="301">
        <f>(IF('Water Report'!$P$13&gt;0,'Water Report'!$P$13,0))</f>
        <v>32</v>
      </c>
      <c r="BD14" s="301">
        <f>(IF('Water Report'!$P$24&gt;0,'Water Report'!$P$24,0))</f>
        <v>296</v>
      </c>
      <c r="BE14" s="301">
        <f>(IF('Water Report'!$P$25&gt;0,'Water Report'!$P$25,0))</f>
        <v>229</v>
      </c>
      <c r="BF14" s="301">
        <f>(IF('Water Report'!$P$27&gt;0,'Water Report'!$P$27,0))</f>
        <v>74</v>
      </c>
      <c r="BG14" s="296">
        <f>(IF('Section Load'!AN17&gt;0,'Section Load'!AN17,0))</f>
        <v>1108</v>
      </c>
      <c r="BH14" s="296">
        <f>(IF('Section Load'!AO17&gt;0,'Section Load'!AO17,0))</f>
        <v>287</v>
      </c>
      <c r="BI14" s="296">
        <f>(IF('Section Load'!AP17&gt;0,'Section Load'!AP17,0))</f>
        <v>0</v>
      </c>
      <c r="BJ14" s="296">
        <f>(IF('Section Load'!AQ17&gt;0,'Section Load'!AQ17,0))</f>
        <v>119</v>
      </c>
      <c r="BK14" s="296">
        <f>(IF('Section Load'!AR17&gt;0,'Section Load'!AR17,0))</f>
        <v>52</v>
      </c>
      <c r="BL14" s="296">
        <f>(IF('Section Load'!AS17&gt;0,'Section Load'!AS17,0))</f>
        <v>3</v>
      </c>
      <c r="BM14" s="296">
        <f>(IF('Section Load'!AT17&gt;0,'Section Load'!AT17,0))</f>
        <v>647</v>
      </c>
    </row>
    <row r="15" spans="1:65" x14ac:dyDescent="0.25">
      <c r="A15" s="287" t="s">
        <v>268</v>
      </c>
      <c r="B15" s="288">
        <f t="shared" si="0"/>
        <v>14</v>
      </c>
      <c r="C15" s="288">
        <v>2</v>
      </c>
      <c r="D15" s="288">
        <v>2022</v>
      </c>
      <c r="E15" s="294">
        <f>(IF('Section Load'!F18&gt;0,'Section Load'!F18,0))</f>
        <v>3003</v>
      </c>
      <c r="F15" s="294">
        <f>(IF('Section Load'!G18&gt;0,'Section Load'!G18,0))</f>
        <v>1746</v>
      </c>
      <c r="G15" s="294">
        <f>(IF('Section Load'!H18&gt;0,'Section Load'!H18,0))</f>
        <v>2061</v>
      </c>
      <c r="H15" s="294">
        <f>(IF('Section Load'!I18&gt;0,'Section Load'!I18,0))</f>
        <v>3213</v>
      </c>
      <c r="I15" s="294">
        <f>(IF('Section Load'!J18&gt;0,'Section Load'!J18,0))</f>
        <v>4624</v>
      </c>
      <c r="J15" s="294">
        <f>(IF('Section Load'!K18&gt;0,'Section Load'!K18,0))</f>
        <v>2102</v>
      </c>
      <c r="K15" s="294">
        <f>(IF('Section Load'!L18&gt;0,'Section Load'!L18,0))</f>
        <v>1606</v>
      </c>
      <c r="L15" s="294">
        <f>(IF('Section Load'!M18&gt;0,'Section Load'!M18,0))</f>
        <v>834</v>
      </c>
      <c r="M15" s="294">
        <f>(IF('Section Load'!N18&gt;0,'Section Load'!N18,0))</f>
        <v>98</v>
      </c>
      <c r="N15" s="294">
        <f>(IF('Section Load'!O18&gt;0,'Section Load'!O18,0))</f>
        <v>1</v>
      </c>
      <c r="O15" s="294">
        <f>(IF('Section Load'!P18&gt;0,'Section Load'!P18,0))</f>
        <v>0</v>
      </c>
      <c r="P15" s="294">
        <f>(IF('Section Load'!Q18&gt;0,'Section Load'!Q18,0))</f>
        <v>176</v>
      </c>
      <c r="Q15" s="294">
        <f>(IF('Section Load'!R18&gt;0,'Section Load'!R18,0))</f>
        <v>69</v>
      </c>
      <c r="R15" s="294">
        <f>(IF('Section Load'!S18&gt;0,'Section Load'!S18,0))</f>
        <v>15</v>
      </c>
      <c r="S15" s="294">
        <f>(IF('Section Load'!T18&gt;0,'Section Load'!T18,0))</f>
        <v>493</v>
      </c>
      <c r="T15" s="294">
        <f>(IF('Section Load'!U18&gt;0,'Section Load'!U18,0))</f>
        <v>199</v>
      </c>
      <c r="U15" s="294">
        <f>(IF('Section Load'!V18&gt;0,'Section Load'!V18,0))</f>
        <v>449</v>
      </c>
      <c r="V15" s="294">
        <f>(IF('Section Load'!W18&gt;0,'Section Load'!W18,0))</f>
        <v>310</v>
      </c>
      <c r="W15" s="294">
        <f>(IF('Section Load'!X18&gt;0,'Section Load'!X18,0))</f>
        <v>28</v>
      </c>
      <c r="X15" s="294">
        <f>(IF('Section Load'!Y18&gt;0,'Section Load'!Y18,0))</f>
        <v>217</v>
      </c>
      <c r="Y15" s="294">
        <f>(IF('Section Load'!Z18&gt;0,'Section Load'!Z18,0))</f>
        <v>262</v>
      </c>
      <c r="Z15" s="294">
        <f>(IF('Section Load'!AA18&gt;0,'Section Load'!AA18,0))</f>
        <v>18</v>
      </c>
      <c r="AA15" s="294">
        <f>(IF('Section Load'!AB18&gt;0,'Section Load'!AB18,0))</f>
        <v>40</v>
      </c>
      <c r="AB15" s="294">
        <f>(IF('Section Load'!AC18&gt;0,'Section Load'!AC18,0))</f>
        <v>0.98999999999796273</v>
      </c>
      <c r="AC15" s="294">
        <f>(IF('Section Load'!AD18&gt;0,'Section Load'!AD18,0))</f>
        <v>125</v>
      </c>
      <c r="AD15" s="294">
        <f>(IF('Section Load'!AE18&gt;0,'Section Load'!AE18,0))</f>
        <v>435</v>
      </c>
      <c r="AE15" s="294">
        <f>(IF('Section Load'!AF18&gt;0,'Section Load'!AF18,0))</f>
        <v>254</v>
      </c>
      <c r="AF15" s="294">
        <f>(IF('Section Load'!AG18&gt;0,'Section Load'!AG18,0))</f>
        <v>461</v>
      </c>
      <c r="AG15" s="294">
        <f>(IF('Section Load'!AH18&gt;0,'Section Load'!AH18,0))</f>
        <v>445</v>
      </c>
      <c r="AH15" s="294">
        <f>(IF('Section Load'!AI18&gt;0,'Section Load'!AI18,0))</f>
        <v>417</v>
      </c>
      <c r="AI15" s="294">
        <f>(IF('Section Load'!AJ18&gt;0,'Section Load'!AJ18,0))</f>
        <v>760</v>
      </c>
      <c r="AJ15" s="294">
        <f>(IF('Section Load'!AK18&gt;0,'Section Load'!AK18,0))</f>
        <v>209</v>
      </c>
      <c r="AK15" s="294">
        <f>(IF('Section Load'!AL18&gt;0,'Section Load'!AL18,0))</f>
        <v>261</v>
      </c>
      <c r="AL15" s="294">
        <f>(IF('Section Load'!AM18&gt;0,'Section Load'!AM18,0))</f>
        <v>679</v>
      </c>
      <c r="AM15" s="295">
        <f>(IF('Water Report'!$Q$7&gt;0,'Water Report'!$Q$7,0))</f>
        <v>170</v>
      </c>
      <c r="AN15" s="295">
        <f>(IF('Water Report'!$Q$8&gt;0,'Water Report'!$Q$8,0))</f>
        <v>124</v>
      </c>
      <c r="AO15" s="295">
        <f>(IF('Water Report'!$Q$9&gt;0,'Water Report'!$Q$9,0))</f>
        <v>135</v>
      </c>
      <c r="AP15" s="295">
        <f>(IF('Water Report'!$Q$10&gt;0,'Water Report'!$Q$10,0))</f>
        <v>27</v>
      </c>
      <c r="AQ15" s="295">
        <f>(IF('Water Report'!$Q$11&gt;0,'Water Report'!$Q$11,0))</f>
        <v>69</v>
      </c>
      <c r="AR15" s="295">
        <f>(IF('Water Report'!$Q$13&gt;0,'Water Report'!$Q$13,0))</f>
        <v>34</v>
      </c>
      <c r="AS15" s="295">
        <f>(IF('Water Report'!$Q$14&gt;0,'Water Report'!$Q$14,0))</f>
        <v>11</v>
      </c>
      <c r="AT15" s="295">
        <f>(IF('Water Report'!$Q$15&gt;0,'Water Report'!$Q$15,0))</f>
        <v>11</v>
      </c>
      <c r="AU15" s="295">
        <f>(IF('Water Report'!$Q$17&gt;0,'Water Report'!$Q$17,0))</f>
        <v>0</v>
      </c>
      <c r="AV15" s="295">
        <f>(IF('Water Report'!$Q$18&gt;0,'Water Report'!$Q$18,0))</f>
        <v>16</v>
      </c>
      <c r="AW15" s="295">
        <f>(IF('Water Report'!$Q$19&gt;0,'Water Report'!$Q$19,0))</f>
        <v>14</v>
      </c>
      <c r="AX15" s="301">
        <f>(IF('Water Report'!$Q$21&gt;0,'Water Report'!$Q$21,0))</f>
        <v>64</v>
      </c>
      <c r="AY15" s="301">
        <f>(IF('Water Report'!$Q$22&gt;0,'Water Report'!$Q$22,0))</f>
        <v>3</v>
      </c>
      <c r="AZ15" s="301">
        <f>(IF('Water Report'!$Q$23&gt;0,'Water Report'!$Q$23,0))</f>
        <v>12</v>
      </c>
      <c r="BA15" s="301">
        <f>(IF('Water Report'!$Q$14&gt;0,'Water Report'!$Q$14,0))</f>
        <v>11</v>
      </c>
      <c r="BB15" s="301">
        <f>(IF('Water Report'!$Q$15&gt;0,'Water Report'!$Q$15,0))</f>
        <v>11</v>
      </c>
      <c r="BC15" s="301">
        <f>(IF('Water Report'!$Q$13&gt;0,'Water Report'!$Q$13,0))</f>
        <v>34</v>
      </c>
      <c r="BD15" s="301">
        <f>(IF('Water Report'!$Q$24&gt;0,'Water Report'!$Q$24,0))</f>
        <v>296</v>
      </c>
      <c r="BE15" s="301">
        <f>(IF('Water Report'!$Q$25&gt;0,'Water Report'!$Q$25,0))</f>
        <v>253</v>
      </c>
      <c r="BF15" s="301">
        <f>(IF('Water Report'!$Q$27&gt;0,'Water Report'!$Q$27,0))</f>
        <v>110</v>
      </c>
      <c r="BG15" s="296">
        <f>(IF('Section Load'!AN18&gt;0,'Section Load'!AN18,0))</f>
        <v>1095</v>
      </c>
      <c r="BH15" s="296">
        <f>(IF('Section Load'!AO18&gt;0,'Section Load'!AO18,0))</f>
        <v>294</v>
      </c>
      <c r="BI15" s="296">
        <f>(IF('Section Load'!AP18&gt;0,'Section Load'!AP18,0))</f>
        <v>0</v>
      </c>
      <c r="BJ15" s="296">
        <f>(IF('Section Load'!AQ18&gt;0,'Section Load'!AQ18,0))</f>
        <v>93</v>
      </c>
      <c r="BK15" s="296">
        <f>(IF('Section Load'!AR18&gt;0,'Section Load'!AR18,0))</f>
        <v>39</v>
      </c>
      <c r="BL15" s="296">
        <f>(IF('Section Load'!AS18&gt;0,'Section Load'!AS18,0))</f>
        <v>0</v>
      </c>
      <c r="BM15" s="296">
        <f>(IF('Section Load'!AT18&gt;0,'Section Load'!AT18,0))</f>
        <v>669</v>
      </c>
    </row>
    <row r="16" spans="1:65" x14ac:dyDescent="0.25">
      <c r="A16" s="287" t="s">
        <v>268</v>
      </c>
      <c r="B16" s="288">
        <f t="shared" si="0"/>
        <v>15</v>
      </c>
      <c r="C16" s="288">
        <v>2</v>
      </c>
      <c r="D16" s="288">
        <v>2022</v>
      </c>
      <c r="E16" s="294">
        <f>(IF('Section Load'!F19&gt;0,'Section Load'!F19,0))</f>
        <v>3027.0299999999988</v>
      </c>
      <c r="F16" s="294">
        <f>(IF('Section Load'!G19&gt;0,'Section Load'!G19,0))</f>
        <v>1780.6999999999971</v>
      </c>
      <c r="G16" s="294">
        <f>(IF('Section Load'!H19&gt;0,'Section Load'!H19,0))</f>
        <v>1992.6000000000058</v>
      </c>
      <c r="H16" s="294">
        <f>(IF('Section Load'!I19&gt;0,'Section Load'!I19,0))</f>
        <v>3189.1999999999971</v>
      </c>
      <c r="I16" s="294">
        <f>(IF('Section Load'!J19&gt;0,'Section Load'!J19,0))</f>
        <v>4586.5399999999881</v>
      </c>
      <c r="J16" s="294">
        <f>(IF('Section Load'!K19&gt;0,'Section Load'!K19,0))</f>
        <v>2095.5799999999872</v>
      </c>
      <c r="K16" s="294">
        <f>(IF('Section Load'!L19&gt;0,'Section Load'!L19,0))</f>
        <v>1491.9499999999971</v>
      </c>
      <c r="L16" s="294">
        <f>(IF('Section Load'!M19&gt;0,'Section Load'!M19,0))</f>
        <v>750.84999999999854</v>
      </c>
      <c r="M16" s="294">
        <f>(IF('Section Load'!N19&gt;0,'Section Load'!N19,0))</f>
        <v>88</v>
      </c>
      <c r="N16" s="294">
        <f>(IF('Section Load'!O19&gt;0,'Section Load'!O19,0))</f>
        <v>0</v>
      </c>
      <c r="O16" s="294">
        <f>(IF('Section Load'!P19&gt;0,'Section Load'!P19,0))</f>
        <v>0</v>
      </c>
      <c r="P16" s="294">
        <f>(IF('Section Load'!Q19&gt;0,'Section Load'!Q19,0))</f>
        <v>176.27999999999884</v>
      </c>
      <c r="Q16" s="294">
        <f>(IF('Section Load'!R19&gt;0,'Section Load'!R19,0))</f>
        <v>59</v>
      </c>
      <c r="R16" s="294">
        <f>(IF('Section Load'!S19&gt;0,'Section Load'!S19,0))</f>
        <v>13.25</v>
      </c>
      <c r="S16" s="294">
        <f>(IF('Section Load'!T19&gt;0,'Section Load'!T19,0))</f>
        <v>510</v>
      </c>
      <c r="T16" s="294">
        <f>(IF('Section Load'!U19&gt;0,'Section Load'!U19,0))</f>
        <v>213</v>
      </c>
      <c r="U16" s="294">
        <f>(IF('Section Load'!V19&gt;0,'Section Load'!V19,0))</f>
        <v>405.64000000001397</v>
      </c>
      <c r="V16" s="294">
        <f>(IF('Section Load'!W19&gt;0,'Section Load'!W19,0))</f>
        <v>245.64000000001397</v>
      </c>
      <c r="W16" s="294">
        <f>(IF('Section Load'!X19&gt;0,'Section Load'!X19,0))</f>
        <v>31.010000000000218</v>
      </c>
      <c r="X16" s="294">
        <f>(IF('Section Load'!Y19&gt;0,'Section Load'!Y19,0))</f>
        <v>215.47999999999956</v>
      </c>
      <c r="Y16" s="294">
        <f>(IF('Section Load'!Z19&gt;0,'Section Load'!Z19,0))</f>
        <v>230</v>
      </c>
      <c r="Z16" s="294">
        <f>(IF('Section Load'!AA19&gt;0,'Section Load'!AA19,0))</f>
        <v>32</v>
      </c>
      <c r="AA16" s="294">
        <f>(IF('Section Load'!AB19&gt;0,'Section Load'!AB19,0))</f>
        <v>44.80000000000291</v>
      </c>
      <c r="AB16" s="294">
        <f>(IF('Section Load'!AC19&gt;0,'Section Load'!AC19,0))</f>
        <v>0</v>
      </c>
      <c r="AC16" s="294">
        <f>(IF('Section Load'!AD19&gt;0,'Section Load'!AD19,0))</f>
        <v>146.39999999999964</v>
      </c>
      <c r="AD16" s="294">
        <f>(IF('Section Load'!AE19&gt;0,'Section Load'!AE19,0))</f>
        <v>0</v>
      </c>
      <c r="AE16" s="294">
        <f>(IF('Section Load'!AF19&gt;0,'Section Load'!AF19,0))</f>
        <v>219.19999999999982</v>
      </c>
      <c r="AF16" s="294">
        <f>(IF('Section Load'!AG19&gt;0,'Section Load'!AG19,0))</f>
        <v>452.42999999999302</v>
      </c>
      <c r="AG16" s="294">
        <f>(IF('Section Load'!AH19&gt;0,'Section Load'!AH19,0))</f>
        <v>433.80999999999767</v>
      </c>
      <c r="AH16" s="294">
        <f>(IF('Section Load'!AI19&gt;0,'Section Load'!AI19,0))</f>
        <v>442.84999999999854</v>
      </c>
      <c r="AI16" s="294">
        <f>(IF('Section Load'!AJ19&gt;0,'Section Load'!AJ19,0))</f>
        <v>792.46999999997206</v>
      </c>
      <c r="AJ16" s="294">
        <f>(IF('Section Load'!AK19&gt;0,'Section Load'!AK19,0))</f>
        <v>221.80000000000291</v>
      </c>
      <c r="AK16" s="294">
        <f>(IF('Section Load'!AL19&gt;0,'Section Load'!AL19,0))</f>
        <v>257.95000000001164</v>
      </c>
      <c r="AL16" s="294">
        <f>(IF('Section Load'!AM19&gt;0,'Section Load'!AM19,0))</f>
        <v>670.32000000000698</v>
      </c>
      <c r="AM16" s="295">
        <f>(IF('Water Report'!$R$7&gt;0,'Water Report'!$R$7,0))</f>
        <v>97</v>
      </c>
      <c r="AN16" s="295">
        <f>(IF('Water Report'!$R$8&gt;0,'Water Report'!$R$8,0))</f>
        <v>87</v>
      </c>
      <c r="AO16" s="295">
        <f>(IF('Water Report'!$R$9&gt;0,'Water Report'!$R$9,0))</f>
        <v>119</v>
      </c>
      <c r="AP16" s="295">
        <f>(IF('Water Report'!$R$10&gt;0,'Water Report'!$R$10,0))</f>
        <v>31</v>
      </c>
      <c r="AQ16" s="295">
        <f>(IF('Water Report'!$R$11&gt;0,'Water Report'!$R$11,0))</f>
        <v>71</v>
      </c>
      <c r="AR16" s="295">
        <f>(IF('Water Report'!$R$13&gt;0,'Water Report'!$R$13,0))</f>
        <v>44</v>
      </c>
      <c r="AS16" s="295">
        <f>(IF('Water Report'!$R$14&gt;0,'Water Report'!$R$14,0))</f>
        <v>26</v>
      </c>
      <c r="AT16" s="295">
        <f>(IF('Water Report'!$R$15&gt;0,'Water Report'!$R$15,0))</f>
        <v>15</v>
      </c>
      <c r="AU16" s="295">
        <f>(IF('Water Report'!$R$17&gt;0,'Water Report'!$R$17,0))</f>
        <v>33</v>
      </c>
      <c r="AV16" s="295">
        <f>(IF('Water Report'!$R$18&gt;0,'Water Report'!$R$18,0))</f>
        <v>16</v>
      </c>
      <c r="AW16" s="295">
        <f>(IF('Water Report'!$R$19&gt;0,'Water Report'!$R$19,0))</f>
        <v>13</v>
      </c>
      <c r="AX16" s="301">
        <f>(IF('Water Report'!$R$21&gt;0,'Water Report'!$R$21,0))</f>
        <v>64</v>
      </c>
      <c r="AY16" s="301">
        <f>(IF('Water Report'!$R$22&gt;0,'Water Report'!$R$22,0))</f>
        <v>32</v>
      </c>
      <c r="AZ16" s="301">
        <f>(IF('Water Report'!$R$23&gt;0,'Water Report'!$R$23,0))</f>
        <v>6</v>
      </c>
      <c r="BA16" s="301">
        <f>(IF('Water Report'!$R$14&gt;0,'Water Report'!$R$14,0))</f>
        <v>26</v>
      </c>
      <c r="BB16" s="301">
        <f>(IF('Water Report'!$R$15&gt;0,'Water Report'!$R$15,0))</f>
        <v>15</v>
      </c>
      <c r="BC16" s="301">
        <f>(IF('Water Report'!$R$13&gt;0,'Water Report'!$R$13,0))</f>
        <v>44</v>
      </c>
      <c r="BD16" s="301">
        <f>(IF('Water Report'!$R$24&gt;0,'Water Report'!$R$24,0))</f>
        <v>316</v>
      </c>
      <c r="BE16" s="301">
        <f>(IF('Water Report'!$R$25&gt;0,'Water Report'!$R$25,0))</f>
        <v>262</v>
      </c>
      <c r="BF16" s="301">
        <f>(IF('Water Report'!$R$27&gt;0,'Water Report'!$R$27,0))</f>
        <v>114</v>
      </c>
      <c r="BG16" s="296">
        <f>(IF('Section Load'!AN19&gt;0,'Section Load'!AN19,0))</f>
        <v>1135.2800000000279</v>
      </c>
      <c r="BH16" s="296">
        <f>(IF('Section Load'!AO19&gt;0,'Section Load'!AO19,0))</f>
        <v>280.39099999994505</v>
      </c>
      <c r="BI16" s="296">
        <f>(IF('Section Load'!AP19&gt;0,'Section Load'!AP19,0))</f>
        <v>0</v>
      </c>
      <c r="BJ16" s="296">
        <f>(IF('Section Load'!AQ19&gt;0,'Section Load'!AQ19,0))</f>
        <v>88.660000000003492</v>
      </c>
      <c r="BK16" s="296">
        <f>(IF('Section Load'!AR19&gt;0,'Section Load'!AR19,0))</f>
        <v>51.19999999999709</v>
      </c>
      <c r="BL16" s="296">
        <f>(IF('Section Load'!AS19&gt;0,'Section Load'!AS19,0))</f>
        <v>0</v>
      </c>
      <c r="BM16" s="296">
        <f>(IF('Section Load'!AT19&gt;0,'Section Load'!AT19,0))</f>
        <v>715.02900000008231</v>
      </c>
    </row>
    <row r="17" spans="1:65" x14ac:dyDescent="0.25">
      <c r="A17" s="287" t="s">
        <v>268</v>
      </c>
      <c r="B17" s="288">
        <f t="shared" si="0"/>
        <v>16</v>
      </c>
      <c r="C17" s="288">
        <v>2</v>
      </c>
      <c r="D17" s="288">
        <v>2022</v>
      </c>
      <c r="E17" s="294">
        <f>(IF('Section Load'!F20&gt;0,'Section Load'!F20,0))</f>
        <v>3072.0999999999985</v>
      </c>
      <c r="F17" s="294">
        <f>(IF('Section Load'!G20&gt;0,'Section Load'!G20,0))</f>
        <v>1774.7800000000061</v>
      </c>
      <c r="G17" s="294">
        <f>(IF('Section Load'!H20&gt;0,'Section Load'!H20,0))</f>
        <v>2035.1399999999994</v>
      </c>
      <c r="H17" s="294">
        <f>(IF('Section Load'!I20&gt;0,'Section Load'!I20,0))</f>
        <v>3126.6800000000076</v>
      </c>
      <c r="I17" s="294">
        <f>(IF('Section Load'!J20&gt;0,'Section Load'!J20,0))</f>
        <v>4325.9800000000105</v>
      </c>
      <c r="J17" s="294">
        <f>(IF('Section Load'!K20&gt;0,'Section Load'!K20,0))</f>
        <v>2105.7700000000186</v>
      </c>
      <c r="K17" s="294">
        <f>(IF('Section Load'!L20&gt;0,'Section Load'!L20,0))</f>
        <v>1217.9799999999959</v>
      </c>
      <c r="L17" s="294">
        <f>(IF('Section Load'!M20&gt;0,'Section Load'!M20,0))</f>
        <v>881.54000000000087</v>
      </c>
      <c r="M17" s="294">
        <f>(IF('Section Load'!N20&gt;0,'Section Load'!N20,0))</f>
        <v>87</v>
      </c>
      <c r="N17" s="294">
        <f>(IF('Section Load'!O20&gt;0,'Section Load'!O20,0))</f>
        <v>1</v>
      </c>
      <c r="O17" s="294">
        <f>(IF('Section Load'!P20&gt;0,'Section Load'!P20,0))</f>
        <v>0</v>
      </c>
      <c r="P17" s="294">
        <f>(IF('Section Load'!Q20&gt;0,'Section Load'!Q20,0))</f>
        <v>172.51000000000204</v>
      </c>
      <c r="Q17" s="294">
        <f>(IF('Section Load'!R20&gt;0,'Section Load'!R20,0))</f>
        <v>79.639999999999418</v>
      </c>
      <c r="R17" s="294">
        <f>(IF('Section Load'!S20&gt;0,'Section Load'!S20,0))</f>
        <v>14.75</v>
      </c>
      <c r="S17" s="294">
        <f>(IF('Section Load'!T20&gt;0,'Section Load'!T20,0))</f>
        <v>483</v>
      </c>
      <c r="T17" s="294">
        <f>(IF('Section Load'!U20&gt;0,'Section Load'!U20,0))</f>
        <v>210</v>
      </c>
      <c r="U17" s="294">
        <f>(IF('Section Load'!V20&gt;0,'Section Load'!V20,0))</f>
        <v>404.35999999998603</v>
      </c>
      <c r="V17" s="294">
        <f>(IF('Section Load'!W20&gt;0,'Section Load'!W20,0))</f>
        <v>292.88000000000466</v>
      </c>
      <c r="W17" s="294">
        <f>(IF('Section Load'!X20&gt;0,'Section Load'!X20,0))</f>
        <v>30.760000000000218</v>
      </c>
      <c r="X17" s="294">
        <f>(IF('Section Load'!Y20&gt;0,'Section Load'!Y20,0))</f>
        <v>207.45000000000073</v>
      </c>
      <c r="Y17" s="294">
        <f>(IF('Section Load'!Z20&gt;0,'Section Load'!Z20,0))</f>
        <v>274</v>
      </c>
      <c r="Z17" s="294">
        <f>(IF('Section Load'!AA20&gt;0,'Section Load'!AA20,0))</f>
        <v>17</v>
      </c>
      <c r="AA17" s="294">
        <f>(IF('Section Load'!AB20&gt;0,'Section Load'!AB20,0))</f>
        <v>46.599999999991269</v>
      </c>
      <c r="AB17" s="294">
        <f>(IF('Section Load'!AC20&gt;0,'Section Load'!AC20,0))</f>
        <v>0</v>
      </c>
      <c r="AC17" s="294">
        <f>(IF('Section Load'!AD20&gt;0,'Section Load'!AD20,0))</f>
        <v>89.399999999994179</v>
      </c>
      <c r="AD17" s="294">
        <f>(IF('Section Load'!AE20&gt;0,'Section Load'!AE20,0))</f>
        <v>865.44999999999982</v>
      </c>
      <c r="AE17" s="294">
        <f>(IF('Section Load'!AF20&gt;0,'Section Load'!AF20,0))</f>
        <v>173.88000000000011</v>
      </c>
      <c r="AF17" s="294">
        <f>(IF('Section Load'!AG20&gt;0,'Section Load'!AG20,0))</f>
        <v>384.66000000000349</v>
      </c>
      <c r="AG17" s="294">
        <f>(IF('Section Load'!AH20&gt;0,'Section Load'!AH20,0))</f>
        <v>456.11999999999534</v>
      </c>
      <c r="AH17" s="294">
        <f>(IF('Section Load'!AI20&gt;0,'Section Load'!AI20,0))</f>
        <v>440.02999999999884</v>
      </c>
      <c r="AI17" s="294">
        <f>(IF('Section Load'!AJ20&gt;0,'Section Load'!AJ20,0))</f>
        <v>776.76000000000931</v>
      </c>
      <c r="AJ17" s="294">
        <f>(IF('Section Load'!AK20&gt;0,'Section Load'!AK20,0))</f>
        <v>245.88999999999942</v>
      </c>
      <c r="AK17" s="294">
        <f>(IF('Section Load'!AL20&gt;0,'Section Load'!AL20,0))</f>
        <v>263.4199999999837</v>
      </c>
      <c r="AL17" s="294">
        <f>(IF('Section Load'!AM20&gt;0,'Section Load'!AM20,0))</f>
        <v>673.23999999999069</v>
      </c>
      <c r="AM17" s="295">
        <f>(IF('Water Report'!$S$7&gt;0,'Water Report'!$S$7,0))</f>
        <v>146</v>
      </c>
      <c r="AN17" s="295">
        <f>(IF('Water Report'!$S$8&gt;0,'Water Report'!$S$8,0))</f>
        <v>115</v>
      </c>
      <c r="AO17" s="295">
        <f>(IF('Water Report'!$S$9&gt;0,'Water Report'!$S$9,0))</f>
        <v>89</v>
      </c>
      <c r="AP17" s="295">
        <f>(IF('Water Report'!$S$10&gt;0,'Water Report'!$D$10,0))</f>
        <v>17</v>
      </c>
      <c r="AQ17" s="295">
        <f>(IF('Water Report'!$S$11&gt;0,'Water Report'!$D$11,0))</f>
        <v>14</v>
      </c>
      <c r="AR17" s="295">
        <f>(IF('Water Report'!$S$13&gt;0,'Water Report'!$D$13,0))</f>
        <v>39</v>
      </c>
      <c r="AS17" s="295">
        <f>(IF('Water Report'!$S$14&gt;0,'Water Report'!$D$14,0))</f>
        <v>9</v>
      </c>
      <c r="AT17" s="295">
        <f>(IF('Water Report'!$S$15&gt;0,'Water Report'!$D$15,0))</f>
        <v>8</v>
      </c>
      <c r="AU17" s="295">
        <f>(IF('Water Report'!$S$17&gt;0,'Water Report'!$D$17,0))</f>
        <v>0</v>
      </c>
      <c r="AV17" s="295">
        <f>(IF('Water Report'!$S$18&gt;0,'Water Report'!$D$18,0))</f>
        <v>11</v>
      </c>
      <c r="AW17" s="295">
        <f>(IF('Water Report'!$S$19&gt;0,'Water Report'!$D$19,0))</f>
        <v>10</v>
      </c>
      <c r="AX17" s="301">
        <f>(IF('Water Report'!$S$21&gt;0,'Water Report'!$D$21,0))</f>
        <v>43</v>
      </c>
      <c r="AY17" s="301">
        <f>(IF('Water Report'!$S$22&gt;0,'Water Report'!$D$22,0))</f>
        <v>29</v>
      </c>
      <c r="AZ17" s="301">
        <f>(IF('Water Report'!$S$23&gt;0,'Water Report'!$D$23,0))</f>
        <v>3</v>
      </c>
      <c r="BA17" s="301">
        <f>(IF('Water Report'!$S$14&gt;0,'Water Report'!$D$14,0))</f>
        <v>9</v>
      </c>
      <c r="BB17" s="301">
        <f>(IF('Water Report'!$S$15&gt;0,'Water Report'!$D$15,0))</f>
        <v>8</v>
      </c>
      <c r="BC17" s="301">
        <f>(IF('Water Report'!$S$13&gt;0,'Water Report'!$D$13,0))</f>
        <v>39</v>
      </c>
      <c r="BD17" s="301">
        <f>(IF('Water Report'!$S$24&gt;0,'Water Report'!$D$24,0))</f>
        <v>235</v>
      </c>
      <c r="BE17" s="301">
        <f>(IF('Water Report'!$S$25&gt;0,'Water Report'!$D$25,0))</f>
        <v>119</v>
      </c>
      <c r="BF17" s="301">
        <f>(IF('Water Report'!$S$27&gt;0,'Water Report'!$D$27,0))</f>
        <v>85</v>
      </c>
      <c r="BG17" s="296">
        <f>(IF('Section Load'!AN20&gt;0,'Section Load'!AN20,0))</f>
        <v>1092.9150000000373</v>
      </c>
      <c r="BH17" s="296">
        <f>(IF('Section Load'!AO20&gt;0,'Section Load'!AO20,0))</f>
        <v>295.77900000009686</v>
      </c>
      <c r="BI17" s="296">
        <f>(IF('Section Load'!AP20&gt;0,'Section Load'!AP20,0))</f>
        <v>0</v>
      </c>
      <c r="BJ17" s="296">
        <f>(IF('Section Load'!AQ20&gt;0,'Section Load'!AQ20,0))</f>
        <v>94.169999999983702</v>
      </c>
      <c r="BK17" s="296">
        <f>(IF('Section Load'!AR20&gt;0,'Section Load'!AR20,0))</f>
        <v>43.400000000001455</v>
      </c>
      <c r="BL17" s="296">
        <f>(IF('Section Load'!AS20&gt;0,'Section Load'!AS20,0))</f>
        <v>0</v>
      </c>
      <c r="BM17" s="296">
        <f>(IF('Section Load'!AT20&gt;0,'Section Load'!AT20,0))</f>
        <v>659.76599999995233</v>
      </c>
    </row>
    <row r="18" spans="1:65" x14ac:dyDescent="0.25">
      <c r="A18" s="287" t="s">
        <v>268</v>
      </c>
      <c r="B18" s="288">
        <f t="shared" si="0"/>
        <v>17</v>
      </c>
      <c r="C18" s="288">
        <v>2</v>
      </c>
      <c r="D18" s="288">
        <v>2022</v>
      </c>
      <c r="E18" s="294">
        <f>(IF('Section Load'!F21&gt;0,'Section Load'!F21,0))</f>
        <v>2907.5500000000029</v>
      </c>
      <c r="F18" s="294">
        <f>(IF('Section Load'!G21&gt;0,'Section Load'!G21,0))</f>
        <v>1757.6999999999971</v>
      </c>
      <c r="G18" s="294">
        <f>(IF('Section Load'!H21&gt;0,'Section Load'!H21,0))</f>
        <v>2041.2599999999948</v>
      </c>
      <c r="H18" s="294">
        <f>(IF('Section Load'!I21&gt;0,'Section Load'!I21,0))</f>
        <v>3014.1399999999994</v>
      </c>
      <c r="I18" s="294">
        <f>(IF('Section Load'!J21&gt;0,'Section Load'!J21,0))</f>
        <v>4155.3800000000047</v>
      </c>
      <c r="J18" s="294">
        <f>(IF('Section Load'!K21&gt;0,'Section Load'!K21,0))</f>
        <v>2052.7299999999814</v>
      </c>
      <c r="K18" s="294">
        <f>(IF('Section Load'!L21&gt;0,'Section Load'!L21,0))</f>
        <v>1099.6000000000058</v>
      </c>
      <c r="L18" s="294">
        <f>(IF('Section Load'!M21&gt;0,'Section Load'!M21,0))</f>
        <v>905.22000000000116</v>
      </c>
      <c r="M18" s="294">
        <f>(IF('Section Load'!N21&gt;0,'Section Load'!N21,0))</f>
        <v>81</v>
      </c>
      <c r="N18" s="294">
        <f>(IF('Section Load'!O21&gt;0,'Section Load'!O21,0))</f>
        <v>2</v>
      </c>
      <c r="O18" s="294">
        <f>(IF('Section Load'!P21&gt;0,'Section Load'!P21,0))</f>
        <v>0</v>
      </c>
      <c r="P18" s="294">
        <f>(IF('Section Load'!Q21&gt;0,'Section Load'!Q21,0))</f>
        <v>183.69000000000233</v>
      </c>
      <c r="Q18" s="294">
        <f>(IF('Section Load'!R21&gt;0,'Section Load'!R21,0))</f>
        <v>64.330000000001746</v>
      </c>
      <c r="R18" s="294">
        <f>(IF('Section Load'!S21&gt;0,'Section Load'!S21,0))</f>
        <v>14.729999999999563</v>
      </c>
      <c r="S18" s="294">
        <f>(IF('Section Load'!T21&gt;0,'Section Load'!T21,0))</f>
        <v>429</v>
      </c>
      <c r="T18" s="294">
        <f>(IF('Section Load'!U21&gt;0,'Section Load'!U21,0))</f>
        <v>212</v>
      </c>
      <c r="U18" s="294">
        <f>(IF('Section Load'!V21&gt;0,'Section Load'!V21,0))</f>
        <v>374.04000000003725</v>
      </c>
      <c r="V18" s="294">
        <f>(IF('Section Load'!W21&gt;0,'Section Load'!W21,0))</f>
        <v>298.95999999996275</v>
      </c>
      <c r="W18" s="294">
        <f>(IF('Section Load'!X21&gt;0,'Section Load'!X21,0))</f>
        <v>25.579999999999927</v>
      </c>
      <c r="X18" s="294">
        <f>(IF('Section Load'!Y21&gt;0,'Section Load'!Y21,0))</f>
        <v>223.06999999999971</v>
      </c>
      <c r="Y18" s="294">
        <f>(IF('Section Load'!Z21&gt;0,'Section Load'!Z21,0))</f>
        <v>220</v>
      </c>
      <c r="Z18" s="294">
        <f>(IF('Section Load'!AA21&gt;0,'Section Load'!AA21,0))</f>
        <v>16.919999999983702</v>
      </c>
      <c r="AA18" s="294">
        <f>(IF('Section Load'!AB21&gt;0,'Section Load'!AB21,0))</f>
        <v>43.200000000011642</v>
      </c>
      <c r="AB18" s="294">
        <f>(IF('Section Load'!AC21&gt;0,'Section Load'!AC21,0))</f>
        <v>2.0000000000436557E-2</v>
      </c>
      <c r="AC18" s="294">
        <f>(IF('Section Load'!AD21&gt;0,'Section Load'!AD21,0))</f>
        <v>86.200000000006185</v>
      </c>
      <c r="AD18" s="294">
        <f>(IF('Section Load'!AE21&gt;0,'Section Load'!AE21,0))</f>
        <v>443.34000000000015</v>
      </c>
      <c r="AE18" s="294">
        <f>(IF('Section Load'!AF21&gt;0,'Section Load'!AF21,0))</f>
        <v>166.63000000000011</v>
      </c>
      <c r="AF18" s="294">
        <f>(IF('Section Load'!AG21&gt;0,'Section Load'!AG21,0))</f>
        <v>388.79000000000815</v>
      </c>
      <c r="AG18" s="294">
        <f>(IF('Section Load'!AH21&gt;0,'Section Load'!AH21,0))</f>
        <v>419.1600000000326</v>
      </c>
      <c r="AH18" s="294">
        <f>(IF('Section Load'!AI21&gt;0,'Section Load'!AI21,0))</f>
        <v>421.59000000000378</v>
      </c>
      <c r="AI18" s="294">
        <f>(IF('Section Load'!AJ21&gt;0,'Section Load'!AJ21,0))</f>
        <v>708.52000000001863</v>
      </c>
      <c r="AJ18" s="294">
        <f>(IF('Section Load'!AK21&gt;0,'Section Load'!AK21,0))</f>
        <v>217.27999999999884</v>
      </c>
      <c r="AK18" s="294">
        <f>(IF('Section Load'!AL21&gt;0,'Section Load'!AL21,0))</f>
        <v>255.41000000000349</v>
      </c>
      <c r="AL18" s="294">
        <f>(IF('Section Load'!AM21&gt;0,'Section Load'!AM21,0))</f>
        <v>657.55999999999767</v>
      </c>
      <c r="AM18" s="295">
        <f>(IF('Water Report'!$T$7&gt;0,'Water Report'!$T$7,0))</f>
        <v>189</v>
      </c>
      <c r="AN18" s="295">
        <f>(IF('Water Report'!$T$8&gt;0,'Water Report'!$T$8,0))</f>
        <v>118</v>
      </c>
      <c r="AO18" s="295">
        <f>(IF('Water Report'!$T$9&gt;0,'Water Report'!$T$9,0))</f>
        <v>116</v>
      </c>
      <c r="AP18" s="295">
        <f>(IF('Water Report'!$T$10&gt;0,'Water Report'!$T$10,0))</f>
        <v>19</v>
      </c>
      <c r="AQ18" s="295">
        <f>(IF('Water Report'!$T$11&gt;0,'Water Report'!$T$11,0))</f>
        <v>86</v>
      </c>
      <c r="AR18" s="295">
        <f>(IF('Water Report'!$T$13&gt;0,'Water Report'!$T$13,0))</f>
        <v>55</v>
      </c>
      <c r="AS18" s="295">
        <f>(IF('Water Report'!$T$14&gt;0,'Water Report'!$T$14,0))</f>
        <v>13</v>
      </c>
      <c r="AT18" s="295">
        <f>(IF('Water Report'!$T$15&gt;0,'Water Report'!$T$15,0))</f>
        <v>14</v>
      </c>
      <c r="AU18" s="295">
        <f>(IF('Water Report'!$T$17&gt;0,'Water Report'!$T$17,0))</f>
        <v>18</v>
      </c>
      <c r="AV18" s="295">
        <f>(IF('Water Report'!$T$18&gt;0,'Water Report'!$T$18,0))</f>
        <v>12</v>
      </c>
      <c r="AW18" s="295">
        <f>(IF('Water Report'!$T$19&gt;0,'Water Report'!$T$19,0))</f>
        <v>11</v>
      </c>
      <c r="AX18" s="301">
        <f>(IF('Water Report'!$T$21&gt;0,'Water Report'!$T$21,0))</f>
        <v>67</v>
      </c>
      <c r="AY18" s="301">
        <f>(IF('Water Report'!$T$22&gt;0,'Water Report'!$T$22,0))</f>
        <v>0</v>
      </c>
      <c r="AZ18" s="301">
        <f>(IF('Water Report'!$T$23&gt;0,'Water Report'!$T$23,0))</f>
        <v>0</v>
      </c>
      <c r="BA18" s="301">
        <f>(IF('Water Report'!$T$14&gt;0,'Water Report'!$T$14,0))</f>
        <v>13</v>
      </c>
      <c r="BB18" s="301">
        <f>(IF('Water Report'!$T$15&gt;0,'Water Report'!$T$15,0))</f>
        <v>14</v>
      </c>
      <c r="BC18" s="301">
        <f>(IF('Water Report'!$T$13&gt;0,'Water Report'!$T$13,0))</f>
        <v>55</v>
      </c>
      <c r="BD18" s="301">
        <f>(IF('Water Report'!$T$24&gt;0,'Water Report'!$T$24,0))</f>
        <v>306</v>
      </c>
      <c r="BE18" s="301">
        <f>(IF('Water Report'!$T$25&gt;0,'Water Report'!$T$25,0))</f>
        <v>248</v>
      </c>
      <c r="BF18" s="301">
        <f>(IF('Water Report'!$T$27&gt;0,'Water Report'!$T$27,0))</f>
        <v>122</v>
      </c>
      <c r="BG18" s="296">
        <f>(IF('Section Load'!AN21&gt;0,'Section Load'!AN21,0))</f>
        <v>1023.3799999998882</v>
      </c>
      <c r="BH18" s="296">
        <f>(IF('Section Load'!AO21&gt;0,'Section Load'!AO21,0))</f>
        <v>298.61999999999534</v>
      </c>
      <c r="BI18" s="296">
        <f>(IF('Section Load'!AP21&gt;0,'Section Load'!AP21,0))</f>
        <v>0</v>
      </c>
      <c r="BJ18" s="296">
        <f>(IF('Section Load'!AQ21&gt;0,'Section Load'!AQ21,0))</f>
        <v>95.400000000023283</v>
      </c>
      <c r="BK18" s="296">
        <f>(IF('Section Load'!AR21&gt;0,'Section Load'!AR21,0))</f>
        <v>36.80000000000291</v>
      </c>
      <c r="BL18" s="296">
        <f>(IF('Section Load'!AS21&gt;0,'Section Load'!AS21,0))</f>
        <v>1.8999999999996362</v>
      </c>
      <c r="BM18" s="296">
        <f>(IF('Section Load'!AT21&gt;0,'Section Load'!AT21,0))</f>
        <v>590.65999999986707</v>
      </c>
    </row>
    <row r="19" spans="1:65" x14ac:dyDescent="0.25">
      <c r="A19" s="287" t="s">
        <v>268</v>
      </c>
      <c r="B19" s="288">
        <f t="shared" si="0"/>
        <v>18</v>
      </c>
      <c r="C19" s="288">
        <v>2</v>
      </c>
      <c r="D19" s="288">
        <v>2022</v>
      </c>
      <c r="E19" s="294">
        <f>(IF('Section Load'!F22&gt;0,'Section Load'!F22,0))</f>
        <v>3114.760000000002</v>
      </c>
      <c r="F19" s="294">
        <f>(IF('Section Load'!G22&gt;0,'Section Load'!G22,0))</f>
        <v>1732.8400000000038</v>
      </c>
      <c r="G19" s="294">
        <f>(IF('Section Load'!H22&gt;0,'Section Load'!H22,0))</f>
        <v>2102.5</v>
      </c>
      <c r="H19" s="294">
        <f>(IF('Section Load'!I22&gt;0,'Section Load'!I22,0))</f>
        <v>3089.679999999993</v>
      </c>
      <c r="I19" s="294">
        <f>(IF('Section Load'!J22&gt;0,'Section Load'!J22,0))</f>
        <v>4354.0499999999884</v>
      </c>
      <c r="J19" s="294">
        <f>(IF('Section Load'!K22&gt;0,'Section Load'!K22,0))</f>
        <v>2079.6800000000221</v>
      </c>
      <c r="K19" s="294">
        <f>(IF('Section Load'!L22&gt;0,'Section Load'!L22,0))</f>
        <v>1071.9199999999983</v>
      </c>
      <c r="L19" s="294">
        <f>(IF('Section Load'!M22&gt;0,'Section Load'!M22,0))</f>
        <v>982.98999999999796</v>
      </c>
      <c r="M19" s="294">
        <f>(IF('Section Load'!N22&gt;0,'Section Load'!N22,0))</f>
        <v>81</v>
      </c>
      <c r="N19" s="294">
        <f>(IF('Section Load'!O22&gt;0,'Section Load'!O22,0))</f>
        <v>1</v>
      </c>
      <c r="O19" s="294">
        <f>(IF('Section Load'!P22&gt;0,'Section Load'!P22,0))</f>
        <v>0.39999999999417923</v>
      </c>
      <c r="P19" s="294">
        <f>(IF('Section Load'!Q22&gt;0,'Section Load'!Q22,0))</f>
        <v>188.83999999999651</v>
      </c>
      <c r="Q19" s="294">
        <f>(IF('Section Load'!R22&gt;0,'Section Load'!R22,0))</f>
        <v>64.229999999999563</v>
      </c>
      <c r="R19" s="294">
        <f>(IF('Section Load'!S22&gt;0,'Section Load'!S22,0))</f>
        <v>14.570000000000618</v>
      </c>
      <c r="S19" s="294">
        <f>(IF('Section Load'!T22&gt;0,'Section Load'!T22,0))</f>
        <v>398</v>
      </c>
      <c r="T19" s="294">
        <f>(IF('Section Load'!U22&gt;0,'Section Load'!U22,0))</f>
        <v>210</v>
      </c>
      <c r="U19" s="294">
        <f>(IF('Section Load'!V22&gt;0,'Section Load'!V22,0))</f>
        <v>322.95999999996275</v>
      </c>
      <c r="V19" s="294">
        <f>(IF('Section Load'!W22&gt;0,'Section Load'!W22,0))</f>
        <v>244.32000000006519</v>
      </c>
      <c r="W19" s="294">
        <f>(IF('Section Load'!X22&gt;0,'Section Load'!X22,0))</f>
        <v>25.109999999999673</v>
      </c>
      <c r="X19" s="294">
        <f>(IF('Section Load'!Y22&gt;0,'Section Load'!Y22,0))</f>
        <v>219</v>
      </c>
      <c r="Y19" s="294">
        <f>(IF('Section Load'!Z22&gt;0,'Section Load'!Z22,0))</f>
        <v>278</v>
      </c>
      <c r="Z19" s="294">
        <f>(IF('Section Load'!AA22&gt;0,'Section Load'!AA22,0))</f>
        <v>13.28000000002794</v>
      </c>
      <c r="AA19" s="294">
        <f>(IF('Section Load'!AB22&gt;0,'Section Load'!AB22,0))</f>
        <v>50.799999999988358</v>
      </c>
      <c r="AB19" s="294">
        <f>(IF('Section Load'!AC22&gt;0,'Section Load'!AC22,0))</f>
        <v>0</v>
      </c>
      <c r="AC19" s="294">
        <f>(IF('Section Load'!AD22&gt;0,'Section Load'!AD22,0))</f>
        <v>116.39999999999691</v>
      </c>
      <c r="AD19" s="294">
        <f>(IF('Section Load'!AE22&gt;0,'Section Load'!AE22,0))</f>
        <v>399.32999999999993</v>
      </c>
      <c r="AE19" s="294">
        <f>(IF('Section Load'!AF22&gt;0,'Section Load'!AF22,0))</f>
        <v>176.44999999999982</v>
      </c>
      <c r="AF19" s="294">
        <f>(IF('Section Load'!AG22&gt;0,'Section Load'!AG22,0))</f>
        <v>405.38999999998487</v>
      </c>
      <c r="AG19" s="294">
        <f>(IF('Section Load'!AH22&gt;0,'Section Load'!AH22,0))</f>
        <v>432.23999999999069</v>
      </c>
      <c r="AH19" s="294">
        <f>(IF('Section Load'!AI22&gt;0,'Section Load'!AI22,0))</f>
        <v>441.54000000000087</v>
      </c>
      <c r="AI19" s="294">
        <f>(IF('Section Load'!AJ22&gt;0,'Section Load'!AJ22,0))</f>
        <v>743.76000000000931</v>
      </c>
      <c r="AJ19" s="294">
        <f>(IF('Section Load'!AK22&gt;0,'Section Load'!AK22,0))</f>
        <v>214.67999999999302</v>
      </c>
      <c r="AK19" s="294">
        <f>(IF('Section Load'!AL22&gt;0,'Section Load'!AL22,0))</f>
        <v>258.02999999999884</v>
      </c>
      <c r="AL19" s="294">
        <f>(IF('Section Load'!AM22&gt;0,'Section Load'!AM22,0))</f>
        <v>665.19000000000233</v>
      </c>
      <c r="AM19" s="295">
        <f>(IF('Water Report'!$U$7&gt;0,'Water Report'!$U$7,0))</f>
        <v>155</v>
      </c>
      <c r="AN19" s="295">
        <f>(IF('Water Report'!$U$8&gt;0,'Water Report'!$U$8,0))</f>
        <v>133</v>
      </c>
      <c r="AO19" s="295">
        <f>(IF('Water Report'!$U$9&gt;0,'Water Report'!$U$9,0))</f>
        <v>84</v>
      </c>
      <c r="AP19" s="295">
        <f>(IF('Water Report'!$U$10&gt;0,'Water Report'!$U$10,0))</f>
        <v>19</v>
      </c>
      <c r="AQ19" s="295">
        <f>(IF('Water Report'!$U$11&gt;0,'Water Report'!$U$11,0))</f>
        <v>75</v>
      </c>
      <c r="AR19" s="295">
        <f>(IF('Water Report'!$U$13&gt;0,'Water Report'!$U$13,0))</f>
        <v>63</v>
      </c>
      <c r="AS19" s="295">
        <f>(IF('Water Report'!$U$14&gt;0,'Water Report'!$U$14,0))</f>
        <v>6</v>
      </c>
      <c r="AT19" s="295">
        <f>(IF('Water Report'!$U$15&gt;0,'Water Report'!$U$15,0))</f>
        <v>12</v>
      </c>
      <c r="AU19" s="295">
        <f>(IF('Water Report'!$U$17&gt;0,'Water Report'!$U$17,0))</f>
        <v>0</v>
      </c>
      <c r="AV19" s="295">
        <f>(IF('Water Report'!$U$18&gt;0,'Water Report'!$U$18,0))</f>
        <v>16</v>
      </c>
      <c r="AW19" s="295">
        <f>(IF('Water Report'!$U$19&gt;0,'Water Report'!$U$19,0))</f>
        <v>13</v>
      </c>
      <c r="AX19" s="301">
        <f>(IF('Water Report'!$U$21&gt;0,'Water Report'!$U$21,0))</f>
        <v>66</v>
      </c>
      <c r="AY19" s="301">
        <f>(IF('Water Report'!$U$22&gt;0,'Water Report'!$U$22,0))</f>
        <v>13</v>
      </c>
      <c r="AZ19" s="301">
        <f>(IF('Water Report'!$U$23&gt;0,'Water Report'!$U$23,0))</f>
        <v>5</v>
      </c>
      <c r="BA19" s="301">
        <f>(IF('Water Report'!$U$14&gt;0,'Water Report'!$U$14,0))</f>
        <v>6</v>
      </c>
      <c r="BB19" s="301">
        <f>(IF('Water Report'!$U$15&gt;0,'Water Report'!$U$15,0))</f>
        <v>12</v>
      </c>
      <c r="BC19" s="301">
        <f>(IF('Water Report'!$U$13&gt;0,'Water Report'!$U$13,0))</f>
        <v>63</v>
      </c>
      <c r="BD19" s="301">
        <f>(IF('Water Report'!$U$24&gt;0,'Water Report'!$U$24,0))</f>
        <v>298</v>
      </c>
      <c r="BE19" s="301">
        <f>(IF('Water Report'!$U$25&gt;0,'Water Report'!$U$25,0))</f>
        <v>196</v>
      </c>
      <c r="BF19" s="301">
        <f>(IF('Water Report'!$U$27&gt;0,'Water Report'!$U$27,0))</f>
        <v>134</v>
      </c>
      <c r="BG19" s="296">
        <f>(IF('Section Load'!AN22&gt;0,'Section Load'!AN22,0))</f>
        <v>1056.8049999999348</v>
      </c>
      <c r="BH19" s="296">
        <f>(IF('Section Load'!AO22&gt;0,'Section Load'!AO22,0))</f>
        <v>298.39000000001397</v>
      </c>
      <c r="BI19" s="296">
        <f>(IF('Section Load'!AP22&gt;0,'Section Load'!AP22,0))</f>
        <v>0</v>
      </c>
      <c r="BJ19" s="296">
        <f>(IF('Section Load'!AQ22&gt;0,'Section Load'!AQ22,0))</f>
        <v>112.64999999999418</v>
      </c>
      <c r="BK19" s="296">
        <f>(IF('Section Load'!AR22&gt;0,'Section Load'!AR22,0))</f>
        <v>50.599999999998545</v>
      </c>
      <c r="BL19" s="296">
        <f>(IF('Section Load'!AS22&gt;0,'Section Load'!AS22,0))</f>
        <v>1.2000000000007276</v>
      </c>
      <c r="BM19" s="296">
        <f>(IF('Section Load'!AT22&gt;0,'Section Load'!AT22,0))</f>
        <v>593.96499999992739</v>
      </c>
    </row>
    <row r="20" spans="1:65" x14ac:dyDescent="0.25">
      <c r="A20" s="287" t="s">
        <v>268</v>
      </c>
      <c r="B20" s="288">
        <f t="shared" si="0"/>
        <v>19</v>
      </c>
      <c r="C20" s="288">
        <v>2</v>
      </c>
      <c r="D20" s="288">
        <v>2022</v>
      </c>
      <c r="E20" s="294">
        <f>(IF('Section Load'!F23&gt;0,'Section Load'!F23,0))</f>
        <v>3082.6199999999953</v>
      </c>
      <c r="F20" s="294">
        <f>(IF('Section Load'!G23&gt;0,'Section Load'!G23,0))</f>
        <v>1790.0399999999936</v>
      </c>
      <c r="G20" s="294">
        <f>(IF('Section Load'!H23&gt;0,'Section Load'!H23,0))</f>
        <v>2248.3899999999994</v>
      </c>
      <c r="H20" s="294">
        <f>(IF('Section Load'!I23&gt;0,'Section Load'!I23,0))</f>
        <v>3138.6000000000058</v>
      </c>
      <c r="I20" s="294">
        <f>(IF('Section Load'!J23&gt;0,'Section Load'!J23,0))</f>
        <v>4676.5299999999988</v>
      </c>
      <c r="J20" s="294">
        <f>(IF('Section Load'!K23&gt;0,'Section Load'!K23,0))</f>
        <v>2131.4499999999825</v>
      </c>
      <c r="K20" s="294">
        <f>(IF('Section Load'!L23&gt;0,'Section Load'!L23,0))</f>
        <v>1096.6500000000087</v>
      </c>
      <c r="L20" s="294">
        <f>(IF('Section Load'!M23&gt;0,'Section Load'!M23,0))</f>
        <v>1020.9700000000012</v>
      </c>
      <c r="M20" s="294">
        <f>(IF('Section Load'!N23&gt;0,'Section Load'!N23,0))</f>
        <v>150</v>
      </c>
      <c r="N20" s="294">
        <f>(IF('Section Load'!O23&gt;0,'Section Load'!O23,0))</f>
        <v>1</v>
      </c>
      <c r="O20" s="294">
        <f>(IF('Section Load'!P23&gt;0,'Section Load'!P23,0))</f>
        <v>0</v>
      </c>
      <c r="P20" s="294">
        <f>(IF('Section Load'!Q23&gt;0,'Section Load'!Q23,0))</f>
        <v>185.09000000000378</v>
      </c>
      <c r="Q20" s="294">
        <f>(IF('Section Load'!R23&gt;0,'Section Load'!R23,0))</f>
        <v>69.169999999998254</v>
      </c>
      <c r="R20" s="294">
        <f>(IF('Section Load'!S23&gt;0,'Section Load'!S23,0))</f>
        <v>15.460000000000036</v>
      </c>
      <c r="S20" s="294">
        <f>(IF('Section Load'!T23&gt;0,'Section Load'!T23,0))</f>
        <v>462</v>
      </c>
      <c r="T20" s="294">
        <f>(IF('Section Load'!U23&gt;0,'Section Load'!U23,0))</f>
        <v>212</v>
      </c>
      <c r="U20" s="294">
        <f>(IF('Section Load'!V23&gt;0,'Section Load'!V23,0))</f>
        <v>408.8399999999674</v>
      </c>
      <c r="V20" s="294">
        <f>(IF('Section Load'!W23&gt;0,'Section Load'!W23,0))</f>
        <v>394.23999999999069</v>
      </c>
      <c r="W20" s="294">
        <f>(IF('Section Load'!X23&gt;0,'Section Load'!X23,0))</f>
        <v>26.760000000000218</v>
      </c>
      <c r="X20" s="294">
        <f>(IF('Section Load'!Y23&gt;0,'Section Load'!Y23,0))</f>
        <v>213.98999999999978</v>
      </c>
      <c r="Y20" s="294">
        <f>(IF('Section Load'!Z23&gt;0,'Section Load'!Z23,0))</f>
        <v>268</v>
      </c>
      <c r="Z20" s="294">
        <f>(IF('Section Load'!AA23&gt;0,'Section Load'!AA23,0))</f>
        <v>16.959999999962747</v>
      </c>
      <c r="AA20" s="294">
        <f>(IF('Section Load'!AB23&gt;0,'Section Load'!AB23,0))</f>
        <v>41.700000000011642</v>
      </c>
      <c r="AB20" s="294">
        <f>(IF('Section Load'!AC23&gt;0,'Section Load'!AC23,0))</f>
        <v>0</v>
      </c>
      <c r="AC20" s="294">
        <f>(IF('Section Load'!AD23&gt;0,'Section Load'!AD23,0))</f>
        <v>93.30000000000291</v>
      </c>
      <c r="AD20" s="294">
        <f>(IF('Section Load'!AE23&gt;0,'Section Load'!AE23,0))</f>
        <v>352.40000000000055</v>
      </c>
      <c r="AE20" s="294">
        <f>(IF('Section Load'!AF23&gt;0,'Section Load'!AF23,0))</f>
        <v>201.11000000000058</v>
      </c>
      <c r="AF20" s="294">
        <f>(IF('Section Load'!AG23&gt;0,'Section Load'!AG23,0))</f>
        <v>405.5800000000163</v>
      </c>
      <c r="AG20" s="294">
        <f>(IF('Section Load'!AH23&gt;0,'Section Load'!AH23,0))</f>
        <v>443.59999999997672</v>
      </c>
      <c r="AH20" s="294">
        <f>(IF('Section Load'!AI23&gt;0,'Section Load'!AI23,0))</f>
        <v>450.29999999999563</v>
      </c>
      <c r="AI20" s="294">
        <f>(IF('Section Load'!AJ23&gt;0,'Section Load'!AJ23,0))</f>
        <v>799.64000000001397</v>
      </c>
      <c r="AJ20" s="294">
        <f>(IF('Section Load'!AK23&gt;0,'Section Load'!AK23,0))</f>
        <v>220.20000000001164</v>
      </c>
      <c r="AK20" s="294">
        <f>(IF('Section Load'!AL23&gt;0,'Section Load'!AL23,0))</f>
        <v>268.77999999999884</v>
      </c>
      <c r="AL20" s="294">
        <f>(IF('Section Load'!AM23&gt;0,'Section Load'!AM23,0))</f>
        <v>684.13000000000466</v>
      </c>
      <c r="AM20" s="295">
        <f>(IF('Water Report'!$V$7&gt;0,'Water Report'!$V$7,0))</f>
        <v>160</v>
      </c>
      <c r="AN20" s="295">
        <f>(IF('Water Report'!$V$8&gt;0,'Water Report'!$V$8,0))</f>
        <v>141</v>
      </c>
      <c r="AO20" s="295">
        <f>(IF('Water Report'!$V$9&gt;0,'Water Report'!$V$9,0))</f>
        <v>113</v>
      </c>
      <c r="AP20" s="295">
        <f>(IF('Water Report'!$V$10&gt;0,'Water Report'!$V$10,0))</f>
        <v>38</v>
      </c>
      <c r="AQ20" s="295">
        <f>(IF('Water Report'!$V$11&gt;0,'Water Report'!$V$11,0))</f>
        <v>77</v>
      </c>
      <c r="AR20" s="295">
        <f>(IF('Water Report'!$V$13&gt;0,'Water Report'!$V$13,0))</f>
        <v>82</v>
      </c>
      <c r="AS20" s="295">
        <f>(IF('Water Report'!$V$14&gt;0,'Water Report'!$V$14,0))</f>
        <v>12</v>
      </c>
      <c r="AT20" s="295">
        <f>(IF('Water Report'!$V$15&gt;0,'Water Report'!$V$15,0))</f>
        <v>13</v>
      </c>
      <c r="AU20" s="295">
        <f>(IF('Water Report'!$V$17&gt;0,'Water Report'!$V$17,0))</f>
        <v>0</v>
      </c>
      <c r="AV20" s="295">
        <f>(IF('Water Report'!$V$18&gt;0,'Water Report'!$V$18,0))</f>
        <v>16</v>
      </c>
      <c r="AW20" s="295">
        <f>(IF('Water Report'!$V$19&gt;0,'Water Report'!$V$19,0))</f>
        <v>12</v>
      </c>
      <c r="AX20" s="301">
        <f>(IF('Water Report'!$V$21&gt;0,'Water Report'!$V$21,0))</f>
        <v>43</v>
      </c>
      <c r="AY20" s="301">
        <f>(IF('Water Report'!$V$22&gt;0,'Water Report'!$V$22,0))</f>
        <v>7</v>
      </c>
      <c r="AZ20" s="301">
        <f>(IF('Water Report'!$V$23&gt;0,'Water Report'!$V$23,0))</f>
        <v>5</v>
      </c>
      <c r="BA20" s="301">
        <f>(IF('Water Report'!$V$14&gt;0,'Water Report'!$V$14,0))</f>
        <v>12</v>
      </c>
      <c r="BB20" s="301">
        <f>(IF('Water Report'!$V$15&gt;0,'Water Report'!$V$15,0))</f>
        <v>13</v>
      </c>
      <c r="BC20" s="301">
        <f>(IF('Water Report'!$V$13&gt;0,'Water Report'!$V$13,0))</f>
        <v>82</v>
      </c>
      <c r="BD20" s="301">
        <f>(IF('Water Report'!$V$24&gt;0,'Water Report'!$V$24,0))</f>
        <v>328</v>
      </c>
      <c r="BE20" s="301">
        <f>(IF('Water Report'!$V$25&gt;0,'Water Report'!$V$25,0))</f>
        <v>253</v>
      </c>
      <c r="BF20" s="301">
        <f>(IF('Water Report'!$V$27&gt;0,'Water Report'!$V$27,0))</f>
        <v>130</v>
      </c>
      <c r="BG20" s="296">
        <f>(IF('Section Load'!AN23&gt;0,'Section Load'!AN23,0))</f>
        <v>1032.7900000000373</v>
      </c>
      <c r="BH20" s="296">
        <f>(IF('Section Load'!AO23&gt;0,'Section Load'!AO23,0))</f>
        <v>298.97999999998137</v>
      </c>
      <c r="BI20" s="296">
        <f>(IF('Section Load'!AP23&gt;0,'Section Load'!AP23,0))</f>
        <v>0</v>
      </c>
      <c r="BJ20" s="296">
        <f>(IF('Section Load'!AQ23&gt;0,'Section Load'!AQ23,0))</f>
        <v>92.040000000008149</v>
      </c>
      <c r="BK20" s="296">
        <f>(IF('Section Load'!AR23&gt;0,'Section Load'!AR23,0))</f>
        <v>48.80000000000291</v>
      </c>
      <c r="BL20" s="296">
        <f>(IF('Section Load'!AS23&gt;0,'Section Load'!AS23,0))</f>
        <v>0.7999999999992724</v>
      </c>
      <c r="BM20" s="296">
        <f>(IF('Section Load'!AT23&gt;0,'Section Load'!AT23,0))</f>
        <v>592.17000000004555</v>
      </c>
    </row>
    <row r="21" spans="1:65" x14ac:dyDescent="0.25">
      <c r="A21" s="287" t="s">
        <v>268</v>
      </c>
      <c r="B21" s="288">
        <f t="shared" si="0"/>
        <v>20</v>
      </c>
      <c r="C21" s="288">
        <v>2</v>
      </c>
      <c r="D21" s="288">
        <v>2022</v>
      </c>
      <c r="E21" s="294">
        <f>(IF('Section Load'!F24&gt;0,'Section Load'!F24,0))</f>
        <v>3006.3800000000047</v>
      </c>
      <c r="F21" s="294">
        <f>(IF('Section Load'!G24&gt;0,'Section Load'!G24,0))</f>
        <v>1617.5299999999988</v>
      </c>
      <c r="G21" s="294">
        <f>(IF('Section Load'!H24&gt;0,'Section Load'!H24,0))</f>
        <v>2097.6999999999971</v>
      </c>
      <c r="H21" s="294">
        <f>(IF('Section Load'!I24&gt;0,'Section Load'!I24,0))</f>
        <v>3029.6999999999971</v>
      </c>
      <c r="I21" s="294">
        <f>(IF('Section Load'!J24&gt;0,'Section Load'!J24,0))</f>
        <v>4548.1199999999953</v>
      </c>
      <c r="J21" s="294">
        <f>(IF('Section Load'!K24&gt;0,'Section Load'!K24,0))</f>
        <v>2086.3800000000047</v>
      </c>
      <c r="K21" s="294">
        <f>(IF('Section Load'!L24&gt;0,'Section Load'!L24,0))</f>
        <v>1084.7999999999884</v>
      </c>
      <c r="L21" s="294">
        <f>(IF('Section Load'!M24&gt;0,'Section Load'!M24,0))</f>
        <v>997.19000000000233</v>
      </c>
      <c r="M21" s="294">
        <f>(IF('Section Load'!N24&gt;0,'Section Load'!N24,0))</f>
        <v>140</v>
      </c>
      <c r="N21" s="294">
        <f>(IF('Section Load'!O24&gt;0,'Section Load'!O24,0))</f>
        <v>2</v>
      </c>
      <c r="O21" s="294">
        <f>(IF('Section Load'!P24&gt;0,'Section Load'!P24,0))</f>
        <v>1.3000000000029104</v>
      </c>
      <c r="P21" s="294">
        <f>(IF('Section Load'!Q24&gt;0,'Section Load'!Q24,0))</f>
        <v>183.72999999999593</v>
      </c>
      <c r="Q21" s="294">
        <f>(IF('Section Load'!R24&gt;0,'Section Load'!R24,0))</f>
        <v>67.680000000000291</v>
      </c>
      <c r="R21" s="294">
        <f>(IF('Section Load'!S24&gt;0,'Section Load'!S24,0))</f>
        <v>14.579999999999927</v>
      </c>
      <c r="S21" s="294">
        <f>(IF('Section Load'!T24&gt;0,'Section Load'!T24,0))</f>
        <v>441</v>
      </c>
      <c r="T21" s="294">
        <f>(IF('Section Load'!U24&gt;0,'Section Load'!U24,0))</f>
        <v>221</v>
      </c>
      <c r="U21" s="294">
        <f>(IF('Section Load'!V24&gt;0,'Section Load'!V24,0))</f>
        <v>359.28000000002794</v>
      </c>
      <c r="V21" s="294">
        <f>(IF('Section Load'!W24&gt;0,'Section Load'!W24,0))</f>
        <v>325.76000000000931</v>
      </c>
      <c r="W21" s="294">
        <f>(IF('Section Load'!X24&gt;0,'Section Load'!X24,0))</f>
        <v>29.090000000000146</v>
      </c>
      <c r="X21" s="294">
        <f>(IF('Section Load'!Y24&gt;0,'Section Load'!Y24,0))</f>
        <v>215.65999999999985</v>
      </c>
      <c r="Y21" s="294">
        <f>(IF('Section Load'!Z24&gt;0,'Section Load'!Z24,0))</f>
        <v>232</v>
      </c>
      <c r="Z21" s="294">
        <f>(IF('Section Load'!AA24&gt;0,'Section Load'!AA24,0))</f>
        <v>14.320000000006985</v>
      </c>
      <c r="AA21" s="294">
        <f>(IF('Section Load'!AB24&gt;0,'Section Load'!AB24,0))</f>
        <v>20.599999999991269</v>
      </c>
      <c r="AB21" s="294">
        <f>(IF('Section Load'!AC24&gt;0,'Section Load'!AC24,0))</f>
        <v>0</v>
      </c>
      <c r="AC21" s="294">
        <f>(IF('Section Load'!AD24&gt;0,'Section Load'!AD24,0))</f>
        <v>54.30000000000291</v>
      </c>
      <c r="AD21" s="294">
        <f>(IF('Section Load'!AE24&gt;0,'Section Load'!AE24,0))</f>
        <v>447.69999999999982</v>
      </c>
      <c r="AE21" s="294">
        <f>(IF('Section Load'!AF24&gt;0,'Section Load'!AF24,0))</f>
        <v>156.23999999999978</v>
      </c>
      <c r="AF21" s="294">
        <f>(IF('Section Load'!AG24&gt;0,'Section Load'!AG24,0))</f>
        <v>379.27999999999884</v>
      </c>
      <c r="AG21" s="294">
        <f>(IF('Section Load'!AH24&gt;0,'Section Load'!AH24,0))</f>
        <v>440.70000000001164</v>
      </c>
      <c r="AH21" s="294">
        <f>(IF('Section Load'!AI24&gt;0,'Section Load'!AI24,0))</f>
        <v>434.12000000000262</v>
      </c>
      <c r="AI21" s="294">
        <f>(IF('Section Load'!AJ24&gt;0,'Section Load'!AJ24,0))</f>
        <v>746.71999999997206</v>
      </c>
      <c r="AJ21" s="294">
        <f>(IF('Section Load'!AK24&gt;0,'Section Load'!AK24,0))</f>
        <v>222.5</v>
      </c>
      <c r="AK21" s="294">
        <f>(IF('Section Load'!AL24&gt;0,'Section Load'!AL24,0))</f>
        <v>263.70999999999185</v>
      </c>
      <c r="AL21" s="294">
        <f>(IF('Section Load'!AM24&gt;0,'Section Load'!AM24,0))</f>
        <v>672.27000000000407</v>
      </c>
      <c r="AM21" s="295">
        <f>(IF('Water Report'!$W$7&gt;0,'Water Report'!$W$7,0))</f>
        <v>169</v>
      </c>
      <c r="AN21" s="295">
        <f>(IF('Water Report'!$W$8&gt;0,'Water Report'!$W$8,0))</f>
        <v>117</v>
      </c>
      <c r="AO21" s="295">
        <f>(IF('Water Report'!$W$9&gt;0,'Water Report'!$W$9,0))</f>
        <v>103</v>
      </c>
      <c r="AP21" s="295">
        <f>(IF('Water Report'!$W$10&gt;0,'Water Report'!$W$10,0))</f>
        <v>31</v>
      </c>
      <c r="AQ21" s="295">
        <f>(IF('Water Report'!$W$11&gt;0,'Water Report'!$W$11,0))</f>
        <v>70</v>
      </c>
      <c r="AR21" s="295">
        <f>(IF('Water Report'!$W$13&gt;0,'Water Report'!$W$13,0))</f>
        <v>49</v>
      </c>
      <c r="AS21" s="295">
        <f>(IF('Water Report'!$W$14&gt;0,'Water Report'!$W$14,0))</f>
        <v>13</v>
      </c>
      <c r="AT21" s="295">
        <f>(IF('Water Report'!$W$15&gt;0,'Water Report'!$W$15,0))</f>
        <v>7</v>
      </c>
      <c r="AU21" s="295">
        <f>(IF('Water Report'!$W$17&gt;0,'Water Report'!$W$17,0))</f>
        <v>0</v>
      </c>
      <c r="AV21" s="295">
        <f>(IF('Water Report'!$W$18&gt;0,'Water Report'!$W$18,0))</f>
        <v>16</v>
      </c>
      <c r="AW21" s="295">
        <f>(IF('Water Report'!$W$19&gt;0,'Water Report'!$W$19,0))</f>
        <v>10</v>
      </c>
      <c r="AX21" s="301">
        <f>(IF('Water Report'!$W$21&gt;0,'Water Report'!$W$21,0))</f>
        <v>64</v>
      </c>
      <c r="AY21" s="301">
        <f>(IF('Water Report'!$W$22&gt;0,'Water Report'!$W$22,0))</f>
        <v>0</v>
      </c>
      <c r="AZ21" s="301">
        <f>(IF('Water Report'!$W$23&gt;0,'Water Report'!$W$23,0))</f>
        <v>2</v>
      </c>
      <c r="BA21" s="301">
        <f>(IF('Water Report'!$W$14&gt;0,'Water Report'!$W$14,0))</f>
        <v>13</v>
      </c>
      <c r="BB21" s="301">
        <f>(IF('Water Report'!$W$15&gt;0,'Water Report'!$W$15,0))</f>
        <v>7</v>
      </c>
      <c r="BC21" s="301">
        <f>(IF('Water Report'!$W$13&gt;0,'Water Report'!$W$13,0))</f>
        <v>49</v>
      </c>
      <c r="BD21" s="301">
        <f>(IF('Water Report'!$W$24&gt;0,'Water Report'!$W$24,0))</f>
        <v>360</v>
      </c>
      <c r="BE21" s="301">
        <f>(IF('Water Report'!$W$25&gt;0,'Water Report'!$W$25,0))</f>
        <v>224</v>
      </c>
      <c r="BF21" s="301">
        <f>(IF('Water Report'!$W$27&gt;0,'Water Report'!$W$27,0))</f>
        <v>115</v>
      </c>
      <c r="BG21" s="296">
        <f>(IF('Section Load'!AN24&gt;0,'Section Load'!AN24,0))</f>
        <v>1045.6000000000931</v>
      </c>
      <c r="BH21" s="296">
        <f>(IF('Section Load'!AO24&gt;0,'Section Load'!AO24,0))</f>
        <v>290.11999999999534</v>
      </c>
      <c r="BI21" s="296">
        <f>(IF('Section Load'!AP24&gt;0,'Section Load'!AP24,0))</f>
        <v>0</v>
      </c>
      <c r="BJ21" s="296">
        <f>(IF('Section Load'!AQ24&gt;0,'Section Load'!AQ24,0))</f>
        <v>102.04999999998836</v>
      </c>
      <c r="BK21" s="296">
        <f>(IF('Section Load'!AR24&gt;0,'Section Load'!AR24,0))</f>
        <v>46.19999999999709</v>
      </c>
      <c r="BL21" s="296">
        <f>(IF('Section Load'!AS24&gt;0,'Section Load'!AS24,0))</f>
        <v>0.1000000000003638</v>
      </c>
      <c r="BM21" s="296">
        <f>(IF('Section Load'!AT24&gt;0,'Section Load'!AT24,0))</f>
        <v>607.13000000011198</v>
      </c>
    </row>
    <row r="22" spans="1:65" x14ac:dyDescent="0.25">
      <c r="A22" s="287" t="s">
        <v>268</v>
      </c>
      <c r="B22" s="288">
        <f t="shared" si="0"/>
        <v>21</v>
      </c>
      <c r="C22" s="288">
        <v>2</v>
      </c>
      <c r="D22" s="288">
        <v>2022</v>
      </c>
      <c r="E22" s="294">
        <f>(IF('Section Load'!F25&gt;0,'Section Load'!F25,0))</f>
        <v>2997.7200000000012</v>
      </c>
      <c r="F22" s="294">
        <f>(IF('Section Load'!G25&gt;0,'Section Load'!G25,0))</f>
        <v>1643.6000000000058</v>
      </c>
      <c r="G22" s="294">
        <f>(IF('Section Load'!H25&gt;0,'Section Load'!H25,0))</f>
        <v>2100.8399999999965</v>
      </c>
      <c r="H22" s="294">
        <f>(IF('Section Load'!I25&gt;0,'Section Load'!I25,0))</f>
        <v>3097.5</v>
      </c>
      <c r="I22" s="294">
        <f>(IF('Section Load'!J25&gt;0,'Section Load'!J25,0))</f>
        <v>4398.070000000007</v>
      </c>
      <c r="J22" s="294">
        <f>(IF('Section Load'!K25&gt;0,'Section Load'!K25,0))</f>
        <v>2091.7699999999895</v>
      </c>
      <c r="K22" s="294">
        <f>(IF('Section Load'!L25&gt;0,'Section Load'!L25,0))</f>
        <v>1372.5900000000111</v>
      </c>
      <c r="L22" s="294">
        <f>(IF('Section Load'!M25&gt;0,'Section Load'!M25,0))</f>
        <v>1029.6699999999983</v>
      </c>
      <c r="M22" s="294">
        <f>(IF('Section Load'!N25&gt;0,'Section Load'!N25,0))</f>
        <v>106</v>
      </c>
      <c r="N22" s="294">
        <f>(IF('Section Load'!O25&gt;0,'Section Load'!O25,0))</f>
        <v>1</v>
      </c>
      <c r="O22" s="294">
        <f>(IF('Section Load'!P25&gt;0,'Section Load'!P25,0))</f>
        <v>1.0100000000093132</v>
      </c>
      <c r="P22" s="294">
        <f>(IF('Section Load'!Q25&gt;0,'Section Load'!Q25,0))</f>
        <v>170.79000000000087</v>
      </c>
      <c r="Q22" s="294">
        <f>(IF('Section Load'!R25&gt;0,'Section Load'!R25,0))</f>
        <v>62.5</v>
      </c>
      <c r="R22" s="294">
        <f>(IF('Section Load'!S25&gt;0,'Section Load'!S25,0))</f>
        <v>14.510000000000218</v>
      </c>
      <c r="S22" s="294">
        <f>(IF('Section Load'!T25&gt;0,'Section Load'!T25,0))</f>
        <v>516</v>
      </c>
      <c r="T22" s="294">
        <f>(IF('Section Load'!U25&gt;0,'Section Load'!U25,0))</f>
        <v>193</v>
      </c>
      <c r="U22" s="294">
        <f>(IF('Section Load'!V25&gt;0,'Section Load'!V25,0))</f>
        <v>372.92000000004191</v>
      </c>
      <c r="V22" s="294">
        <f>(IF('Section Load'!W25&gt;0,'Section Load'!W25,0))</f>
        <v>315.19999999995343</v>
      </c>
      <c r="W22" s="294">
        <f>(IF('Section Load'!X25&gt;0,'Section Load'!X25,0))</f>
        <v>24.059999999999491</v>
      </c>
      <c r="X22" s="294">
        <f>(IF('Section Load'!Y25&gt;0,'Section Load'!Y25,0))</f>
        <v>271.70000000000073</v>
      </c>
      <c r="Y22" s="294">
        <f>(IF('Section Load'!Z25&gt;0,'Section Load'!Z25,0))</f>
        <v>247</v>
      </c>
      <c r="Z22" s="294">
        <f>(IF('Section Load'!AA25&gt;0,'Section Load'!AA25,0))</f>
        <v>13.92000000004191</v>
      </c>
      <c r="AA22" s="294">
        <f>(IF('Section Load'!AB25&gt;0,'Section Load'!AB25,0))</f>
        <v>37.69999999999709</v>
      </c>
      <c r="AB22" s="294">
        <f>(IF('Section Load'!AC25&gt;0,'Section Load'!AC25,0))</f>
        <v>9</v>
      </c>
      <c r="AC22" s="294">
        <f>(IF('Section Load'!AD25&gt;0,'Section Load'!AD25,0))</f>
        <v>45.900000000003274</v>
      </c>
      <c r="AD22" s="294">
        <f>(IF('Section Load'!AE25&gt;0,'Section Load'!AE25,0))</f>
        <v>423.67999999999938</v>
      </c>
      <c r="AE22" s="294">
        <f>(IF('Section Load'!AF25&gt;0,'Section Load'!AF25,0))</f>
        <v>178.26999999999953</v>
      </c>
      <c r="AF22" s="294">
        <f>(IF('Section Load'!AG25&gt;0,'Section Load'!AG25,0))</f>
        <v>372.77999999999884</v>
      </c>
      <c r="AG22" s="294">
        <f>(IF('Section Load'!AH25&gt;0,'Section Load'!AH25,0))</f>
        <v>431.82000000000698</v>
      </c>
      <c r="AH22" s="294">
        <f>(IF('Section Load'!AI25&gt;0,'Section Load'!AI25,0))</f>
        <v>430.31999999999971</v>
      </c>
      <c r="AI22" s="294">
        <f>(IF('Section Load'!AJ25&gt;0,'Section Load'!AJ25,0))</f>
        <v>809.40000000002328</v>
      </c>
      <c r="AJ22" s="294">
        <f>(IF('Section Load'!AK25&gt;0,'Section Load'!AK25,0))</f>
        <v>242.43999999998778</v>
      </c>
      <c r="AK22" s="294">
        <f>(IF('Section Load'!AL25&gt;0,'Section Load'!AL25,0))</f>
        <v>267.88000000000466</v>
      </c>
      <c r="AL22" s="294">
        <f>(IF('Section Load'!AM25&gt;0,'Section Load'!AM25,0))</f>
        <v>673.89999999999418</v>
      </c>
      <c r="AM22" s="295">
        <f>(IF('Water Report'!$X$7&gt;0,'Water Report'!$X$7,0))</f>
        <v>140</v>
      </c>
      <c r="AN22" s="295">
        <f>(IF('Water Report'!$X$8&gt;0,'Water Report'!$X$8,0))</f>
        <v>143</v>
      </c>
      <c r="AO22" s="295">
        <f>(IF('Water Report'!$X$9&gt;0,'Water Report'!$X$9,0))</f>
        <v>102</v>
      </c>
      <c r="AP22" s="295">
        <f>(IF('Water Report'!$X$10&gt;0,'Water Report'!$X$10,0))</f>
        <v>20</v>
      </c>
      <c r="AQ22" s="295">
        <f>(IF('Water Report'!$X$11&gt;0,'Water Report'!$X$11,0))</f>
        <v>81</v>
      </c>
      <c r="AR22" s="295">
        <f>(IF('Water Report'!$X$13&gt;0,'Water Report'!$X$13,0))</f>
        <v>38</v>
      </c>
      <c r="AS22" s="295">
        <f>(IF('Water Report'!$X$14&gt;0,'Water Report'!$X$14,0))</f>
        <v>6</v>
      </c>
      <c r="AT22" s="295">
        <f>(IF('Water Report'!$X$15&gt;0,'Water Report'!$X$15,0))</f>
        <v>9</v>
      </c>
      <c r="AU22" s="295">
        <f>(IF('Water Report'!$X$17&gt;0,'Water Report'!$X$17,0))</f>
        <v>0</v>
      </c>
      <c r="AV22" s="295">
        <f>(IF('Water Report'!$X$18&gt;0,'Water Report'!$X$18,0))</f>
        <v>15</v>
      </c>
      <c r="AW22" s="295">
        <f>(IF('Water Report'!$X$19&gt;0,'Water Report'!$X$19,0))</f>
        <v>16</v>
      </c>
      <c r="AX22" s="301">
        <f>(IF('Water Report'!$X$21&gt;0,'Water Report'!$X$21,0))</f>
        <v>68</v>
      </c>
      <c r="AY22" s="301">
        <f>(IF('Water Report'!$X$22&gt;0,'Water Report'!$X$22,0))</f>
        <v>0</v>
      </c>
      <c r="AZ22" s="301">
        <f>(IF('Water Report'!$X$23&gt;0,'Water Report'!$X$23,0))</f>
        <v>15</v>
      </c>
      <c r="BA22" s="301">
        <f>(IF('Water Report'!$X$14&gt;0,'Water Report'!$X$14,0))</f>
        <v>6</v>
      </c>
      <c r="BB22" s="301">
        <f>(IF('Water Report'!$X$15&gt;0,'Water Report'!$X$15,0))</f>
        <v>9</v>
      </c>
      <c r="BC22" s="301">
        <f>(IF('Water Report'!$X$13&gt;0,'Water Report'!$X$13,0))</f>
        <v>38</v>
      </c>
      <c r="BD22" s="301">
        <f>(IF('Water Report'!$X$24&gt;0,'Water Report'!$X$24,0))</f>
        <v>265</v>
      </c>
      <c r="BE22" s="301">
        <f>(IF('Water Report'!$X$25&gt;0,'Water Report'!$X$25,0))</f>
        <v>218</v>
      </c>
      <c r="BF22" s="301">
        <f>(IF('Water Report'!$X$27&gt;0,'Water Report'!$X$27,0))</f>
        <v>121</v>
      </c>
      <c r="BG22" s="296">
        <f>(IF('Section Load'!AN25&gt;0,'Section Load'!AN25,0))</f>
        <v>1175.1399999998976</v>
      </c>
      <c r="BH22" s="296">
        <f>(IF('Section Load'!AO25&gt;0,'Section Load'!AO25,0))</f>
        <v>272.14000000001397</v>
      </c>
      <c r="BI22" s="296">
        <f>(IF('Section Load'!AP25&gt;0,'Section Load'!AP25,0))</f>
        <v>0</v>
      </c>
      <c r="BJ22" s="296">
        <f>(IF('Section Load'!AQ25&gt;0,'Section Load'!AQ25,0))</f>
        <v>94.869999999995343</v>
      </c>
      <c r="BK22" s="296">
        <f>(IF('Section Load'!AR25&gt;0,'Section Load'!AR25,0))</f>
        <v>33.099999999998545</v>
      </c>
      <c r="BL22" s="296">
        <f>(IF('Section Load'!AS25&gt;0,'Section Load'!AS25,0))</f>
        <v>1</v>
      </c>
      <c r="BM22" s="296">
        <f>(IF('Section Load'!AT25&gt;0,'Section Load'!AT25,0))</f>
        <v>774.0299999998897</v>
      </c>
    </row>
    <row r="23" spans="1:65" x14ac:dyDescent="0.25">
      <c r="A23" s="287" t="s">
        <v>268</v>
      </c>
      <c r="B23" s="288">
        <f t="shared" si="0"/>
        <v>22</v>
      </c>
      <c r="C23" s="288">
        <v>2</v>
      </c>
      <c r="D23" s="288">
        <v>2022</v>
      </c>
      <c r="E23" s="294">
        <f>(IF('Section Load'!F26&gt;0,'Section Load'!F26,0))</f>
        <v>2910.7799999999916</v>
      </c>
      <c r="F23" s="294">
        <f>(IF('Section Load'!G26&gt;0,'Section Load'!G26,0))</f>
        <v>1629.0800000000017</v>
      </c>
      <c r="G23" s="294">
        <f>(IF('Section Load'!H26&gt;0,'Section Load'!H26,0))</f>
        <v>2167.5400000000081</v>
      </c>
      <c r="H23" s="294">
        <f>(IF('Section Load'!I26&gt;0,'Section Load'!I26,0))</f>
        <v>3093.4600000000064</v>
      </c>
      <c r="I23" s="294">
        <f>(IF('Section Load'!J26&gt;0,'Section Load'!J26,0))</f>
        <v>4438.4200000000128</v>
      </c>
      <c r="J23" s="294">
        <f>(IF('Section Load'!K26&gt;0,'Section Load'!K26,0))</f>
        <v>2091.4500000000116</v>
      </c>
      <c r="K23" s="294">
        <f>(IF('Section Load'!L26&gt;0,'Section Load'!L26,0))</f>
        <v>1073.6699999999983</v>
      </c>
      <c r="L23" s="294">
        <f>(IF('Section Load'!M26&gt;0,'Section Load'!M26,0))</f>
        <v>1119.9700000000012</v>
      </c>
      <c r="M23" s="294">
        <f>(IF('Section Load'!N26&gt;0,'Section Load'!N26,0))</f>
        <v>97</v>
      </c>
      <c r="N23" s="294">
        <f>(IF('Section Load'!O26&gt;0,'Section Load'!O26,0))</f>
        <v>2</v>
      </c>
      <c r="O23" s="294">
        <f>(IF('Section Load'!P26&gt;0,'Section Load'!P26,0))</f>
        <v>1.2199999999866122</v>
      </c>
      <c r="P23" s="294">
        <f>(IF('Section Load'!Q26&gt;0,'Section Load'!Q26,0))</f>
        <v>191.7699999999968</v>
      </c>
      <c r="Q23" s="294">
        <f>(IF('Section Load'!R26&gt;0,'Section Load'!R26,0))</f>
        <v>64.610000000000582</v>
      </c>
      <c r="R23" s="294">
        <f>(IF('Section Load'!S26&gt;0,'Section Load'!S26,0))</f>
        <v>17.219999999999345</v>
      </c>
      <c r="S23" s="294">
        <f>(IF('Section Load'!T26&gt;0,'Section Load'!T26,0))</f>
        <v>445</v>
      </c>
      <c r="T23" s="294">
        <f>(IF('Section Load'!U26&gt;0,'Section Load'!U26,0))</f>
        <v>201</v>
      </c>
      <c r="U23" s="294">
        <f>(IF('Section Load'!V26&gt;0,'Section Load'!V26,0))</f>
        <v>352.11999999999534</v>
      </c>
      <c r="V23" s="294">
        <f>(IF('Section Load'!W26&gt;0,'Section Load'!W26,0))</f>
        <v>319.43999999994412</v>
      </c>
      <c r="W23" s="294">
        <f>(IF('Section Load'!X26&gt;0,'Section Load'!X26,0))</f>
        <v>27.130000000000109</v>
      </c>
      <c r="X23" s="294">
        <f>(IF('Section Load'!Y26&gt;0,'Section Load'!Y26,0))</f>
        <v>240.06999999999971</v>
      </c>
      <c r="Y23" s="294">
        <f>(IF('Section Load'!Z26&gt;0,'Section Load'!Z26,0))</f>
        <v>252</v>
      </c>
      <c r="Z23" s="294">
        <f>(IF('Section Load'!AA26&gt;0,'Section Load'!AA26,0))</f>
        <v>16.639999999955762</v>
      </c>
      <c r="AA23" s="294">
        <f>(IF('Section Load'!AB26&gt;0,'Section Load'!AB26,0))</f>
        <v>38.600000000005821</v>
      </c>
      <c r="AB23" s="294">
        <f>(IF('Section Load'!AC26&gt;0,'Section Load'!AC26,0))</f>
        <v>0.46000000000276486</v>
      </c>
      <c r="AC23" s="294">
        <f>(IF('Section Load'!AD26&gt;0,'Section Load'!AD26,0))</f>
        <v>34.099999999991269</v>
      </c>
      <c r="AD23" s="294">
        <f>(IF('Section Load'!AE26&gt;0,'Section Load'!AE26,0))</f>
        <v>469.53000000000065</v>
      </c>
      <c r="AE23" s="294">
        <f>(IF('Section Load'!AF26&gt;0,'Section Load'!AF26,0))</f>
        <v>163.64000000000033</v>
      </c>
      <c r="AF23" s="294">
        <f>(IF('Section Load'!AG26&gt;0,'Section Load'!AG26,0))</f>
        <v>366.32000000000698</v>
      </c>
      <c r="AG23" s="294">
        <f>(IF('Section Load'!AH26&gt;0,'Section Load'!AH26,0))</f>
        <v>441.38000000000466</v>
      </c>
      <c r="AH23" s="294">
        <f>(IF('Section Load'!AI26&gt;0,'Section Load'!AI26,0))</f>
        <v>432.09999999999854</v>
      </c>
      <c r="AI23" s="294">
        <f>(IF('Section Load'!AJ26&gt;0,'Section Load'!AJ26,0))</f>
        <v>786.88000000000466</v>
      </c>
      <c r="AJ23" s="294">
        <f>(IF('Section Load'!AK26&gt;0,'Section Load'!AK26,0))</f>
        <v>232.2899999999936</v>
      </c>
      <c r="AK23" s="294">
        <f>(IF('Section Load'!AL26&gt;0,'Section Load'!AL26,0))</f>
        <v>261.5800000000163</v>
      </c>
      <c r="AL23" s="294">
        <f>(IF('Section Load'!AM26&gt;0,'Section Load'!AM26,0))</f>
        <v>666.86999999999534</v>
      </c>
      <c r="AM23" s="295">
        <f>(IF('Water Report'!$Y$7&gt;0,'Water Report'!$Y$7,0))</f>
        <v>134</v>
      </c>
      <c r="AN23" s="295">
        <f>(IF('Water Report'!$Y$8&gt;0,'Water Report'!$Y$8,0))</f>
        <v>137</v>
      </c>
      <c r="AO23" s="295">
        <f>(IF('Water Report'!$Y$9&gt;0,'Water Report'!$Y$9,0))</f>
        <v>109</v>
      </c>
      <c r="AP23" s="295">
        <f>(IF('Water Report'!$Y$10&gt;0,'Water Report'!$Y$10,0))</f>
        <v>20</v>
      </c>
      <c r="AQ23" s="295">
        <f>(IF('Water Report'!$Y$11&gt;0,'Water Report'!$Y$11,0))</f>
        <v>72</v>
      </c>
      <c r="AR23" s="295">
        <f>(IF('Water Report'!$Y$13&gt;0,'Water Report'!$Y$13,0))</f>
        <v>46</v>
      </c>
      <c r="AS23" s="295">
        <f>(IF('Water Report'!$Y$14&gt;0,'Water Report'!$Y$14,0))</f>
        <v>8</v>
      </c>
      <c r="AT23" s="295">
        <f>(IF('Water Report'!$Y$15&gt;0,'Water Report'!$Y$15,0))</f>
        <v>17</v>
      </c>
      <c r="AU23" s="295">
        <f>(IF('Water Report'!$Y$17&gt;0,'Water Report'!$Y$17,0))</f>
        <v>0</v>
      </c>
      <c r="AV23" s="295">
        <f>(IF('Water Report'!$Y$18&gt;0,'Water Report'!$Y$18,0))</f>
        <v>16</v>
      </c>
      <c r="AW23" s="295">
        <f>(IF('Water Report'!$Y$19&gt;0,'Water Report'!$Y$19,0))</f>
        <v>13</v>
      </c>
      <c r="AX23" s="301">
        <f>(IF('Water Report'!$Y$21&gt;0,'Water Report'!$Y$21,0))</f>
        <v>63</v>
      </c>
      <c r="AY23" s="301">
        <f>(IF('Water Report'!$Y$22&gt;0,'Water Report'!$Y$22,0))</f>
        <v>0</v>
      </c>
      <c r="AZ23" s="301">
        <f>(IF('Water Report'!$Y$23&gt;0,'Water Report'!$Y$23,0))</f>
        <v>8</v>
      </c>
      <c r="BA23" s="301">
        <f>(IF('Water Report'!$Y$14&gt;0,'Water Report'!$Y$14,0))</f>
        <v>8</v>
      </c>
      <c r="BB23" s="301">
        <f>(IF('Water Report'!$Y$15&gt;0,'Water Report'!$Y$15,0))</f>
        <v>17</v>
      </c>
      <c r="BC23" s="301">
        <f>(IF('Water Report'!$Y$13&gt;0,'Water Report'!$Y$13,0))</f>
        <v>46</v>
      </c>
      <c r="BD23" s="301">
        <f>(IF('Water Report'!$Y$24&gt;0,'Water Report'!$Y$24,0))</f>
        <v>243</v>
      </c>
      <c r="BE23" s="301">
        <f>(IF('Water Report'!$Y$25&gt;0,'Water Report'!$Y$25,0))</f>
        <v>226</v>
      </c>
      <c r="BF23" s="301">
        <f>(IF('Water Report'!$Y$27&gt;0,'Water Report'!$Y$27,0))</f>
        <v>117</v>
      </c>
      <c r="BG23" s="296">
        <f>(IF('Section Load'!AN26&gt;0,'Section Load'!AN26,0))</f>
        <v>1110.8900000001304</v>
      </c>
      <c r="BH23" s="296">
        <f>(IF('Section Load'!AO26&gt;0,'Section Load'!AO26,0))</f>
        <v>298.35999999998603</v>
      </c>
      <c r="BI23" s="296">
        <f>(IF('Section Load'!AP26&gt;0,'Section Load'!AP26,0))</f>
        <v>0</v>
      </c>
      <c r="BJ23" s="296">
        <f>(IF('Section Load'!AQ26&gt;0,'Section Load'!AQ26,0))</f>
        <v>100.16000000000349</v>
      </c>
      <c r="BK23" s="296">
        <f>(IF('Section Load'!AR26&gt;0,'Section Load'!AR26,0))</f>
        <v>40.099999999998545</v>
      </c>
      <c r="BL23" s="296">
        <f>(IF('Section Load'!AS26&gt;0,'Section Load'!AS26,0))</f>
        <v>1.2999999999992724</v>
      </c>
      <c r="BM23" s="296">
        <f>(IF('Section Load'!AT26&gt;0,'Section Load'!AT26,0))</f>
        <v>670.97000000014305</v>
      </c>
    </row>
    <row r="24" spans="1:65" x14ac:dyDescent="0.25">
      <c r="A24" s="287" t="s">
        <v>268</v>
      </c>
      <c r="B24" s="288">
        <f t="shared" si="0"/>
        <v>23</v>
      </c>
      <c r="C24" s="288">
        <v>2</v>
      </c>
      <c r="D24" s="288">
        <v>2022</v>
      </c>
      <c r="E24" s="294">
        <f>(IF('Section Load'!F27&gt;0,'Section Load'!F27,0))</f>
        <v>2982.0600000000049</v>
      </c>
      <c r="F24" s="294">
        <f>(IF('Section Load'!G27&gt;0,'Section Load'!G27,0))</f>
        <v>1629.7299999999959</v>
      </c>
      <c r="G24" s="294">
        <f>(IF('Section Load'!H27&gt;0,'Section Load'!H27,0))</f>
        <v>2162.0299999999988</v>
      </c>
      <c r="H24" s="294">
        <f>(IF('Section Load'!I27&gt;0,'Section Load'!I27,0))</f>
        <v>3147.0399999999936</v>
      </c>
      <c r="I24" s="294">
        <f>(IF('Section Load'!J27&gt;0,'Section Load'!J27,0))</f>
        <v>3349.9099999999944</v>
      </c>
      <c r="J24" s="294">
        <f>(IF('Section Load'!K27&gt;0,'Section Load'!K27,0))</f>
        <v>2083.1900000000023</v>
      </c>
      <c r="K24" s="294">
        <f>(IF('Section Load'!L27&gt;0,'Section Load'!L27,0))</f>
        <v>943.83999999999651</v>
      </c>
      <c r="L24" s="294">
        <f>(IF('Section Load'!M27&gt;0,'Section Load'!M27,0))</f>
        <v>1145.5999999999985</v>
      </c>
      <c r="M24" s="294">
        <f>(IF('Section Load'!N27&gt;0,'Section Load'!N27,0))</f>
        <v>110</v>
      </c>
      <c r="N24" s="294">
        <f>(IF('Section Load'!O27&gt;0,'Section Load'!O27,0))</f>
        <v>1</v>
      </c>
      <c r="O24" s="294">
        <f>(IF('Section Load'!P27&gt;0,'Section Load'!P27,0))</f>
        <v>1.0700000000069849</v>
      </c>
      <c r="P24" s="294">
        <f>(IF('Section Load'!Q27&gt;0,'Section Load'!Q27,0))</f>
        <v>179.30000000000291</v>
      </c>
      <c r="Q24" s="294">
        <f>(IF('Section Load'!R27&gt;0,'Section Load'!R27,0))</f>
        <v>66.840000000000146</v>
      </c>
      <c r="R24" s="294">
        <f>(IF('Section Load'!S27&gt;0,'Section Load'!S27,0))</f>
        <v>18.930000000000291</v>
      </c>
      <c r="S24" s="294">
        <f>(IF('Section Load'!T27&gt;0,'Section Load'!T27,0))</f>
        <v>471</v>
      </c>
      <c r="T24" s="294">
        <f>(IF('Section Load'!U27&gt;0,'Section Load'!U27,0))</f>
        <v>213</v>
      </c>
      <c r="U24" s="294">
        <f>(IF('Section Load'!V27&gt;0,'Section Load'!V27,0))</f>
        <v>328.8399999999674</v>
      </c>
      <c r="V24" s="294">
        <f>(IF('Section Load'!W27&gt;0,'Section Load'!W27,0))</f>
        <v>300.56000000005588</v>
      </c>
      <c r="W24" s="294">
        <f>(IF('Section Load'!X27&gt;0,'Section Load'!X27,0))</f>
        <v>30.5</v>
      </c>
      <c r="X24" s="294">
        <f>(IF('Section Load'!Y27&gt;0,'Section Load'!Y27,0))</f>
        <v>212.57999999999993</v>
      </c>
      <c r="Y24" s="294">
        <f>(IF('Section Load'!Z27&gt;0,'Section Load'!Z27,0))</f>
        <v>235</v>
      </c>
      <c r="Z24" s="294">
        <f>(IF('Section Load'!AA27&gt;0,'Section Load'!AA27,0))</f>
        <v>20.960000000020955</v>
      </c>
      <c r="AA24" s="294">
        <f>(IF('Section Load'!AB27&gt;0,'Section Load'!AB27,0))</f>
        <v>35</v>
      </c>
      <c r="AB24" s="294">
        <f>(IF('Section Load'!AC27&gt;0,'Section Load'!AC27,0))</f>
        <v>0</v>
      </c>
      <c r="AC24" s="294">
        <f>(IF('Section Load'!AD27&gt;0,'Section Load'!AD27,0))</f>
        <v>121.00000000000273</v>
      </c>
      <c r="AD24" s="294">
        <f>(IF('Section Load'!AE27&gt;0,'Section Load'!AE27,0))</f>
        <v>426.56999999999971</v>
      </c>
      <c r="AE24" s="294">
        <f>(IF('Section Load'!AF27&gt;0,'Section Load'!AF27,0))</f>
        <v>160.57999999999993</v>
      </c>
      <c r="AF24" s="294">
        <f>(IF('Section Load'!AG27&gt;0,'Section Load'!AG27,0))</f>
        <v>455.76999999998952</v>
      </c>
      <c r="AG24" s="294">
        <f>(IF('Section Load'!AH27&gt;0,'Section Load'!AH27,0))</f>
        <v>464.1699999999837</v>
      </c>
      <c r="AH24" s="294">
        <f>(IF('Section Load'!AI27&gt;0,'Section Load'!AI27,0))</f>
        <v>456.15000000000146</v>
      </c>
      <c r="AI24" s="294">
        <f>(IF('Section Load'!AJ27&gt;0,'Section Load'!AJ27,0))</f>
        <v>812.84999999997672</v>
      </c>
      <c r="AJ24" s="294">
        <f>(IF('Section Load'!AK27&gt;0,'Section Load'!AK27,0))</f>
        <v>259.92000000001281</v>
      </c>
      <c r="AK24" s="294">
        <f>(IF('Section Load'!AL27&gt;0,'Section Load'!AL27,0))</f>
        <v>267.23999999999069</v>
      </c>
      <c r="AL24" s="294">
        <f>(IF('Section Load'!AM27&gt;0,'Section Load'!AM27,0))</f>
        <v>656.52000000000407</v>
      </c>
      <c r="AM24" s="295">
        <f>(IF('Water Report'!$Z$7&gt;0,'Water Report'!$Z$7,0))</f>
        <v>145</v>
      </c>
      <c r="AN24" s="295">
        <f>(IF('Water Report'!$Z$8&gt;0,'Water Report'!$Z$8,0))</f>
        <v>77</v>
      </c>
      <c r="AO24" s="295">
        <f>(IF('Water Report'!$Z$9&gt;0,'Water Report'!$Z$9,0))</f>
        <v>107</v>
      </c>
      <c r="AP24" s="295">
        <f>(IF('Water Report'!$Z$10&gt;0,'Water Report'!$Z$10,0))</f>
        <v>18</v>
      </c>
      <c r="AQ24" s="295">
        <f>(IF('Water Report'!$Z$11&gt;0,'Water Report'!$Z$11,0))</f>
        <v>70</v>
      </c>
      <c r="AR24" s="295">
        <f>(IF('Water Report'!$Z$13&gt;0,'Water Report'!$Z$13,0))</f>
        <v>57</v>
      </c>
      <c r="AS24" s="295">
        <f>(IF('Water Report'!$Z$14&gt;0,'Water Report'!$Z$14,0))</f>
        <v>7</v>
      </c>
      <c r="AT24" s="295">
        <f>(IF('Water Report'!$Z$15&gt;0,'Water Report'!$Z$15,0))</f>
        <v>9</v>
      </c>
      <c r="AU24" s="295">
        <f>(IF('Water Report'!$Z$17&gt;0,'Water Report'!$Z$17,0))</f>
        <v>0</v>
      </c>
      <c r="AV24" s="295">
        <f>(IF('Water Report'!$Z$18&gt;0,'Water Report'!$Z$18,0))</f>
        <v>12</v>
      </c>
      <c r="AW24" s="295">
        <f>(IF('Water Report'!$Z$19&gt;0,'Water Report'!$Z$19,0))</f>
        <v>12</v>
      </c>
      <c r="AX24" s="301">
        <f>(IF('Water Report'!$Z$21&gt;0,'Water Report'!$Z$21,0))</f>
        <v>64</v>
      </c>
      <c r="AY24" s="301">
        <f>(IF('Water Report'!$Z$22&gt;0,'Water Report'!$Z$22,0))</f>
        <v>46</v>
      </c>
      <c r="AZ24" s="301">
        <f>(IF('Water Report'!$Z$23&gt;0,'Water Report'!$Z$23,0))</f>
        <v>0</v>
      </c>
      <c r="BA24" s="301">
        <f>(IF('Water Report'!$Z$14&gt;0,'Water Report'!$Z$14,0))</f>
        <v>7</v>
      </c>
      <c r="BB24" s="301">
        <f>(IF('Water Report'!$Z$15&gt;0,'Water Report'!$Z$15,0))</f>
        <v>9</v>
      </c>
      <c r="BC24" s="301">
        <f>(IF('Water Report'!$Z$13&gt;0,'Water Report'!$Z$13,0))</f>
        <v>57</v>
      </c>
      <c r="BD24" s="301">
        <f>(IF('Water Report'!$Z$24&gt;0,'Water Report'!$Z$24,0))</f>
        <v>315</v>
      </c>
      <c r="BE24" s="301">
        <f>(IF('Water Report'!$Z$25&gt;0,'Water Report'!$Z$25,0))</f>
        <v>211</v>
      </c>
      <c r="BF24" s="301">
        <f>(IF('Water Report'!$Z$27&gt;0,'Water Report'!$Z$27,0))</f>
        <v>121</v>
      </c>
      <c r="BG24" s="296">
        <f>(IF('Section Load'!AN27&gt;0,'Section Load'!AN27,0))</f>
        <v>1061.1999999999534</v>
      </c>
      <c r="BH24" s="296">
        <f>(IF('Section Load'!AO27&gt;0,'Section Load'!AO27,0))</f>
        <v>277.21999999997206</v>
      </c>
      <c r="BI24" s="296">
        <f>(IF('Section Load'!AP27&gt;0,'Section Load'!AP27,0))</f>
        <v>0</v>
      </c>
      <c r="BJ24" s="296">
        <f>(IF('Section Load'!AQ27&gt;0,'Section Load'!AQ27,0))</f>
        <v>109</v>
      </c>
      <c r="BK24" s="296">
        <f>(IF('Section Load'!AR27&gt;0,'Section Load'!AR27,0))</f>
        <v>37.80000000000291</v>
      </c>
      <c r="BL24" s="296">
        <f>(IF('Section Load'!AS27&gt;0,'Section Load'!AS27,0))</f>
        <v>0.7000000000007276</v>
      </c>
      <c r="BM24" s="296">
        <f>(IF('Section Load'!AT27&gt;0,'Section Load'!AT27,0))</f>
        <v>636.47999999997774</v>
      </c>
    </row>
    <row r="25" spans="1:65" x14ac:dyDescent="0.25">
      <c r="A25" s="287" t="s">
        <v>268</v>
      </c>
      <c r="B25" s="288">
        <f t="shared" si="0"/>
        <v>24</v>
      </c>
      <c r="C25" s="288">
        <v>2</v>
      </c>
      <c r="D25" s="288">
        <v>2022</v>
      </c>
      <c r="E25" s="294">
        <f>(IF('Section Load'!F28&gt;0,'Section Load'!F28,0))</f>
        <v>3058</v>
      </c>
      <c r="F25" s="294">
        <f>(IF('Section Load'!G28&gt;0,'Section Load'!G28,0))</f>
        <v>1635</v>
      </c>
      <c r="G25" s="294">
        <f>(IF('Section Load'!H28&gt;0,'Section Load'!H28,0))</f>
        <v>2289</v>
      </c>
      <c r="H25" s="294">
        <f>(IF('Section Load'!I28&gt;0,'Section Load'!I28,0))</f>
        <v>3236</v>
      </c>
      <c r="I25" s="294">
        <f>(IF('Section Load'!J28&gt;0,'Section Load'!J28,0))</f>
        <v>3259</v>
      </c>
      <c r="J25" s="294">
        <f>(IF('Section Load'!K28&gt;0,'Section Load'!K28,0))</f>
        <v>2090</v>
      </c>
      <c r="K25" s="294">
        <f>(IF('Section Load'!L28&gt;0,'Section Load'!L28,0))</f>
        <v>1040</v>
      </c>
      <c r="L25" s="294">
        <f>(IF('Section Load'!M28&gt;0,'Section Load'!M28,0))</f>
        <v>1020</v>
      </c>
      <c r="M25" s="294">
        <f>(IF('Section Load'!N28&gt;0,'Section Load'!N28,0))</f>
        <v>134</v>
      </c>
      <c r="N25" s="294">
        <f>(IF('Section Load'!O28&gt;0,'Section Load'!O28,0))</f>
        <v>3</v>
      </c>
      <c r="O25" s="294">
        <f>(IF('Section Load'!P28&gt;0,'Section Load'!P28,0))</f>
        <v>1</v>
      </c>
      <c r="P25" s="294">
        <f>(IF('Section Load'!Q28&gt;0,'Section Load'!Q28,0))</f>
        <v>178</v>
      </c>
      <c r="Q25" s="294">
        <f>(IF('Section Load'!R28&gt;0,'Section Load'!R28,0))</f>
        <v>67</v>
      </c>
      <c r="R25" s="294">
        <f>(IF('Section Load'!S28&gt;0,'Section Load'!S28,0))</f>
        <v>17</v>
      </c>
      <c r="S25" s="294">
        <f>(IF('Section Load'!T28&gt;0,'Section Load'!T28,0))</f>
        <v>493</v>
      </c>
      <c r="T25" s="294">
        <f>(IF('Section Load'!U28&gt;0,'Section Load'!U28,0))</f>
        <v>224</v>
      </c>
      <c r="U25" s="294">
        <f>(IF('Section Load'!V28&gt;0,'Section Load'!V28,0))</f>
        <v>416</v>
      </c>
      <c r="V25" s="294">
        <f>(IF('Section Load'!W28&gt;0,'Section Load'!W28,0))</f>
        <v>347</v>
      </c>
      <c r="W25" s="294">
        <f>(IF('Section Load'!X28&gt;0,'Section Load'!X28,0))</f>
        <v>31</v>
      </c>
      <c r="X25" s="294">
        <f>(IF('Section Load'!Y28&gt;0,'Section Load'!Y28,0))</f>
        <v>219</v>
      </c>
      <c r="Y25" s="294">
        <f>(IF('Section Load'!Z28&gt;0,'Section Load'!Z28,0))</f>
        <v>227</v>
      </c>
      <c r="Z25" s="294">
        <f>(IF('Section Load'!AA28&gt;0,'Section Load'!AA28,0))</f>
        <v>67</v>
      </c>
      <c r="AA25" s="294">
        <f>(IF('Section Load'!AB28&gt;0,'Section Load'!AB28,0))</f>
        <v>45</v>
      </c>
      <c r="AB25" s="294">
        <f>(IF('Section Load'!AC28&gt;0,'Section Load'!AC28,0))</f>
        <v>0</v>
      </c>
      <c r="AC25" s="294">
        <f>(IF('Section Load'!AD28&gt;0,'Section Load'!AD28,0))</f>
        <v>140</v>
      </c>
      <c r="AD25" s="294">
        <f>(IF('Section Load'!AE28&gt;0,'Section Load'!AE28,0))</f>
        <v>414</v>
      </c>
      <c r="AE25" s="294">
        <f>(IF('Section Load'!AF28&gt;0,'Section Load'!AF28,0))</f>
        <v>227</v>
      </c>
      <c r="AF25" s="294">
        <f>(IF('Section Load'!AG28&gt;0,'Section Load'!AG28,0))</f>
        <v>480</v>
      </c>
      <c r="AG25" s="294">
        <f>(IF('Section Load'!AH28&gt;0,'Section Load'!AH28,0))</f>
        <v>406</v>
      </c>
      <c r="AH25" s="294">
        <f>(IF('Section Load'!AI28&gt;0,'Section Load'!AI28,0))</f>
        <v>405</v>
      </c>
      <c r="AI25" s="294">
        <f>(IF('Section Load'!AJ28&gt;0,'Section Load'!AJ28,0))</f>
        <v>747</v>
      </c>
      <c r="AJ25" s="294">
        <f>(IF('Section Load'!AK28&gt;0,'Section Load'!AK28,0))</f>
        <v>229</v>
      </c>
      <c r="AK25" s="294">
        <f>(IF('Section Load'!AL28&gt;0,'Section Load'!AL28,0))</f>
        <v>268</v>
      </c>
      <c r="AL25" s="294">
        <f>(IF('Section Load'!AM28&gt;0,'Section Load'!AM28,0))</f>
        <v>657</v>
      </c>
      <c r="AM25" s="295">
        <f>(IF('Water Report'!$AA$7&gt;0,'Water Report'!$AA$7,0))</f>
        <v>146</v>
      </c>
      <c r="AN25" s="295">
        <f>(IF('Water Report'!$AA$8&gt;0,'Water Report'!$AA$8,0))</f>
        <v>76</v>
      </c>
      <c r="AO25" s="295">
        <f>(IF('Water Report'!$AA$9&gt;0,'Water Report'!$AA$9,0))</f>
        <v>92</v>
      </c>
      <c r="AP25" s="295">
        <f>(IF('Water Report'!$AA$10&gt;0,'Water Report'!$AA$10,0))</f>
        <v>19</v>
      </c>
      <c r="AQ25" s="295">
        <f>(IF('Water Report'!$AA$11&gt;0,'Water Report'!$AA$11,0))</f>
        <v>67</v>
      </c>
      <c r="AR25" s="295">
        <f>(IF('Water Report'!$AA$13&gt;0,'Water Report'!$AA$13,0))</f>
        <v>36</v>
      </c>
      <c r="AS25" s="295">
        <f>(IF('Water Report'!$AA$14&gt;0,'Water Report'!$AA$14,0))</f>
        <v>9</v>
      </c>
      <c r="AT25" s="295">
        <f>(IF('Water Report'!$AA$15&gt;0,'Water Report'!$AA$15,0))</f>
        <v>7</v>
      </c>
      <c r="AU25" s="295">
        <f>(IF('Water Report'!$AA$17&gt;0,'Water Report'!$AA$17,0))</f>
        <v>0</v>
      </c>
      <c r="AV25" s="295">
        <f>(IF('Water Report'!$AA$18&gt;0,'Water Report'!$AA$18,0))</f>
        <v>16</v>
      </c>
      <c r="AW25" s="295">
        <f>(IF('Water Report'!$AA$19&gt;0,'Water Report'!$AA$19,0))</f>
        <v>15</v>
      </c>
      <c r="AX25" s="301">
        <f>(IF('Water Report'!$AA$21&gt;0,'Water Report'!$AA$21,0))</f>
        <v>65</v>
      </c>
      <c r="AY25" s="301">
        <f>(IF('Water Report'!$AA$22&gt;0,'Water Report'!$AA$22,0))</f>
        <v>0</v>
      </c>
      <c r="AZ25" s="301">
        <f>(IF('Water Report'!$AA$23&gt;0,'Water Report'!$AA$23,0))</f>
        <v>15</v>
      </c>
      <c r="BA25" s="301">
        <f>(IF('Water Report'!$AA$14&gt;0,'Water Report'!$AA$14,0))</f>
        <v>9</v>
      </c>
      <c r="BB25" s="301">
        <f>(IF('Water Report'!$AA$15&gt;0,'Water Report'!$AA$15,0))</f>
        <v>7</v>
      </c>
      <c r="BC25" s="301">
        <f>(IF('Water Report'!$AA$13&gt;0,'Water Report'!$AA$13,0))</f>
        <v>36</v>
      </c>
      <c r="BD25" s="301">
        <f>(IF('Water Report'!$AA$24&gt;0,'Water Report'!$AA$24,0))</f>
        <v>274</v>
      </c>
      <c r="BE25" s="301">
        <f>(IF('Water Report'!$AA$25&gt;0,'Water Report'!$AA$25,0))</f>
        <v>194</v>
      </c>
      <c r="BF25" s="301">
        <f>(IF('Water Report'!$AA$27&gt;0,'Water Report'!$AA$27,0))</f>
        <v>116</v>
      </c>
      <c r="BG25" s="296">
        <f>(IF('Section Load'!AN28&gt;0,'Section Load'!AN28,0))</f>
        <v>1141</v>
      </c>
      <c r="BH25" s="296">
        <f>(IF('Section Load'!AO28&gt;0,'Section Load'!AO28,0))</f>
        <v>289</v>
      </c>
      <c r="BI25" s="296">
        <f>(IF('Section Load'!AP28&gt;0,'Section Load'!AP28,0))</f>
        <v>0</v>
      </c>
      <c r="BJ25" s="296">
        <f>(IF('Section Load'!AQ28&gt;0,'Section Load'!AQ28,0))</f>
        <v>124</v>
      </c>
      <c r="BK25" s="296">
        <f>(IF('Section Load'!AR28&gt;0,'Section Load'!AR28,0))</f>
        <v>45</v>
      </c>
      <c r="BL25" s="296">
        <f>(IF('Section Load'!AS28&gt;0,'Section Load'!AS28,0))</f>
        <v>1</v>
      </c>
      <c r="BM25" s="296">
        <f>(IF('Section Load'!AT28&gt;0,'Section Load'!AT28,0))</f>
        <v>682</v>
      </c>
    </row>
    <row r="26" spans="1:65" x14ac:dyDescent="0.25">
      <c r="A26" s="287" t="s">
        <v>268</v>
      </c>
      <c r="B26" s="288">
        <f>B25+1</f>
        <v>25</v>
      </c>
      <c r="C26" s="288">
        <v>2</v>
      </c>
      <c r="D26" s="288">
        <v>2022</v>
      </c>
      <c r="E26" s="294">
        <f>(IF('Section Load'!F29&gt;0,'Section Load'!F29,0))</f>
        <v>2958</v>
      </c>
      <c r="F26" s="294">
        <f>(IF('Section Load'!G29&gt;0,'Section Load'!G29,0))</f>
        <v>1625</v>
      </c>
      <c r="G26" s="294">
        <f>(IF('Section Load'!H29&gt;0,'Section Load'!H29,0))</f>
        <v>2115</v>
      </c>
      <c r="H26" s="294">
        <f>(IF('Section Load'!I29&gt;0,'Section Load'!I29,0))</f>
        <v>3213</v>
      </c>
      <c r="I26" s="294">
        <f>(IF('Section Load'!J29&gt;0,'Section Load'!J29,0))</f>
        <v>3132</v>
      </c>
      <c r="J26" s="294">
        <f>(IF('Section Load'!K29&gt;0,'Section Load'!K29,0))</f>
        <v>2090</v>
      </c>
      <c r="K26" s="294">
        <f>(IF('Section Load'!L29&gt;0,'Section Load'!L29,0))</f>
        <v>1348</v>
      </c>
      <c r="L26" s="294">
        <f>(IF('Section Load'!M29&gt;0,'Section Load'!M29,0))</f>
        <v>1101</v>
      </c>
      <c r="M26" s="294">
        <f>(IF('Section Load'!N29&gt;0,'Section Load'!N29,0))</f>
        <v>163</v>
      </c>
      <c r="N26" s="294">
        <f>(IF('Section Load'!O29&gt;0,'Section Load'!O29,0))</f>
        <v>7</v>
      </c>
      <c r="O26" s="294">
        <f>(IF('Section Load'!P29&gt;0,'Section Load'!P29,0))</f>
        <v>1</v>
      </c>
      <c r="P26" s="294">
        <f>(IF('Section Load'!Q29&gt;0,'Section Load'!Q29,0))</f>
        <v>185</v>
      </c>
      <c r="Q26" s="294">
        <f>(IF('Section Load'!R29&gt;0,'Section Load'!R29,0))</f>
        <v>66</v>
      </c>
      <c r="R26" s="294">
        <f>(IF('Section Load'!S29&gt;0,'Section Load'!S29,0))</f>
        <v>14</v>
      </c>
      <c r="S26" s="294">
        <f>(IF('Section Load'!T29&gt;0,'Section Load'!T29,0))</f>
        <v>492</v>
      </c>
      <c r="T26" s="294">
        <f>(IF('Section Load'!U29&gt;0,'Section Load'!U29,0))</f>
        <v>229</v>
      </c>
      <c r="U26" s="294">
        <f>(IF('Section Load'!V29&gt;0,'Section Load'!V29,0))</f>
        <v>414</v>
      </c>
      <c r="V26" s="294">
        <f>(IF('Section Load'!W29&gt;0,'Section Load'!W29,0))</f>
        <v>413</v>
      </c>
      <c r="W26" s="294">
        <f>(IF('Section Load'!X29&gt;0,'Section Load'!X29,0))</f>
        <v>29</v>
      </c>
      <c r="X26" s="294">
        <f>(IF('Section Load'!Y29&gt;0,'Section Load'!Y29,0))</f>
        <v>235</v>
      </c>
      <c r="Y26" s="294">
        <f>(IF('Section Load'!Z29&gt;0,'Section Load'!Z29,0))</f>
        <v>231</v>
      </c>
      <c r="Z26" s="294">
        <f>(IF('Section Load'!AA29&gt;0,'Section Load'!AA29,0))</f>
        <v>22</v>
      </c>
      <c r="AA26" s="294">
        <f>(IF('Section Load'!AB29&gt;0,'Section Load'!AB29,0))</f>
        <v>42</v>
      </c>
      <c r="AB26" s="294">
        <f>(IF('Section Load'!AC29&gt;0,'Section Load'!AC29,0))</f>
        <v>0</v>
      </c>
      <c r="AC26" s="294">
        <f>(IF('Section Load'!AD29&gt;0,'Section Load'!AD29,0))</f>
        <v>144</v>
      </c>
      <c r="AD26" s="294">
        <f>(IF('Section Load'!AE29&gt;0,'Section Load'!AE29,0))</f>
        <v>410</v>
      </c>
      <c r="AE26" s="294">
        <f>(IF('Section Load'!AF29&gt;0,'Section Load'!AF29,0))</f>
        <v>189</v>
      </c>
      <c r="AF26" s="294">
        <f>(IF('Section Load'!AG29&gt;0,'Section Load'!AG29,0))</f>
        <v>476</v>
      </c>
      <c r="AG26" s="294">
        <f>(IF('Section Load'!AH29&gt;0,'Section Load'!AH29,0))</f>
        <v>437</v>
      </c>
      <c r="AH26" s="294">
        <f>(IF('Section Load'!AI29&gt;0,'Section Load'!AI29,0))</f>
        <v>452</v>
      </c>
      <c r="AI26" s="294">
        <f>(IF('Section Load'!AJ29&gt;0,'Section Load'!AJ29,0))</f>
        <v>794</v>
      </c>
      <c r="AJ26" s="294">
        <f>(IF('Section Load'!AK29&gt;0,'Section Load'!AK29,0))</f>
        <v>234</v>
      </c>
      <c r="AK26" s="294">
        <f>(IF('Section Load'!AL29&gt;0,'Section Load'!AL29,0))</f>
        <v>277</v>
      </c>
      <c r="AL26" s="294">
        <f>(IF('Section Load'!AM29&gt;0,'Section Load'!AM29,0))</f>
        <v>660</v>
      </c>
      <c r="AM26" s="295">
        <f>(IF('Water Report'!$AB$7&gt;0,'Water Report'!$AB$7,0))</f>
        <v>147</v>
      </c>
      <c r="AN26" s="295">
        <f>(IF('Water Report'!$AB$8&gt;0,'Water Report'!$AB$8,0))</f>
        <v>121</v>
      </c>
      <c r="AO26" s="295">
        <f>(IF('Water Report'!$AB$9&gt;0,'Water Report'!$AB$9,0))</f>
        <v>112</v>
      </c>
      <c r="AP26" s="295">
        <f>(IF('Water Report'!$AB$10&gt;0,'Water Report'!$AB$10,0))</f>
        <v>465</v>
      </c>
      <c r="AQ26" s="295">
        <f>(IF('Water Report'!$AB$11&gt;0,'Water Report'!$AB$11,0))</f>
        <v>71</v>
      </c>
      <c r="AR26" s="295">
        <f>(IF('Water Report'!$AB$13&gt;0,'Water Report'!$AB$13,0))</f>
        <v>73</v>
      </c>
      <c r="AS26" s="295">
        <f>(IF('Water Report'!$AB$14&gt;0,'Water Report'!$AB$14,0))</f>
        <v>6</v>
      </c>
      <c r="AT26" s="295">
        <f>(IF('Water Report'!$AB$15&gt;0,'Water Report'!$AB$15,0))</f>
        <v>11</v>
      </c>
      <c r="AU26" s="295">
        <f>(IF('Water Report'!$AB$17&gt;0,'Water Report'!$AB$17,0))</f>
        <v>2</v>
      </c>
      <c r="AV26" s="295">
        <f>(IF('Water Report'!$AB$18&gt;0,'Water Report'!$AB$18,0))</f>
        <v>17</v>
      </c>
      <c r="AW26" s="295">
        <f>(IF('Water Report'!$AB$19&gt;0,'Water Report'!$AB$19,0))</f>
        <v>11</v>
      </c>
      <c r="AX26" s="301">
        <f>(IF('Water Report'!$AB$21&gt;0,'Water Report'!$AB$21,0))</f>
        <v>64</v>
      </c>
      <c r="AY26" s="301">
        <f>(IF('Water Report'!$AB$22&gt;0,'Water Report'!$AB$22,0))</f>
        <v>0</v>
      </c>
      <c r="AZ26" s="301">
        <f>(IF('Water Report'!$AB$23&gt;0,'Water Report'!$AB$23,0))</f>
        <v>11</v>
      </c>
      <c r="BA26" s="301">
        <f>(IF('Water Report'!$AB$14&gt;0,'Water Report'!$AB$14,0))</f>
        <v>6</v>
      </c>
      <c r="BB26" s="301">
        <f>(IF('Water Report'!$AB$15&gt;0,'Water Report'!$AB$15,0))</f>
        <v>11</v>
      </c>
      <c r="BC26" s="301">
        <f>(IF('Water Report'!$AB$13&gt;0,'Water Report'!$AB$13,0))</f>
        <v>73</v>
      </c>
      <c r="BD26" s="301">
        <f>(IF('Water Report'!$AB$24&gt;0,'Water Report'!$AB$24,0))</f>
        <v>233</v>
      </c>
      <c r="BE26" s="301">
        <f>(IF('Water Report'!$AB$25&gt;0,'Water Report'!$AB$25,0))</f>
        <v>665</v>
      </c>
      <c r="BF26" s="301">
        <f>(IF('Water Report'!$AB$27&gt;0,'Water Report'!$AB$27,0))</f>
        <v>148</v>
      </c>
      <c r="BG26" s="296">
        <f>(IF('Section Load'!AN29&gt;0,'Section Load'!AN29,0))</f>
        <v>1157</v>
      </c>
      <c r="BH26" s="296">
        <f>(IF('Section Load'!AO29&gt;0,'Section Load'!AO29,0))</f>
        <v>337</v>
      </c>
      <c r="BI26" s="296">
        <f>(IF('Section Load'!AP29&gt;0,'Section Load'!AP29,0))</f>
        <v>0</v>
      </c>
      <c r="BJ26" s="296">
        <f>(IF('Section Load'!AQ29&gt;0,'Section Load'!AQ29,0))</f>
        <v>114</v>
      </c>
      <c r="BK26" s="296">
        <f>(IF('Section Load'!AR29&gt;0,'Section Load'!AR29,0))</f>
        <v>60</v>
      </c>
      <c r="BL26" s="296">
        <f>(IF('Section Load'!AS29&gt;0,'Section Load'!AS29,0))</f>
        <v>2</v>
      </c>
      <c r="BM26" s="296">
        <f>(IF('Section Load'!AT29&gt;0,'Section Load'!AT29,0))</f>
        <v>644</v>
      </c>
    </row>
    <row r="27" spans="1:65" x14ac:dyDescent="0.25">
      <c r="A27" s="287" t="s">
        <v>268</v>
      </c>
      <c r="B27" s="288">
        <f t="shared" si="0"/>
        <v>26</v>
      </c>
      <c r="C27" s="288">
        <v>2</v>
      </c>
      <c r="D27" s="288">
        <v>2022</v>
      </c>
      <c r="E27" s="294">
        <f>(IF('Section Load'!F30&gt;0,'Section Load'!F30,0))</f>
        <v>3059</v>
      </c>
      <c r="F27" s="294">
        <f>(IF('Section Load'!G30&gt;0,'Section Load'!G30,0))</f>
        <v>1650</v>
      </c>
      <c r="G27" s="294">
        <f>(IF('Section Load'!H30&gt;0,'Section Load'!H30,0))</f>
        <v>2135</v>
      </c>
      <c r="H27" s="294">
        <f>(IF('Section Load'!I30&gt;0,'Section Load'!I30,0))</f>
        <v>3217</v>
      </c>
      <c r="I27" s="294">
        <f>(IF('Section Load'!J30&gt;0,'Section Load'!J30,0))</f>
        <v>2872</v>
      </c>
      <c r="J27" s="294">
        <f>(IF('Section Load'!K30&gt;0,'Section Load'!K30,0))</f>
        <v>2098</v>
      </c>
      <c r="K27" s="294">
        <f>(IF('Section Load'!L30&gt;0,'Section Load'!L30,0))</f>
        <v>1027</v>
      </c>
      <c r="L27" s="294">
        <f>(IF('Section Load'!M30&gt;0,'Section Load'!M30,0))</f>
        <v>936</v>
      </c>
      <c r="M27" s="294">
        <f>(IF('Section Load'!N30&gt;0,'Section Load'!N30,0))</f>
        <v>166</v>
      </c>
      <c r="N27" s="294">
        <f>(IF('Section Load'!O30&gt;0,'Section Load'!O30,0))</f>
        <v>2</v>
      </c>
      <c r="O27" s="294">
        <f>(IF('Section Load'!P30&gt;0,'Section Load'!P30,0))</f>
        <v>0</v>
      </c>
      <c r="P27" s="294">
        <f>(IF('Section Load'!Q30&gt;0,'Section Load'!Q30,0))</f>
        <v>176</v>
      </c>
      <c r="Q27" s="294">
        <f>(IF('Section Load'!R30&gt;0,'Section Load'!R30,0))</f>
        <v>69</v>
      </c>
      <c r="R27" s="294">
        <f>(IF('Section Load'!S30&gt;0,'Section Load'!S30,0))</f>
        <v>17</v>
      </c>
      <c r="S27" s="294">
        <f>(IF('Section Load'!T30&gt;0,'Section Load'!T30,0))</f>
        <v>452</v>
      </c>
      <c r="T27" s="294">
        <f>(IF('Section Load'!U30&gt;0,'Section Load'!U30,0))</f>
        <v>234</v>
      </c>
      <c r="U27" s="294">
        <f>(IF('Section Load'!V30&gt;0,'Section Load'!V30,0))</f>
        <v>375</v>
      </c>
      <c r="V27" s="294">
        <f>(IF('Section Load'!W30&gt;0,'Section Load'!W30,0))</f>
        <v>224</v>
      </c>
      <c r="W27" s="294">
        <f>(IF('Section Load'!X30&gt;0,'Section Load'!X30,0))</f>
        <v>25</v>
      </c>
      <c r="X27" s="294">
        <f>(IF('Section Load'!Y30&gt;0,'Section Load'!Y30,0))</f>
        <v>244</v>
      </c>
      <c r="Y27" s="294">
        <f>(IF('Section Load'!Z30&gt;0,'Section Load'!Z30,0))</f>
        <v>239</v>
      </c>
      <c r="Z27" s="294">
        <f>(IF('Section Load'!AA30&gt;0,'Section Load'!AA30,0))</f>
        <v>13</v>
      </c>
      <c r="AA27" s="294">
        <f>(IF('Section Load'!AB30&gt;0,'Section Load'!AB30,0))</f>
        <v>23</v>
      </c>
      <c r="AB27" s="294">
        <f>(IF('Section Load'!AC30&gt;0,'Section Load'!AC30,0))</f>
        <v>0.22000000000116415</v>
      </c>
      <c r="AC27" s="294">
        <f>(IF('Section Load'!AD30&gt;0,'Section Load'!AD30,0))</f>
        <v>151</v>
      </c>
      <c r="AD27" s="294">
        <f>(IF('Section Load'!AE30&gt;0,'Section Load'!AE30,0))</f>
        <v>420</v>
      </c>
      <c r="AE27" s="294">
        <f>(IF('Section Load'!AF30&gt;0,'Section Load'!AF30,0))</f>
        <v>197</v>
      </c>
      <c r="AF27" s="294">
        <f>(IF('Section Load'!AG30&gt;0,'Section Load'!AG30,0))</f>
        <v>481</v>
      </c>
      <c r="AG27" s="294">
        <f>(IF('Section Load'!AH30&gt;0,'Section Load'!AH30,0))</f>
        <v>454</v>
      </c>
      <c r="AH27" s="294">
        <f>(IF('Section Load'!AI30&gt;0,'Section Load'!AI30,0))</f>
        <v>470</v>
      </c>
      <c r="AI27" s="294">
        <f>(IF('Section Load'!AJ30&gt;0,'Section Load'!AJ30,0))</f>
        <v>788</v>
      </c>
      <c r="AJ27" s="294">
        <f>(IF('Section Load'!AK30&gt;0,'Section Load'!AK30,0))</f>
        <v>221</v>
      </c>
      <c r="AK27" s="294">
        <f>(IF('Section Load'!AL30&gt;0,'Section Load'!AL30,0))</f>
        <v>284</v>
      </c>
      <c r="AL27" s="294">
        <f>(IF('Section Load'!AM30&gt;0,'Section Load'!AM30,0))</f>
        <v>671</v>
      </c>
      <c r="AM27" s="295">
        <f>(IF('Water Report'!$AC$7&gt;0,'Water Report'!$AC$7,0))</f>
        <v>157</v>
      </c>
      <c r="AN27" s="295">
        <f>(IF('Water Report'!$AC$8&gt;0,'Water Report'!$AC$8,0))</f>
        <v>78</v>
      </c>
      <c r="AO27" s="295">
        <f>(IF('Water Report'!$AC$9&gt;0,'Water Report'!$AC$9,0))</f>
        <v>106</v>
      </c>
      <c r="AP27" s="295">
        <f>(IF('Water Report'!$AC$10&gt;0,'Water Report'!$AC$10,0))</f>
        <v>28</v>
      </c>
      <c r="AQ27" s="295">
        <f>(IF('Water Report'!$AC$11&gt;0,'Water Report'!$AC$11,0))</f>
        <v>73</v>
      </c>
      <c r="AR27" s="295">
        <f>(IF('Water Report'!$AC$13&gt;0,'Water Report'!$AC$13,0))</f>
        <v>61</v>
      </c>
      <c r="AS27" s="295">
        <f>(IF('Water Report'!$AC$14&gt;0,'Water Report'!$AC$14,0))</f>
        <v>6</v>
      </c>
      <c r="AT27" s="295">
        <f>(IF('Water Report'!$AC$15&gt;0,'Water Report'!$AC$15,0))</f>
        <v>18</v>
      </c>
      <c r="AU27" s="295">
        <f>(IF('Water Report'!$AC$17&gt;0,'Water Report'!$AC$17,0))</f>
        <v>2</v>
      </c>
      <c r="AV27" s="295">
        <f>(IF('Water Report'!$AC$18&gt;0,'Water Report'!$AC$18,0))</f>
        <v>15</v>
      </c>
      <c r="AW27" s="295">
        <f>(IF('Water Report'!$AC$19&gt;0,'Water Report'!$AC$19,0))</f>
        <v>11</v>
      </c>
      <c r="AX27" s="301">
        <f>(IF('Water Report'!$AC$21&gt;0,'Water Report'!$AC$21,0))</f>
        <v>64</v>
      </c>
      <c r="AY27" s="301">
        <f>(IF('Water Report'!$AC$22&gt;0,'Water Report'!$AC$22,0))</f>
        <v>5873</v>
      </c>
      <c r="AZ27" s="301">
        <f>(IF('Water Report'!$AC$23&gt;0,'Water Report'!$AC$23,0))</f>
        <v>11</v>
      </c>
      <c r="BA27" s="301">
        <f>(IF('Water Report'!$AC$14&gt;0,'Water Report'!$AC$14,0))</f>
        <v>6</v>
      </c>
      <c r="BB27" s="301">
        <f>(IF('Water Report'!$AC$15&gt;0,'Water Report'!$AC$15,0))</f>
        <v>18</v>
      </c>
      <c r="BC27" s="301">
        <f>(IF('Water Report'!$AC$13&gt;0,'Water Report'!$AC$13,0))</f>
        <v>61</v>
      </c>
      <c r="BD27" s="301">
        <f>(IF('Water Report'!$AC$24&gt;0,'Water Report'!$AC$24,0))</f>
        <v>315</v>
      </c>
      <c r="BE27" s="301">
        <f>(IF('Water Report'!$AC$25&gt;0,'Water Report'!$AC$25,0))</f>
        <v>231</v>
      </c>
      <c r="BF27" s="301">
        <f>(IF('Water Report'!$AC$27&gt;0,'Water Report'!$AC$27,0))</f>
        <v>136</v>
      </c>
      <c r="BG27" s="296">
        <f>(IF('Section Load'!AN30&gt;0,'Section Load'!AN30,0))</f>
        <v>1096</v>
      </c>
      <c r="BH27" s="296">
        <f>(IF('Section Load'!AO30&gt;0,'Section Load'!AO30,0))</f>
        <v>329</v>
      </c>
      <c r="BI27" s="296">
        <f>(IF('Section Load'!AP30&gt;0,'Section Load'!AP30,0))</f>
        <v>0</v>
      </c>
      <c r="BJ27" s="296">
        <f>(IF('Section Load'!AQ30&gt;0,'Section Load'!AQ30,0))</f>
        <v>92</v>
      </c>
      <c r="BK27" s="296">
        <f>(IF('Section Load'!AR30&gt;0,'Section Load'!AR30,0))</f>
        <v>50</v>
      </c>
      <c r="BL27" s="296">
        <f>(IF('Section Load'!AS30&gt;0,'Section Load'!AS30,0))</f>
        <v>2</v>
      </c>
      <c r="BM27" s="296">
        <f>(IF('Section Load'!AT30&gt;0,'Section Load'!AT30,0))</f>
        <v>623</v>
      </c>
    </row>
    <row r="28" spans="1:65" x14ac:dyDescent="0.25">
      <c r="A28" s="287" t="s">
        <v>268</v>
      </c>
      <c r="B28" s="288">
        <f t="shared" si="0"/>
        <v>27</v>
      </c>
      <c r="C28" s="288">
        <v>2</v>
      </c>
      <c r="D28" s="288">
        <v>2022</v>
      </c>
      <c r="E28" s="294">
        <f>(IF('Section Load'!F31&gt;0,'Section Load'!F31,0))</f>
        <v>2816</v>
      </c>
      <c r="F28" s="294">
        <f>(IF('Section Load'!G31&gt;0,'Section Load'!G31,0))</f>
        <v>1620</v>
      </c>
      <c r="G28" s="294">
        <f>(IF('Section Load'!H31&gt;0,'Section Load'!H31,0))</f>
        <v>2095</v>
      </c>
      <c r="H28" s="294">
        <f>(IF('Section Load'!I31&gt;0,'Section Load'!I31,0))</f>
        <v>3029</v>
      </c>
      <c r="I28" s="294">
        <f>(IF('Section Load'!J31&gt;0,'Section Load'!J31,0))</f>
        <v>2609</v>
      </c>
      <c r="J28" s="294">
        <f>(IF('Section Load'!K31&gt;0,'Section Load'!K31,0))</f>
        <v>2201</v>
      </c>
      <c r="K28" s="294">
        <f>(IF('Section Load'!L31&gt;0,'Section Load'!L31,0))</f>
        <v>965</v>
      </c>
      <c r="L28" s="294">
        <f>(IF('Section Load'!M31&gt;0,'Section Load'!M31,0))</f>
        <v>804</v>
      </c>
      <c r="M28" s="294">
        <f>(IF('Section Load'!N31&gt;0,'Section Load'!N31,0))</f>
        <v>188</v>
      </c>
      <c r="N28" s="294">
        <f>(IF('Section Load'!O31&gt;0,'Section Load'!O31,0))</f>
        <v>0</v>
      </c>
      <c r="O28" s="294">
        <f>(IF('Section Load'!P31&gt;0,'Section Load'!P31,0))</f>
        <v>0</v>
      </c>
      <c r="P28" s="294">
        <f>(IF('Section Load'!Q31&gt;0,'Section Load'!Q31,0))</f>
        <v>189</v>
      </c>
      <c r="Q28" s="294">
        <f>(IF('Section Load'!R31&gt;0,'Section Load'!R31,0))</f>
        <v>68</v>
      </c>
      <c r="R28" s="294">
        <f>(IF('Section Load'!S31&gt;0,'Section Load'!S31,0))</f>
        <v>20</v>
      </c>
      <c r="S28" s="294">
        <f>(IF('Section Load'!T31&gt;0,'Section Load'!T31,0))</f>
        <v>451</v>
      </c>
      <c r="T28" s="294">
        <f>(IF('Section Load'!U31&gt;0,'Section Load'!U31,0))</f>
        <v>235</v>
      </c>
      <c r="U28" s="294">
        <f>(IF('Section Load'!V31&gt;0,'Section Load'!V31,0))</f>
        <v>353</v>
      </c>
      <c r="V28" s="294">
        <f>(IF('Section Load'!W31&gt;0,'Section Load'!W31,0))</f>
        <v>309</v>
      </c>
      <c r="W28" s="294">
        <f>(IF('Section Load'!X31&gt;0,'Section Load'!X31,0))</f>
        <v>27</v>
      </c>
      <c r="X28" s="294">
        <f>(IF('Section Load'!Y31&gt;0,'Section Load'!Y31,0))</f>
        <v>213</v>
      </c>
      <c r="Y28" s="294">
        <f>(IF('Section Load'!Z31&gt;0,'Section Load'!Z31,0))</f>
        <v>237</v>
      </c>
      <c r="Z28" s="294">
        <f>(IF('Section Load'!AA31&gt;0,'Section Load'!AA31,0))</f>
        <v>17</v>
      </c>
      <c r="AA28" s="294">
        <f>(IF('Section Load'!AB31&gt;0,'Section Load'!AB31,0))</f>
        <v>17</v>
      </c>
      <c r="AB28" s="294">
        <f>(IF('Section Load'!AC31&gt;0,'Section Load'!AC31,0))</f>
        <v>0</v>
      </c>
      <c r="AC28" s="294">
        <f>(IF('Section Load'!AD31&gt;0,'Section Load'!AD31,0))</f>
        <v>131</v>
      </c>
      <c r="AD28" s="294">
        <f>(IF('Section Load'!AE31&gt;0,'Section Load'!AE31,0))</f>
        <v>360</v>
      </c>
      <c r="AE28" s="294">
        <f>(IF('Section Load'!AF31&gt;0,'Section Load'!AF31,0))</f>
        <v>194</v>
      </c>
      <c r="AF28" s="294">
        <f>(IF('Section Load'!AG31&gt;0,'Section Load'!AG31,0))</f>
        <v>445</v>
      </c>
      <c r="AG28" s="294">
        <f>(IF('Section Load'!AH31&gt;0,'Section Load'!AH31,0))</f>
        <v>411</v>
      </c>
      <c r="AH28" s="294">
        <f>(IF('Section Load'!AI31&gt;0,'Section Load'!AI31,0))</f>
        <v>406</v>
      </c>
      <c r="AI28" s="294">
        <f>(IF('Section Load'!AJ31&gt;0,'Section Load'!AJ31,0))</f>
        <v>736</v>
      </c>
      <c r="AJ28" s="294">
        <f>(IF('Section Load'!AK31&gt;0,'Section Load'!AK31,0))</f>
        <v>177</v>
      </c>
      <c r="AK28" s="294">
        <f>(IF('Section Load'!AL31&gt;0,'Section Load'!AL31,0))</f>
        <v>263</v>
      </c>
      <c r="AL28" s="294">
        <f>(IF('Section Load'!AM31&gt;0,'Section Load'!AM31,0))</f>
        <v>647</v>
      </c>
      <c r="AM28" s="295">
        <f>(IF('Water Report'!$AD$7&gt;0,'Water Report'!$AD$7,0))</f>
        <v>148</v>
      </c>
      <c r="AN28" s="295">
        <f>(IF('Water Report'!$AD$8&gt;0,'Water Report'!$AD$8,0))</f>
        <v>103</v>
      </c>
      <c r="AO28" s="295">
        <f>(IF('Water Report'!$AD$9&gt;0,'Water Report'!$AD$9,0))</f>
        <v>96</v>
      </c>
      <c r="AP28" s="295">
        <f>(IF('Water Report'!$AD$10&gt;0,'Water Report'!AD$10,0))</f>
        <v>27</v>
      </c>
      <c r="AQ28" s="295">
        <f>(IF('Water Report'!$AD$11&gt;0,'Water Report'!AE$11,0))</f>
        <v>-1614</v>
      </c>
      <c r="AR28" s="295">
        <f>(IF('Water Report'!$AD$13&gt;0,'Water Report'!AF$13,0))</f>
        <v>48</v>
      </c>
      <c r="AS28" s="295">
        <f>(IF('Water Report'!$AD$14&gt;0,'Water Report'!AG$14,0))</f>
        <v>8</v>
      </c>
      <c r="AT28" s="295">
        <f>(IF('Water Report'!$AD$15&gt;0,'Water Report'!AH$15,0))</f>
        <v>8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1097</v>
      </c>
      <c r="BH28" s="296">
        <f>(IF('Section Load'!AO31&gt;0,'Section Load'!AO31,0))</f>
        <v>334</v>
      </c>
      <c r="BI28" s="296">
        <f>(IF('Section Load'!AP31&gt;0,'Section Load'!AP31,0))</f>
        <v>0</v>
      </c>
      <c r="BJ28" s="296">
        <f>(IF('Section Load'!AQ31&gt;0,'Section Load'!AQ31,0))</f>
        <v>90</v>
      </c>
      <c r="BK28" s="296">
        <f>(IF('Section Load'!AR31&gt;0,'Section Load'!AR31,0))</f>
        <v>45</v>
      </c>
      <c r="BL28" s="296">
        <f>(IF('Section Load'!AS31&gt;0,'Section Load'!AS31,0))</f>
        <v>1</v>
      </c>
      <c r="BM28" s="296">
        <f>(IF('Section Load'!AT31&gt;0,'Section Load'!AT31,0))</f>
        <v>627</v>
      </c>
    </row>
    <row r="29" spans="1:65" x14ac:dyDescent="0.25">
      <c r="A29" s="287" t="s">
        <v>268</v>
      </c>
      <c r="B29" s="288">
        <f t="shared" si="0"/>
        <v>28</v>
      </c>
      <c r="C29" s="288">
        <v>2</v>
      </c>
      <c r="D29" s="288">
        <v>2022</v>
      </c>
      <c r="E29" s="294">
        <f>(IF('Section Load'!F32&gt;0,'Section Load'!F32,0))</f>
        <v>0</v>
      </c>
      <c r="F29" s="294">
        <f>(IF('Section Load'!G32&gt;0,'Section Load'!G32,0))</f>
        <v>0</v>
      </c>
      <c r="G29" s="294">
        <f>(IF('Section Load'!H32&gt;0,'Section Load'!H32,0))</f>
        <v>0</v>
      </c>
      <c r="H29" s="294">
        <f>(IF('Section Load'!I32&gt;0,'Section Load'!I32,0))</f>
        <v>0</v>
      </c>
      <c r="I29" s="294">
        <f>(IF('Section Load'!J32&gt;0,'Section Load'!J32,0))</f>
        <v>0</v>
      </c>
      <c r="J29" s="294">
        <f>(IF('Section Load'!K32&gt;0,'Section Load'!K32,0))</f>
        <v>0</v>
      </c>
      <c r="K29" s="294">
        <f>(IF('Section Load'!L32&gt;0,'Section Load'!L32,0))</f>
        <v>0</v>
      </c>
      <c r="L29" s="294">
        <f>(IF('Section Load'!M32&gt;0,'Section Load'!M32,0))</f>
        <v>0</v>
      </c>
      <c r="M29" s="294">
        <f>(IF('Section Load'!N32&gt;0,'Section Load'!N32,0))</f>
        <v>0</v>
      </c>
      <c r="N29" s="294">
        <f>(IF('Section Load'!O32&gt;0,'Section Load'!O32,0))</f>
        <v>0</v>
      </c>
      <c r="O29" s="294">
        <f>(IF('Section Load'!P32&gt;0,'Section Load'!P32,0))</f>
        <v>0</v>
      </c>
      <c r="P29" s="294">
        <f>(IF('Section Load'!Q32&gt;0,'Section Load'!Q32,0))</f>
        <v>0</v>
      </c>
      <c r="Q29" s="294">
        <f>(IF('Section Load'!R32&gt;0,'Section Load'!R32,0))</f>
        <v>0</v>
      </c>
      <c r="R29" s="294">
        <f>(IF('Section Load'!S32&gt;0,'Section Load'!S32,0))</f>
        <v>0</v>
      </c>
      <c r="S29" s="294">
        <f>(IF('Section Load'!T32&gt;0,'Section Load'!T32,0))</f>
        <v>0</v>
      </c>
      <c r="T29" s="294">
        <f>(IF('Section Load'!U32&gt;0,'Section Load'!U32,0))</f>
        <v>0</v>
      </c>
      <c r="U29" s="294">
        <f>(IF('Section Load'!V32&gt;0,'Section Load'!V32,0))</f>
        <v>0</v>
      </c>
      <c r="V29" s="294">
        <f>(IF('Section Load'!W32&gt;0,'Section Load'!W32,0))</f>
        <v>0</v>
      </c>
      <c r="W29" s="294">
        <f>(IF('Section Load'!X32&gt;0,'Section Load'!X32,0))</f>
        <v>0</v>
      </c>
      <c r="X29" s="294">
        <f>(IF('Section Load'!Y32&gt;0,'Section Load'!Y32,0))</f>
        <v>0</v>
      </c>
      <c r="Y29" s="294">
        <f>(IF('Section Load'!Z32&gt;0,'Section Load'!Z32,0))</f>
        <v>0</v>
      </c>
      <c r="Z29" s="294">
        <f>(IF('Section Load'!AA32&gt;0,'Section Load'!AA32,0))</f>
        <v>0</v>
      </c>
      <c r="AA29" s="294">
        <f>(IF('Section Load'!AB32&gt;0,'Section Load'!AB32,0))</f>
        <v>0</v>
      </c>
      <c r="AB29" s="294">
        <f>(IF('Section Load'!AC32&gt;0,'Section Load'!AC32,0))</f>
        <v>0</v>
      </c>
      <c r="AC29" s="294">
        <f>(IF('Section Load'!AD32&gt;0,'Section Load'!AD32,0))</f>
        <v>0</v>
      </c>
      <c r="AD29" s="294">
        <f>(IF('Section Load'!AE32&gt;0,'Section Load'!AE32,0))</f>
        <v>0</v>
      </c>
      <c r="AE29" s="294">
        <f>(IF('Section Load'!AF32&gt;0,'Section Load'!AF32,0))</f>
        <v>0</v>
      </c>
      <c r="AF29" s="294">
        <f>(IF('Section Load'!AG32&gt;0,'Section Load'!AG32,0))</f>
        <v>0</v>
      </c>
      <c r="AG29" s="294">
        <f>(IF('Section Load'!AH32&gt;0,'Section Load'!AH32,0))</f>
        <v>0</v>
      </c>
      <c r="AH29" s="294">
        <f>(IF('Section Load'!AI32&gt;0,'Section Load'!AI32,0))</f>
        <v>0</v>
      </c>
      <c r="AI29" s="294">
        <f>(IF('Section Load'!AJ32&gt;0,'Section Load'!AJ32,0))</f>
        <v>0</v>
      </c>
      <c r="AJ29" s="294">
        <f>(IF('Section Load'!AK32&gt;0,'Section Load'!AK32,0))</f>
        <v>0</v>
      </c>
      <c r="AK29" s="294">
        <f>(IF('Section Load'!AL32&gt;0,'Section Load'!AL32,0))</f>
        <v>0</v>
      </c>
      <c r="AL29" s="294">
        <f>(IF('Section Load'!AM32&gt;0,'Section Load'!AM32,0))</f>
        <v>0</v>
      </c>
      <c r="AM29" s="295">
        <f>(IF('Water Report'!$AE$7&gt;0,'Water Report'!$AE$7,0))</f>
        <v>0</v>
      </c>
      <c r="AN29" s="295">
        <f>(IF('Water Report'!$AE$8&gt;0,'Water Report'!$AE$8,0))</f>
        <v>0</v>
      </c>
      <c r="AO29" s="295">
        <f>(IF('Water Report'!$AE$9&gt;0,'Water Report'!$AE$9,0))</f>
        <v>0</v>
      </c>
      <c r="AP29" s="295">
        <f>(IF('Water Report'!$AE$10&gt;0,'Water Report'!$AE$10,0))</f>
        <v>0</v>
      </c>
      <c r="AQ29" s="295">
        <f>(IF('Water Report'!$AE$11&gt;0,'Water Report'!$AE$11,0))</f>
        <v>0</v>
      </c>
      <c r="AR29" s="295">
        <f>(IF('Water Report'!$AE$13&gt;0,'Water Report'!$AE$13,0))</f>
        <v>0</v>
      </c>
      <c r="AS29" s="295">
        <f>(IF('Water Report'!$AE$14&gt;0,'Water Report'!$AE$14,0))</f>
        <v>0</v>
      </c>
      <c r="AT29" s="295">
        <f>(IF('Water Report'!$AE$15&gt;0,'Water Report'!$AE$15,0))</f>
        <v>0</v>
      </c>
      <c r="AU29" s="295">
        <f>(IF('Water Report'!$AE$17&gt;0,'Water Report'!$AE$17,0))</f>
        <v>0</v>
      </c>
      <c r="AV29" s="295">
        <f>(IF('Water Report'!$AE$18&gt;0,'Water Report'!$AE$18,0))</f>
        <v>0</v>
      </c>
      <c r="AW29" s="295">
        <f>(IF('Water Report'!$AE$19&gt;0,'Water Report'!$AE$19,0))</f>
        <v>0</v>
      </c>
      <c r="AX29" s="301">
        <f>(IF('Water Report'!$AE$21&gt;0,'Water Report'!$AE$21,0))</f>
        <v>0</v>
      </c>
      <c r="AY29" s="301">
        <f>(IF('Water Report'!$AE$22&gt;0,'Water Report'!$AE$22,0))</f>
        <v>0</v>
      </c>
      <c r="AZ29" s="301">
        <f>(IF('Water Report'!$AE$23&gt;0,'Water Report'!$AE$23,0))</f>
        <v>0</v>
      </c>
      <c r="BA29" s="301">
        <f>(IF('Water Report'!$AE$14&gt;0,'Water Report'!$AE$14,0))</f>
        <v>0</v>
      </c>
      <c r="BB29" s="301">
        <f>(IF('Water Report'!$AE$15&gt;0,'Water Report'!$AE$15,0))</f>
        <v>0</v>
      </c>
      <c r="BC29" s="301">
        <f>(IF('Water Report'!$AE$13&gt;0,'Water Report'!$AE$13,0))</f>
        <v>0</v>
      </c>
      <c r="BD29" s="301">
        <f>(IF('Water Report'!$AE$24&gt;0,'Water Report'!$AE$24,0))</f>
        <v>0</v>
      </c>
      <c r="BE29" s="301">
        <f>(IF('Water Report'!$AE$25&gt;0,'Water Report'!$AE$25,0))</f>
        <v>0</v>
      </c>
      <c r="BF29" s="301">
        <f>(IF('Water Report'!$AE$27&gt;0,'Water Report'!$AE$27,0))</f>
        <v>0</v>
      </c>
      <c r="BG29" s="296">
        <f>(IF('Section Load'!AN32&gt;0,'Section Load'!AN32,0))</f>
        <v>1100</v>
      </c>
      <c r="BH29" s="296">
        <f>(IF('Section Load'!AO32&gt;0,'Section Load'!AO32,0))</f>
        <v>0</v>
      </c>
      <c r="BI29" s="296">
        <f>(IF('Section Load'!AP32&gt;0,'Section Load'!AP32,0))</f>
        <v>0</v>
      </c>
      <c r="BJ29" s="296">
        <f>(IF('Section Load'!AQ32&gt;0,'Section Load'!AQ32,0))</f>
        <v>0</v>
      </c>
      <c r="BK29" s="296">
        <f>(IF('Section Load'!AR32&gt;0,'Section Load'!AR32,0))</f>
        <v>0</v>
      </c>
      <c r="BL29" s="296">
        <f>(IF('Section Load'!AS32&gt;0,'Section Load'!AS32,0))</f>
        <v>0</v>
      </c>
      <c r="BM29" s="296">
        <f>(IF('Section Load'!AT32&gt;0,'Section Load'!AT32,0))</f>
        <v>14821</v>
      </c>
    </row>
    <row r="30" spans="1:65" x14ac:dyDescent="0.25">
      <c r="A30" s="287" t="s">
        <v>268</v>
      </c>
      <c r="B30" s="288">
        <f t="shared" si="0"/>
        <v>29</v>
      </c>
      <c r="C30" s="288">
        <v>2</v>
      </c>
      <c r="D30" s="288">
        <v>2022</v>
      </c>
      <c r="E30" s="294">
        <f>(IF('Section Load'!F33&gt;0,'Section Load'!F33,0))</f>
        <v>2108</v>
      </c>
      <c r="F30" s="294">
        <f>(IF('Section Load'!G33&gt;0,'Section Load'!G33,0))</f>
        <v>1611</v>
      </c>
      <c r="G30" s="294">
        <f>(IF('Section Load'!H33&gt;0,'Section Load'!H33,0))</f>
        <v>1750</v>
      </c>
      <c r="H30" s="294">
        <f>(IF('Section Load'!I33&gt;0,'Section Load'!I33,0))</f>
        <v>2606</v>
      </c>
      <c r="I30" s="294">
        <f>(IF('Section Load'!J33&gt;0,'Section Load'!J33,0))</f>
        <v>3572</v>
      </c>
      <c r="J30" s="294">
        <f>(IF('Section Load'!K33&gt;0,'Section Load'!K33,0))</f>
        <v>2065</v>
      </c>
      <c r="K30" s="294">
        <f>(IF('Section Load'!L33&gt;0,'Section Load'!L33,0))</f>
        <v>983</v>
      </c>
      <c r="L30" s="294">
        <f>(IF('Section Load'!M33&gt;0,'Section Load'!M33,0))</f>
        <v>695</v>
      </c>
      <c r="M30" s="294">
        <f>(IF('Section Load'!N33&gt;0,'Section Load'!N33,0))</f>
        <v>48</v>
      </c>
      <c r="N30" s="294">
        <f>(IF('Section Load'!O33&gt;0,'Section Load'!O33,0))</f>
        <v>0</v>
      </c>
      <c r="O30" s="294">
        <f>(IF('Section Load'!P33&gt;0,'Section Load'!P33,0))</f>
        <v>0</v>
      </c>
      <c r="P30" s="294">
        <f>(IF('Section Load'!Q33&gt;0,'Section Load'!Q33,0))</f>
        <v>185</v>
      </c>
      <c r="Q30" s="294">
        <f>(IF('Section Load'!R33&gt;0,'Section Load'!R33,0))</f>
        <v>78</v>
      </c>
      <c r="R30" s="294">
        <f>(IF('Section Load'!S33&gt;0,'Section Load'!S33,0))</f>
        <v>8</v>
      </c>
      <c r="S30" s="294">
        <f>(IF('Section Load'!T33&gt;0,'Section Load'!T33,0))</f>
        <v>383</v>
      </c>
      <c r="T30" s="294">
        <f>(IF('Section Load'!U33&gt;0,'Section Load'!U33,0))</f>
        <v>200</v>
      </c>
      <c r="U30" s="294">
        <f>(IF('Section Load'!V33&gt;0,'Section Load'!V33,0))</f>
        <v>374</v>
      </c>
      <c r="V30" s="294">
        <f>(IF('Section Load'!W33&gt;0,'Section Load'!W33,0))</f>
        <v>185</v>
      </c>
      <c r="W30" s="294">
        <f>(IF('Section Load'!X33&gt;0,'Section Load'!X33,0))</f>
        <v>25</v>
      </c>
      <c r="X30" s="294">
        <f>(IF('Section Load'!Y33&gt;0,'Section Load'!Y33,0))</f>
        <v>211</v>
      </c>
      <c r="Y30" s="294">
        <f>(IF('Section Load'!Z33&gt;0,'Section Load'!Z33,0))</f>
        <v>250</v>
      </c>
      <c r="Z30" s="294">
        <f>(IF('Section Load'!AA33&gt;0,'Section Load'!AA33,0))</f>
        <v>25</v>
      </c>
      <c r="AA30" s="294">
        <f>(IF('Section Load'!AB33&gt;0,'Section Load'!AB33,0))</f>
        <v>29</v>
      </c>
      <c r="AB30" s="294">
        <f>(IF('Section Load'!AC33&gt;0,'Section Load'!AC33,0))</f>
        <v>0</v>
      </c>
      <c r="AC30" s="294">
        <f>(IF('Section Load'!AD33&gt;0,'Section Load'!AD33,0))</f>
        <v>50.100000000000364</v>
      </c>
      <c r="AD30" s="294">
        <f>(IF('Section Load'!AE33&gt;0,'Section Load'!AE33,0))</f>
        <v>0</v>
      </c>
      <c r="AE30" s="294">
        <f>(IF('Section Load'!AF33&gt;0,'Section Load'!AF33,0))</f>
        <v>24</v>
      </c>
      <c r="AF30" s="294">
        <f>(IF('Section Load'!AG33&gt;0,'Section Load'!AG33,0))</f>
        <v>336</v>
      </c>
      <c r="AG30" s="294">
        <f>(IF('Section Load'!AH33&gt;0,'Section Load'!AH33,0))</f>
        <v>417</v>
      </c>
      <c r="AH30" s="294">
        <f>(IF('Section Load'!AI33&gt;0,'Section Load'!AI33,0))</f>
        <v>424</v>
      </c>
      <c r="AI30" s="294">
        <f>(IF('Section Load'!AJ33&gt;0,'Section Load'!AJ33,0))</f>
        <v>710</v>
      </c>
      <c r="AJ30" s="294">
        <f>(IF('Section Load'!AK33&gt;0,'Section Load'!AK33,0))</f>
        <v>200</v>
      </c>
      <c r="AK30" s="294">
        <f>(IF('Section Load'!AL33&gt;0,'Section Load'!AL33,0))</f>
        <v>275</v>
      </c>
      <c r="AL30" s="294">
        <f>(IF('Section Load'!AM33&gt;0,'Section Load'!AM33,0))</f>
        <v>494</v>
      </c>
      <c r="AM30" s="295">
        <f>(IF('Water Report'!$AF$7&gt;0,'Water Report'!$AF$7,0))</f>
        <v>102</v>
      </c>
      <c r="AN30" s="295">
        <f>(IF('Water Report'!$AF$8&gt;0,'Water Report'!$AF$8,0))</f>
        <v>139</v>
      </c>
      <c r="AO30" s="295">
        <f>(IF('Water Report'!$AF$9&gt;0,'Water Report'!$AF$9,0))</f>
        <v>84</v>
      </c>
      <c r="AP30" s="295">
        <f>(IF('Water Report'!$AF$10&gt;0,'Water Report'!$AF$10,0))</f>
        <v>22</v>
      </c>
      <c r="AQ30" s="295">
        <f>(IF('Water Report'!$AF$11&gt;0,'Water Report'!$AF$11,0))</f>
        <v>25</v>
      </c>
      <c r="AR30" s="295">
        <f>(IF('Water Report'!$AF$13&gt;0,'Water Report'!$AF$13,0))</f>
        <v>48</v>
      </c>
      <c r="AS30" s="295">
        <f>(IF('Water Report'!$AF$14&gt;0,'Water Report'!$AF$14,0))</f>
        <v>7</v>
      </c>
      <c r="AT30" s="295">
        <f>(IF('Water Report'!$AF$15&gt;0,'Water Report'!$AF$15,0))</f>
        <v>15</v>
      </c>
      <c r="AU30" s="295">
        <f>(IF('Water Report'!$AF$17&gt;0,'Water Report'!$AF$17,0))</f>
        <v>0</v>
      </c>
      <c r="AV30" s="295">
        <f>(IF('Water Report'!$AF$18&gt;0,'Water Report'!$AF$18,0))</f>
        <v>13</v>
      </c>
      <c r="AW30" s="295">
        <f>(IF('Water Report'!$AF$19&gt;0,'Water Report'!$AF$19,0))</f>
        <v>12</v>
      </c>
      <c r="AX30" s="301">
        <f>(IF('Water Report'!$AF$21&gt;0,'Water Report'!$AF$21,0))</f>
        <v>42</v>
      </c>
      <c r="AY30" s="301">
        <f>(IF('Water Report'!$AF$22&gt;0,'Water Report'!$AF$22,0))</f>
        <v>18</v>
      </c>
      <c r="AZ30" s="301">
        <f>(IF('Water Report'!$AF$23&gt;0,'Water Report'!$AF$23,0))</f>
        <v>15</v>
      </c>
      <c r="BA30" s="301">
        <f>(IF('Water Report'!$AF$14&gt;0,'Water Report'!$AF$14,0))</f>
        <v>7</v>
      </c>
      <c r="BB30" s="301">
        <f>(IF('Water Report'!$AF$15&gt;0,'Water Report'!$AF$15,0))</f>
        <v>15</v>
      </c>
      <c r="BC30" s="301">
        <f>(IF('Water Report'!$AF$13&gt;0,'Water Report'!$AF$13,0))</f>
        <v>48</v>
      </c>
      <c r="BD30" s="301">
        <f>(IF('Water Report'!$AF$24&gt;0,'Water Report'!$AF$24,0))</f>
        <v>312</v>
      </c>
      <c r="BE30" s="301">
        <f>(IF('Water Report'!$AF$25&gt;0,'Water Report'!$AF$25,0))</f>
        <v>153</v>
      </c>
      <c r="BF30" s="301">
        <f>(IF('Water Report'!$AF$27&gt;0,'Water Report'!$AF$27,0))</f>
        <v>105</v>
      </c>
      <c r="BG30" s="296">
        <f>(IF('Section Load'!AN33&gt;0,'Section Load'!AN33,0))</f>
        <v>1100</v>
      </c>
      <c r="BH30" s="296">
        <f>(IF('Section Load'!AO33&gt;0,'Section Load'!AO33,0))</f>
        <v>303</v>
      </c>
      <c r="BI30" s="296">
        <f>(IF('Section Load'!AP33&gt;0,'Section Load'!AP33,0))</f>
        <v>0</v>
      </c>
      <c r="BJ30" s="296">
        <f>(IF('Section Load'!AQ33&gt;0,'Section Load'!AQ33,0))</f>
        <v>98</v>
      </c>
      <c r="BK30" s="296">
        <f>(IF('Section Load'!AR33&gt;0,'Section Load'!AR33,0))</f>
        <v>46</v>
      </c>
      <c r="BL30" s="296">
        <f>(IF('Section Load'!AS33&gt;0,'Section Load'!AS33,0))</f>
        <v>2</v>
      </c>
      <c r="BM30" s="296">
        <f>(IF('Section Load'!AT33&gt;0,'Section Load'!AT33,0))</f>
        <v>651</v>
      </c>
    </row>
    <row r="31" spans="1:65" x14ac:dyDescent="0.25">
      <c r="A31" s="287" t="s">
        <v>268</v>
      </c>
      <c r="B31" s="288">
        <f t="shared" si="0"/>
        <v>30</v>
      </c>
      <c r="C31" s="288">
        <v>2</v>
      </c>
      <c r="D31" s="288">
        <v>2022</v>
      </c>
      <c r="E31" s="294">
        <f>(IF('Section Load'!F34&gt;0,'Section Load'!F34,0))</f>
        <v>2077</v>
      </c>
      <c r="F31" s="294">
        <f>(IF('Section Load'!G34&gt;0,'Section Load'!G34,0))</f>
        <v>1553</v>
      </c>
      <c r="G31" s="294">
        <f>(IF('Section Load'!H34&gt;0,'Section Load'!H34,0))</f>
        <v>1629</v>
      </c>
      <c r="H31" s="294">
        <f>(IF('Section Load'!I34&gt;0,'Section Load'!I34,0))</f>
        <v>2616</v>
      </c>
      <c r="I31" s="294">
        <f>(IF('Section Load'!J34&gt;0,'Section Load'!J34,0))</f>
        <v>3884</v>
      </c>
      <c r="J31" s="294">
        <f>(IF('Section Load'!K34&gt;0,'Section Load'!K34,0))</f>
        <v>1898</v>
      </c>
      <c r="K31" s="294">
        <f>(IF('Section Load'!L34&gt;0,'Section Load'!L34,0))</f>
        <v>1051</v>
      </c>
      <c r="L31" s="294">
        <f>(IF('Section Load'!M34&gt;0,'Section Load'!M34,0))</f>
        <v>846</v>
      </c>
      <c r="M31" s="294">
        <f>(IF('Section Load'!N34&gt;0,'Section Load'!N34,0))</f>
        <v>69</v>
      </c>
      <c r="N31" s="294">
        <f>(IF('Section Load'!O34&gt;0,'Section Load'!O34,0))</f>
        <v>2</v>
      </c>
      <c r="O31" s="294">
        <f>(IF('Section Load'!P34&gt;0,'Section Load'!P34,0))</f>
        <v>0</v>
      </c>
      <c r="P31" s="294">
        <f>(IF('Section Load'!Q34&gt;0,'Section Load'!Q34,0))</f>
        <v>174</v>
      </c>
      <c r="Q31" s="294">
        <f>(IF('Section Load'!R34&gt;0,'Section Load'!R34,0))</f>
        <v>77</v>
      </c>
      <c r="R31" s="294">
        <f>(IF('Section Load'!S34&gt;0,'Section Load'!S34,0))</f>
        <v>6</v>
      </c>
      <c r="S31" s="294">
        <f>(IF('Section Load'!T34&gt;0,'Section Load'!T34,0))</f>
        <v>486</v>
      </c>
      <c r="T31" s="294">
        <f>(IF('Section Load'!U34&gt;0,'Section Load'!U34,0))</f>
        <v>201</v>
      </c>
      <c r="U31" s="294">
        <f>(IF('Section Load'!V34&gt;0,'Section Load'!V34,0))</f>
        <v>340</v>
      </c>
      <c r="V31" s="294">
        <f>(IF('Section Load'!W34&gt;0,'Section Load'!W34,0))</f>
        <v>220</v>
      </c>
      <c r="W31" s="294">
        <f>(IF('Section Load'!X34&gt;0,'Section Load'!X34,0))</f>
        <v>20</v>
      </c>
      <c r="X31" s="294">
        <f>(IF('Section Load'!Y34&gt;0,'Section Load'!Y34,0))</f>
        <v>190</v>
      </c>
      <c r="Y31" s="294">
        <f>(IF('Section Load'!Z34&gt;0,'Section Load'!Z34,0))</f>
        <v>233</v>
      </c>
      <c r="Z31" s="294">
        <f>(IF('Section Load'!AA34&gt;0,'Section Load'!AA34,0))</f>
        <v>26</v>
      </c>
      <c r="AA31" s="294">
        <f>(IF('Section Load'!AB34&gt;0,'Section Load'!AB34,0))</f>
        <v>12</v>
      </c>
      <c r="AB31" s="294">
        <f>(IF('Section Load'!AC34&gt;0,'Section Load'!AC34,0))</f>
        <v>0</v>
      </c>
      <c r="AC31" s="294">
        <f>(IF('Section Load'!AD34&gt;0,'Section Load'!AD34,0))</f>
        <v>34</v>
      </c>
      <c r="AD31" s="294">
        <f>(IF('Section Load'!AE34&gt;0,'Section Load'!AE34,0))</f>
        <v>0</v>
      </c>
      <c r="AE31" s="294">
        <f>(IF('Section Load'!AF34&gt;0,'Section Load'!AF34,0))</f>
        <v>22</v>
      </c>
      <c r="AF31" s="294">
        <f>(IF('Section Load'!AG34&gt;0,'Section Load'!AG34,0))</f>
        <v>311</v>
      </c>
      <c r="AG31" s="294">
        <f>(IF('Section Load'!AH34&gt;0,'Section Load'!AH34,0))</f>
        <v>419</v>
      </c>
      <c r="AH31" s="294">
        <f>(IF('Section Load'!AI34&gt;0,'Section Load'!AI34,0))</f>
        <v>426</v>
      </c>
      <c r="AI31" s="294">
        <f>(IF('Section Load'!AJ34&gt;0,'Section Load'!AJ34,0))</f>
        <v>733</v>
      </c>
      <c r="AJ31" s="294">
        <f>(IF('Section Load'!AK34&gt;0,'Section Load'!AK34,0))</f>
        <v>206</v>
      </c>
      <c r="AK31" s="294">
        <f>(IF('Section Load'!AL34&gt;0,'Section Load'!AL34,0))</f>
        <v>273</v>
      </c>
      <c r="AL31" s="294">
        <f>(IF('Section Load'!AM34&gt;0,'Section Load'!AM34,0))</f>
        <v>496</v>
      </c>
      <c r="AM31" s="295">
        <f>(IF('Water Report'!$AG$7&gt;0,'Water Report'!$AG$7,0))</f>
        <v>114</v>
      </c>
      <c r="AN31" s="295">
        <f>(IF('Water Report'!$AG$8&gt;0,'Water Report'!$AG$8,0))</f>
        <v>73</v>
      </c>
      <c r="AO31" s="295">
        <f>(IF('Water Report'!$AG$9&gt;0,'Water Report'!$AG$9,0))</f>
        <v>80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1100</v>
      </c>
      <c r="BH31" s="296">
        <f>(IF('Section Load'!AO34&gt;0,'Section Load'!AO34,0))</f>
        <v>308</v>
      </c>
      <c r="BI31" s="296">
        <f>(IF('Section Load'!AP34&gt;0,'Section Load'!AP34,0))</f>
        <v>0</v>
      </c>
      <c r="BJ31" s="296">
        <f>(IF('Section Load'!AQ34&gt;0,'Section Load'!AQ34,0))</f>
        <v>95</v>
      </c>
      <c r="BK31" s="296">
        <f>(IF('Section Load'!AR34&gt;0,'Section Load'!AR34,0))</f>
        <v>35</v>
      </c>
      <c r="BL31" s="296">
        <f>(IF('Section Load'!AS34&gt;0,'Section Load'!AS34,0))</f>
        <v>1</v>
      </c>
      <c r="BM31" s="296">
        <f>(IF('Section Load'!AT34&gt;0,'Section Load'!AT34,0))</f>
        <v>661</v>
      </c>
    </row>
    <row r="32" spans="1:65" x14ac:dyDescent="0.25">
      <c r="A32" s="287" t="s">
        <v>268</v>
      </c>
      <c r="B32" s="288">
        <f t="shared" si="0"/>
        <v>31</v>
      </c>
      <c r="C32" s="288">
        <v>2</v>
      </c>
      <c r="D32" s="288">
        <v>2022</v>
      </c>
      <c r="E32" s="294">
        <f>(IF('Section Load'!F35&gt;0,'Section Load'!F35,0))</f>
        <v>2110.1699999999983</v>
      </c>
      <c r="F32" s="294">
        <f>(IF('Section Load'!G35&gt;0,'Section Load'!G35,0))</f>
        <v>1588.0899999999965</v>
      </c>
      <c r="G32" s="294">
        <f>(IF('Section Load'!H35&gt;0,'Section Load'!H35,0))</f>
        <v>1627.4300000000003</v>
      </c>
      <c r="H32" s="294">
        <f>(IF('Section Load'!I35&gt;0,'Section Load'!I35,0))</f>
        <v>2649.2900000000009</v>
      </c>
      <c r="I32" s="294">
        <f>(IF('Section Load'!J35&gt;0,'Section Load'!J35,0))</f>
        <v>4318.8500000000058</v>
      </c>
      <c r="J32" s="294">
        <f>(IF('Section Load'!K35&gt;0,'Section Load'!K35,0))</f>
        <v>1885.6000000000058</v>
      </c>
      <c r="K32" s="294">
        <f>(IF('Section Load'!L35&gt;0,'Section Load'!L35,0))</f>
        <v>1070.6299999999974</v>
      </c>
      <c r="L32" s="294">
        <f>(IF('Section Load'!M35&gt;0,'Section Load'!M35,0))</f>
        <v>638.73999999999796</v>
      </c>
      <c r="M32" s="294">
        <f>(IF('Section Load'!N35&gt;0,'Section Load'!N35,0))</f>
        <v>59</v>
      </c>
      <c r="N32" s="294">
        <f>(IF('Section Load'!O35&gt;0,'Section Load'!O35,0))</f>
        <v>1</v>
      </c>
      <c r="O32" s="294">
        <f>(IF('Section Load'!P35&gt;0,'Section Load'!P35,0))</f>
        <v>0</v>
      </c>
      <c r="P32" s="294">
        <f>(IF('Section Load'!Q35&gt;0,'Section Load'!Q35,0))</f>
        <v>172.58000000000175</v>
      </c>
      <c r="Q32" s="294">
        <f>(IF('Section Load'!R35&gt;0,'Section Load'!R35,0))</f>
        <v>80.099999999998545</v>
      </c>
      <c r="R32" s="294">
        <f>(IF('Section Load'!S35&gt;0,'Section Load'!S35,0))</f>
        <v>9.8400000000001455</v>
      </c>
      <c r="S32" s="294">
        <f>(IF('Section Load'!T35&gt;0,'Section Load'!T35,0))</f>
        <v>386</v>
      </c>
      <c r="T32" s="294">
        <f>(IF('Section Load'!U35&gt;0,'Section Load'!U35,0))</f>
        <v>216</v>
      </c>
      <c r="U32" s="294">
        <f>(IF('Section Load'!V35&gt;0,'Section Load'!V35,0))</f>
        <v>347.52000000001863</v>
      </c>
      <c r="V32" s="294">
        <f>(IF('Section Load'!W35&gt;0,'Section Load'!W35,0))</f>
        <v>157.95999999996275</v>
      </c>
      <c r="W32" s="294">
        <f>(IF('Section Load'!X35&gt;0,'Section Load'!X35,0))</f>
        <v>28.389999999999873</v>
      </c>
      <c r="X32" s="294">
        <f>(IF('Section Load'!Y35&gt;0,'Section Load'!Y35,0))</f>
        <v>197.21000000000004</v>
      </c>
      <c r="Y32" s="294">
        <f>(IF('Section Load'!Z35&gt;0,'Section Load'!Z35,0))</f>
        <v>294</v>
      </c>
      <c r="Z32" s="294">
        <f>(IF('Section Load'!AA35&gt;0,'Section Load'!AA35,0))</f>
        <v>42.559999999997672</v>
      </c>
      <c r="AA32" s="294">
        <f>(IF('Section Load'!AB35&gt;0,'Section Load'!AB35,0))</f>
        <v>36.399999999994179</v>
      </c>
      <c r="AB32" s="294">
        <f>(IF('Section Load'!AC35&gt;0,'Section Load'!AC35,0))</f>
        <v>9.2999999999992724</v>
      </c>
      <c r="AC32" s="294">
        <f>(IF('Section Load'!AD35&gt;0,'Section Load'!AD35,0))</f>
        <v>36.100000000005821</v>
      </c>
      <c r="AD32" s="294">
        <f>(IF('Section Load'!AE35&gt;0,'Section Load'!AE35,0))</f>
        <v>0</v>
      </c>
      <c r="AE32" s="294">
        <f>(IF('Section Load'!AF35&gt;0,'Section Load'!AF35,0))</f>
        <v>38.949999999999818</v>
      </c>
      <c r="AF32" s="294">
        <f>(IF('Section Load'!AG35&gt;0,'Section Load'!AG35,0))</f>
        <v>319.30999999999767</v>
      </c>
      <c r="AG32" s="294">
        <f>(IF('Section Load'!AH35&gt;0,'Section Load'!AH35,0))</f>
        <v>426.54999999998836</v>
      </c>
      <c r="AH32" s="294">
        <f>(IF('Section Load'!AI35&gt;0,'Section Load'!AI35,0))</f>
        <v>419.61000000000058</v>
      </c>
      <c r="AI32" s="294">
        <f>(IF('Section Load'!AJ35&gt;0,'Section Load'!AJ35,0))</f>
        <v>730.42999999999302</v>
      </c>
      <c r="AJ32" s="294">
        <f>(IF('Section Load'!AK35&gt;0,'Section Load'!AK35,0))</f>
        <v>206.17999999999302</v>
      </c>
      <c r="AK32" s="294">
        <f>(IF('Section Load'!AL35&gt;0,'Section Load'!AL35,0))</f>
        <v>278.95000000001164</v>
      </c>
      <c r="AL32" s="294">
        <f>(IF('Section Load'!AM35&gt;0,'Section Load'!AM35,0))</f>
        <v>437.69999999999709</v>
      </c>
      <c r="AM32" s="295">
        <f>(IF('Water Report'!$AH$7&gt;0,'Water Report'!$AH$7,0))</f>
        <v>83</v>
      </c>
      <c r="AN32" s="295">
        <f>(IF('Water Report'!$AH$8&gt;0,'Water Report'!$AH$8,0))</f>
        <v>167</v>
      </c>
      <c r="AO32" s="295">
        <f>(IF('Water Report'!$AH$9&gt;0,'Water Report'!$AH$9,0))</f>
        <v>74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1100</v>
      </c>
      <c r="BH32" s="296">
        <f>(IF('Section Load'!AO35&gt;0,'Section Load'!AO35,0))</f>
        <v>294.14899999997579</v>
      </c>
      <c r="BI32" s="296">
        <f>(IF('Section Load'!AP35&gt;0,'Section Load'!AP35,0))</f>
        <v>0</v>
      </c>
      <c r="BJ32" s="296">
        <f>(IF('Section Load'!AQ35&gt;0,'Section Load'!AQ35,0))</f>
        <v>75</v>
      </c>
      <c r="BK32" s="296">
        <f>(IF('Section Load'!AR35&gt;0,'Section Load'!AR35,0))</f>
        <v>28.19999999999709</v>
      </c>
      <c r="BL32" s="296">
        <f>(IF('Section Load'!AS35&gt;0,'Section Load'!AS35,0))</f>
        <v>2</v>
      </c>
      <c r="BM32" s="296">
        <f>(IF('Section Load'!AT35&gt;0,'Section Load'!AT35,0))</f>
        <v>700.65100000002712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47"/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  <c r="R1" s="747"/>
      <c r="S1" s="747"/>
      <c r="T1" s="747"/>
      <c r="U1" s="747"/>
      <c r="V1" s="747"/>
      <c r="W1" s="747"/>
      <c r="X1" s="747"/>
      <c r="Y1" s="747"/>
      <c r="Z1" s="747"/>
      <c r="AA1" s="747"/>
      <c r="AB1" s="747"/>
      <c r="AC1" s="747"/>
      <c r="AD1" s="747"/>
      <c r="AE1" s="747"/>
      <c r="AF1" s="747"/>
      <c r="AG1" s="747"/>
      <c r="AH1" s="747"/>
      <c r="AI1" s="747"/>
      <c r="AJ1" s="747"/>
      <c r="AK1" s="747"/>
      <c r="AL1" s="747"/>
      <c r="AM1" s="747"/>
      <c r="AN1" s="747"/>
      <c r="AO1" s="747"/>
      <c r="AP1" s="747"/>
      <c r="AQ1" s="747"/>
      <c r="AR1" s="747"/>
      <c r="AS1" s="747"/>
      <c r="AT1" s="747"/>
      <c r="AU1" s="747"/>
      <c r="AV1" s="747"/>
      <c r="AW1" s="747"/>
      <c r="AX1" s="747"/>
      <c r="AY1" s="747"/>
      <c r="AZ1" s="747"/>
      <c r="BA1" s="747"/>
      <c r="BB1" s="747"/>
      <c r="BC1" s="747"/>
      <c r="BD1" s="747"/>
      <c r="BE1" s="747"/>
      <c r="BF1" s="747"/>
      <c r="BG1" s="747"/>
      <c r="BH1" s="747"/>
      <c r="BI1" s="747"/>
      <c r="BJ1" s="747"/>
      <c r="BK1" s="747"/>
      <c r="BL1" s="747"/>
      <c r="BM1" s="747"/>
      <c r="BN1" s="747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48" t="s">
        <v>5</v>
      </c>
      <c r="I2" s="748"/>
      <c r="J2" s="748"/>
      <c r="K2" s="44"/>
      <c r="L2" s="749" t="s">
        <v>6</v>
      </c>
      <c r="M2" s="749"/>
      <c r="N2" s="749"/>
      <c r="O2" s="750" t="s">
        <v>7</v>
      </c>
      <c r="P2" s="750"/>
      <c r="Q2" s="750"/>
      <c r="R2" s="44" t="s">
        <v>8</v>
      </c>
      <c r="S2" s="751" t="s">
        <v>9</v>
      </c>
      <c r="T2" s="751"/>
      <c r="U2" s="751"/>
      <c r="V2" s="752" t="s">
        <v>10</v>
      </c>
      <c r="W2" s="753"/>
      <c r="X2" s="754"/>
      <c r="Y2" s="263"/>
      <c r="Z2" s="755" t="s">
        <v>11</v>
      </c>
      <c r="AA2" s="755"/>
      <c r="AB2" s="755"/>
      <c r="AC2" s="755"/>
      <c r="AD2" s="264"/>
      <c r="AE2" s="264" t="s">
        <v>12</v>
      </c>
      <c r="AF2" s="264" t="s">
        <v>13</v>
      </c>
      <c r="AG2" s="755" t="s">
        <v>14</v>
      </c>
      <c r="AH2" s="755"/>
      <c r="AI2" s="755"/>
      <c r="AJ2" s="264" t="s">
        <v>15</v>
      </c>
      <c r="AK2" s="755" t="s">
        <v>16</v>
      </c>
      <c r="AL2" s="755"/>
      <c r="AM2" s="755"/>
      <c r="AN2" s="264" t="s">
        <v>17</v>
      </c>
      <c r="AO2" s="5" t="s">
        <v>18</v>
      </c>
      <c r="AP2" s="756" t="s">
        <v>19</v>
      </c>
      <c r="AQ2" s="757"/>
      <c r="AR2" s="757"/>
      <c r="AS2" s="757"/>
      <c r="AT2" s="757"/>
      <c r="AU2" s="757"/>
      <c r="AV2" s="757"/>
      <c r="AW2" s="757"/>
      <c r="AX2" s="757"/>
      <c r="AY2" s="758"/>
      <c r="AZ2" s="756" t="s">
        <v>20</v>
      </c>
      <c r="BA2" s="757"/>
      <c r="BB2" s="757"/>
      <c r="BC2" s="757"/>
      <c r="BD2" s="757"/>
      <c r="BE2" s="757"/>
      <c r="BF2" s="757"/>
      <c r="BG2" s="757"/>
      <c r="BH2" s="757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23</v>
      </c>
      <c r="E4" s="50">
        <f>'1'!D4</f>
        <v>0.55000000000000004</v>
      </c>
      <c r="F4" s="50">
        <f>'1'!D2</f>
        <v>0.40589999999999998</v>
      </c>
      <c r="G4" s="19">
        <f>'1'!G7</f>
        <v>17264.770000000019</v>
      </c>
      <c r="H4" s="19">
        <f>'1'!G8</f>
        <v>17458.849999999977</v>
      </c>
      <c r="I4" s="19">
        <v>9</v>
      </c>
      <c r="J4" s="49">
        <f>H4*I4</f>
        <v>157129.64999999979</v>
      </c>
      <c r="K4" s="45">
        <f>H4/202</f>
        <v>86.429950495049383</v>
      </c>
      <c r="L4" s="19">
        <f>'1'!G15</f>
        <v>918.55799999996088</v>
      </c>
      <c r="M4" s="19">
        <v>56.2</v>
      </c>
      <c r="N4" s="45">
        <f>L4*M4</f>
        <v>51622.959599997805</v>
      </c>
      <c r="O4" s="19">
        <f>'1'!G20</f>
        <v>235</v>
      </c>
      <c r="P4" s="19">
        <v>108</v>
      </c>
      <c r="Q4" s="46">
        <f t="shared" ref="Q4:Q33" si="0">O4*P4</f>
        <v>25380</v>
      </c>
      <c r="R4" s="47">
        <f t="shared" ref="R4:R34" si="1">O4/(F4*202/100)</f>
        <v>286.61402725638419</v>
      </c>
      <c r="S4" s="19">
        <f>'1'!G24</f>
        <v>0</v>
      </c>
      <c r="T4" s="19">
        <v>69</v>
      </c>
      <c r="U4" s="48">
        <f>S4*T4</f>
        <v>0</v>
      </c>
      <c r="V4" s="22">
        <f>'1'!G65</f>
        <v>71</v>
      </c>
      <c r="W4" s="22">
        <f>'1'!G66</f>
        <v>17</v>
      </c>
      <c r="X4" s="22">
        <f>'1'!G67</f>
        <v>14</v>
      </c>
      <c r="Y4" s="22">
        <f>V4+W4+X4</f>
        <v>102</v>
      </c>
      <c r="Z4" s="19">
        <f>'1'!G84</f>
        <v>0</v>
      </c>
      <c r="AA4" s="19">
        <f>'1'!G85</f>
        <v>24</v>
      </c>
      <c r="AB4" s="19">
        <f>'1'!G86</f>
        <v>0</v>
      </c>
      <c r="AC4" s="19">
        <f>'1'!G87</f>
        <v>5.0000000002910383E-2</v>
      </c>
      <c r="AD4" s="19">
        <f>Z4+AA4+AB4+AC4</f>
        <v>24.05000000000291</v>
      </c>
      <c r="AE4" s="23">
        <f t="shared" ref="AE4:AE33" si="2">AU4+AV4+BE4+BF4</f>
        <v>3987.7899999999936</v>
      </c>
      <c r="AF4" s="23">
        <f>AE4/AD4</f>
        <v>165.81247401245369</v>
      </c>
      <c r="AG4" s="19">
        <f>'1'!G88</f>
        <v>0</v>
      </c>
      <c r="AH4" s="19">
        <f>'1'!G89</f>
        <v>9.4900000000016007</v>
      </c>
      <c r="AI4" s="19">
        <f>'1'!G90</f>
        <v>2.0499999999883585</v>
      </c>
      <c r="AJ4" s="19">
        <f>AG4+AH4+AI4</f>
        <v>11.539999999989959</v>
      </c>
      <c r="AK4" s="19">
        <f>'1'!G91</f>
        <v>11.769999999999982</v>
      </c>
      <c r="AL4" s="19">
        <f>'1'!G92</f>
        <v>0</v>
      </c>
      <c r="AM4" s="19"/>
      <c r="AN4" s="19">
        <f>AK4+AL4</f>
        <v>11.769999999999982</v>
      </c>
      <c r="AO4" s="52">
        <f>'1'!G74</f>
        <v>314.53100000007544</v>
      </c>
      <c r="AP4" s="55">
        <f>'1'!G35</f>
        <v>1246.0200000000004</v>
      </c>
      <c r="AQ4" s="19">
        <f>'1'!G37</f>
        <v>1554.1100000000006</v>
      </c>
      <c r="AR4" s="19">
        <f>'1'!G38</f>
        <v>1620.2699999999968</v>
      </c>
      <c r="AS4" s="19">
        <f>'1'!G39</f>
        <v>2609.5899999999965</v>
      </c>
      <c r="AT4" s="19">
        <f>'1'!G40</f>
        <v>688.73999999999796</v>
      </c>
      <c r="AU4" s="19">
        <f>'1'!G41</f>
        <v>0</v>
      </c>
      <c r="AV4" s="19">
        <f>'1'!G42</f>
        <v>3987.7899999999936</v>
      </c>
      <c r="AW4" s="19">
        <f>'1'!G43</f>
        <v>1901.929999999993</v>
      </c>
      <c r="AX4" s="19">
        <f>'1'!G44</f>
        <v>0</v>
      </c>
      <c r="AY4" s="56">
        <f>'1'!G36</f>
        <v>710.76000000000204</v>
      </c>
      <c r="AZ4" s="55">
        <f>'1'!G49</f>
        <v>939.08000000000175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0</v>
      </c>
      <c r="BE4" s="19">
        <f>'1'!G55</f>
        <v>0</v>
      </c>
      <c r="BF4" s="19">
        <f>'1'!G56</f>
        <v>0</v>
      </c>
      <c r="BG4" s="19">
        <f>'1'!G57</f>
        <v>0</v>
      </c>
      <c r="BH4" s="56">
        <f>'1'!G50</f>
        <v>938.92000000000553</v>
      </c>
      <c r="BI4" s="60">
        <f>SUM(AU4,AV4,BE4,BF4)</f>
        <v>3987.7899999999936</v>
      </c>
      <c r="BJ4" s="60">
        <f>'1'!G133</f>
        <v>492.57000000000698</v>
      </c>
      <c r="BK4" s="23">
        <f>SUM(AP4,AU4,AV4,AW4,AZ4,BE4,BF4,BG4)/H4%</f>
        <v>46.250583514950868</v>
      </c>
      <c r="BL4" s="23">
        <f>SUM(AS4,BC4)/H4%</f>
        <v>14.947089871326005</v>
      </c>
      <c r="BM4" s="24">
        <f>(AR4+BB4)/H4</f>
        <v>9.2805081663454289E-2</v>
      </c>
      <c r="BN4" s="25">
        <f>J4+N4+Q4+U4</f>
        <v>234132.60959999758</v>
      </c>
      <c r="BO4" s="38">
        <f>SUM(AU4,AV4,AW4,BE4,BF4,BG4,BJ4)</f>
        <v>6382.2899999999936</v>
      </c>
      <c r="BP4">
        <f>BO4/(AD4*280)</f>
        <v>0.94777101277089715</v>
      </c>
      <c r="BQ4" s="38">
        <f>SUM(AU4,AV4,BE4,BF4)/(AD4*400)</f>
        <v>0.41453118503113418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0.52</v>
      </c>
      <c r="G5" s="19">
        <f>'2'!G7</f>
        <v>18049</v>
      </c>
      <c r="H5" s="19">
        <f>'2'!G8</f>
        <v>18338</v>
      </c>
      <c r="I5" s="19">
        <v>9</v>
      </c>
      <c r="J5" s="49">
        <f t="shared" ref="J5:J34" si="3">H5*I5</f>
        <v>165042</v>
      </c>
      <c r="K5" s="45">
        <f t="shared" ref="K5:K33" si="4">H5/202</f>
        <v>90.78217821782178</v>
      </c>
      <c r="L5" s="19">
        <f>'2'!G15</f>
        <v>983.14500000001863</v>
      </c>
      <c r="M5" s="19">
        <v>56.2</v>
      </c>
      <c r="N5" s="45">
        <f t="shared" ref="N5:N33" si="5">L5*M5</f>
        <v>55252.749000001051</v>
      </c>
      <c r="O5" s="19">
        <f>'2'!G20</f>
        <v>183</v>
      </c>
      <c r="P5" s="19">
        <v>108</v>
      </c>
      <c r="Q5" s="46">
        <f t="shared" si="0"/>
        <v>19764</v>
      </c>
      <c r="R5" s="47">
        <f t="shared" si="1"/>
        <v>174.21934501142422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435065</v>
      </c>
      <c r="W5" s="22">
        <f>'2'!G66</f>
        <v>20</v>
      </c>
      <c r="X5" s="22">
        <f>'2'!G67</f>
        <v>20</v>
      </c>
      <c r="Y5" s="22">
        <f t="shared" ref="Y5:Y33" si="7">V5+W5+X5</f>
        <v>435105</v>
      </c>
      <c r="Z5" s="19">
        <f>'2'!G84</f>
        <v>0</v>
      </c>
      <c r="AA5" s="19">
        <f>'2'!G85</f>
        <v>16</v>
      </c>
      <c r="AB5" s="19">
        <f>'2'!G86</f>
        <v>8</v>
      </c>
      <c r="AC5" s="19">
        <f>'2'!G87</f>
        <v>0</v>
      </c>
      <c r="AD5" s="19">
        <f t="shared" ref="AD5:AD33" si="8">Z5+AA5+AB5+AC5</f>
        <v>24</v>
      </c>
      <c r="AE5" s="23">
        <f t="shared" si="2"/>
        <v>3469.6100000000006</v>
      </c>
      <c r="AF5" s="23">
        <f t="shared" ref="AF5:AF33" si="9">AE5/AD5</f>
        <v>144.56708333333336</v>
      </c>
      <c r="AG5" s="19">
        <f>'2'!G88</f>
        <v>0</v>
      </c>
      <c r="AH5" s="19">
        <f>'2'!G89</f>
        <v>9.3899999999994179</v>
      </c>
      <c r="AI5" s="19">
        <f>'2'!G90</f>
        <v>0</v>
      </c>
      <c r="AJ5" s="19">
        <f t="shared" ref="AJ5:AJ33" si="10">AG5+AH5+AI5</f>
        <v>9.3899999999994179</v>
      </c>
      <c r="AK5" s="19">
        <f>'2'!G91</f>
        <v>11.460000000000036</v>
      </c>
      <c r="AL5" s="19">
        <f>'2'!G92</f>
        <v>0</v>
      </c>
      <c r="AM5" s="19"/>
      <c r="AN5" s="19">
        <f t="shared" ref="AN5:AN33" si="11">AK5+AL5</f>
        <v>11.460000000000036</v>
      </c>
      <c r="AO5" s="52">
        <f>'2'!G74</f>
        <v>311.03599999996368</v>
      </c>
      <c r="AP5" s="55">
        <f>'2'!G35</f>
        <v>1388.3099999999977</v>
      </c>
      <c r="AQ5" s="19">
        <f>'2'!G37</f>
        <v>1547.1000000000058</v>
      </c>
      <c r="AR5" s="19">
        <f>'2'!G38</f>
        <v>1758.7900000000009</v>
      </c>
      <c r="AS5" s="19">
        <f>'2'!G39</f>
        <v>2628.2200000000012</v>
      </c>
      <c r="AT5" s="19">
        <f>'2'!G40</f>
        <v>0</v>
      </c>
      <c r="AU5" s="19">
        <f>'2'!G41</f>
        <v>0</v>
      </c>
      <c r="AV5" s="19">
        <f>'2'!G42</f>
        <v>2346.320000000007</v>
      </c>
      <c r="AW5" s="19">
        <f>'2'!G43</f>
        <v>1997.1600000000035</v>
      </c>
      <c r="AX5" s="19">
        <f>'2'!G44</f>
        <v>0</v>
      </c>
      <c r="AY5" s="56">
        <f>'2'!G36</f>
        <v>811.5</v>
      </c>
      <c r="AZ5" s="55">
        <f>'2'!G49</f>
        <v>1046.7299999999996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156.30999999999949</v>
      </c>
      <c r="BE5" s="19">
        <f>'2'!G55</f>
        <v>1123.2899999999936</v>
      </c>
      <c r="BF5" s="19">
        <f>'2'!G56</f>
        <v>0</v>
      </c>
      <c r="BG5" s="19">
        <f>'2'!G57</f>
        <v>0</v>
      </c>
      <c r="BH5" s="56">
        <f>'2'!G50</f>
        <v>987.52999999999884</v>
      </c>
      <c r="BI5" s="60">
        <f t="shared" ref="BI5:BI32" si="12">SUM(AU5,AV5,BE5,BF5)</f>
        <v>3469.6100000000006</v>
      </c>
      <c r="BJ5" s="60">
        <f>'2'!G133</f>
        <v>568.0399999999936</v>
      </c>
      <c r="BK5" s="23">
        <f t="shared" ref="BK5:BK33" si="13">SUM(AP5,AU5,AV5,AW5,AZ5,BE5,BF5,BG5)/H5%</f>
        <v>43.089813502017677</v>
      </c>
      <c r="BL5" s="23">
        <f t="shared" ref="BL5:BL33" si="14">SUM(AS5,BC5)/H5%</f>
        <v>14.332097284327633</v>
      </c>
      <c r="BM5" s="24">
        <f t="shared" ref="BM5:BM33" si="15">(AR5+BB5)/H5</f>
        <v>9.5909586650670786E-2</v>
      </c>
      <c r="BN5" s="25">
        <f t="shared" ref="BN5:BN33" si="16">J5+N5+Q5+U5</f>
        <v>240058.74900000106</v>
      </c>
      <c r="BO5" s="38">
        <f t="shared" ref="BO5:BO35" si="17">SUM(AU5,AV5,AW5,BE5,BF5,BG5,BJ5)</f>
        <v>6034.8099999999977</v>
      </c>
      <c r="BP5">
        <f t="shared" ref="BP5:BP35" si="18">BO5/(AD5*280)</f>
        <v>0.89803720238095208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19083</v>
      </c>
      <c r="H6" s="19">
        <f>'3'!G8</f>
        <v>19219</v>
      </c>
      <c r="I6" s="19">
        <v>9</v>
      </c>
      <c r="J6" s="49">
        <f t="shared" si="3"/>
        <v>172971</v>
      </c>
      <c r="K6" s="45">
        <f t="shared" si="4"/>
        <v>95.143564356435647</v>
      </c>
      <c r="L6" s="19">
        <f>'3'!G15</f>
        <v>1012.3479999999981</v>
      </c>
      <c r="M6" s="19">
        <v>56.2</v>
      </c>
      <c r="N6" s="45">
        <f t="shared" si="5"/>
        <v>56893.9575999999</v>
      </c>
      <c r="O6" s="19">
        <f>'3'!G20</f>
        <v>233</v>
      </c>
      <c r="P6" s="19">
        <v>108</v>
      </c>
      <c r="Q6" s="46">
        <f t="shared" si="0"/>
        <v>25164</v>
      </c>
      <c r="R6" s="47">
        <f t="shared" si="1"/>
        <v>226.16967579110852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94</v>
      </c>
      <c r="W6" s="22">
        <f>'3'!G66</f>
        <v>22</v>
      </c>
      <c r="X6" s="22">
        <f>'3'!G67</f>
        <v>20</v>
      </c>
      <c r="Y6" s="22">
        <f>V6+W6+X6</f>
        <v>136</v>
      </c>
      <c r="Z6" s="19">
        <f>'3'!G84</f>
        <v>0</v>
      </c>
      <c r="AA6" s="19">
        <f>'3'!G85</f>
        <v>0</v>
      </c>
      <c r="AB6" s="19">
        <f>'3'!G86</f>
        <v>24</v>
      </c>
      <c r="AC6" s="19">
        <f>'3'!G87</f>
        <v>0</v>
      </c>
      <c r="AD6" s="19">
        <f t="shared" si="8"/>
        <v>24</v>
      </c>
      <c r="AE6" s="23">
        <f t="shared" si="2"/>
        <v>3484.5699999999943</v>
      </c>
      <c r="AF6" s="23">
        <f t="shared" si="9"/>
        <v>145.19041666666644</v>
      </c>
      <c r="AG6" s="19">
        <f>'3'!G88</f>
        <v>0</v>
      </c>
      <c r="AH6" s="19">
        <f>'3'!G89</f>
        <v>9.7999999999992724</v>
      </c>
      <c r="AI6" s="19">
        <f>'3'!G90</f>
        <v>2.3200000000069849</v>
      </c>
      <c r="AJ6" s="19">
        <f t="shared" si="10"/>
        <v>12.120000000006257</v>
      </c>
      <c r="AK6" s="19">
        <f>'3'!G91</f>
        <v>11</v>
      </c>
      <c r="AL6" s="19">
        <f>'3'!G92</f>
        <v>0</v>
      </c>
      <c r="AM6" s="19"/>
      <c r="AN6" s="19">
        <f t="shared" si="11"/>
        <v>11</v>
      </c>
      <c r="AO6" s="52">
        <f>'3'!G74</f>
        <v>310.54399999999441</v>
      </c>
      <c r="AP6" s="55">
        <f>'3'!G35</f>
        <v>1437.6200000000026</v>
      </c>
      <c r="AQ6" s="19">
        <f>'3'!G37</f>
        <v>1552.1100000000006</v>
      </c>
      <c r="AR6" s="19">
        <f>'3'!G38</f>
        <v>1668.1500000000015</v>
      </c>
      <c r="AS6" s="19">
        <f>'3'!G39</f>
        <v>2641.8299999999945</v>
      </c>
      <c r="AT6" s="19">
        <f>'3'!G40</f>
        <v>1.7000000000000028</v>
      </c>
      <c r="AU6" s="19">
        <f>'3'!G41</f>
        <v>0</v>
      </c>
      <c r="AV6" s="19">
        <f>'3'!G42</f>
        <v>37.129999999990105</v>
      </c>
      <c r="AW6" s="19">
        <f>'3'!G43</f>
        <v>2229.6699999999983</v>
      </c>
      <c r="AX6" s="19">
        <f>'3'!G44</f>
        <v>0</v>
      </c>
      <c r="AY6" s="56">
        <f>'3'!G36</f>
        <v>935.69999999999709</v>
      </c>
      <c r="AZ6" s="55">
        <f>'3'!G49</f>
        <v>1065.5499999999993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538.94000000000051</v>
      </c>
      <c r="BE6" s="19">
        <f>'3'!G55</f>
        <v>3334.3500000000058</v>
      </c>
      <c r="BF6" s="19">
        <f>'3'!G56</f>
        <v>113.08999999999833</v>
      </c>
      <c r="BG6" s="19">
        <f>'3'!G57</f>
        <v>0</v>
      </c>
      <c r="BH6" s="56">
        <f>'3'!G50</f>
        <v>1070.0599999999977</v>
      </c>
      <c r="BI6" s="60">
        <f t="shared" si="12"/>
        <v>3484.5699999999943</v>
      </c>
      <c r="BJ6" s="60">
        <f>'3'!G133</f>
        <v>565.15000000000873</v>
      </c>
      <c r="BK6" s="23">
        <f t="shared" si="13"/>
        <v>42.756699099849079</v>
      </c>
      <c r="BL6" s="23">
        <f t="shared" si="14"/>
        <v>13.745928508247019</v>
      </c>
      <c r="BM6" s="24">
        <f t="shared" si="15"/>
        <v>8.679691971486557E-2</v>
      </c>
      <c r="BN6" s="25">
        <f t="shared" si="16"/>
        <v>255028.95759999991</v>
      </c>
      <c r="BO6" s="38">
        <f t="shared" si="17"/>
        <v>6279.3900000000012</v>
      </c>
      <c r="BP6">
        <f t="shared" si="18"/>
        <v>0.93443303571428593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18470.589999999967</v>
      </c>
      <c r="H7" s="19">
        <f>'4'!G8</f>
        <v>18612.709999999963</v>
      </c>
      <c r="I7" s="19">
        <v>9</v>
      </c>
      <c r="J7" s="49">
        <f t="shared" si="3"/>
        <v>167514.38999999966</v>
      </c>
      <c r="K7" s="45">
        <f t="shared" si="4"/>
        <v>92.142128712871099</v>
      </c>
      <c r="L7" s="19">
        <f>'4'!G15</f>
        <v>997.95200000004843</v>
      </c>
      <c r="M7" s="19">
        <v>56.2</v>
      </c>
      <c r="N7" s="45">
        <f t="shared" si="5"/>
        <v>56084.902400002728</v>
      </c>
      <c r="O7" s="19">
        <f>'4'!G20</f>
        <v>261</v>
      </c>
      <c r="P7" s="19">
        <v>108</v>
      </c>
      <c r="Q7" s="46">
        <f t="shared" si="0"/>
        <v>28188</v>
      </c>
      <c r="R7" s="47">
        <f t="shared" si="1"/>
        <v>144.18917619917332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87</v>
      </c>
      <c r="W7" s="22">
        <f>'4'!G66</f>
        <v>30</v>
      </c>
      <c r="X7" s="22">
        <f>'4'!G67</f>
        <v>25</v>
      </c>
      <c r="Y7" s="22">
        <f t="shared" si="7"/>
        <v>142</v>
      </c>
      <c r="Z7" s="19">
        <f>'4'!G84</f>
        <v>0.26000000000203727</v>
      </c>
      <c r="AA7" s="19">
        <f>'4'!G85</f>
        <v>0</v>
      </c>
      <c r="AB7" s="19">
        <f>'4'!G86</f>
        <v>24.25</v>
      </c>
      <c r="AC7" s="19">
        <f>'4'!G87</f>
        <v>0.93000000000029104</v>
      </c>
      <c r="AD7" s="19">
        <f t="shared" si="8"/>
        <v>25.440000000002328</v>
      </c>
      <c r="AE7" s="23">
        <f t="shared" si="2"/>
        <v>2816.8300000000017</v>
      </c>
      <c r="AF7" s="23">
        <f t="shared" si="9"/>
        <v>110.72444968552453</v>
      </c>
      <c r="AG7" s="19">
        <f>'4'!G88</f>
        <v>0</v>
      </c>
      <c r="AH7" s="19">
        <f>'4'!G89</f>
        <v>9.7400000000016007</v>
      </c>
      <c r="AI7" s="19">
        <f>'4'!G90</f>
        <v>0.25</v>
      </c>
      <c r="AJ7" s="19">
        <f t="shared" si="10"/>
        <v>9.9900000000016007</v>
      </c>
      <c r="AK7" s="19">
        <f>'4'!G91</f>
        <v>11.4699999999998</v>
      </c>
      <c r="AL7" s="19">
        <f>'4'!G92</f>
        <v>0</v>
      </c>
      <c r="AM7" s="19"/>
      <c r="AN7" s="19">
        <f t="shared" si="11"/>
        <v>11.4699999999998</v>
      </c>
      <c r="AO7" s="52">
        <f>'4'!G74</f>
        <v>297.04000000003725</v>
      </c>
      <c r="AP7" s="55">
        <f>'4'!G35</f>
        <v>1328.9400000000023</v>
      </c>
      <c r="AQ7" s="19">
        <f>'4'!G37</f>
        <v>1614.0999999999985</v>
      </c>
      <c r="AR7" s="19">
        <f>'4'!G38</f>
        <v>1858.4700000000012</v>
      </c>
      <c r="AS7" s="19">
        <f>'4'!G39</f>
        <v>2666.7100000000064</v>
      </c>
      <c r="AT7" s="19">
        <f>'4'!G40</f>
        <v>606.86000000000058</v>
      </c>
      <c r="AU7" s="19">
        <f>'4'!G41</f>
        <v>0</v>
      </c>
      <c r="AV7" s="19">
        <f>'4'!G42</f>
        <v>-8.999999999650754E-2</v>
      </c>
      <c r="AW7" s="19">
        <f>'4'!G43</f>
        <v>2395.179999999993</v>
      </c>
      <c r="AX7" s="19">
        <f>'4'!G44</f>
        <v>0</v>
      </c>
      <c r="AY7" s="56">
        <f>'4'!G36</f>
        <v>861.87000000000262</v>
      </c>
      <c r="AZ7" s="55">
        <f>'4'!G49</f>
        <v>1353.9300000000003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547.31999999999971</v>
      </c>
      <c r="BE7" s="19">
        <f>'4'!G55</f>
        <v>2816.9199999999983</v>
      </c>
      <c r="BF7" s="19">
        <f>'4'!G56</f>
        <v>0</v>
      </c>
      <c r="BG7" s="19">
        <f>'4'!G57</f>
        <v>0</v>
      </c>
      <c r="BH7" s="56">
        <f>'4'!G50</f>
        <v>1149.75</v>
      </c>
      <c r="BI7" s="60">
        <f t="shared" si="12"/>
        <v>2816.8300000000017</v>
      </c>
      <c r="BJ7" s="60">
        <f>'3'!G133</f>
        <v>565.15000000000873</v>
      </c>
      <c r="BK7" s="23">
        <f t="shared" si="13"/>
        <v>42.416606716593201</v>
      </c>
      <c r="BL7" s="23">
        <f t="shared" si="14"/>
        <v>14.327360174848327</v>
      </c>
      <c r="BM7" s="24">
        <f t="shared" si="15"/>
        <v>9.9849511436002861E-2</v>
      </c>
      <c r="BN7" s="25">
        <f t="shared" si="16"/>
        <v>251787.29240000239</v>
      </c>
      <c r="BO7" s="38">
        <f t="shared" si="17"/>
        <v>5777.1600000000035</v>
      </c>
      <c r="BP7">
        <f t="shared" si="18"/>
        <v>0.81103436657674566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1</v>
      </c>
      <c r="G8" s="19">
        <f>'5'!G7</f>
        <v>20600.080000000075</v>
      </c>
      <c r="H8" s="19">
        <f>'5'!G8</f>
        <v>20830.960000000079</v>
      </c>
      <c r="I8" s="19">
        <v>9</v>
      </c>
      <c r="J8" s="49">
        <f t="shared" si="3"/>
        <v>187478.64000000071</v>
      </c>
      <c r="K8" s="45">
        <f t="shared" si="4"/>
        <v>103.12356435643603</v>
      </c>
      <c r="L8" s="19">
        <f>'5'!G15</f>
        <v>1047.8699999998789</v>
      </c>
      <c r="M8" s="19">
        <v>56.2</v>
      </c>
      <c r="N8" s="45">
        <f t="shared" si="5"/>
        <v>58890.293999993199</v>
      </c>
      <c r="O8" s="19">
        <f>'5'!G20</f>
        <v>294</v>
      </c>
      <c r="P8" s="19">
        <v>108</v>
      </c>
      <c r="Q8" s="46">
        <f t="shared" si="0"/>
        <v>31752</v>
      </c>
      <c r="R8" s="47">
        <f t="shared" si="1"/>
        <v>145.54455445544554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100</v>
      </c>
      <c r="W8" s="22">
        <f>'5'!G66</f>
        <v>48</v>
      </c>
      <c r="X8" s="22">
        <f>'5'!G67</f>
        <v>26</v>
      </c>
      <c r="Y8" s="22">
        <f t="shared" si="7"/>
        <v>174</v>
      </c>
      <c r="Z8" s="19">
        <f>'5'!G84</f>
        <v>-0.26000000000203727</v>
      </c>
      <c r="AA8" s="19">
        <f>'5'!G85</f>
        <v>0</v>
      </c>
      <c r="AB8" s="19">
        <f>'5'!G86</f>
        <v>24.319999999999709</v>
      </c>
      <c r="AC8" s="19">
        <f>'5'!G87</f>
        <v>0</v>
      </c>
      <c r="AD8" s="19">
        <f t="shared" si="8"/>
        <v>24.059999999997672</v>
      </c>
      <c r="AE8" s="23">
        <f t="shared" si="2"/>
        <v>3196.3899999999994</v>
      </c>
      <c r="AF8" s="23">
        <f t="shared" si="9"/>
        <v>132.85078969244842</v>
      </c>
      <c r="AG8" s="19">
        <f>'5'!G88</f>
        <v>0</v>
      </c>
      <c r="AH8" s="19">
        <f>'5'!G89</f>
        <v>9.8600000000005821</v>
      </c>
      <c r="AI8" s="19">
        <f>'5'!G90</f>
        <v>3.6600000000034925</v>
      </c>
      <c r="AJ8" s="19">
        <f t="shared" si="10"/>
        <v>13.520000000004075</v>
      </c>
      <c r="AK8" s="19">
        <f>'5'!G91</f>
        <v>10.619999999999891</v>
      </c>
      <c r="AL8" s="19">
        <f>'5'!G92</f>
        <v>0</v>
      </c>
      <c r="AM8" s="19"/>
      <c r="AN8" s="19">
        <f t="shared" si="11"/>
        <v>10.619999999999891</v>
      </c>
      <c r="AO8" s="52">
        <f>'5'!G74</f>
        <v>284.73999999999069</v>
      </c>
      <c r="AP8" s="55">
        <f>'5'!G35</f>
        <v>1448.8099999999977</v>
      </c>
      <c r="AQ8" s="19">
        <f>'5'!G37</f>
        <v>1683.9199999999983</v>
      </c>
      <c r="AR8" s="19">
        <f>'5'!G38</f>
        <v>1939.4400000000023</v>
      </c>
      <c r="AS8" s="19">
        <f>'5'!G39</f>
        <v>2758.0200000000041</v>
      </c>
      <c r="AT8" s="19">
        <f>'5'!G40</f>
        <v>105.77000000000044</v>
      </c>
      <c r="AU8" s="19">
        <f>'5'!G41</f>
        <v>0</v>
      </c>
      <c r="AV8" s="19">
        <f>'5'!G42</f>
        <v>0</v>
      </c>
      <c r="AW8" s="19">
        <f>'5'!G43</f>
        <v>2237.7600000000093</v>
      </c>
      <c r="AX8" s="19">
        <f>'5'!G44</f>
        <v>0</v>
      </c>
      <c r="AY8" s="56">
        <f>'5'!G36</f>
        <v>1353.260000000002</v>
      </c>
      <c r="AZ8" s="55">
        <f>'5'!G49</f>
        <v>1440.1899999999987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533.68000000000029</v>
      </c>
      <c r="BE8" s="19">
        <f>'5'!G55</f>
        <v>3196.3899999999994</v>
      </c>
      <c r="BF8" s="19">
        <f>'5'!G56</f>
        <v>0</v>
      </c>
      <c r="BG8" s="19">
        <f>'5'!G57</f>
        <v>0</v>
      </c>
      <c r="BH8" s="56">
        <f>'5'!G50</f>
        <v>1526.75</v>
      </c>
      <c r="BI8" s="60">
        <f t="shared" si="12"/>
        <v>3196.3899999999994</v>
      </c>
      <c r="BJ8" s="60">
        <f>'5'!G133</f>
        <v>692.97000000000116</v>
      </c>
      <c r="BK8" s="23">
        <f t="shared" si="13"/>
        <v>39.955671750125646</v>
      </c>
      <c r="BL8" s="23">
        <f t="shared" si="14"/>
        <v>13.240004301289973</v>
      </c>
      <c r="BM8" s="24">
        <f t="shared" si="15"/>
        <v>9.3103726376508572E-2</v>
      </c>
      <c r="BN8" s="25">
        <f t="shared" si="16"/>
        <v>278120.9339999939</v>
      </c>
      <c r="BO8" s="38">
        <f t="shared" si="17"/>
        <v>6127.1200000000099</v>
      </c>
      <c r="BP8">
        <f t="shared" si="18"/>
        <v>0.90950005937546052</v>
      </c>
    </row>
    <row r="9" spans="1:69" x14ac:dyDescent="0.25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20386.880000000005</v>
      </c>
      <c r="H9" s="19">
        <f>'6'!G8</f>
        <v>20612</v>
      </c>
      <c r="I9" s="19">
        <v>9</v>
      </c>
      <c r="J9" s="49">
        <f t="shared" si="3"/>
        <v>185508</v>
      </c>
      <c r="K9" s="45">
        <f t="shared" si="4"/>
        <v>102.03960396039604</v>
      </c>
      <c r="L9" s="19">
        <f>'6'!G15</f>
        <v>1049.5</v>
      </c>
      <c r="M9" s="19">
        <v>56.2</v>
      </c>
      <c r="N9" s="45">
        <f t="shared" si="5"/>
        <v>58981.9</v>
      </c>
      <c r="O9" s="19">
        <f>'6'!G20</f>
        <v>275</v>
      </c>
      <c r="P9" s="19">
        <v>108</v>
      </c>
      <c r="Q9" s="46">
        <f t="shared" si="0"/>
        <v>29700</v>
      </c>
      <c r="R9" s="47">
        <f t="shared" si="1"/>
        <v>234.72174803687267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110</v>
      </c>
      <c r="W9" s="22">
        <f>'6'!G66</f>
        <v>26</v>
      </c>
      <c r="X9" s="22">
        <f>'6'!G67</f>
        <v>31</v>
      </c>
      <c r="Y9" s="22">
        <f t="shared" si="7"/>
        <v>167</v>
      </c>
      <c r="Z9" s="19">
        <f>'6'!G84</f>
        <v>0</v>
      </c>
      <c r="AA9" s="19">
        <f>'6'!G85</f>
        <v>0</v>
      </c>
      <c r="AB9" s="19">
        <f>'6'!G86</f>
        <v>24.430000000000291</v>
      </c>
      <c r="AC9" s="19">
        <f>'6'!G87</f>
        <v>0</v>
      </c>
      <c r="AD9" s="19">
        <f t="shared" si="8"/>
        <v>24.430000000000291</v>
      </c>
      <c r="AE9" s="23">
        <f t="shared" si="2"/>
        <v>3426.9199999999983</v>
      </c>
      <c r="AF9" s="23">
        <f t="shared" si="9"/>
        <v>140.27507163323608</v>
      </c>
      <c r="AG9" s="19">
        <f>'6'!G88</f>
        <v>0</v>
      </c>
      <c r="AH9" s="19">
        <f>'6'!G89</f>
        <v>10.180000000000291</v>
      </c>
      <c r="AI9" s="19">
        <f>'6'!G90</f>
        <v>4.1599999999889405</v>
      </c>
      <c r="AJ9" s="19">
        <f t="shared" si="10"/>
        <v>14.339999999989232</v>
      </c>
      <c r="AK9" s="19">
        <f>'6'!G91</f>
        <v>11.170000000000073</v>
      </c>
      <c r="AL9" s="19">
        <f>'6'!G92</f>
        <v>0</v>
      </c>
      <c r="AM9" s="19"/>
      <c r="AN9" s="19">
        <f t="shared" si="11"/>
        <v>11.170000000000073</v>
      </c>
      <c r="AO9" s="52">
        <f>'6'!G74</f>
        <v>303.77999999991152</v>
      </c>
      <c r="AP9" s="55">
        <f>'6'!G35</f>
        <v>1654.0999999999985</v>
      </c>
      <c r="AQ9" s="19">
        <f>'6'!G37</f>
        <v>1645.6599999999962</v>
      </c>
      <c r="AR9" s="19">
        <f>'6'!G38</f>
        <v>1915.0299999999988</v>
      </c>
      <c r="AS9" s="19">
        <f>'6'!G39</f>
        <v>2776.5599999999977</v>
      </c>
      <c r="AT9" s="19">
        <f>'6'!G40</f>
        <v>402.02999999999884</v>
      </c>
      <c r="AU9" s="19">
        <f>'6'!G41</f>
        <v>0</v>
      </c>
      <c r="AV9" s="19">
        <f>'6'!G42</f>
        <v>0</v>
      </c>
      <c r="AW9" s="19">
        <f>'6'!G43</f>
        <v>2145.3499999999913</v>
      </c>
      <c r="AX9" s="19">
        <f>'6'!G44</f>
        <v>0</v>
      </c>
      <c r="AY9" s="56">
        <f>'6'!G36</f>
        <v>902.15999999999622</v>
      </c>
      <c r="AZ9" s="55">
        <f>'6'!G49</f>
        <v>1365.1900000000023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531.21</v>
      </c>
      <c r="BE9" s="19">
        <f>'6'!G55</f>
        <v>3426.9199999999983</v>
      </c>
      <c r="BF9" s="19">
        <f>'6'!G56</f>
        <v>0</v>
      </c>
      <c r="BG9" s="19">
        <f>'6'!G57</f>
        <v>0</v>
      </c>
      <c r="BH9" s="56">
        <f>'6'!G50</f>
        <v>1272.5999999999985</v>
      </c>
      <c r="BI9" s="60">
        <f t="shared" si="12"/>
        <v>3426.9199999999983</v>
      </c>
      <c r="BJ9" s="60">
        <f>'6'!G133</f>
        <v>622.38999999999942</v>
      </c>
      <c r="BK9" s="23">
        <f t="shared" si="13"/>
        <v>41.682320978070976</v>
      </c>
      <c r="BL9" s="23">
        <f t="shared" si="14"/>
        <v>13.470599650688907</v>
      </c>
      <c r="BM9" s="24">
        <f t="shared" si="15"/>
        <v>9.2908499902969094E-2</v>
      </c>
      <c r="BN9" s="25">
        <f t="shared" si="16"/>
        <v>274189.90000000002</v>
      </c>
      <c r="BO9" s="38">
        <f t="shared" si="17"/>
        <v>6194.6599999999889</v>
      </c>
      <c r="BP9">
        <f t="shared" si="18"/>
        <v>0.90559908777263243</v>
      </c>
    </row>
    <row r="10" spans="1:69" x14ac:dyDescent="0.25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0.75</v>
      </c>
      <c r="G10" s="19">
        <f>'7'!G7</f>
        <v>21554.719999999972</v>
      </c>
      <c r="H10" s="19">
        <f>'7'!G8</f>
        <v>21704.239999999991</v>
      </c>
      <c r="I10" s="19">
        <v>9</v>
      </c>
      <c r="J10" s="49">
        <f t="shared" si="3"/>
        <v>195338.15999999992</v>
      </c>
      <c r="K10" s="45">
        <f t="shared" si="4"/>
        <v>107.44673267326728</v>
      </c>
      <c r="L10" s="19">
        <f>'7'!G15</f>
        <v>1030.6800000001676</v>
      </c>
      <c r="M10" s="19">
        <v>56.2</v>
      </c>
      <c r="N10" s="45">
        <f t="shared" si="5"/>
        <v>57924.216000009423</v>
      </c>
      <c r="O10" s="19">
        <f>'7'!G20</f>
        <v>242</v>
      </c>
      <c r="P10" s="19">
        <v>108</v>
      </c>
      <c r="Q10" s="46">
        <f t="shared" si="0"/>
        <v>26136</v>
      </c>
      <c r="R10" s="47">
        <f t="shared" si="1"/>
        <v>159.73597359735976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96</v>
      </c>
      <c r="W10" s="22">
        <f>'7'!G66</f>
        <v>21</v>
      </c>
      <c r="X10" s="22">
        <f>'7'!G67</f>
        <v>30</v>
      </c>
      <c r="Y10" s="22">
        <f t="shared" si="7"/>
        <v>147</v>
      </c>
      <c r="Z10" s="19">
        <f>'7'!G84</f>
        <v>0</v>
      </c>
      <c r="AA10" s="19">
        <f>'7'!G85</f>
        <v>12.069999999999709</v>
      </c>
      <c r="AB10" s="19">
        <f>'7'!G86</f>
        <v>13.30000000000291</v>
      </c>
      <c r="AC10" s="19">
        <f>'7'!G87</f>
        <v>0</v>
      </c>
      <c r="AD10" s="19">
        <f t="shared" si="8"/>
        <v>25.370000000002619</v>
      </c>
      <c r="AE10" s="23">
        <f t="shared" si="2"/>
        <v>4458.75</v>
      </c>
      <c r="AF10" s="23">
        <f t="shared" si="9"/>
        <v>175.74891604255183</v>
      </c>
      <c r="AG10" s="19">
        <f>'7'!G88</f>
        <v>0</v>
      </c>
      <c r="AH10" s="19">
        <f>'7'!G89</f>
        <v>9.7899999999972351</v>
      </c>
      <c r="AI10" s="19">
        <f>'7'!G90</f>
        <v>4.1600000000034925</v>
      </c>
      <c r="AJ10" s="19">
        <f t="shared" si="10"/>
        <v>13.950000000000728</v>
      </c>
      <c r="AK10" s="19">
        <f>'7'!G91</f>
        <v>11.099999999999909</v>
      </c>
      <c r="AL10" s="19">
        <f>'7'!G92</f>
        <v>0</v>
      </c>
      <c r="AM10" s="19"/>
      <c r="AN10" s="19">
        <f t="shared" si="11"/>
        <v>11.099999999999909</v>
      </c>
      <c r="AO10" s="52">
        <f>'7'!G74</f>
        <v>301.6600000000326</v>
      </c>
      <c r="AP10" s="55">
        <f>'7'!G35</f>
        <v>1666.4199999999983</v>
      </c>
      <c r="AQ10" s="19">
        <f>'7'!G37</f>
        <v>1658.8400000000038</v>
      </c>
      <c r="AR10" s="19">
        <f>'7'!G38</f>
        <v>2017.739999999998</v>
      </c>
      <c r="AS10" s="19">
        <f>'7'!G39</f>
        <v>3066.4900000000052</v>
      </c>
      <c r="AT10" s="19">
        <f>'7'!G40</f>
        <v>282.68000000000029</v>
      </c>
      <c r="AU10" s="19">
        <f>'7'!G41</f>
        <v>0</v>
      </c>
      <c r="AV10" s="19">
        <f>'7'!G42</f>
        <v>2568.2599999999948</v>
      </c>
      <c r="AW10" s="19">
        <f>'7'!G43</f>
        <v>2208.6800000000076</v>
      </c>
      <c r="AX10" s="19">
        <f>'7'!G44</f>
        <v>0</v>
      </c>
      <c r="AY10" s="56">
        <f>'7'!G36</f>
        <v>840.56999999999971</v>
      </c>
      <c r="AZ10" s="55">
        <f>'7'!G49</f>
        <v>1433.9199999999983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534.96</v>
      </c>
      <c r="BE10" s="19">
        <f>'7'!G55</f>
        <v>1890.4900000000052</v>
      </c>
      <c r="BF10" s="19">
        <f>'7'!G56</f>
        <v>0</v>
      </c>
      <c r="BG10" s="19">
        <f>'7'!G57</f>
        <v>0</v>
      </c>
      <c r="BH10" s="56">
        <f>'7'!G50</f>
        <v>1415.6200000000026</v>
      </c>
      <c r="BI10" s="60">
        <f t="shared" si="12"/>
        <v>4458.75</v>
      </c>
      <c r="BJ10" s="60">
        <f>'7'!G133</f>
        <v>677.02999999999884</v>
      </c>
      <c r="BK10" s="23">
        <f t="shared" si="13"/>
        <v>45.003971574217793</v>
      </c>
      <c r="BL10" s="23">
        <f t="shared" si="14"/>
        <v>14.128529725067574</v>
      </c>
      <c r="BM10" s="24">
        <f t="shared" si="15"/>
        <v>9.2965245500418292E-2</v>
      </c>
      <c r="BN10" s="25">
        <f t="shared" si="16"/>
        <v>279398.37600000936</v>
      </c>
      <c r="BO10" s="38">
        <f t="shared" si="17"/>
        <v>7344.4600000000064</v>
      </c>
      <c r="BP10">
        <f t="shared" si="18"/>
        <v>1.0339067515061726</v>
      </c>
    </row>
    <row r="11" spans="1:69" x14ac:dyDescent="0.25">
      <c r="A11" s="16">
        <v>8</v>
      </c>
      <c r="B11" s="26">
        <v>8</v>
      </c>
      <c r="C11" s="18"/>
      <c r="D11" s="19">
        <f>'8'!D3</f>
        <v>24</v>
      </c>
      <c r="E11" s="50">
        <f>'8'!D4</f>
        <v>0.8</v>
      </c>
      <c r="F11" s="50">
        <f>'8'!D2</f>
        <v>0.71</v>
      </c>
      <c r="G11" s="19">
        <f>'8'!G7</f>
        <v>19667.729999999981</v>
      </c>
      <c r="H11" s="19">
        <f>'8'!G8</f>
        <v>19730.089999999967</v>
      </c>
      <c r="I11" s="19">
        <v>9</v>
      </c>
      <c r="J11" s="49">
        <f t="shared" si="3"/>
        <v>177570.80999999971</v>
      </c>
      <c r="K11" s="45">
        <f t="shared" si="4"/>
        <v>97.673712871286966</v>
      </c>
      <c r="L11" s="19">
        <f>'8'!G15</f>
        <v>1052.1799999999348</v>
      </c>
      <c r="M11" s="19">
        <v>56.2</v>
      </c>
      <c r="N11" s="45">
        <f t="shared" si="5"/>
        <v>59132.515999996336</v>
      </c>
      <c r="O11" s="19">
        <f>'8'!G20</f>
        <v>232</v>
      </c>
      <c r="P11" s="19">
        <v>108</v>
      </c>
      <c r="Q11" s="46">
        <f t="shared" si="0"/>
        <v>25056</v>
      </c>
      <c r="R11" s="47">
        <f t="shared" si="1"/>
        <v>161.76265513875333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106</v>
      </c>
      <c r="W11" s="22">
        <f>'8'!G66</f>
        <v>19</v>
      </c>
      <c r="X11" s="22">
        <f>'8'!G67</f>
        <v>16</v>
      </c>
      <c r="Y11" s="22">
        <f t="shared" si="7"/>
        <v>141</v>
      </c>
      <c r="Z11" s="19">
        <f>'8'!G84</f>
        <v>0</v>
      </c>
      <c r="AA11" s="19">
        <f>'8'!G85</f>
        <v>23.910000000000309</v>
      </c>
      <c r="AB11" s="19">
        <f>'8'!G86</f>
        <v>-0.30000000000291038</v>
      </c>
      <c r="AC11" s="19">
        <f>'8'!G87</f>
        <v>-0.48000000000320142</v>
      </c>
      <c r="AD11" s="19">
        <f t="shared" si="8"/>
        <v>23.129999999994197</v>
      </c>
      <c r="AE11" s="23">
        <f t="shared" si="2"/>
        <v>4082.4900000000066</v>
      </c>
      <c r="AF11" s="23">
        <f t="shared" si="9"/>
        <v>176.5019455253364</v>
      </c>
      <c r="AG11" s="19">
        <f>'8'!G88</f>
        <v>-0.43000000000029104</v>
      </c>
      <c r="AH11" s="19">
        <f>'8'!G89</f>
        <v>10.630000000001019</v>
      </c>
      <c r="AI11" s="19">
        <f>'8'!G90</f>
        <v>3.0800000000017462</v>
      </c>
      <c r="AJ11" s="19">
        <f t="shared" si="10"/>
        <v>13.280000000002474</v>
      </c>
      <c r="AK11" s="19">
        <f>'8'!G91</f>
        <v>11.170000000000073</v>
      </c>
      <c r="AL11" s="19">
        <f>'8'!G92</f>
        <v>-6.9999999999708962E-2</v>
      </c>
      <c r="AM11" s="19"/>
      <c r="AN11" s="19">
        <f t="shared" si="11"/>
        <v>11.100000000000364</v>
      </c>
      <c r="AO11" s="52">
        <f>'8'!G74</f>
        <v>302.52000000001863</v>
      </c>
      <c r="AP11" s="55">
        <f>'8'!G35</f>
        <v>1754.8000000000029</v>
      </c>
      <c r="AQ11" s="19">
        <f>'8'!G37</f>
        <v>1609.0699999999997</v>
      </c>
      <c r="AR11" s="19">
        <f>'8'!G38</f>
        <v>1914.6800000000003</v>
      </c>
      <c r="AS11" s="19">
        <f>'8'!G39</f>
        <v>2923.2899999999936</v>
      </c>
      <c r="AT11" s="19">
        <f>'8'!G40</f>
        <v>314.22999999999956</v>
      </c>
      <c r="AU11" s="19">
        <f>'8'!G41</f>
        <v>0.27000000000000313</v>
      </c>
      <c r="AV11" s="19">
        <f>'8'!G42</f>
        <v>4081.8500000000058</v>
      </c>
      <c r="AW11" s="19">
        <f>'8'!G43</f>
        <v>2123.6699999999983</v>
      </c>
      <c r="AX11" s="23">
        <f>'8'!G44</f>
        <v>0</v>
      </c>
      <c r="AY11" s="56">
        <f>'8'!G36</f>
        <v>799.44000000000233</v>
      </c>
      <c r="AZ11" s="55">
        <f>'8'!G49</f>
        <v>1266.2200000000012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537.15999999999985</v>
      </c>
      <c r="BE11" s="19">
        <f>'8'!G55</f>
        <v>0</v>
      </c>
      <c r="BF11" s="19">
        <f>'8'!G56</f>
        <v>0.37000000000080036</v>
      </c>
      <c r="BG11" s="19">
        <f>'8'!G57</f>
        <v>0</v>
      </c>
      <c r="BH11" s="56">
        <f>'8'!G50</f>
        <v>1131.1399999999994</v>
      </c>
      <c r="BI11" s="60">
        <f t="shared" si="12"/>
        <v>4082.4900000000066</v>
      </c>
      <c r="BJ11" s="60">
        <f>'8'!G133</f>
        <v>647.32000000000698</v>
      </c>
      <c r="BK11" s="23">
        <f t="shared" si="13"/>
        <v>46.767044651088895</v>
      </c>
      <c r="BL11" s="23">
        <f t="shared" si="14"/>
        <v>14.816404790854975</v>
      </c>
      <c r="BM11" s="24">
        <f t="shared" si="15"/>
        <v>9.7043652613850395E-2</v>
      </c>
      <c r="BN11" s="25">
        <f t="shared" si="16"/>
        <v>261759.32599999604</v>
      </c>
      <c r="BO11" s="38">
        <f t="shared" si="17"/>
        <v>6853.4800000000123</v>
      </c>
      <c r="BP11">
        <f t="shared" si="18"/>
        <v>1.0582237045274738</v>
      </c>
    </row>
    <row r="12" spans="1:69" x14ac:dyDescent="0.25">
      <c r="A12" s="16">
        <v>9</v>
      </c>
      <c r="B12" s="27">
        <v>9</v>
      </c>
      <c r="C12" s="26"/>
      <c r="D12" s="19">
        <f>'9'!D3</f>
        <v>24</v>
      </c>
      <c r="E12" s="50">
        <f>'9'!D4</f>
        <v>0.78</v>
      </c>
      <c r="F12" s="50">
        <f>'9'!D2</f>
        <v>0.45</v>
      </c>
      <c r="G12" s="19">
        <f>'9'!G7</f>
        <v>19382</v>
      </c>
      <c r="H12" s="19">
        <f>'9'!G8</f>
        <v>19467</v>
      </c>
      <c r="I12" s="19">
        <v>9</v>
      </c>
      <c r="J12" s="49">
        <f t="shared" si="3"/>
        <v>175203</v>
      </c>
      <c r="K12" s="45">
        <f t="shared" si="4"/>
        <v>96.371287128712865</v>
      </c>
      <c r="L12" s="19">
        <f>'9'!G15</f>
        <v>1070</v>
      </c>
      <c r="M12" s="19">
        <v>56.2</v>
      </c>
      <c r="N12" s="45">
        <f t="shared" si="5"/>
        <v>60134</v>
      </c>
      <c r="O12" s="19">
        <f>'9'!G20</f>
        <v>256</v>
      </c>
      <c r="P12" s="19">
        <v>108</v>
      </c>
      <c r="Q12" s="46">
        <f t="shared" si="0"/>
        <v>27648</v>
      </c>
      <c r="R12" s="47">
        <f t="shared" si="1"/>
        <v>281.62816281628164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103</v>
      </c>
      <c r="W12" s="22">
        <f>'9'!G66</f>
        <v>20</v>
      </c>
      <c r="X12" s="22">
        <f>'9'!G67</f>
        <v>55</v>
      </c>
      <c r="Y12" s="22">
        <f t="shared" si="7"/>
        <v>178</v>
      </c>
      <c r="Z12" s="19">
        <f>'9'!G84</f>
        <v>0</v>
      </c>
      <c r="AA12" s="19">
        <f>'9'!G85</f>
        <v>23.599999999999909</v>
      </c>
      <c r="AB12" s="19">
        <f>'9'!G86</f>
        <v>0</v>
      </c>
      <c r="AC12" s="19">
        <f>'9'!G87</f>
        <v>-0.44999999999708962</v>
      </c>
      <c r="AD12" s="19">
        <f t="shared" si="8"/>
        <v>23.150000000002819</v>
      </c>
      <c r="AE12" s="23">
        <f t="shared" si="2"/>
        <v>3894.5299999999988</v>
      </c>
      <c r="AF12" s="23">
        <f t="shared" si="9"/>
        <v>168.23023758097298</v>
      </c>
      <c r="AG12" s="19">
        <f>'9'!G88</f>
        <v>0</v>
      </c>
      <c r="AH12" s="19">
        <f>'9'!G89</f>
        <v>11.430000000000291</v>
      </c>
      <c r="AI12" s="19">
        <f>'9'!G90</f>
        <v>3</v>
      </c>
      <c r="AJ12" s="19">
        <f t="shared" si="10"/>
        <v>14.430000000000291</v>
      </c>
      <c r="AK12" s="19">
        <f>'9'!G91</f>
        <v>11.150000000000091</v>
      </c>
      <c r="AL12" s="19">
        <f>'9'!G92</f>
        <v>0</v>
      </c>
      <c r="AM12" s="19"/>
      <c r="AN12" s="19">
        <f t="shared" si="11"/>
        <v>11.150000000000091</v>
      </c>
      <c r="AO12" s="52">
        <f>'9'!G74</f>
        <v>301</v>
      </c>
      <c r="AP12" s="55">
        <f>'9'!G35</f>
        <v>1514</v>
      </c>
      <c r="AQ12" s="19">
        <f>'9'!G37</f>
        <v>1638</v>
      </c>
      <c r="AR12" s="19">
        <f>'9'!G38</f>
        <v>1923</v>
      </c>
      <c r="AS12" s="19">
        <f>'9'!G39</f>
        <v>3001</v>
      </c>
      <c r="AT12" s="19">
        <f>'9'!G40</f>
        <v>192</v>
      </c>
      <c r="AU12" s="19">
        <f>'9'!G41</f>
        <v>0</v>
      </c>
      <c r="AV12" s="19">
        <f>'9'!G42</f>
        <v>3895</v>
      </c>
      <c r="AW12" s="19">
        <f>'9'!G43</f>
        <v>2087</v>
      </c>
      <c r="AX12" s="23">
        <f>'9'!G44</f>
        <v>0</v>
      </c>
      <c r="AY12" s="56">
        <f>'9'!G36</f>
        <v>779</v>
      </c>
      <c r="AZ12" s="55">
        <f>'9'!G49</f>
        <v>1392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540</v>
      </c>
      <c r="BE12" s="19">
        <f>'9'!G55</f>
        <v>-0.47000000000116415</v>
      </c>
      <c r="BF12" s="19">
        <f>'9'!G56</f>
        <v>0</v>
      </c>
      <c r="BG12" s="19">
        <f>'9'!G57</f>
        <v>0</v>
      </c>
      <c r="BH12" s="56">
        <f>'9'!G50</f>
        <v>1118</v>
      </c>
      <c r="BI12" s="60">
        <f t="shared" si="12"/>
        <v>3894.5299999999988</v>
      </c>
      <c r="BJ12" s="60">
        <f>'8'!G133</f>
        <v>647.32000000000698</v>
      </c>
      <c r="BK12" s="23">
        <f t="shared" si="13"/>
        <v>45.654338110648787</v>
      </c>
      <c r="BL12" s="23">
        <f t="shared" si="14"/>
        <v>15.415831920686291</v>
      </c>
      <c r="BM12" s="24">
        <f t="shared" si="15"/>
        <v>9.8782555093234706E-2</v>
      </c>
      <c r="BN12" s="25">
        <f t="shared" si="16"/>
        <v>262985</v>
      </c>
      <c r="BO12" s="38">
        <f t="shared" si="17"/>
        <v>6628.8500000000058</v>
      </c>
      <c r="BP12">
        <f t="shared" si="18"/>
        <v>1.0226550447391543</v>
      </c>
    </row>
    <row r="13" spans="1:69" x14ac:dyDescent="0.25">
      <c r="A13" s="16">
        <v>10</v>
      </c>
      <c r="B13" s="27">
        <v>10</v>
      </c>
      <c r="C13" s="26"/>
      <c r="D13" s="19">
        <f>'10'!D3</f>
        <v>22</v>
      </c>
      <c r="E13" s="50">
        <f>'10'!D4</f>
        <v>0.76</v>
      </c>
      <c r="F13" s="50">
        <f>'10'!D2</f>
        <v>0.91</v>
      </c>
      <c r="G13" s="19">
        <f>'10'!G7</f>
        <v>20288</v>
      </c>
      <c r="H13" s="19">
        <f>'10'!G8</f>
        <v>20373</v>
      </c>
      <c r="I13" s="19">
        <v>9</v>
      </c>
      <c r="J13" s="49">
        <f t="shared" si="3"/>
        <v>183357</v>
      </c>
      <c r="K13" s="45">
        <f t="shared" si="4"/>
        <v>100.85643564356435</v>
      </c>
      <c r="L13" s="19">
        <f>'10'!G15</f>
        <v>1152</v>
      </c>
      <c r="M13" s="19">
        <v>56.2</v>
      </c>
      <c r="N13" s="45">
        <f t="shared" si="5"/>
        <v>64742.400000000001</v>
      </c>
      <c r="O13" s="19">
        <f>'10'!G20</f>
        <v>317</v>
      </c>
      <c r="P13" s="19">
        <v>108</v>
      </c>
      <c r="Q13" s="46">
        <f t="shared" si="0"/>
        <v>34236</v>
      </c>
      <c r="R13" s="47">
        <f t="shared" si="1"/>
        <v>172.45131106517246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105</v>
      </c>
      <c r="W13" s="22">
        <f>'10'!G66</f>
        <v>20</v>
      </c>
      <c r="X13" s="22">
        <f>'10'!G67</f>
        <v>65</v>
      </c>
      <c r="Y13" s="22">
        <f t="shared" si="7"/>
        <v>190</v>
      </c>
      <c r="Z13" s="19">
        <f>'10'!G84</f>
        <v>0</v>
      </c>
      <c r="AA13" s="19">
        <f>'10'!G85</f>
        <v>24</v>
      </c>
      <c r="AB13" s="19">
        <f>'10'!G86</f>
        <v>0</v>
      </c>
      <c r="AC13" s="19">
        <f>'10'!G87</f>
        <v>0</v>
      </c>
      <c r="AD13" s="19">
        <f t="shared" si="8"/>
        <v>24</v>
      </c>
      <c r="AE13" s="23">
        <f t="shared" si="2"/>
        <v>4557</v>
      </c>
      <c r="AF13" s="23">
        <f t="shared" si="9"/>
        <v>189.875</v>
      </c>
      <c r="AG13" s="19">
        <f>'10'!G88</f>
        <v>0</v>
      </c>
      <c r="AH13" s="19">
        <f>'10'!G89</f>
        <v>11.569999999999709</v>
      </c>
      <c r="AI13" s="19">
        <f>'10'!G90</f>
        <v>4</v>
      </c>
      <c r="AJ13" s="19">
        <f t="shared" si="10"/>
        <v>15.569999999999709</v>
      </c>
      <c r="AK13" s="19">
        <f>'10'!G91</f>
        <v>12</v>
      </c>
      <c r="AL13" s="19">
        <f>'10'!G92</f>
        <v>0</v>
      </c>
      <c r="AM13" s="19"/>
      <c r="AN13" s="19">
        <f t="shared" si="11"/>
        <v>12</v>
      </c>
      <c r="AO13" s="52">
        <f>'10'!G74</f>
        <v>341</v>
      </c>
      <c r="AP13" s="55">
        <f>'10'!G35</f>
        <v>1557</v>
      </c>
      <c r="AQ13" s="19">
        <f>'10'!G37</f>
        <v>1647</v>
      </c>
      <c r="AR13" s="19">
        <f>'10'!G38</f>
        <v>1955</v>
      </c>
      <c r="AS13" s="19">
        <f>'10'!G39</f>
        <v>3035</v>
      </c>
      <c r="AT13" s="19">
        <f>'10'!G40</f>
        <v>141</v>
      </c>
      <c r="AU13" s="19">
        <f>'10'!G41</f>
        <v>0</v>
      </c>
      <c r="AV13" s="19">
        <f>'10'!G42</f>
        <v>4557</v>
      </c>
      <c r="AW13" s="19">
        <f>'10'!G43</f>
        <v>2097</v>
      </c>
      <c r="AX13" s="23">
        <f>'10'!G44</f>
        <v>0</v>
      </c>
      <c r="AY13" s="56">
        <f>'10'!G36</f>
        <v>1084</v>
      </c>
      <c r="AZ13" s="55">
        <f>'10'!G49</f>
        <v>1282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539</v>
      </c>
      <c r="BE13" s="19">
        <f>'10'!G55</f>
        <v>0</v>
      </c>
      <c r="BF13" s="19">
        <f>'10'!G56</f>
        <v>0</v>
      </c>
      <c r="BG13" s="19">
        <f>'10'!G57</f>
        <v>0</v>
      </c>
      <c r="BH13" s="56">
        <f>'10'!G50</f>
        <v>1144</v>
      </c>
      <c r="BI13" s="60">
        <f t="shared" si="12"/>
        <v>4557</v>
      </c>
      <c r="BJ13" s="60">
        <f>'8'!G133</f>
        <v>647.32000000000698</v>
      </c>
      <c r="BK13" s="23">
        <f t="shared" si="13"/>
        <v>46.595984881951608</v>
      </c>
      <c r="BL13" s="23">
        <f t="shared" si="14"/>
        <v>14.897167820154126</v>
      </c>
      <c r="BM13" s="24">
        <f t="shared" si="15"/>
        <v>9.5960339665243213E-2</v>
      </c>
      <c r="BN13" s="25">
        <f t="shared" si="16"/>
        <v>282335.40000000002</v>
      </c>
      <c r="BO13" s="38">
        <f t="shared" si="17"/>
        <v>7301.320000000007</v>
      </c>
      <c r="BP13">
        <f t="shared" si="18"/>
        <v>1.0865059523809535</v>
      </c>
    </row>
    <row r="14" spans="1:69" x14ac:dyDescent="0.25">
      <c r="A14" s="16">
        <v>11</v>
      </c>
      <c r="B14" s="17">
        <v>11</v>
      </c>
      <c r="C14" s="27"/>
      <c r="D14" s="19">
        <f>'11'!D3</f>
        <v>26</v>
      </c>
      <c r="E14" s="50">
        <f>'11'!D4</f>
        <v>0.78</v>
      </c>
      <c r="F14" s="50">
        <f>'11'!D2</f>
        <v>0.54</v>
      </c>
      <c r="G14" s="19">
        <f>'11'!G7</f>
        <v>20918</v>
      </c>
      <c r="H14" s="19">
        <f>'11'!G8</f>
        <v>21020</v>
      </c>
      <c r="I14" s="19">
        <v>9</v>
      </c>
      <c r="J14" s="49">
        <f t="shared" si="3"/>
        <v>189180</v>
      </c>
      <c r="K14" s="45">
        <f t="shared" si="4"/>
        <v>104.05940594059406</v>
      </c>
      <c r="L14" s="19">
        <f>'11'!G15</f>
        <v>1118</v>
      </c>
      <c r="M14" s="19">
        <v>56.2</v>
      </c>
      <c r="N14" s="45">
        <f t="shared" si="5"/>
        <v>62831.600000000006</v>
      </c>
      <c r="O14" s="19">
        <f>'11'!G20</f>
        <v>316</v>
      </c>
      <c r="P14" s="19">
        <v>108</v>
      </c>
      <c r="Q14" s="46">
        <f t="shared" si="0"/>
        <v>34128</v>
      </c>
      <c r="R14" s="47">
        <f t="shared" si="1"/>
        <v>289.69563623028967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104</v>
      </c>
      <c r="W14" s="22">
        <f>'11'!G66</f>
        <v>31</v>
      </c>
      <c r="X14" s="22">
        <f>'11'!G67</f>
        <v>65</v>
      </c>
      <c r="Y14" s="22">
        <f t="shared" si="7"/>
        <v>200</v>
      </c>
      <c r="Z14" s="19">
        <f>'11'!G84</f>
        <v>0</v>
      </c>
      <c r="AA14" s="19">
        <f>'11'!G85</f>
        <v>24</v>
      </c>
      <c r="AB14" s="19">
        <f>'11'!G86</f>
        <v>0</v>
      </c>
      <c r="AC14" s="19">
        <f>'11'!G87</f>
        <v>0</v>
      </c>
      <c r="AD14" s="19">
        <f t="shared" si="8"/>
        <v>24</v>
      </c>
      <c r="AE14" s="23">
        <f t="shared" si="2"/>
        <v>4736</v>
      </c>
      <c r="AF14" s="23">
        <f t="shared" si="9"/>
        <v>197.33333333333334</v>
      </c>
      <c r="AG14" s="19">
        <f>'11'!G88</f>
        <v>0</v>
      </c>
      <c r="AH14" s="19">
        <f>'11'!G89</f>
        <v>11</v>
      </c>
      <c r="AI14" s="19">
        <f>'11'!G90</f>
        <v>4</v>
      </c>
      <c r="AJ14" s="19">
        <f t="shared" si="10"/>
        <v>15</v>
      </c>
      <c r="AK14" s="19">
        <f>'11'!G91</f>
        <v>12</v>
      </c>
      <c r="AL14" s="19">
        <f>'11'!G92</f>
        <v>0</v>
      </c>
      <c r="AM14" s="19"/>
      <c r="AN14" s="19">
        <f t="shared" si="11"/>
        <v>12</v>
      </c>
      <c r="AO14" s="52">
        <f>'11'!G74</f>
        <v>316</v>
      </c>
      <c r="AP14" s="55">
        <f>'11'!G35</f>
        <v>1435</v>
      </c>
      <c r="AQ14" s="19">
        <f>'11'!G37</f>
        <v>1684</v>
      </c>
      <c r="AR14" s="19">
        <f>'11'!G38</f>
        <v>2076</v>
      </c>
      <c r="AS14" s="19">
        <f>'11'!G39</f>
        <v>3148</v>
      </c>
      <c r="AT14" s="19">
        <f>'11'!G40</f>
        <v>157</v>
      </c>
      <c r="AU14" s="19">
        <f>'11'!G41</f>
        <v>0</v>
      </c>
      <c r="AV14" s="19">
        <f>'11'!G42</f>
        <v>4736</v>
      </c>
      <c r="AW14" s="19">
        <f>'11'!G43</f>
        <v>2112</v>
      </c>
      <c r="AX14" s="23">
        <f>'11'!G44</f>
        <v>0</v>
      </c>
      <c r="AY14" s="56">
        <f>'11'!G36</f>
        <v>1077</v>
      </c>
      <c r="AZ14" s="55">
        <f>'11'!G49</f>
        <v>1341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540</v>
      </c>
      <c r="BE14" s="19">
        <f>'11'!G55</f>
        <v>0</v>
      </c>
      <c r="BF14" s="19">
        <f>'11'!G56</f>
        <v>0</v>
      </c>
      <c r="BG14" s="19">
        <f>'11'!G57</f>
        <v>0</v>
      </c>
      <c r="BH14" s="56">
        <f>'11'!G50</f>
        <v>1282</v>
      </c>
      <c r="BI14" s="60">
        <f t="shared" si="12"/>
        <v>4736</v>
      </c>
      <c r="BJ14" s="60">
        <f>'11'!G133</f>
        <v>494</v>
      </c>
      <c r="BK14" s="23">
        <f t="shared" si="13"/>
        <v>45.784966698382497</v>
      </c>
      <c r="BL14" s="23">
        <f t="shared" si="14"/>
        <v>14.976213130352047</v>
      </c>
      <c r="BM14" s="24">
        <f t="shared" si="15"/>
        <v>9.876308277830638E-2</v>
      </c>
      <c r="BN14" s="25">
        <f t="shared" si="16"/>
        <v>286139.59999999998</v>
      </c>
      <c r="BO14" s="38">
        <f t="shared" si="17"/>
        <v>7342</v>
      </c>
      <c r="BP14">
        <f t="shared" si="18"/>
        <v>1.0925595238095238</v>
      </c>
    </row>
    <row r="15" spans="1:69" x14ac:dyDescent="0.25">
      <c r="A15" s="16">
        <v>12</v>
      </c>
      <c r="B15" s="26">
        <v>12</v>
      </c>
      <c r="C15" s="27"/>
      <c r="D15" s="19">
        <f>'12'!D3</f>
        <v>23</v>
      </c>
      <c r="E15" s="50">
        <f>'12'!D4</f>
        <v>0.7</v>
      </c>
      <c r="F15" s="50">
        <f>'12'!D2</f>
        <v>0.73</v>
      </c>
      <c r="G15" s="19">
        <f>'12'!G7</f>
        <v>22223</v>
      </c>
      <c r="H15" s="19">
        <f>'12'!G8</f>
        <v>22339</v>
      </c>
      <c r="I15" s="19">
        <v>9</v>
      </c>
      <c r="J15" s="49">
        <f t="shared" si="3"/>
        <v>201051</v>
      </c>
      <c r="K15" s="45">
        <f t="shared" si="4"/>
        <v>110.58910891089108</v>
      </c>
      <c r="L15" s="19">
        <f>'12'!G15</f>
        <v>1293</v>
      </c>
      <c r="M15" s="19">
        <v>56.2</v>
      </c>
      <c r="N15" s="41">
        <f t="shared" si="5"/>
        <v>72666.600000000006</v>
      </c>
      <c r="O15" s="19">
        <f>'12'!G20</f>
        <v>339</v>
      </c>
      <c r="P15" s="19">
        <v>108</v>
      </c>
      <c r="Q15" s="46">
        <f t="shared" si="0"/>
        <v>36612</v>
      </c>
      <c r="R15" s="47">
        <f t="shared" si="1"/>
        <v>229.89285229892849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126</v>
      </c>
      <c r="W15" s="22">
        <f>'12'!G66</f>
        <v>28</v>
      </c>
      <c r="X15" s="22">
        <f>'12'!G67</f>
        <v>66</v>
      </c>
      <c r="Y15" s="22">
        <f t="shared" si="7"/>
        <v>220</v>
      </c>
      <c r="Z15" s="19">
        <f>'12'!G84</f>
        <v>0</v>
      </c>
      <c r="AA15" s="19">
        <f>'12'!G85</f>
        <v>24</v>
      </c>
      <c r="AB15" s="19">
        <f>'12'!G86</f>
        <v>2</v>
      </c>
      <c r="AC15" s="19">
        <f>'12'!G87</f>
        <v>0</v>
      </c>
      <c r="AD15" s="19">
        <f t="shared" si="8"/>
        <v>26</v>
      </c>
      <c r="AE15" s="23">
        <f t="shared" si="2"/>
        <v>4928</v>
      </c>
      <c r="AF15" s="23">
        <f t="shared" si="9"/>
        <v>189.53846153846155</v>
      </c>
      <c r="AG15" s="19">
        <f>'12'!G88</f>
        <v>3.7700000000004366</v>
      </c>
      <c r="AH15" s="19">
        <f>'12'!G89</f>
        <v>8.6300000000010186</v>
      </c>
      <c r="AI15" s="19">
        <f>'12'!G90</f>
        <v>7.2299999999959255</v>
      </c>
      <c r="AJ15" s="19">
        <f t="shared" si="10"/>
        <v>19.629999999997381</v>
      </c>
      <c r="AK15" s="19">
        <f>'12'!G91</f>
        <v>11.860000000000127</v>
      </c>
      <c r="AL15" s="19">
        <f>'12'!G92</f>
        <v>0</v>
      </c>
      <c r="AM15" s="19"/>
      <c r="AN15" s="19">
        <f t="shared" si="11"/>
        <v>11.860000000000127</v>
      </c>
      <c r="AO15" s="52">
        <f>'12'!G74</f>
        <v>324</v>
      </c>
      <c r="AP15" s="55">
        <f>'12'!G35</f>
        <v>1625</v>
      </c>
      <c r="AQ15" s="19">
        <f>'12'!G37</f>
        <v>1783</v>
      </c>
      <c r="AR15" s="19">
        <f>'12'!G38</f>
        <v>2162</v>
      </c>
      <c r="AS15" s="19">
        <f>'12'!G39</f>
        <v>3245</v>
      </c>
      <c r="AT15" s="19">
        <f>'12'!G40</f>
        <v>505</v>
      </c>
      <c r="AU15" s="19">
        <f>'12'!G41</f>
        <v>0</v>
      </c>
      <c r="AV15" s="19">
        <f>'12'!G42</f>
        <v>4709</v>
      </c>
      <c r="AW15" s="19">
        <f>'12'!G43</f>
        <v>2226</v>
      </c>
      <c r="AX15" s="23">
        <f>'12'!G44</f>
        <v>0</v>
      </c>
      <c r="AY15" s="56">
        <f>'12'!G36</f>
        <v>1194</v>
      </c>
      <c r="AZ15" s="55">
        <f>'12'!G49</f>
        <v>1574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543</v>
      </c>
      <c r="BE15" s="19">
        <f>'12'!G55</f>
        <v>219</v>
      </c>
      <c r="BF15" s="19">
        <f>'12'!G56</f>
        <v>0</v>
      </c>
      <c r="BG15" s="19">
        <f>'12'!G57</f>
        <v>0</v>
      </c>
      <c r="BH15" s="56">
        <f>'12'!G50</f>
        <v>1310</v>
      </c>
      <c r="BI15" s="60">
        <f t="shared" si="12"/>
        <v>4928</v>
      </c>
      <c r="BJ15" s="60">
        <f>'12'!G133</f>
        <v>698</v>
      </c>
      <c r="BK15" s="23">
        <f t="shared" si="13"/>
        <v>46.344957249653078</v>
      </c>
      <c r="BL15" s="23">
        <f t="shared" si="14"/>
        <v>14.52616500290971</v>
      </c>
      <c r="BM15" s="24">
        <f t="shared" si="15"/>
        <v>9.678141367115807E-2</v>
      </c>
      <c r="BN15" s="25">
        <f t="shared" si="16"/>
        <v>310329.59999999998</v>
      </c>
      <c r="BO15" s="38">
        <f t="shared" si="17"/>
        <v>7852</v>
      </c>
      <c r="BP15">
        <f t="shared" si="18"/>
        <v>1.0785714285714285</v>
      </c>
    </row>
    <row r="16" spans="1:69" x14ac:dyDescent="0.25">
      <c r="A16" s="16">
        <v>13</v>
      </c>
      <c r="B16" s="26">
        <v>13</v>
      </c>
      <c r="C16" s="26"/>
      <c r="D16" s="19">
        <f>'13'!D3</f>
        <v>23</v>
      </c>
      <c r="E16" s="50">
        <f>'13'!D4</f>
        <v>0.7</v>
      </c>
      <c r="F16" s="50">
        <f>'13'!D2</f>
        <v>0.67</v>
      </c>
      <c r="G16" s="19">
        <f>'13'!G7</f>
        <v>22076</v>
      </c>
      <c r="H16" s="19">
        <f>'13'!G8</f>
        <v>22200</v>
      </c>
      <c r="I16" s="19">
        <v>9</v>
      </c>
      <c r="J16" s="49">
        <f t="shared" si="3"/>
        <v>199800</v>
      </c>
      <c r="K16" s="45">
        <f t="shared" si="4"/>
        <v>109.9009900990099</v>
      </c>
      <c r="L16" s="19">
        <f>'13'!G15</f>
        <v>1108</v>
      </c>
      <c r="M16" s="19">
        <v>56.2</v>
      </c>
      <c r="N16" s="41">
        <f t="shared" si="5"/>
        <v>62269.600000000006</v>
      </c>
      <c r="O16" s="19">
        <f>'13'!G20</f>
        <v>296</v>
      </c>
      <c r="P16" s="19">
        <v>108</v>
      </c>
      <c r="Q16" s="46">
        <f t="shared" si="0"/>
        <v>31968</v>
      </c>
      <c r="R16" s="47">
        <f t="shared" si="1"/>
        <v>218.70843800797991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112</v>
      </c>
      <c r="W16" s="22">
        <f>'13'!G66</f>
        <v>27</v>
      </c>
      <c r="X16" s="22">
        <f>'13'!G67</f>
        <v>71</v>
      </c>
      <c r="Y16" s="22">
        <f t="shared" si="7"/>
        <v>210</v>
      </c>
      <c r="Z16" s="19">
        <f>'13'!G84</f>
        <v>0</v>
      </c>
      <c r="AA16" s="19">
        <f>'13'!G85</f>
        <v>24</v>
      </c>
      <c r="AB16" s="19">
        <f>'13'!G86</f>
        <v>2</v>
      </c>
      <c r="AC16" s="19">
        <f>'13'!G87</f>
        <v>0</v>
      </c>
      <c r="AD16" s="19">
        <f t="shared" si="8"/>
        <v>26</v>
      </c>
      <c r="AE16" s="23">
        <f t="shared" si="2"/>
        <v>5019</v>
      </c>
      <c r="AF16" s="23">
        <f t="shared" si="9"/>
        <v>193.03846153846155</v>
      </c>
      <c r="AG16" s="19">
        <f>'13'!G88</f>
        <v>0</v>
      </c>
      <c r="AH16" s="19">
        <f>'13'!G89</f>
        <v>10.029999999998836</v>
      </c>
      <c r="AI16" s="19">
        <f>'13'!G90</f>
        <v>8.5500000000029104</v>
      </c>
      <c r="AJ16" s="19">
        <f t="shared" si="10"/>
        <v>18.580000000001746</v>
      </c>
      <c r="AK16" s="19">
        <f>'13'!G91</f>
        <v>10.599999999999909</v>
      </c>
      <c r="AL16" s="19">
        <f>'13'!G92</f>
        <v>0</v>
      </c>
      <c r="AM16" s="19"/>
      <c r="AN16" s="19">
        <f t="shared" si="11"/>
        <v>10.599999999999909</v>
      </c>
      <c r="AO16" s="52">
        <f>'13'!G74</f>
        <v>287</v>
      </c>
      <c r="AP16" s="55">
        <f>'13'!G35</f>
        <v>1533</v>
      </c>
      <c r="AQ16" s="19">
        <f>'13'!G37</f>
        <v>1781</v>
      </c>
      <c r="AR16" s="19">
        <f>'13'!G38</f>
        <v>2029</v>
      </c>
      <c r="AS16" s="19">
        <f>'13'!G39</f>
        <v>3279</v>
      </c>
      <c r="AT16" s="19">
        <f>'13'!G40</f>
        <v>939</v>
      </c>
      <c r="AU16" s="19">
        <f>'13'!G41</f>
        <v>0</v>
      </c>
      <c r="AV16" s="19">
        <f>'13'!G42</f>
        <v>4813</v>
      </c>
      <c r="AW16" s="19">
        <f>'13'!G43</f>
        <v>2145</v>
      </c>
      <c r="AX16" s="23">
        <f>'13'!G44</f>
        <v>0</v>
      </c>
      <c r="AY16" s="56">
        <f>'13'!G36</f>
        <v>1069</v>
      </c>
      <c r="AZ16" s="55">
        <f>'13'!G49</f>
        <v>1448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539</v>
      </c>
      <c r="BE16" s="19">
        <f>'13'!G55</f>
        <v>206</v>
      </c>
      <c r="BF16" s="19">
        <f>'13'!G56</f>
        <v>0</v>
      </c>
      <c r="BG16" s="19">
        <f>'13'!G57</f>
        <v>0</v>
      </c>
      <c r="BH16" s="56">
        <f>'13'!G50</f>
        <v>1558</v>
      </c>
      <c r="BI16" s="60">
        <f t="shared" si="12"/>
        <v>5019</v>
      </c>
      <c r="BJ16" s="60">
        <f>'13'!G133</f>
        <v>676</v>
      </c>
      <c r="BK16" s="23">
        <f t="shared" si="13"/>
        <v>45.698198198198199</v>
      </c>
      <c r="BL16" s="23">
        <f t="shared" si="14"/>
        <v>14.77027027027027</v>
      </c>
      <c r="BM16" s="24">
        <f t="shared" si="15"/>
        <v>9.1396396396396393E-2</v>
      </c>
      <c r="BN16" s="25">
        <f t="shared" si="16"/>
        <v>294037.59999999998</v>
      </c>
      <c r="BO16" s="38">
        <f t="shared" si="17"/>
        <v>7840</v>
      </c>
      <c r="BP16">
        <f t="shared" si="18"/>
        <v>1.0769230769230769</v>
      </c>
    </row>
    <row r="17" spans="1:68" x14ac:dyDescent="0.25">
      <c r="A17" s="16">
        <v>14</v>
      </c>
      <c r="B17" s="17">
        <v>14</v>
      </c>
      <c r="C17" s="27"/>
      <c r="D17" s="19">
        <f>'14'!D3</f>
        <v>23</v>
      </c>
      <c r="E17" s="50">
        <f>'14'!D4</f>
        <v>0.7</v>
      </c>
      <c r="F17" s="50">
        <f>'14'!D2</f>
        <v>0.45</v>
      </c>
      <c r="G17" s="19">
        <f>'14'!G7</f>
        <v>21178</v>
      </c>
      <c r="H17" s="19">
        <f>'14'!G8</f>
        <v>21261</v>
      </c>
      <c r="I17" s="19">
        <v>9</v>
      </c>
      <c r="J17" s="49">
        <f t="shared" si="3"/>
        <v>191349</v>
      </c>
      <c r="K17" s="45">
        <f t="shared" si="4"/>
        <v>105.25247524752476</v>
      </c>
      <c r="L17" s="19">
        <f>'14'!G15</f>
        <v>1095</v>
      </c>
      <c r="M17" s="19">
        <v>56.2</v>
      </c>
      <c r="N17" s="41">
        <f t="shared" si="5"/>
        <v>61539</v>
      </c>
      <c r="O17" s="19">
        <f>'14'!G20</f>
        <v>296</v>
      </c>
      <c r="P17" s="19">
        <v>108</v>
      </c>
      <c r="Q17" s="46">
        <f t="shared" si="0"/>
        <v>31968</v>
      </c>
      <c r="R17" s="47">
        <f t="shared" si="1"/>
        <v>325.63256325632562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135</v>
      </c>
      <c r="W17" s="22">
        <f>'14'!G66</f>
        <v>27</v>
      </c>
      <c r="X17" s="22">
        <f>'14'!G67</f>
        <v>69</v>
      </c>
      <c r="Y17" s="22">
        <f>V17+W17+X17</f>
        <v>231</v>
      </c>
      <c r="Z17" s="19">
        <f>'14'!G84</f>
        <v>0</v>
      </c>
      <c r="AA17" s="19">
        <f>'14'!G85</f>
        <v>24</v>
      </c>
      <c r="AB17" s="19">
        <f>'14'!G86</f>
        <v>0</v>
      </c>
      <c r="AC17" s="19">
        <f>'14'!G87</f>
        <v>0</v>
      </c>
      <c r="AD17" s="19">
        <f t="shared" si="8"/>
        <v>24</v>
      </c>
      <c r="AE17" s="23">
        <f t="shared" si="2"/>
        <v>4624</v>
      </c>
      <c r="AF17" s="23">
        <f t="shared" si="9"/>
        <v>192.66666666666666</v>
      </c>
      <c r="AG17" s="19">
        <f>'14'!G88</f>
        <v>0.98999999999796273</v>
      </c>
      <c r="AH17" s="19">
        <f>'14'!G89</f>
        <v>10.779999999998836</v>
      </c>
      <c r="AI17" s="19">
        <f>'14'!G90</f>
        <v>6.1900000000023283</v>
      </c>
      <c r="AJ17" s="19">
        <f t="shared" si="10"/>
        <v>17.959999999999127</v>
      </c>
      <c r="AK17" s="19">
        <f>'14'!G91</f>
        <v>11.170000000000073</v>
      </c>
      <c r="AL17" s="19">
        <f>'14'!G92</f>
        <v>0</v>
      </c>
      <c r="AM17" s="19"/>
      <c r="AN17" s="19">
        <f t="shared" si="11"/>
        <v>11.170000000000073</v>
      </c>
      <c r="AO17" s="52">
        <f>'14'!G44</f>
        <v>0</v>
      </c>
      <c r="AP17" s="55">
        <f>'14'!G35</f>
        <v>1426</v>
      </c>
      <c r="AQ17" s="19">
        <f>'14'!G37</f>
        <v>1746</v>
      </c>
      <c r="AR17" s="19">
        <f>'14'!G38</f>
        <v>2061</v>
      </c>
      <c r="AS17" s="19">
        <f>'14'!G39</f>
        <v>3213</v>
      </c>
      <c r="AT17" s="19">
        <f>'14'!G40</f>
        <v>897</v>
      </c>
      <c r="AU17" s="19">
        <f>'14'!G41</f>
        <v>0</v>
      </c>
      <c r="AV17" s="19">
        <f>'14'!G42</f>
        <v>4624</v>
      </c>
      <c r="AW17" s="19">
        <f>'14'!G43</f>
        <v>2102</v>
      </c>
      <c r="AX17" s="23">
        <f>'14'!G44</f>
        <v>0</v>
      </c>
      <c r="AY17" s="56">
        <f>'14'!G36</f>
        <v>834</v>
      </c>
      <c r="AZ17" s="55">
        <f>'14'!G49</f>
        <v>1577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541</v>
      </c>
      <c r="BE17" s="19">
        <f>'14'!G55</f>
        <v>0</v>
      </c>
      <c r="BF17" s="19">
        <f>'14'!G56</f>
        <v>0</v>
      </c>
      <c r="BG17" s="19">
        <f>'14'!G57</f>
        <v>0</v>
      </c>
      <c r="BH17" s="56">
        <f>'14'!G50</f>
        <v>1606</v>
      </c>
      <c r="BI17" s="60">
        <f t="shared" si="12"/>
        <v>4624</v>
      </c>
      <c r="BJ17" s="60">
        <f>'14'!G133</f>
        <v>679</v>
      </c>
      <c r="BK17" s="23">
        <f t="shared" si="13"/>
        <v>45.759841964159726</v>
      </c>
      <c r="BL17" s="23">
        <f t="shared" si="14"/>
        <v>15.112177225906589</v>
      </c>
      <c r="BM17" s="24">
        <f t="shared" si="15"/>
        <v>9.6938055594750952E-2</v>
      </c>
      <c r="BN17" s="25">
        <f t="shared" si="16"/>
        <v>284856</v>
      </c>
      <c r="BO17" s="38">
        <f t="shared" si="17"/>
        <v>7405</v>
      </c>
      <c r="BP17">
        <f t="shared" si="18"/>
        <v>1.1019345238095237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20999.599999999977</v>
      </c>
      <c r="H18" s="19">
        <f>'15'!G8</f>
        <v>21100</v>
      </c>
      <c r="I18" s="19">
        <v>9</v>
      </c>
      <c r="J18" s="49">
        <f t="shared" si="3"/>
        <v>189900</v>
      </c>
      <c r="K18" s="45">
        <f t="shared" si="4"/>
        <v>104.45544554455445</v>
      </c>
      <c r="L18" s="19">
        <f>'15'!G15</f>
        <v>1135.2800000000279</v>
      </c>
      <c r="M18" s="19">
        <v>56.2</v>
      </c>
      <c r="N18" s="41">
        <f t="shared" si="5"/>
        <v>63802.736000001576</v>
      </c>
      <c r="O18" s="19">
        <f>'15'!G20</f>
        <v>316</v>
      </c>
      <c r="P18" s="19">
        <v>108</v>
      </c>
      <c r="Q18" s="46">
        <f t="shared" si="0"/>
        <v>34128</v>
      </c>
      <c r="R18" s="47">
        <f t="shared" si="1"/>
        <v>312.87128712871288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119</v>
      </c>
      <c r="W18" s="22">
        <f>'15'!G66</f>
        <v>31</v>
      </c>
      <c r="X18" s="22">
        <f>'15'!G67</f>
        <v>71</v>
      </c>
      <c r="Y18" s="22">
        <f t="shared" si="7"/>
        <v>221</v>
      </c>
      <c r="Z18" s="19">
        <f>'15'!G84</f>
        <v>0</v>
      </c>
      <c r="AA18" s="19">
        <f>'15'!G85</f>
        <v>24</v>
      </c>
      <c r="AB18" s="19">
        <f>'15'!G86</f>
        <v>0</v>
      </c>
      <c r="AC18" s="19">
        <f>'15'!G87</f>
        <v>0</v>
      </c>
      <c r="AD18" s="19">
        <f t="shared" si="8"/>
        <v>24</v>
      </c>
      <c r="AE18" s="23">
        <f t="shared" si="2"/>
        <v>4586.5399999999881</v>
      </c>
      <c r="AF18" s="23">
        <f t="shared" si="9"/>
        <v>191.10583333333284</v>
      </c>
      <c r="AG18" s="19">
        <f>'15'!G88</f>
        <v>0</v>
      </c>
      <c r="AH18" s="19">
        <f>'15'!G89</f>
        <v>12.130000000001019</v>
      </c>
      <c r="AI18" s="19">
        <f>'15'!G90</f>
        <v>7.9700000000011642</v>
      </c>
      <c r="AJ18" s="19">
        <f t="shared" si="10"/>
        <v>20.100000000002183</v>
      </c>
      <c r="AK18" s="19">
        <f>'15'!G91</f>
        <v>10.589999999999691</v>
      </c>
      <c r="AL18" s="19">
        <f>'15'!G92</f>
        <v>0</v>
      </c>
      <c r="AM18" s="19"/>
      <c r="AN18" s="19">
        <f t="shared" si="11"/>
        <v>10.589999999999691</v>
      </c>
      <c r="AO18" s="52">
        <f>'15'!G74</f>
        <v>280.39099999994505</v>
      </c>
      <c r="AP18" s="55">
        <f>'15'!G35</f>
        <v>1456.1299999999974</v>
      </c>
      <c r="AQ18" s="19">
        <f>'15'!G37</f>
        <v>1780.6999999999971</v>
      </c>
      <c r="AR18" s="19">
        <f>'15'!G38</f>
        <v>1992.6000000000058</v>
      </c>
      <c r="AS18" s="19">
        <f>'15'!G39</f>
        <v>3189.1999999999971</v>
      </c>
      <c r="AT18" s="19">
        <f>'15'!G40</f>
        <v>341.20000000000073</v>
      </c>
      <c r="AU18" s="19">
        <f>'15'!G41</f>
        <v>0</v>
      </c>
      <c r="AV18" s="19">
        <f>'15'!G42</f>
        <v>4587.0199999999895</v>
      </c>
      <c r="AW18" s="19">
        <f>'15'!G43</f>
        <v>2095.5799999999872</v>
      </c>
      <c r="AX18" s="23">
        <f>'15'!G44</f>
        <v>0</v>
      </c>
      <c r="AY18" s="56">
        <f>'15'!G36</f>
        <v>750.84999999999854</v>
      </c>
      <c r="AZ18" s="55">
        <f>'15'!G49</f>
        <v>1570.9000000000015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539.29000000000087</v>
      </c>
      <c r="BE18" s="19">
        <f>'15'!G55</f>
        <v>-0.11000000000058208</v>
      </c>
      <c r="BF18" s="19">
        <f>'15'!G56</f>
        <v>-0.37000000000080036</v>
      </c>
      <c r="BG18" s="19">
        <f>'15'!G57</f>
        <v>0</v>
      </c>
      <c r="BH18" s="56">
        <f>'15'!G50</f>
        <v>1491.9499999999971</v>
      </c>
      <c r="BI18" s="60">
        <f t="shared" si="12"/>
        <v>4586.5399999999881</v>
      </c>
      <c r="BJ18" s="60">
        <f>'15'!G133</f>
        <v>670.32000000000698</v>
      </c>
      <c r="BK18" s="23">
        <f t="shared" si="13"/>
        <v>46.014928909952481</v>
      </c>
      <c r="BL18" s="23">
        <f t="shared" si="14"/>
        <v>15.114691943127948</v>
      </c>
      <c r="BM18" s="24">
        <f t="shared" si="15"/>
        <v>9.4436018957346241E-2</v>
      </c>
      <c r="BN18" s="25">
        <f t="shared" si="16"/>
        <v>287830.73600000155</v>
      </c>
      <c r="BO18" s="38">
        <f t="shared" si="17"/>
        <v>7352.4399999999823</v>
      </c>
      <c r="BP18">
        <f t="shared" si="18"/>
        <v>1.0941130952380926</v>
      </c>
    </row>
    <row r="19" spans="1:68" x14ac:dyDescent="0.25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20546.979999999981</v>
      </c>
      <c r="H19" s="19">
        <f>'16'!G8</f>
        <v>20625.099999999999</v>
      </c>
      <c r="I19" s="19">
        <v>9</v>
      </c>
      <c r="J19" s="49">
        <f t="shared" si="3"/>
        <v>185625.9</v>
      </c>
      <c r="K19" s="45">
        <f t="shared" si="4"/>
        <v>102.10445544554455</v>
      </c>
      <c r="L19" s="19">
        <f>'16'!G15</f>
        <v>1092.9150000000373</v>
      </c>
      <c r="M19" s="19">
        <v>56.2</v>
      </c>
      <c r="N19" s="41">
        <f t="shared" si="5"/>
        <v>61421.823000002099</v>
      </c>
      <c r="O19" s="19">
        <f>'16'!G20</f>
        <v>298</v>
      </c>
      <c r="P19" s="19">
        <v>108</v>
      </c>
      <c r="Q19" s="46">
        <f t="shared" si="0"/>
        <v>32184</v>
      </c>
      <c r="R19" s="47">
        <f t="shared" si="1"/>
        <v>590.09900990099004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89</v>
      </c>
      <c r="W19" s="22">
        <f>'16'!G66</f>
        <v>19</v>
      </c>
      <c r="X19" s="22">
        <f>'16'!G67</f>
        <v>72</v>
      </c>
      <c r="Y19" s="22">
        <f t="shared" si="7"/>
        <v>180</v>
      </c>
      <c r="Z19" s="19">
        <f>'16'!G84</f>
        <v>0</v>
      </c>
      <c r="AA19" s="19">
        <f>'16'!G85</f>
        <v>23.539999999999964</v>
      </c>
      <c r="AB19" s="19">
        <f>'16'!G86</f>
        <v>0</v>
      </c>
      <c r="AC19" s="19">
        <f>'16'!G87</f>
        <v>0</v>
      </c>
      <c r="AD19" s="19">
        <f t="shared" si="8"/>
        <v>23.539999999999964</v>
      </c>
      <c r="AE19" s="23">
        <f t="shared" si="2"/>
        <v>4325.9800000000105</v>
      </c>
      <c r="AF19" s="23">
        <f t="shared" si="9"/>
        <v>183.77145284621994</v>
      </c>
      <c r="AG19" s="19">
        <f>'16'!G88</f>
        <v>0</v>
      </c>
      <c r="AH19" s="19">
        <f>'16'!G89</f>
        <v>10.900000000001455</v>
      </c>
      <c r="AI19" s="19">
        <f>'16'!G90</f>
        <v>8.9299999999930151</v>
      </c>
      <c r="AJ19" s="19">
        <f t="shared" si="10"/>
        <v>19.82999999999447</v>
      </c>
      <c r="AK19" s="19">
        <f>'16'!G91</f>
        <v>11.200000000000273</v>
      </c>
      <c r="AL19" s="19">
        <f>'16'!G92</f>
        <v>0</v>
      </c>
      <c r="AM19" s="19"/>
      <c r="AN19" s="19">
        <f t="shared" si="11"/>
        <v>11.200000000000273</v>
      </c>
      <c r="AO19" s="52">
        <f>'16'!G74</f>
        <v>295.77900000009686</v>
      </c>
      <c r="AP19" s="55">
        <f>'16'!G35</f>
        <v>1572.5699999999997</v>
      </c>
      <c r="AQ19" s="19">
        <f>'16'!G37</f>
        <v>1774.7800000000061</v>
      </c>
      <c r="AR19" s="19">
        <f>'16'!G38</f>
        <v>2035.1399999999994</v>
      </c>
      <c r="AS19" s="19">
        <f>'16'!G39</f>
        <v>3126.6800000000076</v>
      </c>
      <c r="AT19" s="19">
        <f>'16'!G40</f>
        <v>232.18999999999869</v>
      </c>
      <c r="AU19" s="19">
        <f>'16'!G41</f>
        <v>0</v>
      </c>
      <c r="AV19" s="19">
        <f>'16'!G42</f>
        <v>4325.9800000000105</v>
      </c>
      <c r="AW19" s="19">
        <f>'16'!G43</f>
        <v>2105.7700000000186</v>
      </c>
      <c r="AX19" s="23">
        <f>'16'!G44</f>
        <v>0</v>
      </c>
      <c r="AY19" s="56">
        <f>'16'!G36</f>
        <v>881.54000000000087</v>
      </c>
      <c r="AZ19" s="55">
        <f>'16'!G49</f>
        <v>1499.5299999999988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542.45999999999913</v>
      </c>
      <c r="BE19" s="19">
        <f>'16'!G55</f>
        <v>0</v>
      </c>
      <c r="BF19" s="19">
        <f>'16'!G56</f>
        <v>0</v>
      </c>
      <c r="BG19" s="19">
        <f>'16'!G57</f>
        <v>0</v>
      </c>
      <c r="BH19" s="56">
        <f>'16'!G50</f>
        <v>1217.9799999999959</v>
      </c>
      <c r="BI19" s="60">
        <f t="shared" si="12"/>
        <v>4325.9800000000105</v>
      </c>
      <c r="BJ19" s="60">
        <f>'16'!G133</f>
        <v>673.23999999999069</v>
      </c>
      <c r="BK19" s="23">
        <f t="shared" si="13"/>
        <v>46.079049313700438</v>
      </c>
      <c r="BL19" s="23">
        <f t="shared" si="14"/>
        <v>15.159587105032257</v>
      </c>
      <c r="BM19" s="24">
        <f t="shared" si="15"/>
        <v>9.8672976131024798E-2</v>
      </c>
      <c r="BN19" s="25">
        <f t="shared" si="16"/>
        <v>279231.72300000209</v>
      </c>
      <c r="BO19" s="38">
        <f t="shared" si="17"/>
        <v>7104.9900000000198</v>
      </c>
      <c r="BP19">
        <f t="shared" si="18"/>
        <v>1.0779509042359556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19976.420000000042</v>
      </c>
      <c r="H20" s="19">
        <f>'17'!G8</f>
        <v>20039.870000000003</v>
      </c>
      <c r="I20" s="19">
        <v>9</v>
      </c>
      <c r="J20" s="49">
        <f t="shared" si="3"/>
        <v>180358.83000000002</v>
      </c>
      <c r="K20" s="45">
        <f t="shared" si="4"/>
        <v>99.207277227722784</v>
      </c>
      <c r="L20" s="19">
        <f>'17'!G15</f>
        <v>1023.3799999998882</v>
      </c>
      <c r="M20" s="19">
        <v>56.2</v>
      </c>
      <c r="N20" s="41">
        <f t="shared" si="5"/>
        <v>57513.955999993719</v>
      </c>
      <c r="O20" s="19">
        <f>'17'!G20</f>
        <v>306</v>
      </c>
      <c r="P20" s="19">
        <v>108</v>
      </c>
      <c r="Q20" s="46">
        <f t="shared" si="0"/>
        <v>33048</v>
      </c>
      <c r="R20" s="47">
        <f t="shared" si="1"/>
        <v>297.02970297029702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116</v>
      </c>
      <c r="W20" s="22">
        <f>'17'!G66</f>
        <v>19</v>
      </c>
      <c r="X20" s="22">
        <f>'17'!G67</f>
        <v>86</v>
      </c>
      <c r="Y20" s="22">
        <f t="shared" si="7"/>
        <v>221</v>
      </c>
      <c r="Z20" s="19">
        <f>'17'!G84</f>
        <v>0</v>
      </c>
      <c r="AA20" s="19">
        <f>'17'!G85</f>
        <v>23.860000000000127</v>
      </c>
      <c r="AB20" s="19">
        <f>'17'!G86</f>
        <v>0</v>
      </c>
      <c r="AC20" s="19">
        <f>'17'!G87</f>
        <v>0</v>
      </c>
      <c r="AD20" s="19">
        <f t="shared" si="8"/>
        <v>23.860000000000127</v>
      </c>
      <c r="AE20" s="23">
        <f t="shared" si="2"/>
        <v>4155.3800000000047</v>
      </c>
      <c r="AF20" s="23">
        <f t="shared" si="9"/>
        <v>174.15674769488609</v>
      </c>
      <c r="AG20" s="19">
        <f>'17'!G88</f>
        <v>2.0000000000436557E-2</v>
      </c>
      <c r="AH20" s="19">
        <f>'17'!G89</f>
        <v>11.68999999999869</v>
      </c>
      <c r="AI20" s="19">
        <f>'17'!G90</f>
        <v>3.7799999999988358</v>
      </c>
      <c r="AJ20" s="19">
        <f t="shared" si="10"/>
        <v>15.489999999997963</v>
      </c>
      <c r="AK20" s="19">
        <f>'17'!G91</f>
        <v>11.329999999999927</v>
      </c>
      <c r="AL20" s="19">
        <f>'17'!G92</f>
        <v>0</v>
      </c>
      <c r="AM20" s="19"/>
      <c r="AN20" s="19">
        <f t="shared" si="11"/>
        <v>11.329999999999927</v>
      </c>
      <c r="AO20" s="52">
        <f>'17'!G74</f>
        <v>298.61999999999534</v>
      </c>
      <c r="AP20" s="55">
        <f>'17'!G35</f>
        <v>1470.9800000000032</v>
      </c>
      <c r="AQ20" s="19">
        <f>'17'!G37</f>
        <v>1757.6999999999971</v>
      </c>
      <c r="AR20" s="19">
        <f>'17'!G38</f>
        <v>2041.2599999999948</v>
      </c>
      <c r="AS20" s="19">
        <f>'17'!G39</f>
        <v>3014.1399999999994</v>
      </c>
      <c r="AT20" s="19">
        <f>'17'!G40</f>
        <v>224.08000000000175</v>
      </c>
      <c r="AU20" s="19">
        <f>'17'!G41</f>
        <v>0</v>
      </c>
      <c r="AV20" s="19">
        <f>'17'!G42</f>
        <v>4155.3800000000047</v>
      </c>
      <c r="AW20" s="19">
        <f>'17'!G43</f>
        <v>2052.7299999999814</v>
      </c>
      <c r="AX20" s="23">
        <f>'17'!G44</f>
        <v>0</v>
      </c>
      <c r="AY20" s="56">
        <f>'17'!G36</f>
        <v>905.22000000000116</v>
      </c>
      <c r="AZ20" s="55">
        <f>'17'!G49</f>
        <v>1436.5699999999997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530.63999999999942</v>
      </c>
      <c r="BE20" s="19">
        <f>'17'!G55</f>
        <v>0</v>
      </c>
      <c r="BF20" s="19">
        <f>'17'!G56</f>
        <v>0</v>
      </c>
      <c r="BG20" s="19">
        <f>'17'!G57</f>
        <v>0</v>
      </c>
      <c r="BH20" s="56">
        <f>'17'!G50</f>
        <v>1099.6000000000058</v>
      </c>
      <c r="BI20" s="60">
        <f t="shared" si="12"/>
        <v>4155.3800000000047</v>
      </c>
      <c r="BJ20" s="60">
        <f>'17'!G133</f>
        <v>657.55999999999767</v>
      </c>
      <c r="BK20" s="23">
        <f t="shared" si="13"/>
        <v>45.487620428675378</v>
      </c>
      <c r="BL20" s="23">
        <f t="shared" si="14"/>
        <v>15.040716331992169</v>
      </c>
      <c r="BM20" s="24">
        <f t="shared" si="15"/>
        <v>0.10185994220521363</v>
      </c>
      <c r="BN20" s="25">
        <f t="shared" si="16"/>
        <v>270920.78599999374</v>
      </c>
      <c r="BO20" s="38">
        <f t="shared" si="17"/>
        <v>6865.6699999999837</v>
      </c>
      <c r="BP20">
        <f t="shared" si="18"/>
        <v>1.0276718357082906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20562</v>
      </c>
      <c r="H21" s="19">
        <f>'18 '!G8</f>
        <v>20626.43</v>
      </c>
      <c r="I21" s="19">
        <v>9</v>
      </c>
      <c r="J21" s="49">
        <f t="shared" si="3"/>
        <v>185637.87</v>
      </c>
      <c r="K21" s="45">
        <f t="shared" si="4"/>
        <v>102.11103960396039</v>
      </c>
      <c r="L21" s="19">
        <f>'18 '!G15</f>
        <v>1056.8049999999348</v>
      </c>
      <c r="M21" s="19">
        <v>56.2</v>
      </c>
      <c r="N21" s="41">
        <f t="shared" si="5"/>
        <v>59392.440999996339</v>
      </c>
      <c r="O21" s="19">
        <f>'18 '!G20</f>
        <v>298</v>
      </c>
      <c r="P21" s="19">
        <v>108</v>
      </c>
      <c r="Q21" s="46">
        <f t="shared" si="0"/>
        <v>32184</v>
      </c>
      <c r="R21" s="47">
        <f t="shared" si="1"/>
        <v>289.264220539701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84</v>
      </c>
      <c r="W21" s="22">
        <f>'18 '!G66</f>
        <v>19</v>
      </c>
      <c r="X21" s="22">
        <f>'18 '!G67</f>
        <v>75</v>
      </c>
      <c r="Y21" s="22">
        <f t="shared" si="7"/>
        <v>178</v>
      </c>
      <c r="Z21" s="19">
        <f>'18 '!G84</f>
        <v>0.26000000000203727</v>
      </c>
      <c r="AA21" s="19">
        <f>'18 '!G85</f>
        <v>23.889999999999873</v>
      </c>
      <c r="AB21" s="19">
        <f>'18 '!G86</f>
        <v>0</v>
      </c>
      <c r="AC21" s="19">
        <f>'18 '!G87</f>
        <v>0</v>
      </c>
      <c r="AD21" s="19">
        <f t="shared" si="8"/>
        <v>24.15000000000191</v>
      </c>
      <c r="AE21" s="23">
        <f t="shared" si="2"/>
        <v>4354.0499999999884</v>
      </c>
      <c r="AF21" s="23">
        <f t="shared" si="9"/>
        <v>180.29192546582377</v>
      </c>
      <c r="AG21" s="19">
        <f>'18 '!G88</f>
        <v>0</v>
      </c>
      <c r="AH21" s="19">
        <f>'18 '!G89</f>
        <v>10.959999999999127</v>
      </c>
      <c r="AI21" s="19">
        <f>'18 '!G90</f>
        <v>4.0200000000040745</v>
      </c>
      <c r="AJ21" s="19">
        <f t="shared" si="10"/>
        <v>14.980000000003201</v>
      </c>
      <c r="AK21" s="19">
        <f>'18 '!G91</f>
        <v>11.320000000000164</v>
      </c>
      <c r="AL21" s="19">
        <f>'18 '!G92</f>
        <v>0</v>
      </c>
      <c r="AM21" s="19"/>
      <c r="AN21" s="19">
        <f t="shared" si="11"/>
        <v>11.320000000000164</v>
      </c>
      <c r="AO21" s="52">
        <f>'18 '!G74</f>
        <v>298.39000000001397</v>
      </c>
      <c r="AP21" s="55">
        <f>'18 '!G35</f>
        <v>1628.2200000000012</v>
      </c>
      <c r="AQ21" s="19">
        <f>'18 '!G37</f>
        <v>1732.8400000000038</v>
      </c>
      <c r="AR21" s="19">
        <f>'18 '!G38</f>
        <v>2102.5</v>
      </c>
      <c r="AS21" s="19">
        <f>'18 '!G39</f>
        <v>3089.679999999993</v>
      </c>
      <c r="AT21" s="19">
        <f>'18 '!G40</f>
        <v>847.91999999999825</v>
      </c>
      <c r="AU21" s="19">
        <f>'18 '!G41</f>
        <v>0</v>
      </c>
      <c r="AV21" s="19">
        <f>'18 '!G42</f>
        <v>4354.0499999999884</v>
      </c>
      <c r="AW21" s="19">
        <f>'18 '!G43</f>
        <v>2079.6800000000221</v>
      </c>
      <c r="AX21" s="23">
        <f>'18 '!G44</f>
        <v>0</v>
      </c>
      <c r="AY21" s="56">
        <f>'18 '!G36</f>
        <v>982.98999999999796</v>
      </c>
      <c r="AZ21" s="55">
        <f>'18 '!G49</f>
        <v>1486.5400000000009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535.06000000000131</v>
      </c>
      <c r="BE21" s="19">
        <f>'18 '!G55</f>
        <v>0</v>
      </c>
      <c r="BF21" s="19">
        <f>'18 '!G56</f>
        <v>0</v>
      </c>
      <c r="BG21" s="19">
        <f>'18 '!G57</f>
        <v>0</v>
      </c>
      <c r="BH21" s="56">
        <f>'18 '!G50</f>
        <v>1071.9199999999983</v>
      </c>
      <c r="BI21" s="60">
        <f t="shared" si="12"/>
        <v>4354.0499999999884</v>
      </c>
      <c r="BJ21" s="60">
        <f>'18 '!G133</f>
        <v>665.19000000000233</v>
      </c>
      <c r="BK21" s="23">
        <f t="shared" si="13"/>
        <v>46.29249947761204</v>
      </c>
      <c r="BL21" s="23">
        <f t="shared" si="14"/>
        <v>14.979228106851226</v>
      </c>
      <c r="BM21" s="24">
        <f t="shared" si="15"/>
        <v>0.10193232663141416</v>
      </c>
      <c r="BN21" s="25">
        <f t="shared" si="16"/>
        <v>277214.31099999632</v>
      </c>
      <c r="BO21" s="38">
        <f t="shared" si="17"/>
        <v>7098.9200000000128</v>
      </c>
      <c r="BP21">
        <f t="shared" si="18"/>
        <v>1.0498254954154764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21203.65</v>
      </c>
      <c r="H22" s="19">
        <f>'19'!G8</f>
        <v>21297.179999999993</v>
      </c>
      <c r="I22" s="19">
        <v>9</v>
      </c>
      <c r="J22" s="49">
        <f t="shared" si="3"/>
        <v>191674.61999999994</v>
      </c>
      <c r="K22" s="45">
        <f t="shared" si="4"/>
        <v>105.4315841584158</v>
      </c>
      <c r="L22" s="19">
        <f>'19'!G15</f>
        <v>1032.7900000000373</v>
      </c>
      <c r="M22" s="19">
        <v>56.2</v>
      </c>
      <c r="N22" s="41">
        <f t="shared" si="5"/>
        <v>58042.798000002098</v>
      </c>
      <c r="O22" s="19">
        <f>'19'!G20</f>
        <v>328</v>
      </c>
      <c r="P22" s="19">
        <v>108</v>
      </c>
      <c r="Q22" s="46">
        <f t="shared" si="0"/>
        <v>35424</v>
      </c>
      <c r="R22" s="47">
        <f t="shared" si="1"/>
        <v>174.63566102792257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113</v>
      </c>
      <c r="W22" s="22">
        <f>'19'!G66</f>
        <v>38</v>
      </c>
      <c r="X22" s="22">
        <f>'19'!G67</f>
        <v>77</v>
      </c>
      <c r="Y22" s="22">
        <f t="shared" si="7"/>
        <v>228</v>
      </c>
      <c r="Z22" s="19">
        <f>'19'!G84</f>
        <v>0.22999999999592546</v>
      </c>
      <c r="AA22" s="19">
        <f>'19'!G85</f>
        <v>24.139999999999873</v>
      </c>
      <c r="AB22" s="19">
        <f>'19'!G86</f>
        <v>0</v>
      </c>
      <c r="AC22" s="19">
        <f>'19'!G87</f>
        <v>0</v>
      </c>
      <c r="AD22" s="19">
        <f t="shared" si="8"/>
        <v>24.369999999995798</v>
      </c>
      <c r="AE22" s="23">
        <f t="shared" si="2"/>
        <v>4676.5299999999988</v>
      </c>
      <c r="AF22" s="23">
        <f t="shared" si="9"/>
        <v>191.89700451377945</v>
      </c>
      <c r="AG22" s="19">
        <f>'19'!G88</f>
        <v>0</v>
      </c>
      <c r="AH22" s="19">
        <f>'19'!G89</f>
        <v>10.790000000000873</v>
      </c>
      <c r="AI22" s="19">
        <f>'19'!G90</f>
        <v>6.3300000000017462</v>
      </c>
      <c r="AJ22" s="19">
        <f t="shared" si="10"/>
        <v>17.120000000002619</v>
      </c>
      <c r="AK22" s="19">
        <f>'19'!G91</f>
        <v>11.339999999999691</v>
      </c>
      <c r="AL22" s="19">
        <f>'19'!G92</f>
        <v>0</v>
      </c>
      <c r="AM22" s="19"/>
      <c r="AN22" s="19">
        <f t="shared" si="11"/>
        <v>11.339999999999691</v>
      </c>
      <c r="AO22" s="52">
        <f>'19'!G74</f>
        <v>298.97999999998137</v>
      </c>
      <c r="AP22" s="55">
        <f>'19'!G35</f>
        <v>1534.7099999999991</v>
      </c>
      <c r="AQ22" s="19">
        <f>'19'!G37</f>
        <v>1790.0399999999936</v>
      </c>
      <c r="AR22" s="19">
        <f>'19'!G38</f>
        <v>2248.3899999999994</v>
      </c>
      <c r="AS22" s="19">
        <f>'19'!G39</f>
        <v>3138.6000000000058</v>
      </c>
      <c r="AT22" s="19">
        <f>'19'!G40</f>
        <v>729.31000000000131</v>
      </c>
      <c r="AU22" s="19">
        <f>'19'!G41</f>
        <v>0</v>
      </c>
      <c r="AV22" s="19">
        <f>'19'!G42</f>
        <v>4676.5299999999988</v>
      </c>
      <c r="AW22" s="19">
        <f>'19'!G43</f>
        <v>2131.4499999999825</v>
      </c>
      <c r="AX22" s="23">
        <f>'19'!G44</f>
        <v>0</v>
      </c>
      <c r="AY22" s="56">
        <f>'19'!G36</f>
        <v>1020.9700000000012</v>
      </c>
      <c r="AZ22" s="55">
        <f>'19'!G49</f>
        <v>1547.9099999999962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552.82999999999993</v>
      </c>
      <c r="BE22" s="19">
        <f>'19'!G55</f>
        <v>0</v>
      </c>
      <c r="BF22" s="19">
        <f>'19'!G56</f>
        <v>0</v>
      </c>
      <c r="BG22" s="19">
        <f>'19'!G57</f>
        <v>0</v>
      </c>
      <c r="BH22" s="56">
        <f>'19'!G50</f>
        <v>1096.6500000000087</v>
      </c>
      <c r="BI22" s="60">
        <f t="shared" si="12"/>
        <v>4676.5299999999988</v>
      </c>
      <c r="BJ22" s="60">
        <f>'19'!G133</f>
        <v>684.13000000000466</v>
      </c>
      <c r="BK22" s="23">
        <f t="shared" si="13"/>
        <v>46.440890296273878</v>
      </c>
      <c r="BL22" s="23">
        <f t="shared" si="14"/>
        <v>14.737162384879158</v>
      </c>
      <c r="BM22" s="24">
        <f t="shared" si="15"/>
        <v>0.10557219312603829</v>
      </c>
      <c r="BN22" s="25">
        <f t="shared" si="16"/>
        <v>285141.41800000204</v>
      </c>
      <c r="BO22" s="38">
        <f t="shared" si="17"/>
        <v>7492.109999999986</v>
      </c>
      <c r="BP22">
        <f t="shared" si="18"/>
        <v>1.0979702796179842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0.68310000000000004</v>
      </c>
      <c r="G23" s="19">
        <f>'20'!G7</f>
        <v>20604.879999999997</v>
      </c>
      <c r="H23" s="19">
        <f>'20'!G8</f>
        <v>20695.800000000003</v>
      </c>
      <c r="I23" s="19">
        <v>9</v>
      </c>
      <c r="J23" s="49">
        <f t="shared" si="3"/>
        <v>186262.2</v>
      </c>
      <c r="K23" s="45">
        <f t="shared" si="4"/>
        <v>102.45445544554457</v>
      </c>
      <c r="L23" s="19">
        <f>'20'!G15</f>
        <v>1045.6000000000931</v>
      </c>
      <c r="M23" s="19">
        <v>56.2</v>
      </c>
      <c r="N23" s="41">
        <f t="shared" si="5"/>
        <v>58762.72000000524</v>
      </c>
      <c r="O23" s="19">
        <f>'20'!G20</f>
        <v>360</v>
      </c>
      <c r="P23" s="19">
        <v>108</v>
      </c>
      <c r="Q23" s="46">
        <f t="shared" si="0"/>
        <v>38880</v>
      </c>
      <c r="R23" s="47">
        <f t="shared" si="1"/>
        <v>260.8956547828696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103</v>
      </c>
      <c r="W23" s="22">
        <f>'20'!G66</f>
        <v>31</v>
      </c>
      <c r="X23" s="22">
        <f>'20'!G67</f>
        <v>70</v>
      </c>
      <c r="Y23" s="22">
        <f t="shared" si="7"/>
        <v>204</v>
      </c>
      <c r="Z23" s="19">
        <f>'20'!G84</f>
        <v>0</v>
      </c>
      <c r="AA23" s="19">
        <f>'20'!G85</f>
        <v>24.059999999999945</v>
      </c>
      <c r="AB23" s="19">
        <f>'20'!G86</f>
        <v>0</v>
      </c>
      <c r="AC23" s="19">
        <f>'20'!G87</f>
        <v>0</v>
      </c>
      <c r="AD23" s="19">
        <f t="shared" si="8"/>
        <v>24.059999999999945</v>
      </c>
      <c r="AE23" s="23">
        <f t="shared" si="2"/>
        <v>4548.1199999999953</v>
      </c>
      <c r="AF23" s="23">
        <f t="shared" si="9"/>
        <v>189.03241895261868</v>
      </c>
      <c r="AG23" s="19">
        <f>'20'!G88</f>
        <v>-2.0000000000436557E-2</v>
      </c>
      <c r="AH23" s="19">
        <f>'20'!G89</f>
        <v>10.229999999999563</v>
      </c>
      <c r="AI23" s="19">
        <f>'20'!G90</f>
        <v>5.5200000000040745</v>
      </c>
      <c r="AJ23" s="19">
        <f t="shared" si="10"/>
        <v>15.730000000003201</v>
      </c>
      <c r="AK23" s="19">
        <f>'20'!G91</f>
        <v>11.0300000000002</v>
      </c>
      <c r="AL23" s="19">
        <f>'20'!G92</f>
        <v>0</v>
      </c>
      <c r="AM23" s="19"/>
      <c r="AN23" s="19">
        <f t="shared" si="11"/>
        <v>11.0300000000002</v>
      </c>
      <c r="AO23" s="52">
        <f>'20'!G74</f>
        <v>290.11999999999534</v>
      </c>
      <c r="AP23" s="55">
        <f>'20'!G35</f>
        <v>1525.25</v>
      </c>
      <c r="AQ23" s="19">
        <f>'20'!G37</f>
        <v>1617.5299999999988</v>
      </c>
      <c r="AR23" s="19">
        <f>'20'!G38</f>
        <v>2097.6999999999971</v>
      </c>
      <c r="AS23" s="19">
        <f>'20'!G39</f>
        <v>3029.6999999999971</v>
      </c>
      <c r="AT23" s="19">
        <f>'20'!G40</f>
        <v>122.55999999999767</v>
      </c>
      <c r="AU23" s="19">
        <f>'20'!G41</f>
        <v>0</v>
      </c>
      <c r="AV23" s="19">
        <f>'20'!G42</f>
        <v>4548.1199999999953</v>
      </c>
      <c r="AW23" s="19">
        <f>'20'!G43</f>
        <v>2086.3800000000047</v>
      </c>
      <c r="AX23" s="23">
        <f>'20'!G44</f>
        <v>0</v>
      </c>
      <c r="AY23" s="56">
        <f>'20'!G36</f>
        <v>997.19000000000233</v>
      </c>
      <c r="AZ23" s="55">
        <f>'20'!G49</f>
        <v>1481.1300000000047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539.6299999999992</v>
      </c>
      <c r="BE23" s="19">
        <f>'20'!G55</f>
        <v>0</v>
      </c>
      <c r="BF23" s="19">
        <f>'20'!G56</f>
        <v>0</v>
      </c>
      <c r="BG23" s="19">
        <f>'20'!G57</f>
        <v>0</v>
      </c>
      <c r="BH23" s="56">
        <f>'20'!G50</f>
        <v>1084.7999999999884</v>
      </c>
      <c r="BI23" s="60">
        <f t="shared" si="12"/>
        <v>4548.1199999999953</v>
      </c>
      <c r="BJ23" s="60">
        <f>'20'!G133</f>
        <v>672.27000000000407</v>
      </c>
      <c r="BK23" s="23">
        <f t="shared" si="13"/>
        <v>46.583751292532803</v>
      </c>
      <c r="BL23" s="23">
        <f t="shared" si="14"/>
        <v>14.639202156959367</v>
      </c>
      <c r="BM23" s="24">
        <f t="shared" si="15"/>
        <v>0.10135872979058537</v>
      </c>
      <c r="BN23" s="25">
        <f t="shared" si="16"/>
        <v>283904.92000000528</v>
      </c>
      <c r="BO23" s="38">
        <f t="shared" si="17"/>
        <v>7306.7700000000041</v>
      </c>
      <c r="BP23">
        <f t="shared" si="18"/>
        <v>1.0846054506590697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20796.869999999995</v>
      </c>
      <c r="H24" s="19">
        <f>'21'!G8</f>
        <v>20905.690000000002</v>
      </c>
      <c r="I24" s="19">
        <v>9</v>
      </c>
      <c r="J24" s="49">
        <f t="shared" si="3"/>
        <v>188151.21000000002</v>
      </c>
      <c r="K24" s="45">
        <f t="shared" si="4"/>
        <v>103.49351485148516</v>
      </c>
      <c r="L24" s="19">
        <f>'21'!G15</f>
        <v>1175.1399999998976</v>
      </c>
      <c r="M24" s="19">
        <v>56.2</v>
      </c>
      <c r="N24" s="41">
        <f t="shared" si="5"/>
        <v>66042.86799999424</v>
      </c>
      <c r="O24" s="19">
        <f>'21'!G20</f>
        <v>265</v>
      </c>
      <c r="P24" s="19">
        <v>108</v>
      </c>
      <c r="Q24" s="46">
        <f t="shared" si="0"/>
        <v>28620</v>
      </c>
      <c r="R24" s="47">
        <f t="shared" si="1"/>
        <v>184.77199832659323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102</v>
      </c>
      <c r="W24" s="22">
        <f>'21'!G66</f>
        <v>20</v>
      </c>
      <c r="X24" s="22">
        <f>'21'!G67</f>
        <v>81</v>
      </c>
      <c r="Y24" s="22">
        <f t="shared" si="7"/>
        <v>203</v>
      </c>
      <c r="Z24" s="19">
        <f>'21'!G84</f>
        <v>-8.999999999650754E-2</v>
      </c>
      <c r="AA24" s="19">
        <f>'21'!G85</f>
        <v>24.480000000000018</v>
      </c>
      <c r="AB24" s="19">
        <f>'21'!G86</f>
        <v>0</v>
      </c>
      <c r="AC24" s="19">
        <f>'21'!G87</f>
        <v>0</v>
      </c>
      <c r="AD24" s="19">
        <f t="shared" si="8"/>
        <v>24.390000000003511</v>
      </c>
      <c r="AE24" s="23">
        <f t="shared" si="2"/>
        <v>4398.070000000007</v>
      </c>
      <c r="AF24" s="23">
        <f t="shared" si="9"/>
        <v>180.3226732267066</v>
      </c>
      <c r="AG24" s="19">
        <f>'21'!G88</f>
        <v>9</v>
      </c>
      <c r="AH24" s="19">
        <f>'21'!G89</f>
        <v>3.2900000000008731</v>
      </c>
      <c r="AI24" s="19">
        <f>'21'!G90</f>
        <v>8.7099999999918509</v>
      </c>
      <c r="AJ24" s="19">
        <f t="shared" si="10"/>
        <v>20.999999999992724</v>
      </c>
      <c r="AK24" s="19">
        <f>'21'!G91</f>
        <v>10.039999999999964</v>
      </c>
      <c r="AL24" s="19">
        <f>'21'!G92</f>
        <v>0</v>
      </c>
      <c r="AM24" s="19"/>
      <c r="AN24" s="19">
        <f t="shared" si="11"/>
        <v>10.039999999999964</v>
      </c>
      <c r="AO24" s="52">
        <f>'21'!G74</f>
        <v>272.14000000001397</v>
      </c>
      <c r="AP24" s="55">
        <f>'21'!G35</f>
        <v>1538.8899999999994</v>
      </c>
      <c r="AQ24" s="19">
        <f>'21'!G37</f>
        <v>1643.6000000000058</v>
      </c>
      <c r="AR24" s="19">
        <f>'21'!G38</f>
        <v>2100.8399999999965</v>
      </c>
      <c r="AS24" s="19">
        <f>'21'!G39</f>
        <v>3097.5</v>
      </c>
      <c r="AT24" s="19">
        <f>'21'!G40</f>
        <v>427.61000000000058</v>
      </c>
      <c r="AU24" s="19">
        <f>'21'!G41</f>
        <v>0</v>
      </c>
      <c r="AV24" s="19">
        <f>'21'!G42</f>
        <v>4398.070000000007</v>
      </c>
      <c r="AW24" s="19">
        <f>'21'!G43</f>
        <v>2091.7699999999895</v>
      </c>
      <c r="AX24" s="23">
        <f>'21'!G44</f>
        <v>0</v>
      </c>
      <c r="AY24" s="56">
        <f>'21'!G36</f>
        <v>1029.6699999999983</v>
      </c>
      <c r="AZ24" s="55">
        <f>'21'!G49</f>
        <v>1458.8300000000017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538.71000000000095</v>
      </c>
      <c r="BE24" s="19">
        <f>'21'!G55</f>
        <v>0</v>
      </c>
      <c r="BF24" s="19">
        <f>'21'!G56</f>
        <v>0</v>
      </c>
      <c r="BG24" s="19">
        <f>'21'!G57</f>
        <v>0</v>
      </c>
      <c r="BH24" s="56">
        <f>'21'!G50</f>
        <v>1372.5900000000111</v>
      </c>
      <c r="BI24" s="60">
        <f t="shared" si="12"/>
        <v>4398.070000000007</v>
      </c>
      <c r="BJ24" s="60">
        <f>'21'!G133</f>
        <v>673.89999999999418</v>
      </c>
      <c r="BK24" s="23">
        <f t="shared" si="13"/>
        <v>45.382668546218746</v>
      </c>
      <c r="BL24" s="23">
        <f t="shared" si="14"/>
        <v>14.816540377284843</v>
      </c>
      <c r="BM24" s="24">
        <f t="shared" si="15"/>
        <v>0.10049130165041174</v>
      </c>
      <c r="BN24" s="25">
        <f t="shared" si="16"/>
        <v>282814.07799999428</v>
      </c>
      <c r="BO24" s="38">
        <f t="shared" si="17"/>
        <v>7163.7399999999907</v>
      </c>
      <c r="BP24">
        <f t="shared" si="18"/>
        <v>1.0489867041526035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0.55000000000000004</v>
      </c>
      <c r="G25" s="19">
        <f>'22'!G7</f>
        <v>20635</v>
      </c>
      <c r="H25" s="19">
        <f>'22'!G8</f>
        <v>20737.679999999993</v>
      </c>
      <c r="I25" s="19">
        <v>9</v>
      </c>
      <c r="J25" s="49">
        <f t="shared" si="3"/>
        <v>186639.11999999994</v>
      </c>
      <c r="K25" s="45">
        <f t="shared" si="4"/>
        <v>102.66178217821779</v>
      </c>
      <c r="L25" s="19">
        <f>'22'!G15</f>
        <v>1110.8900000001304</v>
      </c>
      <c r="M25" s="19">
        <v>56.2</v>
      </c>
      <c r="N25" s="41">
        <f t="shared" si="5"/>
        <v>62432.018000007331</v>
      </c>
      <c r="O25" s="19">
        <f>'22'!G20</f>
        <v>243</v>
      </c>
      <c r="P25" s="19">
        <v>108</v>
      </c>
      <c r="Q25" s="46">
        <f t="shared" si="0"/>
        <v>26244</v>
      </c>
      <c r="R25" s="47">
        <f t="shared" si="1"/>
        <v>218.72187218721874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109</v>
      </c>
      <c r="W25" s="22">
        <f>'22'!G66</f>
        <v>20</v>
      </c>
      <c r="X25" s="22">
        <f>'22'!G67</f>
        <v>72</v>
      </c>
      <c r="Y25" s="22">
        <f t="shared" si="7"/>
        <v>201</v>
      </c>
      <c r="Z25" s="19">
        <f>'22'!G84</f>
        <v>0</v>
      </c>
      <c r="AA25" s="19">
        <f>'22'!G85</f>
        <v>24.190000000000055</v>
      </c>
      <c r="AB25" s="19">
        <f>'22'!G86</f>
        <v>0</v>
      </c>
      <c r="AC25" s="19">
        <f>'22'!G87</f>
        <v>0</v>
      </c>
      <c r="AD25" s="19">
        <f t="shared" si="8"/>
        <v>24.190000000000055</v>
      </c>
      <c r="AE25" s="23">
        <f t="shared" si="2"/>
        <v>4438.4200000000128</v>
      </c>
      <c r="AF25" s="23">
        <f t="shared" si="9"/>
        <v>183.48160396858216</v>
      </c>
      <c r="AG25" s="19">
        <f>'22'!G88</f>
        <v>0.46000000000276486</v>
      </c>
      <c r="AH25" s="19">
        <f>'22'!G89</f>
        <v>11.06000000000131</v>
      </c>
      <c r="AI25" s="19">
        <f>'22'!G90</f>
        <v>6.8200000000069849</v>
      </c>
      <c r="AJ25" s="19">
        <f t="shared" si="10"/>
        <v>18.340000000011059</v>
      </c>
      <c r="AK25" s="19">
        <f>'22'!G91</f>
        <v>11</v>
      </c>
      <c r="AL25" s="19">
        <f>'22'!G92</f>
        <v>0</v>
      </c>
      <c r="AM25" s="19"/>
      <c r="AN25" s="19">
        <f t="shared" si="11"/>
        <v>11</v>
      </c>
      <c r="AO25" s="52">
        <f>'22'!G74</f>
        <v>298.35999999998603</v>
      </c>
      <c r="AP25" s="55">
        <f>'22'!G35</f>
        <v>1451.8399999999965</v>
      </c>
      <c r="AQ25" s="19">
        <f>'22'!G37</f>
        <v>1629.0800000000017</v>
      </c>
      <c r="AR25" s="19">
        <f>'22'!G38</f>
        <v>2167.5400000000081</v>
      </c>
      <c r="AS25" s="19">
        <f>'22'!G39</f>
        <v>3093.4600000000064</v>
      </c>
      <c r="AT25" s="19">
        <f>'22'!G40</f>
        <v>694.43000000000029</v>
      </c>
      <c r="AU25" s="19">
        <f>'22'!G41</f>
        <v>0</v>
      </c>
      <c r="AV25" s="19">
        <f>'22'!G42</f>
        <v>4438.4200000000128</v>
      </c>
      <c r="AW25" s="19">
        <f>'22'!G43</f>
        <v>2091.4500000000116</v>
      </c>
      <c r="AX25" s="23">
        <f>'22'!G44</f>
        <v>0</v>
      </c>
      <c r="AY25" s="56">
        <f>'22'!G36</f>
        <v>1119.9700000000012</v>
      </c>
      <c r="AZ25" s="55">
        <f>'22'!G49</f>
        <v>1458.9399999999951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541.21999999999935</v>
      </c>
      <c r="BE25" s="19">
        <f>'22'!G55</f>
        <v>0</v>
      </c>
      <c r="BF25" s="19">
        <f>'22'!G56</f>
        <v>0</v>
      </c>
      <c r="BG25" s="19">
        <f>'22'!G57</f>
        <v>0</v>
      </c>
      <c r="BH25" s="56">
        <f>'22'!G50</f>
        <v>1073.6699999999983</v>
      </c>
      <c r="BI25" s="60">
        <f t="shared" si="12"/>
        <v>4438.4200000000128</v>
      </c>
      <c r="BJ25" s="60">
        <f>'22'!G133</f>
        <v>666.86999999999534</v>
      </c>
      <c r="BK25" s="23">
        <f t="shared" si="13"/>
        <v>45.52413770489283</v>
      </c>
      <c r="BL25" s="23">
        <f t="shared" si="14"/>
        <v>14.917097765998934</v>
      </c>
      <c r="BM25" s="24">
        <f t="shared" si="15"/>
        <v>0.10452181729103781</v>
      </c>
      <c r="BN25" s="25">
        <f t="shared" si="16"/>
        <v>275315.13800000725</v>
      </c>
      <c r="BO25" s="38">
        <f t="shared" si="17"/>
        <v>7196.7400000000198</v>
      </c>
      <c r="BP25">
        <f t="shared" si="18"/>
        <v>1.0625317427508421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0.85</v>
      </c>
      <c r="G26" s="19">
        <f>'23'!G7</f>
        <v>20710.600000000006</v>
      </c>
      <c r="H26" s="19">
        <f>'23'!G8</f>
        <v>20890.850000000006</v>
      </c>
      <c r="I26" s="19">
        <v>9</v>
      </c>
      <c r="J26" s="49">
        <f t="shared" si="3"/>
        <v>188017.65000000005</v>
      </c>
      <c r="K26" s="45">
        <f t="shared" si="4"/>
        <v>103.42004950495053</v>
      </c>
      <c r="L26" s="19">
        <f>'23'!G15</f>
        <v>1061.1999999999534</v>
      </c>
      <c r="M26" s="19">
        <v>56.2</v>
      </c>
      <c r="N26" s="41">
        <f t="shared" si="5"/>
        <v>59639.439999997383</v>
      </c>
      <c r="O26" s="19">
        <f>'23'!G20</f>
        <v>315</v>
      </c>
      <c r="P26" s="19">
        <v>108</v>
      </c>
      <c r="Q26" s="46">
        <f t="shared" si="0"/>
        <v>34020</v>
      </c>
      <c r="R26" s="47">
        <f t="shared" si="1"/>
        <v>183.45952242283053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107</v>
      </c>
      <c r="W26" s="22">
        <f>'23'!G66</f>
        <v>18</v>
      </c>
      <c r="X26" s="22">
        <f>'23'!G67</f>
        <v>70</v>
      </c>
      <c r="Y26" s="22">
        <f t="shared" si="7"/>
        <v>195</v>
      </c>
      <c r="Z26" s="19">
        <f>'23'!G84</f>
        <v>0</v>
      </c>
      <c r="AA26" s="19">
        <f>'23'!G85</f>
        <v>8.8400000000001455</v>
      </c>
      <c r="AB26" s="19">
        <f>'23'!G86</f>
        <v>0</v>
      </c>
      <c r="AC26" s="19">
        <f>'23'!G87</f>
        <v>15.44999999999709</v>
      </c>
      <c r="AD26" s="19">
        <f t="shared" si="8"/>
        <v>24.289999999997235</v>
      </c>
      <c r="AE26" s="23">
        <f t="shared" si="2"/>
        <v>3349.9099999999944</v>
      </c>
      <c r="AF26" s="23">
        <f t="shared" si="9"/>
        <v>137.91313297654901</v>
      </c>
      <c r="AG26" s="19">
        <f>'23'!G88</f>
        <v>-0.22000000000116415</v>
      </c>
      <c r="AH26" s="19">
        <f>'23'!G89</f>
        <v>10.509999999998399</v>
      </c>
      <c r="AI26" s="19">
        <f>'23'!G90</f>
        <v>6.9499999999970896</v>
      </c>
      <c r="AJ26" s="19">
        <f t="shared" si="10"/>
        <v>17.239999999994325</v>
      </c>
      <c r="AK26" s="19">
        <f>'23'!G91</f>
        <v>10.289999999999964</v>
      </c>
      <c r="AL26" s="19">
        <f>'23'!G92</f>
        <v>0</v>
      </c>
      <c r="AM26" s="19"/>
      <c r="AN26" s="19">
        <f t="shared" si="11"/>
        <v>10.289999999999964</v>
      </c>
      <c r="AO26" s="52">
        <f>'23'!G74</f>
        <v>277.21999999997206</v>
      </c>
      <c r="AP26" s="55">
        <f>'23'!G35</f>
        <v>1512.4100000000035</v>
      </c>
      <c r="AQ26" s="19">
        <f>'23'!G37</f>
        <v>1629.7299999999959</v>
      </c>
      <c r="AR26" s="19">
        <f>'23'!G38</f>
        <v>2162.0299999999988</v>
      </c>
      <c r="AS26" s="19">
        <f>'23'!G39</f>
        <v>3147.0399999999936</v>
      </c>
      <c r="AT26" s="19">
        <f>'23'!G40</f>
        <v>106.70000000000073</v>
      </c>
      <c r="AU26" s="19">
        <f>'23'!G41</f>
        <v>0</v>
      </c>
      <c r="AV26" s="19">
        <f>'23'!G42</f>
        <v>1166.429999999993</v>
      </c>
      <c r="AW26" s="19">
        <f>'23'!G43</f>
        <v>2083.1900000000023</v>
      </c>
      <c r="AX26" s="23">
        <f>'23'!G44</f>
        <v>0</v>
      </c>
      <c r="AY26" s="56">
        <f>'23'!G36</f>
        <v>1145.5999999999985</v>
      </c>
      <c r="AZ26" s="55">
        <f>'23'!G49</f>
        <v>1469.6500000000015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534.15999999999985</v>
      </c>
      <c r="BE26" s="19">
        <f>'23'!G55</f>
        <v>0.11000000000058208</v>
      </c>
      <c r="BF26" s="19">
        <f>'23'!G56</f>
        <v>2183.3700000000008</v>
      </c>
      <c r="BG26" s="19">
        <f>'23'!G57</f>
        <v>0</v>
      </c>
      <c r="BH26" s="56">
        <f>'23'!G50</f>
        <v>943.83999999999651</v>
      </c>
      <c r="BI26" s="60">
        <f t="shared" si="12"/>
        <v>3349.9099999999944</v>
      </c>
      <c r="BJ26" s="60">
        <f>'23'!G133</f>
        <v>656.52000000000407</v>
      </c>
      <c r="BK26" s="23">
        <f t="shared" si="13"/>
        <v>40.281558672816082</v>
      </c>
      <c r="BL26" s="23">
        <f t="shared" si="14"/>
        <v>15.064202749050386</v>
      </c>
      <c r="BM26" s="24">
        <f t="shared" si="15"/>
        <v>0.10349172005926031</v>
      </c>
      <c r="BN26" s="25">
        <f t="shared" si="16"/>
        <v>281677.08999999741</v>
      </c>
      <c r="BO26" s="38">
        <f t="shared" si="17"/>
        <v>6089.6200000000008</v>
      </c>
      <c r="BP26">
        <f t="shared" si="18"/>
        <v>0.89537434570380137</v>
      </c>
    </row>
    <row r="27" spans="1:68" x14ac:dyDescent="0.25">
      <c r="A27" s="16">
        <v>24</v>
      </c>
      <c r="B27" s="17">
        <v>24</v>
      </c>
      <c r="C27" s="28"/>
      <c r="D27" s="19" t="str">
        <f>'24'!D3</f>
        <v xml:space="preserve">   </v>
      </c>
      <c r="E27" s="50">
        <f>'24'!D4</f>
        <v>0.78</v>
      </c>
      <c r="F27" s="50">
        <f>'24'!D2</f>
        <v>0.94</v>
      </c>
      <c r="G27" s="19">
        <f>'24'!G7</f>
        <v>21451</v>
      </c>
      <c r="H27" s="19">
        <f>'24'!G8</f>
        <v>21762</v>
      </c>
      <c r="I27" s="19">
        <v>9</v>
      </c>
      <c r="J27" s="49">
        <f t="shared" si="3"/>
        <v>195858</v>
      </c>
      <c r="K27" s="45">
        <f t="shared" si="4"/>
        <v>107.73267326732673</v>
      </c>
      <c r="L27" s="19">
        <f>'24'!G15</f>
        <v>1141</v>
      </c>
      <c r="M27" s="19">
        <v>56.2</v>
      </c>
      <c r="N27" s="41">
        <f t="shared" si="5"/>
        <v>64124.200000000004</v>
      </c>
      <c r="O27" s="19">
        <f>'24'!G20</f>
        <v>274</v>
      </c>
      <c r="P27" s="19">
        <v>108</v>
      </c>
      <c r="Q27" s="46">
        <f t="shared" si="0"/>
        <v>29592</v>
      </c>
      <c r="R27" s="47">
        <f t="shared" si="1"/>
        <v>144.30166420897407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92</v>
      </c>
      <c r="W27" s="22">
        <f>'24'!G66</f>
        <v>19</v>
      </c>
      <c r="X27" s="22">
        <f>'24'!G67</f>
        <v>67</v>
      </c>
      <c r="Y27" s="22">
        <f t="shared" si="7"/>
        <v>178</v>
      </c>
      <c r="Z27" s="19">
        <f>'24'!G84</f>
        <v>-0.40000000000145519</v>
      </c>
      <c r="AA27" s="19">
        <f>'24'!G85</f>
        <v>0</v>
      </c>
      <c r="AB27" s="19">
        <f>'24'!G86</f>
        <v>0</v>
      </c>
      <c r="AC27" s="19">
        <f>'24'!G87</f>
        <v>24</v>
      </c>
      <c r="AD27" s="19">
        <f t="shared" si="8"/>
        <v>23.599999999998545</v>
      </c>
      <c r="AE27" s="23">
        <f t="shared" si="2"/>
        <v>3259</v>
      </c>
      <c r="AF27" s="23">
        <f t="shared" si="9"/>
        <v>138.09322033899156</v>
      </c>
      <c r="AG27" s="19">
        <f>'24'!G88</f>
        <v>0</v>
      </c>
      <c r="AH27" s="19">
        <f>'24'!G89</f>
        <v>11</v>
      </c>
      <c r="AI27" s="19">
        <f>'24'!G90</f>
        <v>7</v>
      </c>
      <c r="AJ27" s="19">
        <f t="shared" si="10"/>
        <v>18</v>
      </c>
      <c r="AK27" s="19">
        <f>'24'!G91</f>
        <v>10.230000000000018</v>
      </c>
      <c r="AL27" s="19">
        <f>'24'!G92</f>
        <v>0</v>
      </c>
      <c r="AM27" s="19"/>
      <c r="AN27" s="19">
        <f t="shared" si="11"/>
        <v>10.230000000000018</v>
      </c>
      <c r="AO27" s="52">
        <f>'24'!G74</f>
        <v>289</v>
      </c>
      <c r="AP27" s="55">
        <f>'24'!G35</f>
        <v>1591</v>
      </c>
      <c r="AQ27" s="19">
        <f>'24'!G37</f>
        <v>1635</v>
      </c>
      <c r="AR27" s="19">
        <f>'24'!G38</f>
        <v>2289</v>
      </c>
      <c r="AS27" s="19">
        <f>'24'!G39</f>
        <v>3236</v>
      </c>
      <c r="AT27" s="19">
        <f>'24'!G40</f>
        <v>276</v>
      </c>
      <c r="AU27" s="19">
        <f>'24'!G41</f>
        <v>0</v>
      </c>
      <c r="AV27" s="19">
        <f>'24'!G42</f>
        <v>0</v>
      </c>
      <c r="AW27" s="19">
        <f>'24'!G43</f>
        <v>2090</v>
      </c>
      <c r="AX27" s="23">
        <f>'24'!G44</f>
        <v>0</v>
      </c>
      <c r="AY27" s="56">
        <f>'24'!G36</f>
        <v>1020</v>
      </c>
      <c r="AZ27" s="55">
        <f>'24'!G49</f>
        <v>1467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533</v>
      </c>
      <c r="BE27" s="19">
        <f>'24'!G55</f>
        <v>0</v>
      </c>
      <c r="BF27" s="19">
        <f>'24'!G56</f>
        <v>3259</v>
      </c>
      <c r="BG27" s="19">
        <f>'24'!G57</f>
        <v>0</v>
      </c>
      <c r="BH27" s="56">
        <f>'24'!G50</f>
        <v>1040</v>
      </c>
      <c r="BI27" s="60">
        <f t="shared" si="12"/>
        <v>3259</v>
      </c>
      <c r="BJ27" s="60">
        <f>'24'!G133</f>
        <v>657</v>
      </c>
      <c r="BK27" s="23">
        <f t="shared" si="13"/>
        <v>38.631559599301532</v>
      </c>
      <c r="BL27" s="23">
        <f t="shared" si="14"/>
        <v>14.869956805440676</v>
      </c>
      <c r="BM27" s="24">
        <f t="shared" si="15"/>
        <v>0.10518334711883098</v>
      </c>
      <c r="BN27" s="25">
        <f t="shared" si="16"/>
        <v>289574.2</v>
      </c>
      <c r="BO27" s="38">
        <f t="shared" si="17"/>
        <v>6006</v>
      </c>
      <c r="BP27">
        <f t="shared" si="18"/>
        <v>0.90889830508480185</v>
      </c>
    </row>
    <row r="28" spans="1:68" x14ac:dyDescent="0.25">
      <c r="A28" s="16">
        <v>25</v>
      </c>
      <c r="B28" s="26">
        <v>25</v>
      </c>
      <c r="C28" s="28"/>
      <c r="D28" s="19">
        <f>'25'!D3</f>
        <v>26</v>
      </c>
      <c r="E28" s="50">
        <f>'25'!D4</f>
        <v>0.78</v>
      </c>
      <c r="F28" s="50">
        <f>'25'!D2</f>
        <v>0.95</v>
      </c>
      <c r="G28" s="19">
        <f>'25'!G7</f>
        <v>21634</v>
      </c>
      <c r="H28" s="19">
        <f>'25'!G8</f>
        <v>21934</v>
      </c>
      <c r="I28" s="19">
        <v>9</v>
      </c>
      <c r="J28" s="49">
        <f t="shared" si="3"/>
        <v>197406</v>
      </c>
      <c r="K28" s="45">
        <f t="shared" si="4"/>
        <v>108.58415841584159</v>
      </c>
      <c r="L28" s="19">
        <f>'25'!G15</f>
        <v>1157</v>
      </c>
      <c r="M28" s="19">
        <v>56.2</v>
      </c>
      <c r="N28" s="41">
        <f t="shared" si="5"/>
        <v>65023.4</v>
      </c>
      <c r="O28" s="19">
        <f>'25'!G20</f>
        <v>233</v>
      </c>
      <c r="P28" s="19">
        <v>108</v>
      </c>
      <c r="Q28" s="46">
        <f t="shared" si="0"/>
        <v>25164</v>
      </c>
      <c r="R28" s="47">
        <f t="shared" si="1"/>
        <v>121.41740489838459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112</v>
      </c>
      <c r="W28" s="22">
        <f>'25'!G66</f>
        <v>465</v>
      </c>
      <c r="X28" s="22">
        <f>'25'!G67</f>
        <v>71</v>
      </c>
      <c r="Y28" s="22">
        <f t="shared" si="7"/>
        <v>648</v>
      </c>
      <c r="Z28" s="19">
        <f>'25'!G84</f>
        <v>0.40000000000145519</v>
      </c>
      <c r="AA28" s="19">
        <f>'25'!G85</f>
        <v>0</v>
      </c>
      <c r="AB28" s="19">
        <f>'25'!G86</f>
        <v>0</v>
      </c>
      <c r="AC28" s="19">
        <f>'25'!G87</f>
        <v>24</v>
      </c>
      <c r="AD28" s="19">
        <f t="shared" si="8"/>
        <v>24.400000000001455</v>
      </c>
      <c r="AE28" s="23">
        <f t="shared" si="2"/>
        <v>3132</v>
      </c>
      <c r="AF28" s="23">
        <f t="shared" si="9"/>
        <v>128.36065573769727</v>
      </c>
      <c r="AG28" s="19">
        <f>'25'!G88</f>
        <v>0</v>
      </c>
      <c r="AH28" s="19">
        <f>'25'!G89</f>
        <v>10</v>
      </c>
      <c r="AI28" s="19">
        <f>'25'!G90</f>
        <v>7</v>
      </c>
      <c r="AJ28" s="19">
        <f t="shared" si="10"/>
        <v>17</v>
      </c>
      <c r="AK28" s="19">
        <f>'25'!G91</f>
        <v>12.75</v>
      </c>
      <c r="AL28" s="19">
        <f>'25'!G92</f>
        <v>0</v>
      </c>
      <c r="AM28" s="19"/>
      <c r="AN28" s="19">
        <f t="shared" si="11"/>
        <v>12.75</v>
      </c>
      <c r="AO28" s="52">
        <f>'25'!G74</f>
        <v>337</v>
      </c>
      <c r="AP28" s="55">
        <f>'25'!G35</f>
        <v>1492</v>
      </c>
      <c r="AQ28" s="19">
        <f>'25'!G37</f>
        <v>1625</v>
      </c>
      <c r="AR28" s="19">
        <f>'25'!G38</f>
        <v>2115</v>
      </c>
      <c r="AS28" s="19">
        <f>'25'!G39</f>
        <v>3213</v>
      </c>
      <c r="AT28" s="19">
        <f>'25'!G40</f>
        <v>241</v>
      </c>
      <c r="AU28" s="19">
        <f>'25'!G41</f>
        <v>0</v>
      </c>
      <c r="AV28" s="19"/>
      <c r="AW28" s="19">
        <f>'25'!G43</f>
        <v>2090</v>
      </c>
      <c r="AX28" s="23">
        <f>'25'!G44</f>
        <v>0</v>
      </c>
      <c r="AY28" s="56">
        <f>'25'!G36</f>
        <v>1101</v>
      </c>
      <c r="AZ28" s="55">
        <f>'25'!G49</f>
        <v>1466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533</v>
      </c>
      <c r="BE28" s="19">
        <f>'25'!G55</f>
        <v>0</v>
      </c>
      <c r="BF28" s="19">
        <f>'25'!G56</f>
        <v>3132</v>
      </c>
      <c r="BG28" s="19">
        <f>'25'!G57</f>
        <v>0</v>
      </c>
      <c r="BH28" s="56">
        <f>'25'!G50</f>
        <v>1348</v>
      </c>
      <c r="BI28" s="60">
        <f t="shared" si="12"/>
        <v>3132</v>
      </c>
      <c r="BJ28" s="60">
        <f>'25'!G133</f>
        <v>660</v>
      </c>
      <c r="BK28" s="23">
        <f t="shared" si="13"/>
        <v>37.293699279657154</v>
      </c>
      <c r="BL28" s="23">
        <f t="shared" si="14"/>
        <v>14.648490927327437</v>
      </c>
      <c r="BM28" s="24">
        <f t="shared" si="15"/>
        <v>9.6425640558037748E-2</v>
      </c>
      <c r="BN28" s="25">
        <f t="shared" si="16"/>
        <v>287593.40000000002</v>
      </c>
      <c r="BO28" s="38">
        <f t="shared" si="17"/>
        <v>5882</v>
      </c>
      <c r="BP28">
        <f t="shared" si="18"/>
        <v>0.86094847775170513</v>
      </c>
    </row>
    <row r="29" spans="1:68" x14ac:dyDescent="0.25">
      <c r="A29" s="16">
        <v>26</v>
      </c>
      <c r="B29" s="26">
        <v>26</v>
      </c>
      <c r="C29" s="29"/>
      <c r="D29" s="19">
        <f>'26'!D3</f>
        <v>23</v>
      </c>
      <c r="E29" s="50">
        <f>'26'!D4</f>
        <v>0.65</v>
      </c>
      <c r="F29" s="50">
        <f>'26'!D2</f>
        <v>0.81</v>
      </c>
      <c r="G29" s="19">
        <f>'26'!G7</f>
        <v>20716</v>
      </c>
      <c r="H29" s="19">
        <f>'26'!G8</f>
        <v>20998</v>
      </c>
      <c r="I29" s="19">
        <v>9</v>
      </c>
      <c r="J29" s="49">
        <f t="shared" si="3"/>
        <v>188982</v>
      </c>
      <c r="K29" s="45">
        <f t="shared" si="4"/>
        <v>103.95049504950495</v>
      </c>
      <c r="L29" s="19">
        <f>'26'!G15</f>
        <v>1096</v>
      </c>
      <c r="M29" s="19">
        <v>56.2</v>
      </c>
      <c r="N29" s="41">
        <f t="shared" si="5"/>
        <v>61595.200000000004</v>
      </c>
      <c r="O29" s="19">
        <f>'26'!G20</f>
        <v>315</v>
      </c>
      <c r="P29" s="19">
        <v>108</v>
      </c>
      <c r="Q29" s="46">
        <f t="shared" si="0"/>
        <v>34020</v>
      </c>
      <c r="R29" s="47">
        <f t="shared" si="1"/>
        <v>192.51925192519252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106</v>
      </c>
      <c r="W29" s="22">
        <f>'26'!G66</f>
        <v>28</v>
      </c>
      <c r="X29" s="22">
        <f>'26'!G67</f>
        <v>73</v>
      </c>
      <c r="Y29" s="22">
        <f t="shared" si="7"/>
        <v>207</v>
      </c>
      <c r="Z29" s="19">
        <f>'26'!G84</f>
        <v>0</v>
      </c>
      <c r="AA29" s="19">
        <f>'26'!G85</f>
        <v>0</v>
      </c>
      <c r="AB29" s="19">
        <f>'26'!G86</f>
        <v>0</v>
      </c>
      <c r="AC29" s="19">
        <f>'26'!G87</f>
        <v>24</v>
      </c>
      <c r="AD29" s="19">
        <f t="shared" si="8"/>
        <v>24</v>
      </c>
      <c r="AE29" s="23">
        <f t="shared" si="2"/>
        <v>2872</v>
      </c>
      <c r="AF29" s="23">
        <f t="shared" si="9"/>
        <v>119.66666666666667</v>
      </c>
      <c r="AG29" s="19">
        <f>'26'!G88</f>
        <v>0.22000000000116415</v>
      </c>
      <c r="AH29" s="19">
        <f>'26'!G89</f>
        <v>10.68999999999869</v>
      </c>
      <c r="AI29" s="19">
        <f>'26'!G90</f>
        <v>7.6300000000046566</v>
      </c>
      <c r="AJ29" s="19">
        <f t="shared" si="10"/>
        <v>18.540000000004511</v>
      </c>
      <c r="AK29" s="19">
        <f>'26'!G91</f>
        <v>12.050000000000182</v>
      </c>
      <c r="AL29" s="19">
        <f>'26'!G92</f>
        <v>0</v>
      </c>
      <c r="AM29" s="19"/>
      <c r="AN29" s="19">
        <f t="shared" si="11"/>
        <v>12.050000000000182</v>
      </c>
      <c r="AO29" s="52">
        <f>'26'!G74</f>
        <v>329</v>
      </c>
      <c r="AP29" s="55">
        <f>'26'!G35</f>
        <v>1580</v>
      </c>
      <c r="AQ29" s="19">
        <f>'26'!G37</f>
        <v>1650</v>
      </c>
      <c r="AR29" s="19">
        <f>'26'!G38</f>
        <v>2135</v>
      </c>
      <c r="AS29" s="19">
        <f>'26'!G39</f>
        <v>3217</v>
      </c>
      <c r="AT29" s="19">
        <f>'26'!G40</f>
        <v>243</v>
      </c>
      <c r="AU29" s="19">
        <f>'26'!G41</f>
        <v>0</v>
      </c>
      <c r="AV29" s="19">
        <f>'26'!G42</f>
        <v>0</v>
      </c>
      <c r="AW29" s="19">
        <f>'26'!G43</f>
        <v>2098</v>
      </c>
      <c r="AX29" s="23">
        <f>'26'!G44</f>
        <v>0</v>
      </c>
      <c r="AY29" s="56">
        <f>'26'!G36</f>
        <v>936</v>
      </c>
      <c r="AZ29" s="55">
        <f>'26'!G49</f>
        <v>1479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537</v>
      </c>
      <c r="BE29" s="19">
        <f>'26'!G55</f>
        <v>0</v>
      </c>
      <c r="BF29" s="19">
        <f>'26'!G56</f>
        <v>2872</v>
      </c>
      <c r="BG29" s="19">
        <f>'26'!G57</f>
        <v>0</v>
      </c>
      <c r="BH29" s="56">
        <f>'26'!G50</f>
        <v>1027</v>
      </c>
      <c r="BI29" s="60">
        <f t="shared" si="12"/>
        <v>2872</v>
      </c>
      <c r="BJ29" s="60">
        <f>'26'!G133</f>
        <v>671</v>
      </c>
      <c r="BK29" s="23">
        <f t="shared" si="13"/>
        <v>38.236974949995236</v>
      </c>
      <c r="BL29" s="23">
        <f t="shared" si="14"/>
        <v>15.320506714925232</v>
      </c>
      <c r="BM29" s="24">
        <f t="shared" si="15"/>
        <v>0.10167635012858367</v>
      </c>
      <c r="BN29" s="25">
        <f t="shared" si="16"/>
        <v>284597.2</v>
      </c>
      <c r="BO29" s="38">
        <f t="shared" si="17"/>
        <v>5641</v>
      </c>
      <c r="BP29">
        <f t="shared" si="18"/>
        <v>0.83943452380952377</v>
      </c>
    </row>
    <row r="30" spans="1:68" x14ac:dyDescent="0.25">
      <c r="A30" s="16">
        <v>27</v>
      </c>
      <c r="B30" s="17">
        <v>27</v>
      </c>
      <c r="C30" s="28"/>
      <c r="D30" s="19">
        <f>'27'!D3</f>
        <v>24</v>
      </c>
      <c r="E30" s="50">
        <f>'27'!D4</f>
        <v>0.65</v>
      </c>
      <c r="F30" s="50">
        <f>'27'!D2</f>
        <v>0.6</v>
      </c>
      <c r="G30" s="19">
        <f>'27'!G7</f>
        <v>18836</v>
      </c>
      <c r="H30" s="19">
        <f>'27'!G8</f>
        <v>19054</v>
      </c>
      <c r="I30" s="19">
        <v>9</v>
      </c>
      <c r="J30" s="49">
        <f t="shared" si="3"/>
        <v>171486</v>
      </c>
      <c r="K30" s="45">
        <f t="shared" si="4"/>
        <v>94.32673267326733</v>
      </c>
      <c r="L30" s="19">
        <f>'27'!G15</f>
        <v>1097</v>
      </c>
      <c r="M30" s="19">
        <v>56.2</v>
      </c>
      <c r="N30" s="41">
        <f t="shared" si="5"/>
        <v>61651.4</v>
      </c>
      <c r="O30" s="19">
        <f>'27'!G20</f>
        <v>310</v>
      </c>
      <c r="P30" s="19">
        <v>108</v>
      </c>
      <c r="Q30" s="46">
        <f t="shared" si="0"/>
        <v>33480</v>
      </c>
      <c r="R30" s="47">
        <f t="shared" si="1"/>
        <v>255.77557755775578</v>
      </c>
      <c r="S30" s="19">
        <f>'27'!G24</f>
        <v>-1080</v>
      </c>
      <c r="T30" s="19">
        <v>69</v>
      </c>
      <c r="U30" s="48">
        <f t="shared" si="6"/>
        <v>-74520</v>
      </c>
      <c r="V30" s="22">
        <f>'27'!G65</f>
        <v>96</v>
      </c>
      <c r="W30" s="22">
        <f>'27'!G66</f>
        <v>27</v>
      </c>
      <c r="X30" s="22">
        <f>'27'!G67</f>
        <v>79</v>
      </c>
      <c r="Y30" s="22">
        <f t="shared" si="7"/>
        <v>202</v>
      </c>
      <c r="Z30" s="19">
        <f>'27'!G84</f>
        <v>0</v>
      </c>
      <c r="AA30" s="19">
        <f>'27'!G85</f>
        <v>0</v>
      </c>
      <c r="AB30" s="19">
        <f>'27'!G86</f>
        <v>0</v>
      </c>
      <c r="AC30" s="19">
        <f>'27'!G87</f>
        <v>24</v>
      </c>
      <c r="AD30" s="19">
        <f t="shared" si="8"/>
        <v>24</v>
      </c>
      <c r="AE30" s="23">
        <f t="shared" si="2"/>
        <v>2609</v>
      </c>
      <c r="AF30" s="23">
        <f t="shared" si="9"/>
        <v>108.70833333333333</v>
      </c>
      <c r="AG30" s="19">
        <f>'27'!G88</f>
        <v>0</v>
      </c>
      <c r="AH30" s="19">
        <f>'27'!G89</f>
        <v>10.229999999999563</v>
      </c>
      <c r="AI30" s="19">
        <f>'27'!G90</f>
        <v>7.1299999999901047</v>
      </c>
      <c r="AJ30" s="19">
        <f t="shared" si="10"/>
        <v>17.359999999989668</v>
      </c>
      <c r="AK30" s="19">
        <f>'27'!G91</f>
        <v>12.269999999999982</v>
      </c>
      <c r="AL30" s="19">
        <f>'27'!G92</f>
        <v>0</v>
      </c>
      <c r="AM30" s="19"/>
      <c r="AN30" s="19">
        <f t="shared" si="11"/>
        <v>12.269999999999982</v>
      </c>
      <c r="AO30" s="52">
        <f>'27'!G74</f>
        <v>334</v>
      </c>
      <c r="AP30" s="55">
        <f>'27'!G35</f>
        <v>1519</v>
      </c>
      <c r="AQ30" s="19">
        <f>'27'!G37</f>
        <v>1544</v>
      </c>
      <c r="AR30" s="19">
        <f>'27'!G38</f>
        <v>2085</v>
      </c>
      <c r="AS30" s="19">
        <f>'27'!G39</f>
        <v>3029</v>
      </c>
      <c r="AT30" s="19">
        <f>'27'!G40</f>
        <v>274</v>
      </c>
      <c r="AU30" s="19">
        <f>'27'!G41</f>
        <v>0</v>
      </c>
      <c r="AV30" s="19">
        <f>'27'!G42</f>
        <v>0</v>
      </c>
      <c r="AW30" s="19">
        <f>'27'!G43</f>
        <v>2201</v>
      </c>
      <c r="AX30" s="23">
        <f>'27'!G44</f>
        <v>0</v>
      </c>
      <c r="AY30" s="56">
        <f>'27'!G36</f>
        <v>804</v>
      </c>
      <c r="AZ30" s="55">
        <f>'27'!G49</f>
        <v>1297</v>
      </c>
      <c r="BA30" s="19">
        <f>'27'!G51</f>
        <v>76</v>
      </c>
      <c r="BB30" s="19">
        <f>'27'!G52</f>
        <v>10</v>
      </c>
      <c r="BC30" s="19">
        <f>'27'!G53</f>
        <v>0</v>
      </c>
      <c r="BD30" s="19">
        <f>'27'!G54</f>
        <v>528</v>
      </c>
      <c r="BE30" s="19">
        <f>'27'!G55</f>
        <v>0</v>
      </c>
      <c r="BF30" s="19">
        <f>'27'!G56</f>
        <v>2609</v>
      </c>
      <c r="BG30" s="19">
        <f>'27'!G57</f>
        <v>0</v>
      </c>
      <c r="BH30" s="56">
        <f>'27'!G50</f>
        <v>965</v>
      </c>
      <c r="BI30" s="60">
        <f t="shared" si="12"/>
        <v>2609</v>
      </c>
      <c r="BJ30" s="60">
        <f>'27'!G133</f>
        <v>647</v>
      </c>
      <c r="BK30" s="23">
        <f t="shared" si="13"/>
        <v>40.023092264091531</v>
      </c>
      <c r="BL30" s="23">
        <f t="shared" si="14"/>
        <v>15.896924530282355</v>
      </c>
      <c r="BM30" s="24">
        <f t="shared" si="15"/>
        <v>0.10995066652671355</v>
      </c>
      <c r="BN30" s="25">
        <f t="shared" si="16"/>
        <v>192097.40000000002</v>
      </c>
      <c r="BO30" s="38">
        <f t="shared" si="17"/>
        <v>5457</v>
      </c>
      <c r="BP30">
        <f t="shared" si="18"/>
        <v>0.81205357142857137</v>
      </c>
    </row>
    <row r="31" spans="1:68" x14ac:dyDescent="0.25">
      <c r="A31" s="16">
        <v>28</v>
      </c>
      <c r="B31" s="26">
        <v>28</v>
      </c>
      <c r="C31" s="28"/>
      <c r="D31" s="19">
        <f>'28'!D3</f>
        <v>23</v>
      </c>
      <c r="E31" s="50">
        <f>'28'!D4</f>
        <v>0.57999999999999996</v>
      </c>
      <c r="F31" s="50">
        <f>'28'!D2</f>
        <v>0.63</v>
      </c>
      <c r="G31" s="19">
        <f>'28'!G7</f>
        <v>29214</v>
      </c>
      <c r="H31" s="19">
        <f>'28'!G8</f>
        <v>20000</v>
      </c>
      <c r="I31" s="19">
        <v>9</v>
      </c>
      <c r="J31" s="49">
        <f t="shared" si="3"/>
        <v>180000</v>
      </c>
      <c r="K31" s="45">
        <f t="shared" si="4"/>
        <v>99.009900990099013</v>
      </c>
      <c r="L31" s="19">
        <f>'28'!G15</f>
        <v>1100</v>
      </c>
      <c r="M31" s="19">
        <v>56.2</v>
      </c>
      <c r="N31" s="41">
        <f t="shared" si="5"/>
        <v>61820</v>
      </c>
      <c r="O31" s="19">
        <f>'28'!G20</f>
        <v>-1570</v>
      </c>
      <c r="P31" s="19">
        <v>108</v>
      </c>
      <c r="Q31" s="46">
        <f t="shared" si="0"/>
        <v>-169560</v>
      </c>
      <c r="R31" s="47">
        <f t="shared" si="1"/>
        <v>-1233.6947980512336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-3006</v>
      </c>
      <c r="W31" s="22">
        <f>'28'!G66</f>
        <v>-729</v>
      </c>
      <c r="X31" s="22">
        <f>'28'!G67</f>
        <v>-1614</v>
      </c>
      <c r="Y31" s="22">
        <f t="shared" si="7"/>
        <v>-5349</v>
      </c>
      <c r="Z31" s="19">
        <f>'28'!G84</f>
        <v>0</v>
      </c>
      <c r="AA31" s="19">
        <f>'28'!G85</f>
        <v>-491</v>
      </c>
      <c r="AB31" s="19">
        <f>'28'!G86</f>
        <v>-122</v>
      </c>
      <c r="AC31" s="19">
        <f>'28'!G87</f>
        <v>-111.44999999999709</v>
      </c>
      <c r="AD31" s="19">
        <f t="shared" si="8"/>
        <v>-724.44999999999709</v>
      </c>
      <c r="AE31" s="23">
        <f t="shared" si="2"/>
        <v>-119224.45999999999</v>
      </c>
      <c r="AF31" s="23">
        <f t="shared" si="9"/>
        <v>164.57237904617361</v>
      </c>
      <c r="AG31" s="19">
        <f>'28'!G88</f>
        <v>-13.790000000000873</v>
      </c>
      <c r="AH31" s="19">
        <f>'28'!G89</f>
        <v>-304.23999999999796</v>
      </c>
      <c r="AI31" s="19">
        <f>'28'!G90</f>
        <v>-145.61000000000058</v>
      </c>
      <c r="AJ31" s="19">
        <f t="shared" si="10"/>
        <v>-463.63999999999942</v>
      </c>
      <c r="AK31" s="19">
        <f>'28'!G91</f>
        <v>0</v>
      </c>
      <c r="AL31" s="19">
        <f>'28'!G92</f>
        <v>-8.9200000000000728</v>
      </c>
      <c r="AM31" s="19"/>
      <c r="AN31" s="19">
        <f t="shared" si="11"/>
        <v>-8.9200000000000728</v>
      </c>
      <c r="AO31" s="52">
        <f>'28'!G74</f>
        <v>-9093</v>
      </c>
      <c r="AP31" s="55">
        <f>'28'!G35</f>
        <v>-44539</v>
      </c>
      <c r="AQ31" s="19">
        <f>'28'!G37</f>
        <v>-49706</v>
      </c>
      <c r="AR31" s="19">
        <f>'28'!G38</f>
        <v>-59477</v>
      </c>
      <c r="AS31" s="19">
        <f>'28'!G39</f>
        <v>-89484</v>
      </c>
      <c r="AT31" s="19">
        <f>'28'!G40</f>
        <v>-13183</v>
      </c>
      <c r="AU31" s="19">
        <f>'28'!G41</f>
        <v>-63</v>
      </c>
      <c r="AV31" s="19">
        <f>'28'!G42</f>
        <v>-88780</v>
      </c>
      <c r="AW31" s="86">
        <f>'28'!G43</f>
        <v>-63154</v>
      </c>
      <c r="AX31" s="23">
        <f>'28'!G44</f>
        <v>0</v>
      </c>
      <c r="AY31" s="56">
        <f>'28'!G36</f>
        <v>-28127</v>
      </c>
      <c r="AZ31" s="55">
        <f>'28'!G49</f>
        <v>-40288</v>
      </c>
      <c r="BA31" s="19">
        <f>'28'!G51</f>
        <v>-76</v>
      </c>
      <c r="BB31" s="19">
        <f>'28'!G52</f>
        <v>-10</v>
      </c>
      <c r="BC31" s="19">
        <f>'28'!G53</f>
        <v>0</v>
      </c>
      <c r="BD31" s="19">
        <f>'28'!G54</f>
        <v>-13608</v>
      </c>
      <c r="BE31" s="19">
        <f>'28'!G55</f>
        <v>-16213</v>
      </c>
      <c r="BF31" s="19">
        <f>'28'!G56</f>
        <v>-14168.46</v>
      </c>
      <c r="BG31" s="19">
        <f>'28'!G57</f>
        <v>0</v>
      </c>
      <c r="BH31" s="56">
        <f>'28'!G50</f>
        <v>-35448</v>
      </c>
      <c r="BI31" s="60">
        <f t="shared" si="12"/>
        <v>-119224.45999999999</v>
      </c>
      <c r="BJ31" s="60">
        <f>'28'!G133</f>
        <v>-18766</v>
      </c>
      <c r="BK31" s="23">
        <f>SUM(AP31,AU31,AV31,AW31,AZ31,BE31,BF31,BG31)/H31%</f>
        <v>-1336.0273000000002</v>
      </c>
      <c r="BL31" s="23">
        <f t="shared" si="14"/>
        <v>-447.42</v>
      </c>
      <c r="BM31" s="24">
        <f t="shared" si="15"/>
        <v>-2.9743499999999998</v>
      </c>
      <c r="BN31" s="25">
        <f t="shared" si="16"/>
        <v>72260</v>
      </c>
      <c r="BO31" s="38">
        <f t="shared" si="17"/>
        <v>-201144.46</v>
      </c>
      <c r="BP31">
        <f t="shared" si="18"/>
        <v>0.99161166599292472</v>
      </c>
    </row>
    <row r="32" spans="1:68" x14ac:dyDescent="0.25">
      <c r="A32" s="16">
        <v>29</v>
      </c>
      <c r="B32" s="26">
        <v>29</v>
      </c>
      <c r="C32" s="28"/>
      <c r="D32" s="19">
        <f>'29'!D3</f>
        <v>23</v>
      </c>
      <c r="E32" s="50">
        <f>'29'!D4</f>
        <v>0.57999999999999996</v>
      </c>
      <c r="F32" s="50">
        <f>'29'!D2</f>
        <v>0.76</v>
      </c>
      <c r="G32" s="19">
        <f>'29'!G7</f>
        <v>22000</v>
      </c>
      <c r="H32" s="19">
        <f>'29'!G8</f>
        <v>20000</v>
      </c>
      <c r="I32" s="19">
        <v>9</v>
      </c>
      <c r="J32" s="49">
        <f t="shared" si="3"/>
        <v>180000</v>
      </c>
      <c r="K32" s="45">
        <f t="shared" si="4"/>
        <v>99.009900990099013</v>
      </c>
      <c r="L32" s="19">
        <f>'29'!G15</f>
        <v>1100</v>
      </c>
      <c r="M32" s="19">
        <v>56.2</v>
      </c>
      <c r="N32" s="41">
        <f t="shared" si="5"/>
        <v>61820</v>
      </c>
      <c r="O32" s="19">
        <f>'29'!G20</f>
        <v>312</v>
      </c>
      <c r="P32" s="19">
        <v>108</v>
      </c>
      <c r="Q32" s="46">
        <f t="shared" si="0"/>
        <v>33696</v>
      </c>
      <c r="R32" s="47">
        <f t="shared" si="1"/>
        <v>203.23084940072954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84</v>
      </c>
      <c r="W32" s="22">
        <f>'29'!G66</f>
        <v>22</v>
      </c>
      <c r="X32" s="22">
        <f>'29'!G67</f>
        <v>25</v>
      </c>
      <c r="Y32" s="22">
        <f t="shared" si="7"/>
        <v>131</v>
      </c>
      <c r="Z32" s="19">
        <f>'29'!G84</f>
        <v>-0.13999999999941792</v>
      </c>
      <c r="AA32" s="19">
        <f>'29'!G85</f>
        <v>24</v>
      </c>
      <c r="AB32" s="19">
        <f>'29'!G86</f>
        <v>0</v>
      </c>
      <c r="AC32" s="19">
        <f>'29'!G87</f>
        <v>0</v>
      </c>
      <c r="AD32" s="19">
        <f t="shared" si="8"/>
        <v>23.860000000000582</v>
      </c>
      <c r="AE32" s="23">
        <f t="shared" si="2"/>
        <v>3572</v>
      </c>
      <c r="AF32" s="23">
        <f t="shared" si="9"/>
        <v>149.70662196143809</v>
      </c>
      <c r="AG32" s="19">
        <f>'29'!G88</f>
        <v>0</v>
      </c>
      <c r="AH32" s="19">
        <f>'29'!G89</f>
        <v>9.930000000000291</v>
      </c>
      <c r="AI32" s="19">
        <f>'29'!G90</f>
        <v>0.930000000007567</v>
      </c>
      <c r="AJ32" s="19">
        <f t="shared" si="10"/>
        <v>10.860000000007858</v>
      </c>
      <c r="AK32" s="19">
        <f>'29'!G91</f>
        <v>2.0100000000002183</v>
      </c>
      <c r="AL32" s="19">
        <f>'29'!G92</f>
        <v>8.9899999999997817</v>
      </c>
      <c r="AM32" s="19"/>
      <c r="AN32" s="19">
        <f t="shared" si="11"/>
        <v>11</v>
      </c>
      <c r="AO32" s="52">
        <f>'29'!G74</f>
        <v>303</v>
      </c>
      <c r="AP32" s="55">
        <f>'29'!G35</f>
        <v>1192</v>
      </c>
      <c r="AQ32" s="19">
        <f>'29'!G37</f>
        <v>1611</v>
      </c>
      <c r="AR32" s="19">
        <f>'29'!G38</f>
        <v>1750</v>
      </c>
      <c r="AS32" s="19">
        <f>'29'!G39</f>
        <v>2606</v>
      </c>
      <c r="AT32" s="19">
        <f>'29'!G40</f>
        <v>553</v>
      </c>
      <c r="AU32" s="19">
        <f>'29'!G41</f>
        <v>0</v>
      </c>
      <c r="AV32" s="19">
        <f>'29'!G42</f>
        <v>3572</v>
      </c>
      <c r="AW32" s="19">
        <f>'29'!G43</f>
        <v>2065</v>
      </c>
      <c r="AX32" s="23">
        <f>'29'!G44</f>
        <v>0</v>
      </c>
      <c r="AY32" s="56">
        <f>'29'!G36</f>
        <v>695</v>
      </c>
      <c r="AZ32" s="55">
        <f>'29'!G49</f>
        <v>916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0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983</v>
      </c>
      <c r="BI32" s="60">
        <f t="shared" si="12"/>
        <v>3572</v>
      </c>
      <c r="BJ32" s="60">
        <f>'29'!G133</f>
        <v>494</v>
      </c>
      <c r="BK32" s="23">
        <f t="shared" si="13"/>
        <v>38.725000000000001</v>
      </c>
      <c r="BL32" s="23">
        <f t="shared" si="14"/>
        <v>13.03</v>
      </c>
      <c r="BM32" s="24">
        <f t="shared" si="15"/>
        <v>8.7499999999999994E-2</v>
      </c>
      <c r="BN32" s="25">
        <f t="shared" si="16"/>
        <v>275516</v>
      </c>
      <c r="BO32" s="38">
        <f t="shared" si="17"/>
        <v>6131</v>
      </c>
      <c r="BP32">
        <f t="shared" si="18"/>
        <v>0.91770446653093196</v>
      </c>
    </row>
    <row r="33" spans="1:68" x14ac:dyDescent="0.25">
      <c r="A33" s="16">
        <v>30</v>
      </c>
      <c r="B33" s="27">
        <v>30</v>
      </c>
      <c r="C33" s="28"/>
      <c r="D33" s="19">
        <f>'30'!D3</f>
        <v>23</v>
      </c>
      <c r="E33" s="50">
        <f>'30'!D4</f>
        <v>0.57999999999999996</v>
      </c>
      <c r="F33" s="50">
        <f>'30'!D2</f>
        <v>0.46</v>
      </c>
      <c r="G33" s="19">
        <f>'30'!G7</f>
        <v>22000</v>
      </c>
      <c r="H33" s="19">
        <f>'30'!G8</f>
        <v>20000</v>
      </c>
      <c r="I33" s="19">
        <v>9</v>
      </c>
      <c r="J33" s="49">
        <f t="shared" si="3"/>
        <v>180000</v>
      </c>
      <c r="K33" s="45">
        <f t="shared" si="4"/>
        <v>99.009900990099013</v>
      </c>
      <c r="L33" s="19">
        <f>'30'!G15</f>
        <v>1100</v>
      </c>
      <c r="M33" s="19">
        <v>56.2</v>
      </c>
      <c r="N33" s="41">
        <f t="shared" si="5"/>
        <v>61820</v>
      </c>
      <c r="O33" s="19">
        <f>'30'!G20</f>
        <v>226</v>
      </c>
      <c r="P33" s="19">
        <v>108</v>
      </c>
      <c r="Q33" s="46">
        <f t="shared" si="0"/>
        <v>24408</v>
      </c>
      <c r="R33" s="47">
        <f t="shared" si="1"/>
        <v>243.21997417133016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80</v>
      </c>
      <c r="W33" s="22">
        <f>'30'!G66</f>
        <v>27</v>
      </c>
      <c r="X33" s="22">
        <f>'30'!G67</f>
        <v>32</v>
      </c>
      <c r="Y33" s="22">
        <f t="shared" si="7"/>
        <v>139</v>
      </c>
      <c r="Z33" s="19">
        <f>'30'!G84</f>
        <v>0</v>
      </c>
      <c r="AA33" s="19">
        <f>'30'!G85</f>
        <v>24</v>
      </c>
      <c r="AB33" s="19">
        <f>'30'!G86</f>
        <v>0</v>
      </c>
      <c r="AC33" s="19">
        <f>'30'!G87</f>
        <v>0</v>
      </c>
      <c r="AD33" s="19">
        <f t="shared" si="8"/>
        <v>24</v>
      </c>
      <c r="AE33" s="23">
        <f t="shared" si="2"/>
        <v>3884</v>
      </c>
      <c r="AF33" s="23">
        <f t="shared" si="9"/>
        <v>161.83333333333334</v>
      </c>
      <c r="AG33" s="19">
        <f>'30'!G88</f>
        <v>0</v>
      </c>
      <c r="AH33" s="19">
        <f>'30'!G89</f>
        <v>9.2099999999991269</v>
      </c>
      <c r="AI33" s="19">
        <f>'30'!G90</f>
        <v>1.9199999999982538</v>
      </c>
      <c r="AJ33" s="19">
        <f t="shared" si="10"/>
        <v>11.129999999997381</v>
      </c>
      <c r="AK33" s="19">
        <f>'30'!G91</f>
        <v>11.609999999999673</v>
      </c>
      <c r="AL33" s="19">
        <f>'30'!G92</f>
        <v>0</v>
      </c>
      <c r="AM33" s="19"/>
      <c r="AN33" s="19">
        <f t="shared" si="11"/>
        <v>11.609999999999673</v>
      </c>
      <c r="AO33" s="52">
        <f>'30'!G74</f>
        <v>308</v>
      </c>
      <c r="AP33" s="55">
        <f>'30'!G35</f>
        <v>1206</v>
      </c>
      <c r="AQ33" s="19">
        <f>'30'!G37</f>
        <v>1553</v>
      </c>
      <c r="AR33" s="19">
        <f>'30'!G38</f>
        <v>1629</v>
      </c>
      <c r="AS33" s="19">
        <f>'30'!G39</f>
        <v>2616</v>
      </c>
      <c r="AT33" s="19">
        <f>'30'!G40</f>
        <v>798</v>
      </c>
      <c r="AU33" s="19">
        <f>'30'!G41</f>
        <v>0</v>
      </c>
      <c r="AV33" s="19">
        <f>'30'!G42</f>
        <v>3884</v>
      </c>
      <c r="AW33" s="19">
        <f>'30'!G43</f>
        <v>1898</v>
      </c>
      <c r="AX33" s="23">
        <f>'30'!G44</f>
        <v>0</v>
      </c>
      <c r="AY33" s="56">
        <f>'30'!G36</f>
        <v>846</v>
      </c>
      <c r="AZ33" s="55">
        <f>'30'!G49</f>
        <v>871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1051</v>
      </c>
      <c r="BI33" s="60">
        <f t="shared" ref="BI33" si="19">SUM(AU33,AV33,BE33,BF33)</f>
        <v>3884</v>
      </c>
      <c r="BJ33" s="60">
        <f>'30'!G133</f>
        <v>496</v>
      </c>
      <c r="BK33" s="23">
        <f t="shared" si="13"/>
        <v>39.295000000000002</v>
      </c>
      <c r="BL33" s="23">
        <f t="shared" si="14"/>
        <v>13.08</v>
      </c>
      <c r="BM33" s="24">
        <f t="shared" si="15"/>
        <v>8.1449999999999995E-2</v>
      </c>
      <c r="BN33" s="25">
        <f t="shared" si="16"/>
        <v>266228</v>
      </c>
      <c r="BO33" s="38">
        <f t="shared" si="17"/>
        <v>6278</v>
      </c>
      <c r="BP33">
        <f t="shared" si="18"/>
        <v>0.93422619047619049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23</v>
      </c>
      <c r="G34" s="19">
        <f>'31'!G7</f>
        <v>22000</v>
      </c>
      <c r="H34" s="19">
        <f>'31'!G8</f>
        <v>20000</v>
      </c>
      <c r="I34" s="19">
        <v>9</v>
      </c>
      <c r="J34" s="49">
        <f t="shared" si="3"/>
        <v>180000</v>
      </c>
      <c r="K34" s="45">
        <f t="shared" ref="K34" si="20">H34/202</f>
        <v>99.009900990099013</v>
      </c>
      <c r="L34" s="19">
        <f>'31'!G15</f>
        <v>1100</v>
      </c>
      <c r="M34" s="19">
        <v>56.2</v>
      </c>
      <c r="N34" s="41">
        <f t="shared" ref="N34" si="21">L34*M34</f>
        <v>61820</v>
      </c>
      <c r="O34" s="19">
        <f>'31'!G20</f>
        <v>146</v>
      </c>
      <c r="P34" s="19">
        <v>108</v>
      </c>
      <c r="Q34" s="46">
        <f t="shared" ref="Q34" si="22">O34*P34</f>
        <v>15768</v>
      </c>
      <c r="R34" s="47">
        <f t="shared" si="1"/>
        <v>3.1424881618596641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74</v>
      </c>
      <c r="W34" s="22">
        <f>'31'!G66</f>
        <v>15</v>
      </c>
      <c r="X34" s="22">
        <f>'31'!G67</f>
        <v>20</v>
      </c>
      <c r="Y34" s="22">
        <f t="shared" ref="Y34" si="24">V34+W34+X34</f>
        <v>109</v>
      </c>
      <c r="Z34" s="19">
        <f>'31'!G84</f>
        <v>-0.26000000000203727</v>
      </c>
      <c r="AA34" s="19">
        <f>'31'!G85</f>
        <v>24</v>
      </c>
      <c r="AB34" s="19">
        <f>'31'!G86</f>
        <v>0</v>
      </c>
      <c r="AC34" s="19">
        <f>'31'!G87</f>
        <v>-5.0000000002910383E-2</v>
      </c>
      <c r="AD34" s="19">
        <f t="shared" ref="AD34" si="25">Z34+AA34+AB34+AC34</f>
        <v>23.689999999995052</v>
      </c>
      <c r="AE34" s="23">
        <f t="shared" ref="AE34" si="26">AU34+AV34+BE34+BF34</f>
        <v>4318.8500000000058</v>
      </c>
      <c r="AF34" s="23">
        <f t="shared" ref="AF34" si="27">AE34/AD34</f>
        <v>182.30688054035068</v>
      </c>
      <c r="AG34" s="19">
        <f>'31'!G88</f>
        <v>0</v>
      </c>
      <c r="AH34" s="19">
        <f>'31'!G89</f>
        <v>9.2999999999992724</v>
      </c>
      <c r="AI34" s="19">
        <f>'31'!G90</f>
        <v>2.3200000000069849</v>
      </c>
      <c r="AJ34" s="19">
        <f t="shared" ref="AJ34" si="28">AG34+AH34+AI34</f>
        <v>11.620000000006257</v>
      </c>
      <c r="AK34" s="19">
        <f>'31'!G91</f>
        <v>11.470000000000255</v>
      </c>
      <c r="AL34" s="19">
        <f>'31'!G92</f>
        <v>0</v>
      </c>
      <c r="AM34" s="19"/>
      <c r="AN34" s="19">
        <f t="shared" ref="AN34" si="29">AK34+AL34</f>
        <v>11.470000000000255</v>
      </c>
      <c r="AO34" s="52">
        <f>'31'!G74</f>
        <v>294.14899999997579</v>
      </c>
      <c r="AP34" s="55">
        <f>'31'!G35</f>
        <v>1252.9799999999996</v>
      </c>
      <c r="AQ34" s="19">
        <f>'31'!G37</f>
        <v>1588.0899999999965</v>
      </c>
      <c r="AR34" s="19">
        <f>'31'!G38</f>
        <v>1627.4300000000003</v>
      </c>
      <c r="AS34" s="19">
        <f>'31'!G39</f>
        <v>2649.2900000000009</v>
      </c>
      <c r="AT34" s="19">
        <f>'31'!G40</f>
        <v>971.86000000000058</v>
      </c>
      <c r="AU34" s="19">
        <f>'31'!G41</f>
        <v>0</v>
      </c>
      <c r="AV34" s="19">
        <f>'31'!G42</f>
        <v>4318.7400000000052</v>
      </c>
      <c r="AW34" s="19">
        <f>'31'!G43</f>
        <v>1885.6000000000058</v>
      </c>
      <c r="AX34" s="23">
        <f>'31'!G44</f>
        <v>0</v>
      </c>
      <c r="AY34" s="56">
        <f>'31'!G36</f>
        <v>638.73999999999796</v>
      </c>
      <c r="AZ34" s="55">
        <f>'31'!G49</f>
        <v>857.18999999999869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0.42000000000007276</v>
      </c>
      <c r="BE34" s="19">
        <f>'31'!G55</f>
        <v>0.11000000000058208</v>
      </c>
      <c r="BF34" s="19">
        <f>'31'!G56</f>
        <v>0</v>
      </c>
      <c r="BG34" s="19">
        <f>'31'!G57</f>
        <v>0</v>
      </c>
      <c r="BH34" s="56">
        <f>'31'!G50</f>
        <v>1070.6299999999974</v>
      </c>
      <c r="BI34" s="60">
        <f t="shared" ref="BI34" si="30">SUM(AU34,AV34,BE34,BF34)</f>
        <v>4318.8500000000058</v>
      </c>
      <c r="BJ34" s="60">
        <f>'31'!G133</f>
        <v>437.69999999999709</v>
      </c>
      <c r="BK34" s="23">
        <f t="shared" ref="BK34" si="31">SUM(AP34,AU34,AV34,AW34,AZ34,BE34,BF34,BG34)/H34%</f>
        <v>41.573100000000046</v>
      </c>
      <c r="BL34" s="23">
        <f t="shared" ref="BL34" si="32">SUM(AS34,BC34)/H34%</f>
        <v>13.246450000000005</v>
      </c>
      <c r="BM34" s="24">
        <f t="shared" ref="BM34" si="33">(AR34+BB34)/H34</f>
        <v>8.1371500000000013E-2</v>
      </c>
      <c r="BN34" s="25">
        <f t="shared" ref="BN34" si="34">J34+N34+Q34+U34</f>
        <v>257588</v>
      </c>
      <c r="BO34" s="38">
        <f t="shared" ref="BO34" si="35">SUM(AU34,AV34,AW34,BE34,BF34,BG34,BJ34)</f>
        <v>6642.1500000000087</v>
      </c>
      <c r="BP34">
        <f t="shared" ref="BP34" si="36">BO34/(AD34*280)</f>
        <v>1.0013492733524387</v>
      </c>
    </row>
    <row r="35" spans="1:68" x14ac:dyDescent="0.25">
      <c r="A35" s="16" t="s">
        <v>196</v>
      </c>
      <c r="B35" s="30"/>
      <c r="C35" s="31"/>
      <c r="D35" s="32">
        <f>AVERAGE(D4:D34)</f>
        <v>25.166666666666668</v>
      </c>
      <c r="E35" s="33"/>
      <c r="F35" s="73">
        <f>AVERAGE(F4:F34)</f>
        <v>1.3795129032258064</v>
      </c>
      <c r="G35" s="34">
        <f>SUM(G4:G34)</f>
        <v>645028.77</v>
      </c>
      <c r="H35" s="34">
        <f t="shared" ref="H35:BN35" si="37">SUM(H4:H34)</f>
        <v>633832.44999999995</v>
      </c>
      <c r="I35" s="19">
        <v>9</v>
      </c>
      <c r="J35" s="34">
        <f t="shared" si="37"/>
        <v>5704492.0500000007</v>
      </c>
      <c r="K35" s="34">
        <f t="shared" si="37"/>
        <v>3137.7844059405948</v>
      </c>
      <c r="L35" s="34">
        <f t="shared" si="37"/>
        <v>33553.233000000007</v>
      </c>
      <c r="M35" s="34">
        <f t="shared" si="37"/>
        <v>1742.200000000001</v>
      </c>
      <c r="N35" s="34">
        <f t="shared" si="37"/>
        <v>1885691.6946</v>
      </c>
      <c r="O35" s="34">
        <f t="shared" si="37"/>
        <v>6750</v>
      </c>
      <c r="P35" s="34">
        <f t="shared" si="37"/>
        <v>3348</v>
      </c>
      <c r="Q35" s="34">
        <f t="shared" si="37"/>
        <v>729000</v>
      </c>
      <c r="R35" s="34">
        <f t="shared" si="37"/>
        <v>5492.6274607216274</v>
      </c>
      <c r="S35" s="34">
        <f t="shared" si="37"/>
        <v>-1080</v>
      </c>
      <c r="T35" s="34">
        <f t="shared" si="37"/>
        <v>2140</v>
      </c>
      <c r="U35" s="34">
        <f t="shared" si="37"/>
        <v>-74520</v>
      </c>
      <c r="V35" s="34">
        <f t="shared" si="37"/>
        <v>434994</v>
      </c>
      <c r="W35" s="34">
        <f t="shared" si="37"/>
        <v>445</v>
      </c>
      <c r="X35" s="34">
        <f t="shared" si="37"/>
        <v>0</v>
      </c>
      <c r="Y35" s="34">
        <f t="shared" si="37"/>
        <v>435439</v>
      </c>
      <c r="Z35" s="34">
        <f t="shared" si="37"/>
        <v>0</v>
      </c>
      <c r="AA35" s="34">
        <f t="shared" si="37"/>
        <v>1.5799999999999272</v>
      </c>
      <c r="AB35" s="34">
        <f t="shared" si="37"/>
        <v>0</v>
      </c>
      <c r="AC35" s="34">
        <f t="shared" si="37"/>
        <v>0</v>
      </c>
      <c r="AD35" s="34">
        <f t="shared" si="37"/>
        <v>1.5799999999999272</v>
      </c>
      <c r="AE35" s="34">
        <f t="shared" si="37"/>
        <v>-62.729999999995925</v>
      </c>
      <c r="AF35" s="34">
        <f t="shared" si="37"/>
        <v>5087.5741911859295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329.07000000000016</v>
      </c>
      <c r="AL35" s="34">
        <f t="shared" si="37"/>
        <v>0</v>
      </c>
      <c r="AM35" s="34">
        <f t="shared" si="37"/>
        <v>0</v>
      </c>
      <c r="AN35" s="34">
        <f t="shared" si="37"/>
        <v>329.07000000000016</v>
      </c>
      <c r="AO35" s="34">
        <f t="shared" si="37"/>
        <v>-294</v>
      </c>
      <c r="AP35" s="34">
        <f t="shared" si="37"/>
        <v>3.637978807091713E-12</v>
      </c>
      <c r="AQ35" s="34">
        <f t="shared" si="37"/>
        <v>0</v>
      </c>
      <c r="AR35" s="34">
        <f t="shared" si="37"/>
        <v>0</v>
      </c>
      <c r="AS35" s="34">
        <f t="shared" si="37"/>
        <v>7.2759576141834259E-12</v>
      </c>
      <c r="AT35" s="34">
        <f t="shared" si="37"/>
        <v>-867.13000000000102</v>
      </c>
      <c r="AU35" s="34">
        <f t="shared" si="37"/>
        <v>-62.73</v>
      </c>
      <c r="AV35" s="34">
        <f t="shared" si="37"/>
        <v>0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-3.637978807091713E-12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-1</v>
      </c>
      <c r="BE35" s="34">
        <f t="shared" si="37"/>
        <v>0</v>
      </c>
      <c r="BF35" s="34">
        <f t="shared" si="37"/>
        <v>0</v>
      </c>
      <c r="BG35" s="34">
        <f t="shared" si="37"/>
        <v>0</v>
      </c>
      <c r="BH35" s="34">
        <f t="shared" si="37"/>
        <v>0</v>
      </c>
      <c r="BI35" s="34">
        <f t="shared" si="37"/>
        <v>-62.729999999995925</v>
      </c>
      <c r="BJ35" s="34">
        <f t="shared" si="37"/>
        <v>-11.039999999964493</v>
      </c>
      <c r="BK35" s="34">
        <f t="shared" si="37"/>
        <v>-30.400770374372094</v>
      </c>
      <c r="BL35" s="34">
        <f t="shared" si="37"/>
        <v>-10.153402423918513</v>
      </c>
      <c r="BM35" s="34">
        <f t="shared" si="37"/>
        <v>-6.8451402767672226E-2</v>
      </c>
      <c r="BN35" s="34">
        <f t="shared" si="37"/>
        <v>8244663.7446000008</v>
      </c>
      <c r="BO35" s="38">
        <f t="shared" si="17"/>
        <v>-73.769999999964483</v>
      </c>
      <c r="BP35">
        <f t="shared" si="18"/>
        <v>-0.1667495479203614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3</v>
      </c>
      <c r="E36" s="35">
        <f t="shared" si="38"/>
        <v>-9.9999999999999978E-2</v>
      </c>
      <c r="F36" s="35">
        <f t="shared" si="38"/>
        <v>4.9999999999999989E-2</v>
      </c>
      <c r="G36" s="35"/>
      <c r="H36" s="35">
        <f t="shared" ref="H36:AN36" si="39">H18-H17</f>
        <v>-161</v>
      </c>
      <c r="I36" s="35">
        <f t="shared" si="39"/>
        <v>0</v>
      </c>
      <c r="J36" s="42">
        <f t="shared" si="39"/>
        <v>-1449</v>
      </c>
      <c r="K36" s="42">
        <f t="shared" si="39"/>
        <v>-0.79702970297030618</v>
      </c>
      <c r="L36" s="35">
        <f t="shared" si="39"/>
        <v>40.28000000002794</v>
      </c>
      <c r="M36" s="35">
        <f t="shared" si="39"/>
        <v>0</v>
      </c>
      <c r="N36" s="42">
        <f t="shared" si="39"/>
        <v>2263.736000001576</v>
      </c>
      <c r="O36" s="35">
        <f t="shared" si="39"/>
        <v>20</v>
      </c>
      <c r="P36" s="35">
        <f t="shared" si="39"/>
        <v>0</v>
      </c>
      <c r="Q36" s="42">
        <f t="shared" si="39"/>
        <v>2160</v>
      </c>
      <c r="R36" s="42">
        <f t="shared" si="39"/>
        <v>-12.761276127612746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-16</v>
      </c>
      <c r="W36" s="35">
        <f t="shared" si="39"/>
        <v>4</v>
      </c>
      <c r="X36" s="35">
        <f t="shared" si="39"/>
        <v>2</v>
      </c>
      <c r="Y36" s="35">
        <f t="shared" si="39"/>
        <v>-10</v>
      </c>
      <c r="Z36" s="35">
        <f t="shared" si="39"/>
        <v>0</v>
      </c>
      <c r="AA36" s="35">
        <f t="shared" si="39"/>
        <v>0</v>
      </c>
      <c r="AB36" s="35">
        <f t="shared" si="39"/>
        <v>0</v>
      </c>
      <c r="AC36" s="35">
        <f t="shared" si="39"/>
        <v>0</v>
      </c>
      <c r="AD36" s="35">
        <f t="shared" si="39"/>
        <v>0</v>
      </c>
      <c r="AE36" s="35">
        <f t="shared" si="39"/>
        <v>-37.46000000001186</v>
      </c>
      <c r="AF36" s="35">
        <f t="shared" si="39"/>
        <v>-1.560833333333818</v>
      </c>
      <c r="AG36" s="35">
        <f t="shared" si="39"/>
        <v>-0.98999999999796273</v>
      </c>
      <c r="AH36" s="35">
        <f t="shared" si="39"/>
        <v>1.3500000000021828</v>
      </c>
      <c r="AI36" s="35">
        <f t="shared" si="39"/>
        <v>1.7799999999988358</v>
      </c>
      <c r="AJ36" s="35">
        <f t="shared" si="39"/>
        <v>2.1400000000030559</v>
      </c>
      <c r="AK36" s="35">
        <f t="shared" si="39"/>
        <v>-0.58000000000038199</v>
      </c>
      <c r="AL36" s="35">
        <f t="shared" si="39"/>
        <v>0</v>
      </c>
      <c r="AM36" s="35">
        <f t="shared" si="39"/>
        <v>0</v>
      </c>
      <c r="AN36" s="35">
        <f t="shared" si="39"/>
        <v>-0.58000000000038199</v>
      </c>
      <c r="AO36" s="35"/>
      <c r="AP36" s="35">
        <f t="shared" ref="AP36:AW36" si="40">AP18-AP17</f>
        <v>30.129999999997381</v>
      </c>
      <c r="AQ36" s="35">
        <f t="shared" si="40"/>
        <v>34.69999999999709</v>
      </c>
      <c r="AR36" s="35">
        <f t="shared" si="40"/>
        <v>-68.399999999994179</v>
      </c>
      <c r="AS36" s="35">
        <f t="shared" si="40"/>
        <v>-23.80000000000291</v>
      </c>
      <c r="AT36" s="35">
        <f t="shared" si="40"/>
        <v>-555.79999999999927</v>
      </c>
      <c r="AU36" s="35">
        <f t="shared" si="40"/>
        <v>0</v>
      </c>
      <c r="AV36" s="35">
        <f t="shared" si="40"/>
        <v>-36.980000000010477</v>
      </c>
      <c r="AW36" s="35">
        <f t="shared" si="40"/>
        <v>-6.4200000000128057</v>
      </c>
      <c r="AX36" s="35"/>
      <c r="AY36" s="35"/>
      <c r="AZ36" s="35">
        <f t="shared" ref="AZ36:BG36" si="41">AZ18-AZ17</f>
        <v>-6.0999999999985448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-1.7099999999991269</v>
      </c>
      <c r="BE36" s="35">
        <f t="shared" si="41"/>
        <v>-0.11000000000058208</v>
      </c>
      <c r="BF36" s="35">
        <f t="shared" si="41"/>
        <v>-0.37000000000080036</v>
      </c>
      <c r="BG36" s="35">
        <f t="shared" si="41"/>
        <v>0</v>
      </c>
      <c r="BH36" s="35"/>
      <c r="BI36" s="35"/>
      <c r="BJ36" s="35"/>
      <c r="BK36" s="35">
        <f>BK18-BK17</f>
        <v>0.2550869457927547</v>
      </c>
      <c r="BL36" s="35">
        <f>BL18-BL17</f>
        <v>2.5147172213593194E-3</v>
      </c>
      <c r="BM36" s="35"/>
      <c r="BN36" s="35">
        <f>BN18-BN17</f>
        <v>2974.7360000015469</v>
      </c>
      <c r="BO36" s="35">
        <f>BO18-BO17</f>
        <v>-52.560000000017681</v>
      </c>
    </row>
    <row r="37" spans="1:68" x14ac:dyDescent="0.25">
      <c r="F37" s="38">
        <f>AVERAGE(F4:F35)</f>
        <v>1.3795129032258064</v>
      </c>
      <c r="G37" s="38"/>
      <c r="H37" s="38">
        <f>AVERAGE(H4:H35)</f>
        <v>39614.528124999997</v>
      </c>
    </row>
    <row r="38" spans="1:68" x14ac:dyDescent="0.25">
      <c r="B38" s="36" t="s">
        <v>66</v>
      </c>
      <c r="F38" s="72">
        <f>AVERAGE(F4:F35)</f>
        <v>1.3795129032258064</v>
      </c>
      <c r="G38" s="72"/>
    </row>
    <row r="41" spans="1:68" x14ac:dyDescent="0.25">
      <c r="BI41">
        <f>(BI31+BJ31)/400</f>
        <v>-344.97614999999996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opLeftCell="A7" workbookViewId="0">
      <selection activeCell="F28" sqref="F28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462" t="s">
        <v>355</v>
      </c>
    </row>
    <row r="2" spans="1:17" x14ac:dyDescent="0.25">
      <c r="A2" s="248">
        <v>1</v>
      </c>
      <c r="B2" s="463">
        <f>C2/202%</f>
        <v>56.435643564356432</v>
      </c>
      <c r="C2" s="463">
        <v>114</v>
      </c>
      <c r="D2" s="463">
        <v>12</v>
      </c>
      <c r="E2" s="463">
        <v>80</v>
      </c>
      <c r="F2" s="464">
        <v>290</v>
      </c>
      <c r="G2" s="464">
        <f>C2+D2</f>
        <v>126</v>
      </c>
      <c r="H2" s="465">
        <f>C2/202%</f>
        <v>56.435643564356432</v>
      </c>
      <c r="I2" s="466"/>
      <c r="J2" s="465">
        <f>'Section Load'!C5/G2</f>
        <v>138.56230158730139</v>
      </c>
      <c r="K2">
        <f>10/202</f>
        <v>4.9504950495049507E-2</v>
      </c>
    </row>
    <row r="3" spans="1:17" x14ac:dyDescent="0.25">
      <c r="A3" s="248">
        <v>2</v>
      </c>
      <c r="B3" s="463">
        <f t="shared" ref="B3:B32" si="0">C3/202%</f>
        <v>63.861386138613859</v>
      </c>
      <c r="C3" s="463">
        <v>129</v>
      </c>
      <c r="D3" s="463">
        <v>13</v>
      </c>
      <c r="E3" s="463">
        <v>56</v>
      </c>
      <c r="F3" s="464">
        <v>352</v>
      </c>
      <c r="G3" s="464">
        <f t="shared" ref="G3:G31" si="1">C3+D3</f>
        <v>142</v>
      </c>
      <c r="H3" s="465">
        <f t="shared" ref="H3:H32" si="2">C3/202%</f>
        <v>63.861386138613859</v>
      </c>
      <c r="I3" s="466"/>
      <c r="J3" s="465">
        <f>'Section Load'!C6/G3</f>
        <v>129.14084507042253</v>
      </c>
    </row>
    <row r="4" spans="1:17" x14ac:dyDescent="0.25">
      <c r="A4" s="248">
        <v>3</v>
      </c>
      <c r="B4" s="463">
        <f t="shared" si="0"/>
        <v>65.841584158415841</v>
      </c>
      <c r="C4" s="463">
        <v>133</v>
      </c>
      <c r="D4" s="463">
        <v>12</v>
      </c>
      <c r="E4" s="463">
        <v>57</v>
      </c>
      <c r="F4" s="464">
        <v>406</v>
      </c>
      <c r="G4" s="464">
        <f t="shared" si="1"/>
        <v>145</v>
      </c>
      <c r="H4" s="465">
        <f t="shared" si="2"/>
        <v>65.841584158415841</v>
      </c>
      <c r="I4" s="466"/>
      <c r="J4" s="465">
        <f>'Section Load'!C7/G4</f>
        <v>132.54482758620691</v>
      </c>
      <c r="Q4" s="485">
        <f>C2/202</f>
        <v>0.5643564356435643</v>
      </c>
    </row>
    <row r="5" spans="1:17" x14ac:dyDescent="0.25">
      <c r="A5" s="248">
        <v>4</v>
      </c>
      <c r="B5" s="463">
        <f t="shared" si="0"/>
        <v>76.237623762376231</v>
      </c>
      <c r="C5" s="463">
        <v>154</v>
      </c>
      <c r="D5" s="463">
        <v>12</v>
      </c>
      <c r="E5" s="463">
        <v>65</v>
      </c>
      <c r="F5" s="464">
        <v>461</v>
      </c>
      <c r="G5" s="464">
        <f t="shared" si="1"/>
        <v>166</v>
      </c>
      <c r="H5" s="465">
        <f t="shared" si="2"/>
        <v>76.237623762376231</v>
      </c>
      <c r="I5" s="466"/>
      <c r="J5" s="465">
        <f>'Section Load'!C8/G5</f>
        <v>112.12475903614435</v>
      </c>
    </row>
    <row r="6" spans="1:17" x14ac:dyDescent="0.25">
      <c r="A6" s="248">
        <v>5</v>
      </c>
      <c r="B6" s="463">
        <f t="shared" si="0"/>
        <v>78.21782178217822</v>
      </c>
      <c r="C6" s="463">
        <v>158</v>
      </c>
      <c r="D6" s="463">
        <v>13</v>
      </c>
      <c r="E6" s="463">
        <v>63</v>
      </c>
      <c r="F6" s="464">
        <v>1487</v>
      </c>
      <c r="G6" s="464">
        <f t="shared" si="1"/>
        <v>171</v>
      </c>
      <c r="H6" s="465">
        <f t="shared" si="2"/>
        <v>78.21782178217822</v>
      </c>
      <c r="I6" s="466"/>
      <c r="J6" s="465">
        <f>'Section Load'!C9/G6</f>
        <v>121.8184795321642</v>
      </c>
    </row>
    <row r="7" spans="1:17" x14ac:dyDescent="0.25">
      <c r="A7" s="248">
        <v>6</v>
      </c>
      <c r="B7" s="463">
        <f t="shared" si="0"/>
        <v>68.811881188118818</v>
      </c>
      <c r="C7" s="463">
        <v>139</v>
      </c>
      <c r="D7" s="463">
        <v>11</v>
      </c>
      <c r="E7" s="463">
        <v>63</v>
      </c>
      <c r="F7" s="464">
        <v>494</v>
      </c>
      <c r="G7" s="464">
        <f t="shared" si="1"/>
        <v>150</v>
      </c>
      <c r="H7" s="465">
        <f t="shared" si="2"/>
        <v>68.811881188118818</v>
      </c>
      <c r="I7" s="466"/>
      <c r="J7" s="465">
        <f>'Section Load'!C10/G7</f>
        <v>137.41333333333333</v>
      </c>
    </row>
    <row r="8" spans="1:17" x14ac:dyDescent="0.25">
      <c r="A8" s="248">
        <v>7</v>
      </c>
      <c r="B8" s="463">
        <f t="shared" si="0"/>
        <v>72.772277227722768</v>
      </c>
      <c r="C8" s="463">
        <v>147</v>
      </c>
      <c r="D8" s="463">
        <v>12</v>
      </c>
      <c r="E8" s="463">
        <v>57</v>
      </c>
      <c r="F8" s="464">
        <v>704</v>
      </c>
      <c r="G8" s="464">
        <f t="shared" si="1"/>
        <v>159</v>
      </c>
      <c r="H8" s="465">
        <f t="shared" si="2"/>
        <v>72.772277227722768</v>
      </c>
      <c r="I8" s="466"/>
      <c r="J8" s="465">
        <f>'Section Load'!C11/G8</f>
        <v>136.50465408805024</v>
      </c>
      <c r="K8" s="737" t="s">
        <v>371</v>
      </c>
    </row>
    <row r="9" spans="1:17" x14ac:dyDescent="0.25">
      <c r="A9" s="248">
        <v>8</v>
      </c>
      <c r="B9" s="463">
        <f t="shared" si="0"/>
        <v>59.900990099009903</v>
      </c>
      <c r="C9" s="463">
        <v>121</v>
      </c>
      <c r="D9" s="463">
        <v>8</v>
      </c>
      <c r="E9" s="463">
        <v>55</v>
      </c>
      <c r="F9" s="464">
        <v>418</v>
      </c>
      <c r="G9" s="464">
        <f t="shared" si="1"/>
        <v>129</v>
      </c>
      <c r="H9" s="465">
        <f t="shared" si="2"/>
        <v>59.900990099009903</v>
      </c>
      <c r="I9" s="466"/>
      <c r="J9" s="465">
        <f>'Section Load'!C12/G9</f>
        <v>152.94643410852689</v>
      </c>
    </row>
    <row r="10" spans="1:17" x14ac:dyDescent="0.25">
      <c r="A10" s="248">
        <v>9</v>
      </c>
      <c r="B10" s="463">
        <f t="shared" si="0"/>
        <v>66.831683168316829</v>
      </c>
      <c r="C10" s="463">
        <v>135</v>
      </c>
      <c r="D10" s="463">
        <v>9</v>
      </c>
      <c r="E10" s="463">
        <v>54</v>
      </c>
      <c r="F10" s="464">
        <v>483</v>
      </c>
      <c r="G10" s="464">
        <f t="shared" si="1"/>
        <v>144</v>
      </c>
      <c r="H10" s="465">
        <f t="shared" si="2"/>
        <v>66.831683168316829</v>
      </c>
      <c r="I10" s="466"/>
      <c r="J10" s="465">
        <f>'Section Load'!C13/G10</f>
        <v>135.1875</v>
      </c>
    </row>
    <row r="11" spans="1:17" x14ac:dyDescent="0.25">
      <c r="A11" s="248">
        <v>10</v>
      </c>
      <c r="B11" s="463">
        <f t="shared" si="0"/>
        <v>68.811881188118818</v>
      </c>
      <c r="C11" s="463">
        <v>139</v>
      </c>
      <c r="D11" s="463">
        <v>10</v>
      </c>
      <c r="E11" s="463">
        <v>51</v>
      </c>
      <c r="F11" s="464">
        <v>723</v>
      </c>
      <c r="G11" s="464">
        <f t="shared" si="1"/>
        <v>149</v>
      </c>
      <c r="H11" s="465">
        <f t="shared" si="2"/>
        <v>68.811881188118818</v>
      </c>
      <c r="I11" s="466"/>
      <c r="J11" s="465">
        <f>'Section Load'!C14/G11</f>
        <v>136.73154362416108</v>
      </c>
    </row>
    <row r="12" spans="1:17" x14ac:dyDescent="0.25">
      <c r="A12" s="248">
        <v>11</v>
      </c>
      <c r="B12" s="463">
        <f t="shared" si="0"/>
        <v>66.336633663366342</v>
      </c>
      <c r="C12" s="463">
        <v>134</v>
      </c>
      <c r="D12" s="463">
        <v>14</v>
      </c>
      <c r="E12" s="463">
        <v>41</v>
      </c>
      <c r="F12" s="464">
        <v>899</v>
      </c>
      <c r="G12" s="464">
        <f t="shared" si="1"/>
        <v>148</v>
      </c>
      <c r="H12" s="465">
        <f t="shared" si="2"/>
        <v>66.336633663366342</v>
      </c>
      <c r="I12" s="466"/>
      <c r="J12" s="465">
        <f>'Section Load'!C15/G12</f>
        <v>142.02702702702703</v>
      </c>
    </row>
    <row r="13" spans="1:17" x14ac:dyDescent="0.25">
      <c r="A13" s="248">
        <v>12</v>
      </c>
      <c r="B13" s="463">
        <f t="shared" si="0"/>
        <v>68.316831683168317</v>
      </c>
      <c r="C13" s="463">
        <v>138</v>
      </c>
      <c r="D13" s="463">
        <v>16</v>
      </c>
      <c r="E13" s="463">
        <v>41</v>
      </c>
      <c r="F13" s="463">
        <v>683</v>
      </c>
      <c r="G13" s="464">
        <f t="shared" si="1"/>
        <v>154</v>
      </c>
      <c r="H13" s="465">
        <f t="shared" si="2"/>
        <v>68.316831683168317</v>
      </c>
      <c r="I13" s="466"/>
      <c r="J13" s="465">
        <f>'Section Load'!C16/G13</f>
        <v>145.05844155844156</v>
      </c>
    </row>
    <row r="14" spans="1:17" x14ac:dyDescent="0.25">
      <c r="A14" s="248">
        <v>13</v>
      </c>
      <c r="B14" s="463">
        <f t="shared" si="0"/>
        <v>63.366336633663366</v>
      </c>
      <c r="C14" s="463">
        <v>128</v>
      </c>
      <c r="D14" s="463">
        <v>14</v>
      </c>
      <c r="E14" s="463">
        <f t="shared" ref="E14:E31" si="3">SUM(C14:D14)/202%</f>
        <v>70.297029702970292</v>
      </c>
      <c r="F14" s="463">
        <v>1001</v>
      </c>
      <c r="G14" s="464">
        <f t="shared" si="1"/>
        <v>142</v>
      </c>
      <c r="H14" s="465">
        <f t="shared" si="2"/>
        <v>63.366336633663366</v>
      </c>
      <c r="I14" s="466"/>
      <c r="J14" s="465">
        <f>'Section Load'!C17/G14</f>
        <v>156.33802816901408</v>
      </c>
    </row>
    <row r="15" spans="1:17" x14ac:dyDescent="0.25">
      <c r="A15" s="248">
        <v>14</v>
      </c>
      <c r="B15" s="463">
        <f t="shared" si="0"/>
        <v>69.306930693069305</v>
      </c>
      <c r="C15" s="463">
        <v>140</v>
      </c>
      <c r="D15" s="463">
        <v>15</v>
      </c>
      <c r="E15" s="463">
        <f t="shared" si="3"/>
        <v>76.732673267326732</v>
      </c>
      <c r="F15" s="463">
        <v>612</v>
      </c>
      <c r="G15" s="464">
        <f t="shared" si="1"/>
        <v>155</v>
      </c>
      <c r="H15" s="465">
        <f t="shared" si="2"/>
        <v>69.306930693069305</v>
      </c>
      <c r="I15" s="466"/>
      <c r="J15" s="465">
        <f>'Section Load'!C18/G15</f>
        <v>137.16774193548386</v>
      </c>
    </row>
    <row r="16" spans="1:17" x14ac:dyDescent="0.25">
      <c r="A16" s="248">
        <v>15</v>
      </c>
      <c r="B16" s="463">
        <f t="shared" si="0"/>
        <v>68.811881188118818</v>
      </c>
      <c r="C16" s="463">
        <v>139</v>
      </c>
      <c r="D16" s="463">
        <v>10</v>
      </c>
      <c r="E16" s="463">
        <f t="shared" si="3"/>
        <v>73.762376237623755</v>
      </c>
      <c r="F16" s="463">
        <v>562</v>
      </c>
      <c r="G16" s="464">
        <f t="shared" si="1"/>
        <v>149</v>
      </c>
      <c r="H16" s="465">
        <f t="shared" si="2"/>
        <v>68.811881188118818</v>
      </c>
      <c r="I16" s="466"/>
      <c r="J16" s="465">
        <f>'Section Load'!C19/G16</f>
        <v>141.61073825503357</v>
      </c>
    </row>
    <row r="17" spans="1:10" x14ac:dyDescent="0.25">
      <c r="A17" s="248">
        <v>16</v>
      </c>
      <c r="B17" s="463">
        <f t="shared" si="0"/>
        <v>72.772277227722768</v>
      </c>
      <c r="C17" s="463">
        <v>147</v>
      </c>
      <c r="D17" s="463">
        <v>12</v>
      </c>
      <c r="E17" s="463">
        <f>SUM(C17:D17)/202%</f>
        <v>78.712871287128706</v>
      </c>
      <c r="F17" s="463">
        <v>521</v>
      </c>
      <c r="G17" s="464">
        <f t="shared" si="1"/>
        <v>159</v>
      </c>
      <c r="H17" s="465">
        <f t="shared" si="2"/>
        <v>72.772277227722768</v>
      </c>
      <c r="I17" s="466"/>
      <c r="J17" s="465">
        <f>'Section Load'!C20/G17</f>
        <v>129.71761006289307</v>
      </c>
    </row>
    <row r="18" spans="1:10" x14ac:dyDescent="0.25">
      <c r="A18" s="248">
        <v>17</v>
      </c>
      <c r="B18" s="463">
        <f t="shared" si="0"/>
        <v>79.702970297029708</v>
      </c>
      <c r="C18" s="463">
        <v>161</v>
      </c>
      <c r="D18" s="463">
        <v>9</v>
      </c>
      <c r="E18" s="463">
        <f t="shared" si="3"/>
        <v>84.158415841584159</v>
      </c>
      <c r="F18" s="463">
        <v>487</v>
      </c>
      <c r="G18" s="464">
        <f t="shared" si="1"/>
        <v>170</v>
      </c>
      <c r="H18" s="465">
        <f t="shared" si="2"/>
        <v>79.702970297029708</v>
      </c>
      <c r="I18" s="466"/>
      <c r="J18" s="465">
        <f>'Section Load'!C21/G18</f>
        <v>117.88158823529413</v>
      </c>
    </row>
    <row r="19" spans="1:10" x14ac:dyDescent="0.25">
      <c r="A19" s="248">
        <v>18</v>
      </c>
      <c r="B19" s="463">
        <f t="shared" si="0"/>
        <v>82.178217821782184</v>
      </c>
      <c r="C19" s="467">
        <v>166</v>
      </c>
      <c r="D19" s="467">
        <v>9</v>
      </c>
      <c r="E19" s="463">
        <f t="shared" si="3"/>
        <v>86.633663366336634</v>
      </c>
      <c r="F19" s="467">
        <v>639</v>
      </c>
      <c r="G19" s="464">
        <f t="shared" si="1"/>
        <v>175</v>
      </c>
      <c r="H19" s="465">
        <f t="shared" si="2"/>
        <v>82.178217821782184</v>
      </c>
      <c r="I19" s="466"/>
      <c r="J19" s="465">
        <f>'Section Load'!C22/G19</f>
        <v>117.86531428571429</v>
      </c>
    </row>
    <row r="20" spans="1:10" x14ac:dyDescent="0.25">
      <c r="A20" s="248">
        <v>19</v>
      </c>
      <c r="B20" s="463">
        <f t="shared" si="0"/>
        <v>81.188118811881182</v>
      </c>
      <c r="C20" s="463">
        <v>164</v>
      </c>
      <c r="D20" s="463">
        <v>8</v>
      </c>
      <c r="E20" s="463">
        <f t="shared" si="3"/>
        <v>85.148514851485146</v>
      </c>
      <c r="F20" s="463">
        <v>668</v>
      </c>
      <c r="G20" s="464">
        <f t="shared" si="1"/>
        <v>172</v>
      </c>
      <c r="H20" s="465">
        <f t="shared" si="2"/>
        <v>81.188118811881182</v>
      </c>
      <c r="I20" s="466"/>
      <c r="J20" s="465">
        <f>'Section Load'!C23/G20</f>
        <v>123.82081395348833</v>
      </c>
    </row>
    <row r="21" spans="1:10" x14ac:dyDescent="0.25">
      <c r="A21" s="248">
        <v>20</v>
      </c>
      <c r="B21" s="463">
        <f t="shared" si="0"/>
        <v>69.801980198019805</v>
      </c>
      <c r="C21" s="463">
        <v>141</v>
      </c>
      <c r="D21" s="463">
        <v>9</v>
      </c>
      <c r="E21" s="463">
        <f t="shared" si="3"/>
        <v>74.257425742574256</v>
      </c>
      <c r="F21" s="463">
        <v>483</v>
      </c>
      <c r="G21" s="464">
        <f t="shared" si="1"/>
        <v>150</v>
      </c>
      <c r="H21" s="465">
        <f t="shared" si="2"/>
        <v>69.801980198019805</v>
      </c>
      <c r="I21" s="466"/>
      <c r="J21" s="465">
        <f>'Section Load'!C24/G21</f>
        <v>137.97200000000001</v>
      </c>
    </row>
    <row r="22" spans="1:10" x14ac:dyDescent="0.25">
      <c r="A22" s="248">
        <v>21</v>
      </c>
      <c r="B22" s="463">
        <f t="shared" si="0"/>
        <v>72.277227722772281</v>
      </c>
      <c r="C22" s="463">
        <v>146</v>
      </c>
      <c r="D22" s="463">
        <v>9</v>
      </c>
      <c r="E22" s="463">
        <f t="shared" si="3"/>
        <v>76.732673267326732</v>
      </c>
      <c r="F22" s="463">
        <v>430</v>
      </c>
      <c r="G22" s="464">
        <f t="shared" si="1"/>
        <v>155</v>
      </c>
      <c r="H22" s="465">
        <f t="shared" si="2"/>
        <v>72.277227722772281</v>
      </c>
      <c r="I22" s="466"/>
      <c r="J22" s="465">
        <f>'Section Load'!C25/G22</f>
        <v>134.87541935483873</v>
      </c>
    </row>
    <row r="23" spans="1:10" x14ac:dyDescent="0.25">
      <c r="A23" s="248">
        <v>22</v>
      </c>
      <c r="B23" s="463">
        <v>83</v>
      </c>
      <c r="C23" s="463">
        <v>148</v>
      </c>
      <c r="D23" s="463">
        <v>9</v>
      </c>
      <c r="E23" s="463">
        <f t="shared" si="3"/>
        <v>77.722772277227719</v>
      </c>
      <c r="F23" s="463">
        <v>563</v>
      </c>
      <c r="G23" s="464">
        <f t="shared" si="1"/>
        <v>157</v>
      </c>
      <c r="H23" s="465">
        <f t="shared" si="2"/>
        <v>73.267326732673268</v>
      </c>
      <c r="I23" s="466"/>
      <c r="J23" s="465">
        <f>'Section Load'!C26/G23</f>
        <v>132.08713375796174</v>
      </c>
    </row>
    <row r="24" spans="1:10" x14ac:dyDescent="0.25">
      <c r="A24" s="248">
        <v>23</v>
      </c>
      <c r="B24" s="463">
        <v>98</v>
      </c>
      <c r="C24" s="463">
        <v>150</v>
      </c>
      <c r="D24" s="463">
        <v>10</v>
      </c>
      <c r="E24" s="463">
        <f t="shared" si="3"/>
        <v>79.207920792079207</v>
      </c>
      <c r="F24" s="463">
        <v>686</v>
      </c>
      <c r="G24" s="464">
        <f t="shared" si="1"/>
        <v>160</v>
      </c>
      <c r="H24" s="465">
        <f t="shared" si="2"/>
        <v>74.257425742574256</v>
      </c>
      <c r="I24" s="466"/>
      <c r="J24" s="465">
        <f>'Section Load'!C27/G24</f>
        <v>130.56781250000003</v>
      </c>
    </row>
    <row r="25" spans="1:10" x14ac:dyDescent="0.25">
      <c r="A25" s="248">
        <v>24</v>
      </c>
      <c r="B25" s="463">
        <f t="shared" si="0"/>
        <v>73.267326732673268</v>
      </c>
      <c r="C25" s="463">
        <v>148</v>
      </c>
      <c r="D25" s="463">
        <v>10</v>
      </c>
      <c r="E25" s="463">
        <f t="shared" si="3"/>
        <v>78.21782178217822</v>
      </c>
      <c r="F25" s="463">
        <v>467</v>
      </c>
      <c r="G25" s="464">
        <f t="shared" si="1"/>
        <v>158</v>
      </c>
      <c r="H25" s="465">
        <f t="shared" si="2"/>
        <v>73.267326732673268</v>
      </c>
      <c r="I25" s="466"/>
      <c r="J25" s="465">
        <f>'Section Load'!C28/G25</f>
        <v>137.73417721518987</v>
      </c>
    </row>
    <row r="26" spans="1:10" x14ac:dyDescent="0.25">
      <c r="A26" s="248">
        <v>25</v>
      </c>
      <c r="B26" s="463">
        <f t="shared" si="0"/>
        <v>75.247524752475243</v>
      </c>
      <c r="C26" s="463">
        <v>152</v>
      </c>
      <c r="D26" s="463">
        <v>8</v>
      </c>
      <c r="E26" s="463">
        <f t="shared" si="3"/>
        <v>79.207920792079207</v>
      </c>
      <c r="F26" s="463">
        <v>948</v>
      </c>
      <c r="G26" s="464">
        <f t="shared" si="1"/>
        <v>160</v>
      </c>
      <c r="H26" s="465">
        <f t="shared" si="2"/>
        <v>75.247524752475243</v>
      </c>
      <c r="I26" s="466"/>
      <c r="J26" s="465">
        <f>'Section Load'!C29/G26</f>
        <v>137.08750000000001</v>
      </c>
    </row>
    <row r="27" spans="1:10" x14ac:dyDescent="0.25">
      <c r="A27" s="248">
        <v>26</v>
      </c>
      <c r="B27" s="463">
        <f t="shared" si="0"/>
        <v>0</v>
      </c>
      <c r="C27" s="463"/>
      <c r="D27" s="463"/>
      <c r="E27" s="463">
        <f t="shared" si="3"/>
        <v>0</v>
      </c>
      <c r="F27" s="463"/>
      <c r="G27" s="464">
        <f t="shared" si="1"/>
        <v>0</v>
      </c>
      <c r="H27" s="465">
        <f t="shared" si="2"/>
        <v>0</v>
      </c>
      <c r="I27" s="466"/>
      <c r="J27" s="465" t="e">
        <f>'Section Load'!C30/G27</f>
        <v>#DIV/0!</v>
      </c>
    </row>
    <row r="28" spans="1:10" x14ac:dyDescent="0.25">
      <c r="A28" s="248">
        <v>27</v>
      </c>
      <c r="B28" s="463">
        <f t="shared" si="0"/>
        <v>0</v>
      </c>
      <c r="C28" s="463"/>
      <c r="D28" s="463"/>
      <c r="E28" s="463">
        <f t="shared" si="3"/>
        <v>0</v>
      </c>
      <c r="F28" s="463"/>
      <c r="G28" s="464">
        <f t="shared" si="1"/>
        <v>0</v>
      </c>
      <c r="H28" s="465">
        <f t="shared" si="2"/>
        <v>0</v>
      </c>
      <c r="I28" s="466"/>
      <c r="J28" s="465" t="e">
        <f>'Section Load'!C31/G28</f>
        <v>#DIV/0!</v>
      </c>
    </row>
    <row r="29" spans="1:10" x14ac:dyDescent="0.25">
      <c r="A29" s="248">
        <v>28</v>
      </c>
      <c r="B29" s="463">
        <f t="shared" si="0"/>
        <v>0</v>
      </c>
      <c r="C29" s="463"/>
      <c r="D29" s="463"/>
      <c r="E29" s="463">
        <f t="shared" si="3"/>
        <v>0</v>
      </c>
      <c r="F29" s="463"/>
      <c r="G29" s="464">
        <f t="shared" si="1"/>
        <v>0</v>
      </c>
      <c r="H29" s="465">
        <f t="shared" si="2"/>
        <v>0</v>
      </c>
      <c r="I29" s="466"/>
      <c r="J29" s="465" t="e">
        <f>'Section Load'!C32/G29</f>
        <v>#DIV/0!</v>
      </c>
    </row>
    <row r="30" spans="1:10" x14ac:dyDescent="0.25">
      <c r="A30" s="248">
        <v>29</v>
      </c>
      <c r="B30" s="463">
        <f>C30/202%</f>
        <v>0</v>
      </c>
      <c r="C30" s="463"/>
      <c r="D30" s="463"/>
      <c r="E30" s="463">
        <f t="shared" si="3"/>
        <v>0</v>
      </c>
      <c r="F30" s="463"/>
      <c r="G30" s="464">
        <f t="shared" si="1"/>
        <v>0</v>
      </c>
      <c r="H30" s="465">
        <f>C30/202%</f>
        <v>0</v>
      </c>
      <c r="I30" s="466"/>
      <c r="J30" s="465" t="e">
        <f>'Section Load'!C33/G30</f>
        <v>#DIV/0!</v>
      </c>
    </row>
    <row r="31" spans="1:10" x14ac:dyDescent="0.25">
      <c r="A31" s="248">
        <v>30</v>
      </c>
      <c r="B31" s="463">
        <f t="shared" si="0"/>
        <v>0</v>
      </c>
      <c r="C31" s="463"/>
      <c r="D31" s="463"/>
      <c r="E31" s="463">
        <f t="shared" si="3"/>
        <v>0</v>
      </c>
      <c r="F31" s="463"/>
      <c r="G31" s="468">
        <f t="shared" si="1"/>
        <v>0</v>
      </c>
      <c r="H31" s="465">
        <f t="shared" si="2"/>
        <v>0</v>
      </c>
      <c r="I31" s="466"/>
      <c r="J31" s="465" t="e">
        <f>'Section Load'!C34/G31</f>
        <v>#DIV/0!</v>
      </c>
    </row>
    <row r="32" spans="1:10" x14ac:dyDescent="0.25">
      <c r="A32" s="248">
        <v>31</v>
      </c>
      <c r="B32" s="463">
        <f t="shared" si="0"/>
        <v>0</v>
      </c>
      <c r="C32" s="463"/>
      <c r="D32" s="463"/>
      <c r="E32" s="463"/>
      <c r="F32" s="463"/>
      <c r="G32" s="468"/>
      <c r="H32" s="465">
        <f t="shared" si="2"/>
        <v>0</v>
      </c>
      <c r="I32" s="466"/>
      <c r="J32" s="465" t="e">
        <f>'Section Load'!C35/G32</f>
        <v>#DIV/0!</v>
      </c>
    </row>
    <row r="33" spans="1:8" x14ac:dyDescent="0.25">
      <c r="A33" t="s">
        <v>316</v>
      </c>
      <c r="B33" s="275">
        <f>AVERAGE(B2:B31)</f>
        <v>60.043234323432337</v>
      </c>
      <c r="C33" s="275">
        <f t="shared" ref="C33:H33" si="4">AVERAGE(C2:C31)</f>
        <v>142.84</v>
      </c>
      <c r="D33" s="275">
        <f t="shared" si="4"/>
        <v>10.96</v>
      </c>
      <c r="E33" s="275">
        <f t="shared" si="4"/>
        <v>56.793069306930683</v>
      </c>
      <c r="F33" s="275">
        <f t="shared" si="4"/>
        <v>618.67999999999995</v>
      </c>
      <c r="G33" s="275">
        <f t="shared" si="4"/>
        <v>128.16666666666666</v>
      </c>
      <c r="H33" s="275">
        <f t="shared" si="4"/>
        <v>58.927392739273927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L9" sqref="L9:L1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13" width="12" bestFit="1" customWidth="1"/>
    <col min="14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56.435643564356432</v>
      </c>
      <c r="E4" s="91">
        <f>Occupancy!B3</f>
        <v>63.861386138613859</v>
      </c>
      <c r="F4" s="91">
        <f>Occupancy!C3</f>
        <v>129</v>
      </c>
      <c r="G4" s="91">
        <f>Occupancy!D3</f>
        <v>13</v>
      </c>
      <c r="H4" s="91">
        <f>Occupancy!E3</f>
        <v>56</v>
      </c>
      <c r="I4" s="91">
        <f>Occupancy!F3</f>
        <v>352</v>
      </c>
      <c r="J4" s="91">
        <f>Occupancy!G3</f>
        <v>142</v>
      </c>
      <c r="K4" s="91">
        <f>Occupancy!H3</f>
        <v>63.861386138613859</v>
      </c>
      <c r="L4" s="91">
        <f>Occupancy!I3</f>
        <v>0</v>
      </c>
      <c r="M4" s="91">
        <f>Occupancy!J3</f>
        <v>129.14084507042253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180</v>
      </c>
      <c r="E5" s="91">
        <f>'2'!G18</f>
        <v>150</v>
      </c>
      <c r="F5" s="91">
        <f>'3'!G18</f>
        <v>180</v>
      </c>
      <c r="G5" s="91">
        <f>'4'!G18</f>
        <v>210</v>
      </c>
      <c r="H5" s="91">
        <f>'5'!G18</f>
        <v>240</v>
      </c>
      <c r="I5" s="91">
        <f>'6'!G18</f>
        <v>220</v>
      </c>
      <c r="J5" s="91">
        <f>'7'!G18</f>
        <v>190</v>
      </c>
      <c r="K5" s="91">
        <f>'8'!G18</f>
        <v>180</v>
      </c>
      <c r="L5" s="91">
        <f>'9'!G18</f>
        <v>200</v>
      </c>
      <c r="M5" s="91">
        <f>'10'!G18</f>
        <v>260</v>
      </c>
      <c r="N5" s="91">
        <f>'11'!G18</f>
        <v>260</v>
      </c>
      <c r="O5" s="91">
        <f>'12'!G18</f>
        <v>280</v>
      </c>
      <c r="P5" s="91">
        <f>'13'!G18</f>
        <v>240</v>
      </c>
      <c r="Q5" s="91">
        <f>'14'!G18</f>
        <v>240</v>
      </c>
      <c r="R5" s="91">
        <f>'15'!G18</f>
        <v>260</v>
      </c>
      <c r="S5" s="91">
        <f>'16'!G18</f>
        <v>240</v>
      </c>
      <c r="T5" s="91">
        <f>'17'!G18</f>
        <v>250</v>
      </c>
      <c r="U5" s="91">
        <f>'18 '!G18</f>
        <v>250</v>
      </c>
      <c r="V5" s="91">
        <f>'19'!G18</f>
        <v>280</v>
      </c>
      <c r="W5" s="91">
        <f>'20'!G18</f>
        <v>310</v>
      </c>
      <c r="X5" s="91">
        <f>'21'!G18</f>
        <v>210</v>
      </c>
      <c r="Y5" s="91">
        <f>'22'!G18</f>
        <v>190</v>
      </c>
      <c r="Z5" s="91">
        <f>'23'!G18</f>
        <v>260</v>
      </c>
      <c r="AA5" s="91">
        <f>'24'!G18</f>
        <v>220</v>
      </c>
      <c r="AB5" s="91">
        <f>'25'!G18</f>
        <v>180</v>
      </c>
      <c r="AC5" s="91">
        <f>'26'!G18</f>
        <v>260</v>
      </c>
      <c r="AD5" s="91">
        <f>'27'!G18</f>
        <v>250</v>
      </c>
      <c r="AE5" s="91">
        <f>'28'!G18</f>
        <v>40</v>
      </c>
      <c r="AF5" s="91">
        <f>'29'!G18</f>
        <v>260</v>
      </c>
      <c r="AG5" s="91">
        <f>'30'!G18</f>
        <v>170</v>
      </c>
      <c r="AH5" s="91">
        <f>'31'!G18</f>
        <v>90</v>
      </c>
      <c r="AI5" s="90"/>
    </row>
    <row r="6" spans="2:35" x14ac:dyDescent="0.25">
      <c r="B6" s="93"/>
      <c r="C6" s="90" t="s">
        <v>69</v>
      </c>
      <c r="D6" s="91">
        <f>'1'!G19</f>
        <v>55</v>
      </c>
      <c r="E6" s="91">
        <f>'2'!G19</f>
        <v>33</v>
      </c>
      <c r="F6" s="91">
        <f>'3'!G19</f>
        <v>53</v>
      </c>
      <c r="G6" s="91">
        <f>'4'!G19</f>
        <v>51</v>
      </c>
      <c r="H6" s="91">
        <f>'5'!G19</f>
        <v>54</v>
      </c>
      <c r="I6" s="91">
        <f>'6'!G19</f>
        <v>55</v>
      </c>
      <c r="J6" s="91">
        <f>'7'!G19</f>
        <v>52</v>
      </c>
      <c r="K6" s="91">
        <f>'8'!G19</f>
        <v>52</v>
      </c>
      <c r="L6" s="91">
        <f>'9'!G19</f>
        <v>56</v>
      </c>
      <c r="M6" s="91">
        <f>'10'!G19</f>
        <v>57</v>
      </c>
      <c r="N6" s="91">
        <f>'11'!G19</f>
        <v>56</v>
      </c>
      <c r="O6" s="91">
        <f>'12'!G19</f>
        <v>59</v>
      </c>
      <c r="P6" s="91">
        <f>'13'!G19</f>
        <v>56</v>
      </c>
      <c r="Q6" s="91">
        <f>'14'!G19</f>
        <v>56</v>
      </c>
      <c r="R6" s="91">
        <f>'15'!G19</f>
        <v>56</v>
      </c>
      <c r="S6" s="91">
        <f>'16'!G19</f>
        <v>58</v>
      </c>
      <c r="T6" s="91">
        <f>'17'!G19</f>
        <v>56</v>
      </c>
      <c r="U6" s="91">
        <f>'18 '!G19</f>
        <v>48</v>
      </c>
      <c r="V6" s="91">
        <f>'19'!G19</f>
        <v>48</v>
      </c>
      <c r="W6" s="91">
        <f>'20'!G19</f>
        <v>50</v>
      </c>
      <c r="X6" s="91">
        <f>'21'!G19</f>
        <v>55</v>
      </c>
      <c r="Y6" s="91">
        <f>'22'!G19</f>
        <v>53</v>
      </c>
      <c r="Z6" s="91">
        <f>'23'!G19</f>
        <v>55</v>
      </c>
      <c r="AA6" s="91">
        <f>'24'!G19</f>
        <v>54</v>
      </c>
      <c r="AB6" s="91">
        <f>'25'!G19</f>
        <v>53</v>
      </c>
      <c r="AC6" s="91">
        <f>'26'!G19</f>
        <v>55</v>
      </c>
      <c r="AD6" s="91">
        <f>'27'!G19</f>
        <v>60</v>
      </c>
      <c r="AE6" s="91">
        <f>'28'!G19</f>
        <v>-1610</v>
      </c>
      <c r="AF6" s="91">
        <f>'29'!G19</f>
        <v>52</v>
      </c>
      <c r="AG6" s="91">
        <f>'30'!G19</f>
        <v>56</v>
      </c>
      <c r="AH6" s="91">
        <f>'31'!G19</f>
        <v>56</v>
      </c>
      <c r="AI6" s="90"/>
    </row>
    <row r="7" spans="2:35" x14ac:dyDescent="0.25">
      <c r="B7" s="93"/>
      <c r="C7" s="90" t="s">
        <v>70</v>
      </c>
      <c r="D7" s="91">
        <f>'1'!G62</f>
        <v>63</v>
      </c>
      <c r="E7" s="91">
        <f>'2'!G62</f>
        <v>105</v>
      </c>
      <c r="F7" s="91">
        <f>'3'!G62</f>
        <v>74</v>
      </c>
      <c r="G7" s="91">
        <f>'4'!G62</f>
        <v>109</v>
      </c>
      <c r="H7" s="91">
        <f>'5'!G62</f>
        <v>136</v>
      </c>
      <c r="I7" s="91">
        <f>'6'!G62</f>
        <v>143</v>
      </c>
      <c r="J7" s="91">
        <f>'7'!G62</f>
        <v>142</v>
      </c>
      <c r="K7" s="91">
        <f>'8'!G62</f>
        <v>128</v>
      </c>
      <c r="L7" s="91">
        <f>'9'!G62</f>
        <v>142</v>
      </c>
      <c r="M7" s="91">
        <f>'10'!G62</f>
        <v>170</v>
      </c>
      <c r="N7" s="91">
        <f>'11'!G62</f>
        <v>181</v>
      </c>
      <c r="O7" s="91">
        <f>'12'!G62</f>
        <v>177</v>
      </c>
      <c r="P7" s="91">
        <f>'13'!G62</f>
        <v>177</v>
      </c>
      <c r="Q7" s="91">
        <f>'14'!G62</f>
        <v>170</v>
      </c>
      <c r="R7" s="91">
        <f>'15'!G62</f>
        <v>97</v>
      </c>
      <c r="S7" s="91">
        <f>'16'!G62</f>
        <v>146</v>
      </c>
      <c r="T7" s="91">
        <f>'17'!G62</f>
        <v>189</v>
      </c>
      <c r="U7" s="91">
        <f>'18 '!G62</f>
        <v>155</v>
      </c>
      <c r="V7" s="91">
        <f>'19'!G62</f>
        <v>160</v>
      </c>
      <c r="W7" s="91">
        <f>'20'!G62</f>
        <v>169</v>
      </c>
      <c r="X7" s="91">
        <f>'21'!G62</f>
        <v>140</v>
      </c>
      <c r="Y7" s="91">
        <f>'22'!G62</f>
        <v>134</v>
      </c>
      <c r="Z7" s="91">
        <f>'23'!G62</f>
        <v>145</v>
      </c>
      <c r="AA7" s="91">
        <f>'24'!G62</f>
        <v>146</v>
      </c>
      <c r="AB7" s="91">
        <f>'25'!G62</f>
        <v>147</v>
      </c>
      <c r="AC7" s="91">
        <f>'26'!G62</f>
        <v>157</v>
      </c>
      <c r="AD7" s="91">
        <f>'27'!G62</f>
        <v>148</v>
      </c>
      <c r="AE7" s="91">
        <f>'28'!G62</f>
        <v>-4149</v>
      </c>
      <c r="AF7" s="91">
        <f>'29'!G62</f>
        <v>102</v>
      </c>
      <c r="AG7" s="91">
        <f>'30'!G62</f>
        <v>114</v>
      </c>
      <c r="AH7" s="91">
        <f>'31'!G62</f>
        <v>83</v>
      </c>
      <c r="AI7" s="90"/>
    </row>
    <row r="8" spans="2:35" x14ac:dyDescent="0.25">
      <c r="B8" s="93"/>
      <c r="C8" s="90" t="s">
        <v>299</v>
      </c>
      <c r="D8" s="91">
        <f>'1'!G63</f>
        <v>132</v>
      </c>
      <c r="E8" s="91">
        <f>'2'!G63</f>
        <v>159</v>
      </c>
      <c r="F8" s="91">
        <f>'3'!G63</f>
        <v>132</v>
      </c>
      <c r="G8" s="91">
        <f>'4'!G63</f>
        <v>136</v>
      </c>
      <c r="H8" s="91">
        <f>'5'!G63</f>
        <v>128</v>
      </c>
      <c r="I8" s="91">
        <f>'6'!G63</f>
        <v>132</v>
      </c>
      <c r="J8" s="91">
        <f>'7'!G63</f>
        <v>124</v>
      </c>
      <c r="K8" s="91">
        <f>'8'!G63</f>
        <v>103</v>
      </c>
      <c r="L8" s="91">
        <f>'9'!G63</f>
        <v>90</v>
      </c>
      <c r="M8" s="91">
        <f>'10'!G63</f>
        <v>129</v>
      </c>
      <c r="N8" s="91">
        <f>'11'!G63</f>
        <v>136</v>
      </c>
      <c r="O8" s="91">
        <f>'12'!G63</f>
        <v>182</v>
      </c>
      <c r="P8" s="91">
        <f>'13'!G63</f>
        <v>140</v>
      </c>
      <c r="Q8" s="91">
        <f>'14'!G63</f>
        <v>124</v>
      </c>
      <c r="R8" s="91">
        <f>'15'!G63</f>
        <v>87</v>
      </c>
      <c r="S8" s="91">
        <f>'16'!G63</f>
        <v>115</v>
      </c>
      <c r="T8" s="91">
        <f>'17'!G63</f>
        <v>118</v>
      </c>
      <c r="U8" s="91">
        <f>'18 '!G63</f>
        <v>133</v>
      </c>
      <c r="V8" s="91">
        <f>'19'!G63</f>
        <v>141</v>
      </c>
      <c r="W8" s="91">
        <f>'20'!G63</f>
        <v>117</v>
      </c>
      <c r="X8" s="91">
        <f>'21'!G63</f>
        <v>143</v>
      </c>
      <c r="Y8" s="91">
        <f>'22'!G63</f>
        <v>137</v>
      </c>
      <c r="Z8" s="91">
        <f>'23'!G63</f>
        <v>77</v>
      </c>
      <c r="AA8" s="91">
        <f>'24'!G63</f>
        <v>76</v>
      </c>
      <c r="AB8" s="91">
        <f>'25'!G63</f>
        <v>121</v>
      </c>
      <c r="AC8" s="91">
        <f>'26'!G63</f>
        <v>78</v>
      </c>
      <c r="AD8" s="91">
        <f>'27'!G63</f>
        <v>103</v>
      </c>
      <c r="AE8" s="91">
        <f>'28'!G63</f>
        <v>-3672</v>
      </c>
      <c r="AF8" s="91">
        <f>'29'!G63</f>
        <v>139</v>
      </c>
      <c r="AG8" s="91">
        <f>'30'!G63</f>
        <v>73</v>
      </c>
      <c r="AH8" s="91">
        <f>'31'!G63</f>
        <v>167</v>
      </c>
      <c r="AI8" s="90"/>
    </row>
    <row r="9" spans="2:35" x14ac:dyDescent="0.25">
      <c r="B9" s="759" t="s">
        <v>71</v>
      </c>
      <c r="C9" s="90" t="s">
        <v>31</v>
      </c>
      <c r="D9" s="91">
        <f>'1'!G65</f>
        <v>71</v>
      </c>
      <c r="E9" s="91">
        <f>'2'!G65</f>
        <v>71</v>
      </c>
      <c r="F9" s="91">
        <f>'3'!G65</f>
        <v>94</v>
      </c>
      <c r="G9" s="91">
        <f>'4'!G65</f>
        <v>87</v>
      </c>
      <c r="H9" s="91">
        <f>'5'!G65</f>
        <v>100</v>
      </c>
      <c r="I9" s="91">
        <f>'6'!G65</f>
        <v>110</v>
      </c>
      <c r="J9" s="91">
        <f>'7'!G65</f>
        <v>96</v>
      </c>
      <c r="K9" s="91">
        <f>'8'!G65</f>
        <v>106</v>
      </c>
      <c r="L9" s="91">
        <f>'9'!G65</f>
        <v>103</v>
      </c>
      <c r="M9" s="91">
        <f>'10'!G65</f>
        <v>105</v>
      </c>
      <c r="N9" s="91">
        <f>'11'!G65</f>
        <v>104</v>
      </c>
      <c r="O9" s="91">
        <f>'12'!G65</f>
        <v>126</v>
      </c>
      <c r="P9" s="91">
        <f>'13'!G65</f>
        <v>112</v>
      </c>
      <c r="Q9" s="91">
        <f>'14'!G65</f>
        <v>135</v>
      </c>
      <c r="R9" s="91">
        <f>'15'!G65</f>
        <v>119</v>
      </c>
      <c r="S9" s="91">
        <f>'16'!G65</f>
        <v>89</v>
      </c>
      <c r="T9" s="91">
        <f>'17'!G65</f>
        <v>116</v>
      </c>
      <c r="U9" s="91">
        <f>'18 '!G65</f>
        <v>84</v>
      </c>
      <c r="V9" s="91">
        <f>'19'!G65</f>
        <v>113</v>
      </c>
      <c r="W9" s="91">
        <f>'20'!G65</f>
        <v>103</v>
      </c>
      <c r="X9" s="91">
        <f>'21'!G65</f>
        <v>102</v>
      </c>
      <c r="Y9" s="91">
        <f>'22'!G65</f>
        <v>109</v>
      </c>
      <c r="Z9" s="91">
        <f>'23'!G65</f>
        <v>107</v>
      </c>
      <c r="AA9" s="91">
        <f>'24'!G65</f>
        <v>92</v>
      </c>
      <c r="AB9" s="91">
        <f>'25'!G65</f>
        <v>112</v>
      </c>
      <c r="AC9" s="91">
        <f>'26'!G65</f>
        <v>106</v>
      </c>
      <c r="AD9" s="91">
        <f>'27'!G65</f>
        <v>96</v>
      </c>
      <c r="AE9" s="91">
        <f>'28'!G65</f>
        <v>-3006</v>
      </c>
      <c r="AF9" s="91">
        <f>'29'!G65</f>
        <v>84</v>
      </c>
      <c r="AG9" s="91">
        <f>'30'!G65</f>
        <v>80</v>
      </c>
      <c r="AH9" s="91">
        <f>'31'!G65</f>
        <v>74</v>
      </c>
      <c r="AI9" s="90"/>
    </row>
    <row r="10" spans="2:35" x14ac:dyDescent="0.25">
      <c r="B10" s="759"/>
      <c r="C10" s="90" t="s">
        <v>32</v>
      </c>
      <c r="D10" s="91">
        <f>'1'!G66</f>
        <v>17</v>
      </c>
      <c r="E10" s="91">
        <f>'2'!G66</f>
        <v>20</v>
      </c>
      <c r="F10" s="91">
        <f>'3'!G66</f>
        <v>22</v>
      </c>
      <c r="G10" s="91">
        <f>'4'!G66</f>
        <v>30</v>
      </c>
      <c r="H10" s="91">
        <f>'5'!G66</f>
        <v>48</v>
      </c>
      <c r="I10" s="91">
        <f>'6'!G66</f>
        <v>26</v>
      </c>
      <c r="J10" s="91">
        <f>'7'!G66</f>
        <v>21</v>
      </c>
      <c r="K10" s="91">
        <f>'8'!G66</f>
        <v>19</v>
      </c>
      <c r="L10" s="91">
        <f>'9'!G66</f>
        <v>20</v>
      </c>
      <c r="M10" s="91">
        <f>'10'!G66</f>
        <v>20</v>
      </c>
      <c r="N10" s="91">
        <f>'11'!G66</f>
        <v>31</v>
      </c>
      <c r="O10" s="91">
        <f>'12'!G66</f>
        <v>28</v>
      </c>
      <c r="P10" s="91">
        <f>'13'!G66</f>
        <v>27</v>
      </c>
      <c r="Q10" s="91">
        <f>'14'!G66</f>
        <v>27</v>
      </c>
      <c r="R10" s="91">
        <f>'15'!G66</f>
        <v>31</v>
      </c>
      <c r="S10" s="91">
        <f>'16'!G66</f>
        <v>19</v>
      </c>
      <c r="T10" s="91">
        <f>'17'!G66</f>
        <v>19</v>
      </c>
      <c r="U10" s="91">
        <f>'18 '!G66</f>
        <v>19</v>
      </c>
      <c r="V10" s="91">
        <f>'19'!G66</f>
        <v>38</v>
      </c>
      <c r="W10" s="91">
        <f>'20'!G66</f>
        <v>31</v>
      </c>
      <c r="X10" s="91">
        <f>'21'!G66</f>
        <v>20</v>
      </c>
      <c r="Y10" s="91">
        <f>'22'!G66</f>
        <v>20</v>
      </c>
      <c r="Z10" s="91">
        <f>'23'!G66</f>
        <v>18</v>
      </c>
      <c r="AA10" s="91">
        <f>'24'!G66</f>
        <v>19</v>
      </c>
      <c r="AB10" s="91">
        <f>'25'!G66</f>
        <v>465</v>
      </c>
      <c r="AC10" s="91">
        <f>'26'!G66</f>
        <v>28</v>
      </c>
      <c r="AD10" s="91">
        <f>'27'!G66</f>
        <v>27</v>
      </c>
      <c r="AE10" s="91">
        <f>'28'!G66</f>
        <v>-729</v>
      </c>
      <c r="AF10" s="91">
        <f>'29'!G66</f>
        <v>22</v>
      </c>
      <c r="AG10" s="91">
        <f>'30'!G66</f>
        <v>27</v>
      </c>
      <c r="AH10" s="91">
        <f>'31'!G66</f>
        <v>15</v>
      </c>
      <c r="AI10" s="90"/>
    </row>
    <row r="11" spans="2:35" x14ac:dyDescent="0.25">
      <c r="B11" s="759"/>
      <c r="C11" s="90" t="s">
        <v>33</v>
      </c>
      <c r="D11" s="91">
        <f>'1'!G67</f>
        <v>14</v>
      </c>
      <c r="E11" s="91">
        <f>'2'!G67</f>
        <v>20</v>
      </c>
      <c r="F11" s="91">
        <f>'3'!G67</f>
        <v>20</v>
      </c>
      <c r="G11" s="91">
        <f>'4'!G67</f>
        <v>25</v>
      </c>
      <c r="H11" s="91">
        <f>'5'!G67</f>
        <v>26</v>
      </c>
      <c r="I11" s="91">
        <f>'6'!G67</f>
        <v>31</v>
      </c>
      <c r="J11" s="91">
        <f>'7'!G67</f>
        <v>30</v>
      </c>
      <c r="K11" s="91">
        <f>'8'!G67</f>
        <v>16</v>
      </c>
      <c r="L11" s="91">
        <f>'9'!G67</f>
        <v>55</v>
      </c>
      <c r="M11" s="91">
        <f>'10'!G67</f>
        <v>65</v>
      </c>
      <c r="N11" s="91">
        <f>'11'!G67</f>
        <v>65</v>
      </c>
      <c r="O11" s="91">
        <f>'12'!G67</f>
        <v>66</v>
      </c>
      <c r="P11" s="91">
        <f>'13'!G67</f>
        <v>71</v>
      </c>
      <c r="Q11" s="91">
        <f>'14'!G67</f>
        <v>69</v>
      </c>
      <c r="R11" s="91">
        <f>'15'!G67</f>
        <v>71</v>
      </c>
      <c r="S11" s="91">
        <f>'16'!G67</f>
        <v>72</v>
      </c>
      <c r="T11" s="91">
        <f>'17'!G67</f>
        <v>86</v>
      </c>
      <c r="U11" s="91">
        <f>'18 '!G67</f>
        <v>75</v>
      </c>
      <c r="V11" s="91">
        <f>'19'!G67</f>
        <v>77</v>
      </c>
      <c r="W11" s="91">
        <f>'20'!G67</f>
        <v>70</v>
      </c>
      <c r="X11" s="91">
        <f>'21'!G67</f>
        <v>81</v>
      </c>
      <c r="Y11" s="91">
        <f>'22'!G67</f>
        <v>72</v>
      </c>
      <c r="Z11" s="91">
        <f>'23'!G67</f>
        <v>70</v>
      </c>
      <c r="AA11" s="91">
        <f>'24'!G67</f>
        <v>67</v>
      </c>
      <c r="AB11" s="91">
        <f>'25'!G67</f>
        <v>71</v>
      </c>
      <c r="AC11" s="91">
        <f>'26'!G67</f>
        <v>73</v>
      </c>
      <c r="AD11" s="91">
        <f>'27'!G67</f>
        <v>79</v>
      </c>
      <c r="AE11" s="91">
        <f>'28'!G67</f>
        <v>-1614</v>
      </c>
      <c r="AF11" s="91">
        <f>'29'!G67</f>
        <v>25</v>
      </c>
      <c r="AG11" s="91">
        <f>'30'!G67</f>
        <v>32</v>
      </c>
      <c r="AH11" s="91">
        <f>'31'!G67</f>
        <v>20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759" t="s">
        <v>72</v>
      </c>
      <c r="C13" s="90" t="s">
        <v>31</v>
      </c>
      <c r="D13" s="91">
        <f>'1'!G68</f>
        <v>39</v>
      </c>
      <c r="E13" s="91">
        <f>'2'!G68</f>
        <v>30</v>
      </c>
      <c r="F13" s="91">
        <f>'3'!G68</f>
        <v>28</v>
      </c>
      <c r="G13" s="91">
        <f>'4'!G68</f>
        <v>28</v>
      </c>
      <c r="H13" s="91">
        <f>'5'!G68</f>
        <v>33</v>
      </c>
      <c r="I13" s="91">
        <f>'6'!G68</f>
        <v>56</v>
      </c>
      <c r="J13" s="91">
        <f>'7'!G68</f>
        <v>43</v>
      </c>
      <c r="K13" s="91">
        <f>'8'!G68</f>
        <v>30</v>
      </c>
      <c r="L13" s="91">
        <f>'9'!G68</f>
        <v>37</v>
      </c>
      <c r="M13" s="91">
        <f>'10'!G68</f>
        <v>40</v>
      </c>
      <c r="N13" s="91">
        <f>'11'!G68</f>
        <v>53</v>
      </c>
      <c r="O13" s="91">
        <f>'12'!G68</f>
        <v>52</v>
      </c>
      <c r="P13" s="91">
        <f>'13'!G68</f>
        <v>32</v>
      </c>
      <c r="Q13" s="91">
        <f>'14'!G68</f>
        <v>34</v>
      </c>
      <c r="R13" s="91">
        <f>'15'!G68</f>
        <v>44</v>
      </c>
      <c r="S13" s="91">
        <f>'16'!G68</f>
        <v>43</v>
      </c>
      <c r="T13" s="91">
        <f>'17'!G68</f>
        <v>55</v>
      </c>
      <c r="U13" s="91">
        <f>'18 '!G68</f>
        <v>63</v>
      </c>
      <c r="V13" s="91">
        <f>'19'!G68</f>
        <v>82</v>
      </c>
      <c r="W13" s="91">
        <f>'20'!G68</f>
        <v>49</v>
      </c>
      <c r="X13" s="91">
        <f>'21'!G68</f>
        <v>38</v>
      </c>
      <c r="Y13" s="91">
        <f>'22'!G68</f>
        <v>46</v>
      </c>
      <c r="Z13" s="91">
        <f>'23'!G68</f>
        <v>57</v>
      </c>
      <c r="AA13" s="504">
        <f>'24'!G68</f>
        <v>36</v>
      </c>
      <c r="AB13" s="91">
        <f>'25'!G68</f>
        <v>73</v>
      </c>
      <c r="AC13" s="91">
        <f>'26'!G68</f>
        <v>61</v>
      </c>
      <c r="AD13" s="91">
        <f>'27'!G68</f>
        <v>17</v>
      </c>
      <c r="AE13" s="91">
        <f>'28'!G68</f>
        <v>-1281</v>
      </c>
      <c r="AF13" s="91">
        <f>'29'!G68</f>
        <v>48</v>
      </c>
      <c r="AG13" s="91">
        <f>'30'!G68</f>
        <v>25</v>
      </c>
      <c r="AH13" s="91">
        <f>'31'!G68</f>
        <v>29</v>
      </c>
      <c r="AI13" s="90"/>
    </row>
    <row r="14" spans="2:35" x14ac:dyDescent="0.25">
      <c r="B14" s="759"/>
      <c r="C14" s="90" t="s">
        <v>32</v>
      </c>
      <c r="D14" s="91">
        <f>'1'!G69</f>
        <v>9</v>
      </c>
      <c r="E14" s="91">
        <f>'2'!G69</f>
        <v>19</v>
      </c>
      <c r="F14" s="91">
        <f>'3'!G69</f>
        <v>9</v>
      </c>
      <c r="G14" s="91">
        <f>'4'!G69</f>
        <v>7</v>
      </c>
      <c r="H14" s="91">
        <f>'5'!G69</f>
        <v>8</v>
      </c>
      <c r="I14" s="91">
        <f>'6'!G69</f>
        <v>11</v>
      </c>
      <c r="J14" s="91">
        <f>'7'!G69</f>
        <v>15</v>
      </c>
      <c r="K14" s="91">
        <f>'8'!G69</f>
        <v>10</v>
      </c>
      <c r="L14" s="91">
        <f>'9'!G69</f>
        <v>9</v>
      </c>
      <c r="M14" s="91">
        <f>'10'!G69</f>
        <v>18</v>
      </c>
      <c r="N14" s="91">
        <f>'11'!G69</f>
        <v>32</v>
      </c>
      <c r="O14" s="91">
        <f>'12'!G69</f>
        <v>14</v>
      </c>
      <c r="P14" s="91">
        <f>'13'!G69</f>
        <v>11</v>
      </c>
      <c r="Q14" s="91">
        <f>'14'!G69</f>
        <v>11</v>
      </c>
      <c r="R14" s="91">
        <f>'15'!G69</f>
        <v>26</v>
      </c>
      <c r="S14" s="91">
        <f>'16'!G69</f>
        <v>9</v>
      </c>
      <c r="T14" s="91">
        <f>'17'!G69</f>
        <v>13</v>
      </c>
      <c r="U14" s="91">
        <f>'18 '!G69</f>
        <v>6</v>
      </c>
      <c r="V14" s="91">
        <f>'19'!G69</f>
        <v>12</v>
      </c>
      <c r="W14" s="91">
        <f>'20'!G69</f>
        <v>13</v>
      </c>
      <c r="X14" s="91">
        <f>'21'!G69</f>
        <v>6</v>
      </c>
      <c r="Y14" s="91">
        <f>'22'!G69</f>
        <v>8</v>
      </c>
      <c r="Z14" s="91">
        <f>'23'!G69</f>
        <v>7</v>
      </c>
      <c r="AA14" s="91">
        <f>'24'!G69</f>
        <v>9</v>
      </c>
      <c r="AB14" s="91">
        <f>'25'!G69</f>
        <v>6</v>
      </c>
      <c r="AC14" s="91">
        <f>'26'!G69</f>
        <v>6</v>
      </c>
      <c r="AD14" s="91">
        <f>'27'!G69</f>
        <v>20</v>
      </c>
      <c r="AE14" s="91">
        <f>'28'!G69</f>
        <v>-348</v>
      </c>
      <c r="AF14" s="91">
        <f>'29'!G69</f>
        <v>7</v>
      </c>
      <c r="AG14" s="91">
        <f>'30'!G69</f>
        <v>8</v>
      </c>
      <c r="AH14" s="91">
        <f>'31'!G69</f>
        <v>9</v>
      </c>
      <c r="AI14" s="90"/>
    </row>
    <row r="15" spans="2:35" x14ac:dyDescent="0.25">
      <c r="B15" s="759"/>
      <c r="C15" s="90" t="s">
        <v>33</v>
      </c>
      <c r="D15" s="91">
        <f>'1'!G70</f>
        <v>8</v>
      </c>
      <c r="E15" s="91">
        <f>'2'!G70</f>
        <v>10</v>
      </c>
      <c r="F15" s="91">
        <f>'3'!G70</f>
        <v>9</v>
      </c>
      <c r="G15" s="91">
        <f>'4'!G70</f>
        <v>9</v>
      </c>
      <c r="H15" s="91">
        <f>'5'!G70</f>
        <v>9</v>
      </c>
      <c r="I15" s="91">
        <f>'6'!G70</f>
        <v>9</v>
      </c>
      <c r="J15" s="91">
        <f>'7'!G70</f>
        <v>23</v>
      </c>
      <c r="K15" s="91">
        <f>'8'!G70</f>
        <v>33</v>
      </c>
      <c r="L15" s="91">
        <f>'9'!G70</f>
        <v>14</v>
      </c>
      <c r="M15" s="91">
        <f>'10'!G70</f>
        <v>8</v>
      </c>
      <c r="N15" s="91">
        <f>'11'!G70</f>
        <v>12</v>
      </c>
      <c r="O15" s="91">
        <f>'12'!G70</f>
        <v>5</v>
      </c>
      <c r="P15" s="91">
        <f>'13'!G70</f>
        <v>8</v>
      </c>
      <c r="Q15" s="91">
        <f>'14'!G70</f>
        <v>11</v>
      </c>
      <c r="R15" s="91">
        <f>'15'!G70</f>
        <v>15</v>
      </c>
      <c r="S15" s="91">
        <f>'16'!G70</f>
        <v>9</v>
      </c>
      <c r="T15" s="91">
        <f>'17'!G70</f>
        <v>14</v>
      </c>
      <c r="U15" s="91">
        <f>'18 '!G70</f>
        <v>12</v>
      </c>
      <c r="V15" s="91">
        <f>'19'!G70</f>
        <v>13</v>
      </c>
      <c r="W15" s="91">
        <f>'20'!G70</f>
        <v>7</v>
      </c>
      <c r="X15" s="91">
        <f>'21'!G70</f>
        <v>9</v>
      </c>
      <c r="Y15" s="91">
        <f>'22'!G70</f>
        <v>17</v>
      </c>
      <c r="Z15" s="91">
        <f>'23'!G70</f>
        <v>9</v>
      </c>
      <c r="AA15" s="91">
        <f>'24'!G70</f>
        <v>7</v>
      </c>
      <c r="AB15" s="91">
        <f>'25'!G70</f>
        <v>11</v>
      </c>
      <c r="AC15" s="91">
        <f>'26'!G70</f>
        <v>18</v>
      </c>
      <c r="AD15" s="91">
        <f>'27'!G70</f>
        <v>13</v>
      </c>
      <c r="AE15" s="91">
        <f>'28'!G70</f>
        <v>-367</v>
      </c>
      <c r="AF15" s="91">
        <f>'29'!G70</f>
        <v>15</v>
      </c>
      <c r="AG15" s="91">
        <f>'30'!G70</f>
        <v>22</v>
      </c>
      <c r="AH15" s="91">
        <f>'31'!G70</f>
        <v>8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759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5</v>
      </c>
      <c r="M17" s="91">
        <f>'10'!G173</f>
        <v>1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33</v>
      </c>
      <c r="S17" s="91">
        <f>'16'!G173</f>
        <v>0</v>
      </c>
      <c r="T17" s="91">
        <f>'17'!G173</f>
        <v>18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2</v>
      </c>
      <c r="AC17" s="91">
        <f>'26'!G173</f>
        <v>2</v>
      </c>
      <c r="AD17" s="91">
        <f>'27'!G173</f>
        <v>3</v>
      </c>
      <c r="AE17" s="91">
        <f>'28'!G173</f>
        <v>-64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 x14ac:dyDescent="0.25">
      <c r="B18" s="759"/>
      <c r="C18" s="90" t="s">
        <v>75</v>
      </c>
      <c r="D18" s="90">
        <f>'1'!G174</f>
        <v>11</v>
      </c>
      <c r="E18" s="91">
        <f>'2'!G174</f>
        <v>11</v>
      </c>
      <c r="F18" s="91">
        <f>'3'!G174</f>
        <v>12</v>
      </c>
      <c r="G18" s="91">
        <f>'4'!G174</f>
        <v>12</v>
      </c>
      <c r="H18" s="91">
        <f>'5'!G174</f>
        <v>15</v>
      </c>
      <c r="I18" s="91">
        <f>'6'!G174</f>
        <v>16</v>
      </c>
      <c r="J18" s="91">
        <f>'7'!G174</f>
        <v>14</v>
      </c>
      <c r="K18" s="91">
        <f>'8'!G174</f>
        <v>17</v>
      </c>
      <c r="L18" s="91">
        <f>'9'!G174</f>
        <v>12</v>
      </c>
      <c r="M18" s="91">
        <f>'10'!G174</f>
        <v>14</v>
      </c>
      <c r="N18" s="91">
        <f>'11'!G174</f>
        <v>12</v>
      </c>
      <c r="O18" s="91">
        <f>'12'!G174</f>
        <v>17</v>
      </c>
      <c r="P18" s="91">
        <f>'13'!G174</f>
        <v>12</v>
      </c>
      <c r="Q18" s="91">
        <f>'14'!G174</f>
        <v>16</v>
      </c>
      <c r="R18" s="91">
        <f>'15'!G174</f>
        <v>16</v>
      </c>
      <c r="S18" s="91">
        <f>'16'!G174</f>
        <v>14</v>
      </c>
      <c r="T18" s="91">
        <f>'17'!G174</f>
        <v>12</v>
      </c>
      <c r="U18" s="91">
        <f>'18 '!G174</f>
        <v>16</v>
      </c>
      <c r="V18" s="91">
        <f>'19'!G174</f>
        <v>16</v>
      </c>
      <c r="W18" s="91">
        <f>'20'!G174</f>
        <v>16</v>
      </c>
      <c r="X18" s="91">
        <f>'21'!G174</f>
        <v>15</v>
      </c>
      <c r="Y18" s="91">
        <f>'22'!G174</f>
        <v>16</v>
      </c>
      <c r="Z18" s="91">
        <f>'23'!G174</f>
        <v>12</v>
      </c>
      <c r="AA18" s="91">
        <f>'24'!G174</f>
        <v>16</v>
      </c>
      <c r="AB18" s="91">
        <f>'25'!G174</f>
        <v>17</v>
      </c>
      <c r="AC18" s="91">
        <f>'26'!G174</f>
        <v>15</v>
      </c>
      <c r="AD18" s="91">
        <f>'27'!G174</f>
        <v>15</v>
      </c>
      <c r="AE18" s="91">
        <f>'28'!G174</f>
        <v>-426</v>
      </c>
      <c r="AF18" s="91">
        <f>'29'!G174</f>
        <v>13</v>
      </c>
      <c r="AG18" s="91">
        <f>'30'!G174</f>
        <v>14</v>
      </c>
      <c r="AH18" s="91">
        <f>'31'!G174</f>
        <v>12</v>
      </c>
      <c r="AI18" s="90"/>
    </row>
    <row r="19" spans="2:35" x14ac:dyDescent="0.25">
      <c r="B19" s="759"/>
      <c r="C19" s="90" t="s">
        <v>76</v>
      </c>
      <c r="D19" s="90">
        <f>'1'!G175</f>
        <v>10</v>
      </c>
      <c r="E19" s="91">
        <f>'2'!G175</f>
        <v>9</v>
      </c>
      <c r="F19" s="91">
        <f>'3'!G175</f>
        <v>9</v>
      </c>
      <c r="G19" s="91">
        <f>'4'!G175</f>
        <v>10</v>
      </c>
      <c r="H19" s="91">
        <f>'5'!G175</f>
        <v>11</v>
      </c>
      <c r="I19" s="91">
        <f>'6'!G175</f>
        <v>11</v>
      </c>
      <c r="J19" s="91">
        <f>'7'!G175</f>
        <v>10</v>
      </c>
      <c r="K19" s="91">
        <f>'8'!G175</f>
        <v>12</v>
      </c>
      <c r="L19" s="91">
        <f>'9'!G175</f>
        <v>12</v>
      </c>
      <c r="M19" s="91">
        <f>'10'!G175</f>
        <v>12</v>
      </c>
      <c r="N19" s="91">
        <f>'11'!G175</f>
        <v>12</v>
      </c>
      <c r="O19" s="91">
        <f>'12'!G175</f>
        <v>14</v>
      </c>
      <c r="P19" s="91">
        <f>'13'!G175</f>
        <v>13</v>
      </c>
      <c r="Q19" s="91">
        <f>'14'!G175</f>
        <v>14</v>
      </c>
      <c r="R19" s="91">
        <f>'15'!G175</f>
        <v>13</v>
      </c>
      <c r="S19" s="91">
        <f>'16'!G175</f>
        <v>14</v>
      </c>
      <c r="T19" s="91">
        <f>'17'!G175</f>
        <v>11</v>
      </c>
      <c r="U19" s="91">
        <f>'18 '!G175</f>
        <v>13</v>
      </c>
      <c r="V19" s="91">
        <f>'19'!G175</f>
        <v>12</v>
      </c>
      <c r="W19" s="91">
        <f>'20'!G175</f>
        <v>10</v>
      </c>
      <c r="X19" s="91">
        <f>'21'!G175</f>
        <v>16</v>
      </c>
      <c r="Y19" s="91">
        <f>'22'!G175</f>
        <v>13</v>
      </c>
      <c r="Z19" s="91">
        <f>'23'!G175</f>
        <v>12</v>
      </c>
      <c r="AA19" s="91">
        <f>'24'!G175</f>
        <v>15</v>
      </c>
      <c r="AB19" s="91">
        <f>'25'!G175</f>
        <v>11</v>
      </c>
      <c r="AC19" s="91">
        <f>'26'!G175</f>
        <v>11</v>
      </c>
      <c r="AD19" s="91">
        <f>'27'!G175</f>
        <v>12</v>
      </c>
      <c r="AE19" s="91">
        <f>'28'!G175</f>
        <v>-352</v>
      </c>
      <c r="AF19" s="91">
        <f>'29'!G175</f>
        <v>12</v>
      </c>
      <c r="AG19" s="91">
        <f>'30'!G175</f>
        <v>8</v>
      </c>
      <c r="AH19" s="91">
        <f>'31'!G175</f>
        <v>10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759" t="s">
        <v>77</v>
      </c>
      <c r="C21" s="90" t="s">
        <v>78</v>
      </c>
      <c r="D21" s="90">
        <f>'1'!G178</f>
        <v>43</v>
      </c>
      <c r="E21" s="91">
        <f>'2'!G178</f>
        <v>90</v>
      </c>
      <c r="F21" s="91">
        <f>'3'!G178</f>
        <v>9</v>
      </c>
      <c r="G21" s="91">
        <f>'4'!G178</f>
        <v>87</v>
      </c>
      <c r="H21" s="91">
        <f>'5'!G178</f>
        <v>64</v>
      </c>
      <c r="I21" s="91">
        <f>'6'!G178</f>
        <v>41</v>
      </c>
      <c r="J21" s="91">
        <f>'7'!G178</f>
        <v>68</v>
      </c>
      <c r="K21" s="91">
        <f>'8'!G178</f>
        <v>46</v>
      </c>
      <c r="L21" s="91">
        <f>'9'!G178</f>
        <v>38</v>
      </c>
      <c r="M21" s="91">
        <f>'10'!G178</f>
        <v>47</v>
      </c>
      <c r="N21" s="91">
        <f>'11'!G178</f>
        <v>30</v>
      </c>
      <c r="O21" s="91">
        <f>'12'!G178</f>
        <v>95</v>
      </c>
      <c r="P21" s="91">
        <f>'13'!G178</f>
        <v>42</v>
      </c>
      <c r="Q21" s="91">
        <f>'14'!G178</f>
        <v>64</v>
      </c>
      <c r="R21" s="91">
        <f>'15'!G178</f>
        <v>64</v>
      </c>
      <c r="S21" s="91">
        <f>'16'!G178</f>
        <v>58</v>
      </c>
      <c r="T21" s="91">
        <f>'17'!G178</f>
        <v>67</v>
      </c>
      <c r="U21" s="91">
        <f>'18 '!G178</f>
        <v>66</v>
      </c>
      <c r="V21" s="91">
        <f>'19'!G178</f>
        <v>43</v>
      </c>
      <c r="W21" s="91">
        <f>'20'!G178</f>
        <v>64</v>
      </c>
      <c r="X21" s="91">
        <f>'21'!G178</f>
        <v>68</v>
      </c>
      <c r="Y21" s="91">
        <f>'22'!G178</f>
        <v>63</v>
      </c>
      <c r="Z21" s="91">
        <f>'23'!G178</f>
        <v>64</v>
      </c>
      <c r="AA21" s="91">
        <f>'24'!G178</f>
        <v>65</v>
      </c>
      <c r="AB21" s="91">
        <f>'25'!G178</f>
        <v>64</v>
      </c>
      <c r="AC21" s="91">
        <f>'26'!G178</f>
        <v>64</v>
      </c>
      <c r="AD21" s="91">
        <f>'27'!G178</f>
        <v>54</v>
      </c>
      <c r="AE21" s="91">
        <f>'28'!G178</f>
        <v>-1782</v>
      </c>
      <c r="AF21" s="91">
        <f>'29'!G178</f>
        <v>42</v>
      </c>
      <c r="AG21" s="91">
        <f>'30'!G178</f>
        <v>63</v>
      </c>
      <c r="AH21" s="91">
        <f>'31'!G178</f>
        <v>109</v>
      </c>
      <c r="AI21" s="90"/>
    </row>
    <row r="22" spans="2:35" x14ac:dyDescent="0.25">
      <c r="B22" s="759"/>
      <c r="C22" s="90" t="s">
        <v>79</v>
      </c>
      <c r="D22" s="90">
        <f>'1'!G179</f>
        <v>29</v>
      </c>
      <c r="E22" s="91">
        <f>'2'!G179</f>
        <v>37</v>
      </c>
      <c r="F22" s="91">
        <f>'3'!G179</f>
        <v>34</v>
      </c>
      <c r="G22" s="91">
        <f>'4'!G179</f>
        <v>23</v>
      </c>
      <c r="H22" s="91">
        <f>'5'!G179</f>
        <v>32</v>
      </c>
      <c r="I22" s="91">
        <f>'6'!G179</f>
        <v>70</v>
      </c>
      <c r="J22" s="91">
        <f>'7'!G179</f>
        <v>45</v>
      </c>
      <c r="K22" s="91">
        <f>'8'!G179</f>
        <v>25</v>
      </c>
      <c r="L22" s="91">
        <f>'9'!G179</f>
        <v>35</v>
      </c>
      <c r="M22" s="91">
        <f>'10'!G179</f>
        <v>0</v>
      </c>
      <c r="N22" s="91">
        <f>'11'!G179</f>
        <v>24</v>
      </c>
      <c r="O22" s="91">
        <f>'12'!G179</f>
        <v>20</v>
      </c>
      <c r="P22" s="91">
        <f>'13'!G179</f>
        <v>31</v>
      </c>
      <c r="Q22" s="91">
        <f>'14'!G179</f>
        <v>3</v>
      </c>
      <c r="R22" s="91">
        <f>'15'!G179</f>
        <v>32</v>
      </c>
      <c r="S22" s="91">
        <f>'16'!G179</f>
        <v>33</v>
      </c>
      <c r="T22" s="91">
        <f>'17'!G179</f>
        <v>0</v>
      </c>
      <c r="U22" s="91">
        <f>'18 '!G179</f>
        <v>13</v>
      </c>
      <c r="V22" s="91">
        <f>'19'!G179</f>
        <v>7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46</v>
      </c>
      <c r="AA22" s="91">
        <f>'24'!G179</f>
        <v>0</v>
      </c>
      <c r="AB22" s="91">
        <f>'25'!G179</f>
        <v>0</v>
      </c>
      <c r="AC22" s="91">
        <f>'26'!G179</f>
        <v>5873</v>
      </c>
      <c r="AD22" s="91">
        <f>'27'!G179</f>
        <v>0</v>
      </c>
      <c r="AE22" s="91">
        <f>'28'!G179</f>
        <v>-630</v>
      </c>
      <c r="AF22" s="91">
        <f>'29'!G179</f>
        <v>18</v>
      </c>
      <c r="AG22" s="91">
        <f>'30'!G179</f>
        <v>25</v>
      </c>
      <c r="AH22" s="91">
        <f>'31'!G179</f>
        <v>49</v>
      </c>
      <c r="AI22" s="90"/>
    </row>
    <row r="23" spans="2:35" x14ac:dyDescent="0.25">
      <c r="B23" s="759"/>
      <c r="C23" s="90" t="s">
        <v>80</v>
      </c>
      <c r="D23" s="90">
        <f>'1'!G180</f>
        <v>3</v>
      </c>
      <c r="E23" s="91">
        <f>'2'!G180</f>
        <v>5</v>
      </c>
      <c r="F23" s="91">
        <f>'3'!G180</f>
        <v>11</v>
      </c>
      <c r="G23" s="91">
        <f>'4'!G180</f>
        <v>10</v>
      </c>
      <c r="H23" s="91">
        <f>'5'!G180</f>
        <v>17</v>
      </c>
      <c r="I23" s="91">
        <f>'6'!G180</f>
        <v>0</v>
      </c>
      <c r="J23" s="91">
        <f>'7'!G180</f>
        <v>0</v>
      </c>
      <c r="K23" s="91">
        <f>'8'!G180</f>
        <v>17</v>
      </c>
      <c r="L23" s="91">
        <f>'9'!G180</f>
        <v>5</v>
      </c>
      <c r="M23" s="91">
        <f>'10'!G180</f>
        <v>0</v>
      </c>
      <c r="N23" s="91">
        <f>'11'!G180</f>
        <v>2</v>
      </c>
      <c r="O23" s="91">
        <f>'12'!G180</f>
        <v>10</v>
      </c>
      <c r="P23" s="91">
        <f>'13'!G180</f>
        <v>0</v>
      </c>
      <c r="Q23" s="91">
        <f>'14'!G180</f>
        <v>12</v>
      </c>
      <c r="R23" s="91">
        <f>'15'!G180</f>
        <v>6</v>
      </c>
      <c r="S23" s="91">
        <f>'16'!G180</f>
        <v>1</v>
      </c>
      <c r="T23" s="91">
        <f>'17'!G180</f>
        <v>0</v>
      </c>
      <c r="U23" s="91">
        <f>'18 '!G180</f>
        <v>5</v>
      </c>
      <c r="V23" s="91">
        <f>'19'!G180</f>
        <v>5</v>
      </c>
      <c r="W23" s="91">
        <f>'20'!G180</f>
        <v>2</v>
      </c>
      <c r="X23" s="91">
        <f>'21'!G180</f>
        <v>15</v>
      </c>
      <c r="Y23" s="91">
        <f>'22'!G180</f>
        <v>8</v>
      </c>
      <c r="Z23" s="91">
        <f>'23'!G180</f>
        <v>0</v>
      </c>
      <c r="AA23" s="91">
        <f>'24'!G180</f>
        <v>15</v>
      </c>
      <c r="AB23" s="91">
        <f>'25'!G180</f>
        <v>11</v>
      </c>
      <c r="AC23" s="91">
        <f>'26'!G180</f>
        <v>11</v>
      </c>
      <c r="AD23" s="91">
        <f>'27'!G180</f>
        <v>4</v>
      </c>
      <c r="AE23" s="91">
        <f>'28'!G180</f>
        <v>-202</v>
      </c>
      <c r="AF23" s="91">
        <f>'29'!G180</f>
        <v>15</v>
      </c>
      <c r="AG23" s="91">
        <f>'30'!G180</f>
        <v>3</v>
      </c>
      <c r="AH23" s="91">
        <f>'31'!G180</f>
        <v>9</v>
      </c>
      <c r="AI23" s="90"/>
    </row>
    <row r="24" spans="2:35" ht="30" x14ac:dyDescent="0.25">
      <c r="B24" s="93" t="s">
        <v>301</v>
      </c>
      <c r="C24" s="90"/>
      <c r="D24" s="91">
        <f>SUM(D5:D6)</f>
        <v>235</v>
      </c>
      <c r="E24" s="91">
        <f t="shared" ref="E24:AH24" si="0">SUM(E5:E6)</f>
        <v>183</v>
      </c>
      <c r="F24" s="91">
        <f t="shared" si="0"/>
        <v>233</v>
      </c>
      <c r="G24" s="91">
        <f t="shared" si="0"/>
        <v>261</v>
      </c>
      <c r="H24" s="91">
        <f t="shared" si="0"/>
        <v>294</v>
      </c>
      <c r="I24" s="91">
        <f t="shared" si="0"/>
        <v>275</v>
      </c>
      <c r="J24" s="91">
        <f t="shared" si="0"/>
        <v>242</v>
      </c>
      <c r="K24" s="91">
        <f t="shared" si="0"/>
        <v>232</v>
      </c>
      <c r="L24" s="91">
        <f t="shared" si="0"/>
        <v>256</v>
      </c>
      <c r="M24" s="91">
        <f t="shared" si="0"/>
        <v>317</v>
      </c>
      <c r="N24" s="91">
        <f t="shared" si="0"/>
        <v>316</v>
      </c>
      <c r="O24" s="91">
        <f t="shared" si="0"/>
        <v>339</v>
      </c>
      <c r="P24" s="91">
        <f t="shared" si="0"/>
        <v>296</v>
      </c>
      <c r="Q24" s="91">
        <f t="shared" si="0"/>
        <v>296</v>
      </c>
      <c r="R24" s="91">
        <f t="shared" si="0"/>
        <v>316</v>
      </c>
      <c r="S24" s="91">
        <f t="shared" si="0"/>
        <v>298</v>
      </c>
      <c r="T24" s="91">
        <f t="shared" si="0"/>
        <v>306</v>
      </c>
      <c r="U24" s="91">
        <f t="shared" si="0"/>
        <v>298</v>
      </c>
      <c r="V24" s="91">
        <f t="shared" si="0"/>
        <v>328</v>
      </c>
      <c r="W24" s="91">
        <f t="shared" si="0"/>
        <v>360</v>
      </c>
      <c r="X24" s="91">
        <f t="shared" si="0"/>
        <v>265</v>
      </c>
      <c r="Y24" s="91">
        <f t="shared" si="0"/>
        <v>243</v>
      </c>
      <c r="Z24" s="91">
        <f t="shared" si="0"/>
        <v>315</v>
      </c>
      <c r="AA24" s="91">
        <f>SUM(AA5:AA6)</f>
        <v>274</v>
      </c>
      <c r="AB24" s="91">
        <f t="shared" si="0"/>
        <v>233</v>
      </c>
      <c r="AC24" s="91">
        <f t="shared" si="0"/>
        <v>315</v>
      </c>
      <c r="AD24" s="91">
        <f t="shared" si="0"/>
        <v>310</v>
      </c>
      <c r="AE24" s="91">
        <f t="shared" si="0"/>
        <v>-1570</v>
      </c>
      <c r="AF24" s="91">
        <f t="shared" si="0"/>
        <v>312</v>
      </c>
      <c r="AG24" s="91">
        <f t="shared" si="0"/>
        <v>226</v>
      </c>
      <c r="AH24" s="91">
        <f t="shared" si="0"/>
        <v>146</v>
      </c>
      <c r="AI24" s="90"/>
    </row>
    <row r="25" spans="2:35" ht="30" x14ac:dyDescent="0.25">
      <c r="B25" s="93" t="s">
        <v>81</v>
      </c>
      <c r="C25" s="90"/>
      <c r="D25" s="91">
        <f>SUM(D9:D11,D14:D15,)</f>
        <v>119</v>
      </c>
      <c r="E25" s="91">
        <f t="shared" ref="E25:AI25" si="1">SUM(E9:E11,E14:E15,)</f>
        <v>140</v>
      </c>
      <c r="F25" s="91">
        <f t="shared" si="1"/>
        <v>154</v>
      </c>
      <c r="G25" s="91">
        <f t="shared" si="1"/>
        <v>158</v>
      </c>
      <c r="H25" s="91">
        <f t="shared" si="1"/>
        <v>191</v>
      </c>
      <c r="I25" s="91">
        <f t="shared" si="1"/>
        <v>187</v>
      </c>
      <c r="J25" s="91">
        <f t="shared" si="1"/>
        <v>185</v>
      </c>
      <c r="K25" s="91">
        <f>SUM(K9:K11,K14:K15,)</f>
        <v>184</v>
      </c>
      <c r="L25" s="91">
        <f t="shared" si="1"/>
        <v>201</v>
      </c>
      <c r="M25" s="91">
        <f t="shared" si="1"/>
        <v>216</v>
      </c>
      <c r="N25" s="91">
        <f t="shared" si="1"/>
        <v>244</v>
      </c>
      <c r="O25" s="91">
        <f t="shared" si="1"/>
        <v>239</v>
      </c>
      <c r="P25" s="91">
        <f t="shared" si="1"/>
        <v>229</v>
      </c>
      <c r="Q25" s="91">
        <f t="shared" si="1"/>
        <v>253</v>
      </c>
      <c r="R25" s="91">
        <f t="shared" si="1"/>
        <v>262</v>
      </c>
      <c r="S25" s="91">
        <f t="shared" si="1"/>
        <v>198</v>
      </c>
      <c r="T25" s="91">
        <f>SUM(T9:T11,T14:T15,)</f>
        <v>248</v>
      </c>
      <c r="U25" s="91">
        <f t="shared" si="1"/>
        <v>196</v>
      </c>
      <c r="V25" s="91">
        <f t="shared" si="1"/>
        <v>253</v>
      </c>
      <c r="W25" s="91">
        <f t="shared" si="1"/>
        <v>224</v>
      </c>
      <c r="X25" s="91">
        <f t="shared" si="1"/>
        <v>218</v>
      </c>
      <c r="Y25" s="91">
        <f t="shared" si="1"/>
        <v>226</v>
      </c>
      <c r="Z25" s="91">
        <f t="shared" si="1"/>
        <v>211</v>
      </c>
      <c r="AA25" s="91">
        <f t="shared" si="1"/>
        <v>194</v>
      </c>
      <c r="AB25" s="91">
        <f t="shared" si="1"/>
        <v>665</v>
      </c>
      <c r="AC25" s="91">
        <f t="shared" si="1"/>
        <v>231</v>
      </c>
      <c r="AD25" s="91">
        <f t="shared" si="1"/>
        <v>235</v>
      </c>
      <c r="AE25" s="91">
        <f t="shared" si="1"/>
        <v>-6064</v>
      </c>
      <c r="AF25" s="91">
        <f t="shared" si="1"/>
        <v>153</v>
      </c>
      <c r="AG25" s="91">
        <f t="shared" si="1"/>
        <v>169</v>
      </c>
      <c r="AH25" s="91">
        <f t="shared" si="1"/>
        <v>126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85</v>
      </c>
      <c r="E27" s="91">
        <f t="shared" ref="E27:AH27" si="2">SUM(E13,E21,E23)</f>
        <v>125</v>
      </c>
      <c r="F27" s="91">
        <f>SUM(F13,F21,F23)</f>
        <v>48</v>
      </c>
      <c r="G27" s="91">
        <f t="shared" si="2"/>
        <v>125</v>
      </c>
      <c r="H27" s="91">
        <f t="shared" si="2"/>
        <v>114</v>
      </c>
      <c r="I27" s="91">
        <f t="shared" si="2"/>
        <v>97</v>
      </c>
      <c r="J27" s="91">
        <f t="shared" si="2"/>
        <v>111</v>
      </c>
      <c r="K27" s="91">
        <f t="shared" si="2"/>
        <v>93</v>
      </c>
      <c r="L27" s="91">
        <f t="shared" si="2"/>
        <v>80</v>
      </c>
      <c r="M27" s="91">
        <f t="shared" si="2"/>
        <v>87</v>
      </c>
      <c r="N27" s="91">
        <f t="shared" si="2"/>
        <v>85</v>
      </c>
      <c r="O27" s="91">
        <f t="shared" si="2"/>
        <v>157</v>
      </c>
      <c r="P27" s="91">
        <f t="shared" si="2"/>
        <v>74</v>
      </c>
      <c r="Q27" s="91">
        <f t="shared" si="2"/>
        <v>110</v>
      </c>
      <c r="R27" s="91">
        <f t="shared" si="2"/>
        <v>114</v>
      </c>
      <c r="S27" s="91">
        <f t="shared" si="2"/>
        <v>102</v>
      </c>
      <c r="T27" s="91">
        <f t="shared" si="2"/>
        <v>122</v>
      </c>
      <c r="U27" s="91">
        <f t="shared" si="2"/>
        <v>134</v>
      </c>
      <c r="V27" s="91">
        <f t="shared" si="2"/>
        <v>130</v>
      </c>
      <c r="W27" s="91">
        <f t="shared" si="2"/>
        <v>115</v>
      </c>
      <c r="X27" s="91">
        <f t="shared" si="2"/>
        <v>121</v>
      </c>
      <c r="Y27" s="91">
        <f t="shared" si="2"/>
        <v>117</v>
      </c>
      <c r="Z27" s="91">
        <f t="shared" si="2"/>
        <v>121</v>
      </c>
      <c r="AA27" s="91">
        <f t="shared" si="2"/>
        <v>116</v>
      </c>
      <c r="AB27" s="91">
        <f t="shared" si="2"/>
        <v>148</v>
      </c>
      <c r="AC27" s="91">
        <f t="shared" si="2"/>
        <v>136</v>
      </c>
      <c r="AD27" s="91">
        <f t="shared" si="2"/>
        <v>75</v>
      </c>
      <c r="AE27" s="91">
        <f t="shared" si="2"/>
        <v>-3265</v>
      </c>
      <c r="AF27" s="91">
        <f t="shared" si="2"/>
        <v>105</v>
      </c>
      <c r="AG27" s="91">
        <f t="shared" si="2"/>
        <v>91</v>
      </c>
      <c r="AH27" s="91">
        <f t="shared" si="2"/>
        <v>147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71</v>
      </c>
      <c r="E29" s="249">
        <f t="shared" ref="E29:AH29" si="4">E9</f>
        <v>71</v>
      </c>
      <c r="F29" s="249">
        <f t="shared" si="4"/>
        <v>94</v>
      </c>
      <c r="G29" s="249">
        <f t="shared" si="4"/>
        <v>87</v>
      </c>
      <c r="H29" s="249">
        <f t="shared" si="4"/>
        <v>100</v>
      </c>
      <c r="I29" s="249">
        <f t="shared" si="4"/>
        <v>110</v>
      </c>
      <c r="J29" s="249">
        <f t="shared" si="4"/>
        <v>96</v>
      </c>
      <c r="K29" s="249">
        <f t="shared" si="4"/>
        <v>106</v>
      </c>
      <c r="L29" s="249">
        <f t="shared" si="4"/>
        <v>103</v>
      </c>
      <c r="M29" s="249">
        <f t="shared" si="4"/>
        <v>105</v>
      </c>
      <c r="N29" s="249">
        <f t="shared" si="4"/>
        <v>104</v>
      </c>
      <c r="O29" s="249">
        <f t="shared" si="4"/>
        <v>126</v>
      </c>
      <c r="P29" s="249">
        <f t="shared" si="4"/>
        <v>112</v>
      </c>
      <c r="Q29" s="249">
        <f t="shared" si="4"/>
        <v>135</v>
      </c>
      <c r="R29" s="249">
        <f t="shared" si="4"/>
        <v>119</v>
      </c>
      <c r="S29" s="249">
        <f t="shared" si="4"/>
        <v>89</v>
      </c>
      <c r="T29" s="249">
        <f t="shared" si="4"/>
        <v>116</v>
      </c>
      <c r="U29" s="249">
        <f t="shared" si="4"/>
        <v>84</v>
      </c>
      <c r="V29" s="249">
        <f t="shared" si="4"/>
        <v>113</v>
      </c>
      <c r="W29" s="249">
        <f t="shared" si="4"/>
        <v>103</v>
      </c>
      <c r="X29" s="249">
        <f t="shared" si="4"/>
        <v>102</v>
      </c>
      <c r="Y29" s="249">
        <f t="shared" si="4"/>
        <v>109</v>
      </c>
      <c r="Z29" s="249">
        <f t="shared" si="4"/>
        <v>107</v>
      </c>
      <c r="AA29" s="249">
        <f t="shared" si="4"/>
        <v>92</v>
      </c>
      <c r="AB29" s="249">
        <f t="shared" si="4"/>
        <v>112</v>
      </c>
      <c r="AC29" s="249">
        <f t="shared" si="4"/>
        <v>106</v>
      </c>
      <c r="AD29" s="249">
        <f t="shared" si="4"/>
        <v>96</v>
      </c>
      <c r="AE29" s="249">
        <f t="shared" si="4"/>
        <v>-3006</v>
      </c>
      <c r="AF29" s="249">
        <f t="shared" si="4"/>
        <v>84</v>
      </c>
      <c r="AG29" s="249">
        <f t="shared" si="4"/>
        <v>80</v>
      </c>
      <c r="AH29" s="249">
        <f t="shared" si="4"/>
        <v>74</v>
      </c>
      <c r="AI29" s="248"/>
    </row>
    <row r="30" spans="2:35" x14ac:dyDescent="0.25">
      <c r="B30" s="247" t="s">
        <v>84</v>
      </c>
      <c r="C30" s="248"/>
      <c r="D30" s="249">
        <f>SUM(D10:D11,D14:D15)</f>
        <v>48</v>
      </c>
      <c r="E30" s="249">
        <f t="shared" ref="E30:AH30" si="5">SUM(E10:E11,E14:E15)</f>
        <v>69</v>
      </c>
      <c r="F30" s="249">
        <f t="shared" si="5"/>
        <v>60</v>
      </c>
      <c r="G30" s="249">
        <f t="shared" si="5"/>
        <v>71</v>
      </c>
      <c r="H30" s="249">
        <f t="shared" si="5"/>
        <v>91</v>
      </c>
      <c r="I30" s="249">
        <f t="shared" si="5"/>
        <v>77</v>
      </c>
      <c r="J30" s="249">
        <f t="shared" si="5"/>
        <v>89</v>
      </c>
      <c r="K30" s="249">
        <f t="shared" si="5"/>
        <v>78</v>
      </c>
      <c r="L30" s="249">
        <f t="shared" si="5"/>
        <v>98</v>
      </c>
      <c r="M30" s="249">
        <f t="shared" si="5"/>
        <v>111</v>
      </c>
      <c r="N30" s="249">
        <f t="shared" si="5"/>
        <v>140</v>
      </c>
      <c r="O30" s="249">
        <f t="shared" si="5"/>
        <v>113</v>
      </c>
      <c r="P30" s="249">
        <f t="shared" si="5"/>
        <v>117</v>
      </c>
      <c r="Q30" s="249">
        <f t="shared" si="5"/>
        <v>118</v>
      </c>
      <c r="R30" s="249">
        <f t="shared" si="5"/>
        <v>143</v>
      </c>
      <c r="S30" s="249">
        <f t="shared" si="5"/>
        <v>109</v>
      </c>
      <c r="T30" s="249">
        <f t="shared" si="5"/>
        <v>132</v>
      </c>
      <c r="U30" s="249">
        <f t="shared" si="5"/>
        <v>112</v>
      </c>
      <c r="V30" s="249">
        <f t="shared" si="5"/>
        <v>140</v>
      </c>
      <c r="W30" s="249">
        <f t="shared" si="5"/>
        <v>121</v>
      </c>
      <c r="X30" s="249">
        <f t="shared" si="5"/>
        <v>116</v>
      </c>
      <c r="Y30" s="249">
        <f t="shared" si="5"/>
        <v>117</v>
      </c>
      <c r="Z30" s="249">
        <f t="shared" si="5"/>
        <v>104</v>
      </c>
      <c r="AA30" s="249">
        <f t="shared" si="5"/>
        <v>102</v>
      </c>
      <c r="AB30" s="249">
        <f t="shared" si="5"/>
        <v>553</v>
      </c>
      <c r="AC30" s="249">
        <f t="shared" si="5"/>
        <v>125</v>
      </c>
      <c r="AD30" s="249">
        <f t="shared" si="5"/>
        <v>139</v>
      </c>
      <c r="AE30" s="249">
        <f t="shared" si="5"/>
        <v>-3058</v>
      </c>
      <c r="AF30" s="249">
        <f t="shared" si="5"/>
        <v>69</v>
      </c>
      <c r="AG30" s="249">
        <f t="shared" si="5"/>
        <v>89</v>
      </c>
      <c r="AH30" s="249">
        <f t="shared" si="5"/>
        <v>52</v>
      </c>
      <c r="AI30" s="248"/>
    </row>
    <row r="31" spans="2:35" x14ac:dyDescent="0.25">
      <c r="B31" s="247" t="s">
        <v>85</v>
      </c>
      <c r="C31" s="248"/>
      <c r="D31" s="248">
        <f>D30/SUM(D29:D30)%</f>
        <v>40.336134453781511</v>
      </c>
      <c r="E31" s="248">
        <f t="shared" ref="E31:AH31" si="6">E30/SUM(E29:E30)%</f>
        <v>49.285714285714292</v>
      </c>
      <c r="F31" s="248">
        <f t="shared" si="6"/>
        <v>38.961038961038959</v>
      </c>
      <c r="G31" s="248">
        <f t="shared" si="6"/>
        <v>44.936708860759495</v>
      </c>
      <c r="H31" s="248">
        <f t="shared" si="6"/>
        <v>47.643979057591622</v>
      </c>
      <c r="I31" s="248">
        <f t="shared" si="6"/>
        <v>41.17647058823529</v>
      </c>
      <c r="J31" s="248">
        <f t="shared" si="6"/>
        <v>48.108108108108105</v>
      </c>
      <c r="K31" s="248">
        <f t="shared" si="6"/>
        <v>42.391304347826086</v>
      </c>
      <c r="L31" s="248">
        <f t="shared" si="6"/>
        <v>48.756218905472643</v>
      </c>
      <c r="M31" s="248">
        <f t="shared" si="6"/>
        <v>51.388888888888886</v>
      </c>
      <c r="N31" s="248">
        <f t="shared" si="6"/>
        <v>57.377049180327873</v>
      </c>
      <c r="O31" s="248">
        <f t="shared" si="6"/>
        <v>47.280334728033473</v>
      </c>
      <c r="P31" s="248">
        <f t="shared" si="6"/>
        <v>51.091703056768559</v>
      </c>
      <c r="Q31" s="248">
        <f t="shared" si="6"/>
        <v>46.640316205533601</v>
      </c>
      <c r="R31" s="248">
        <f t="shared" si="6"/>
        <v>54.580152671755719</v>
      </c>
      <c r="S31" s="248">
        <f t="shared" si="6"/>
        <v>55.050505050505052</v>
      </c>
      <c r="T31" s="248">
        <f t="shared" si="6"/>
        <v>53.225806451612904</v>
      </c>
      <c r="U31" s="248">
        <f t="shared" si="6"/>
        <v>57.142857142857146</v>
      </c>
      <c r="V31" s="248">
        <f t="shared" si="6"/>
        <v>55.335968379446648</v>
      </c>
      <c r="W31" s="248">
        <f t="shared" si="6"/>
        <v>54.017857142857139</v>
      </c>
      <c r="X31" s="248">
        <f t="shared" si="6"/>
        <v>53.211009174311926</v>
      </c>
      <c r="Y31" s="248">
        <f t="shared" si="6"/>
        <v>51.769911504424783</v>
      </c>
      <c r="Z31" s="248">
        <f t="shared" si="6"/>
        <v>49.289099526066352</v>
      </c>
      <c r="AA31" s="248">
        <f t="shared" si="6"/>
        <v>52.577319587628864</v>
      </c>
      <c r="AB31" s="248">
        <f t="shared" si="6"/>
        <v>83.157894736842096</v>
      </c>
      <c r="AC31" s="248">
        <f t="shared" si="6"/>
        <v>54.112554112554115</v>
      </c>
      <c r="AD31" s="248">
        <f t="shared" si="6"/>
        <v>59.148936170212764</v>
      </c>
      <c r="AE31" s="248">
        <f t="shared" si="6"/>
        <v>50.428759894459105</v>
      </c>
      <c r="AF31" s="248">
        <f t="shared" si="6"/>
        <v>45.098039215686271</v>
      </c>
      <c r="AG31" s="248">
        <f t="shared" si="6"/>
        <v>52.662721893491124</v>
      </c>
      <c r="AH31" s="248">
        <f t="shared" si="6"/>
        <v>41.269841269841272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topLeftCell="A4" zoomScale="70" zoomScaleNormal="70" workbookViewId="0">
      <pane xSplit="1" topLeftCell="B1" activePane="topRight" state="frozen"/>
      <selection activeCell="A4" sqref="A4"/>
      <selection pane="topRight" activeCell="C5" sqref="C5:C31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763" t="s">
        <v>308</v>
      </c>
      <c r="G2" s="764"/>
      <c r="H2" s="764"/>
      <c r="I2" s="764"/>
      <c r="J2" s="764"/>
      <c r="K2" s="764"/>
      <c r="L2" s="764"/>
      <c r="M2" s="765"/>
      <c r="N2" s="762" t="s">
        <v>86</v>
      </c>
      <c r="O2" s="762"/>
      <c r="P2" s="762"/>
      <c r="Q2" s="762"/>
      <c r="R2" s="762"/>
      <c r="S2" s="762"/>
      <c r="T2" s="762"/>
      <c r="U2" s="762"/>
      <c r="V2" s="762"/>
      <c r="W2" s="762"/>
      <c r="X2" s="762"/>
      <c r="Y2" s="762"/>
      <c r="Z2" s="762"/>
      <c r="AA2" s="762"/>
      <c r="AB2" s="762"/>
      <c r="AC2" s="762"/>
      <c r="AD2" s="762"/>
      <c r="AE2" s="762"/>
      <c r="AF2" s="762"/>
      <c r="AG2" s="762"/>
      <c r="AH2" s="762"/>
      <c r="AI2" s="762"/>
      <c r="AJ2" s="762"/>
      <c r="AK2" s="762"/>
      <c r="AL2" s="762"/>
      <c r="AM2" s="762"/>
      <c r="AN2" s="761"/>
      <c r="AO2" s="761"/>
      <c r="AP2" s="761"/>
      <c r="AQ2" s="761"/>
      <c r="AR2" s="761"/>
      <c r="AS2" s="761"/>
      <c r="AT2" s="761"/>
      <c r="AU2" s="634"/>
      <c r="AV2" s="760" t="s">
        <v>87</v>
      </c>
      <c r="AW2" s="760"/>
      <c r="AX2" s="760"/>
      <c r="AY2" s="760"/>
      <c r="BB2" s="318" t="s">
        <v>334</v>
      </c>
      <c r="BC2" s="318" t="s">
        <v>335</v>
      </c>
    </row>
    <row r="3" spans="1:55" x14ac:dyDescent="0.2">
      <c r="F3" s="636"/>
      <c r="G3" s="637"/>
      <c r="H3" s="637"/>
      <c r="I3" s="637"/>
      <c r="J3" s="637"/>
      <c r="K3" s="637"/>
      <c r="L3" s="637"/>
      <c r="M3" s="638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Z3" s="635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635"/>
      <c r="AN3" s="766" t="s">
        <v>138</v>
      </c>
      <c r="AO3" s="766"/>
      <c r="AP3" s="766"/>
      <c r="AQ3" s="766"/>
      <c r="AR3" s="766"/>
      <c r="AS3" s="766"/>
      <c r="AT3" s="766"/>
      <c r="AU3" s="767" t="s">
        <v>283</v>
      </c>
      <c r="AV3" s="767"/>
      <c r="AW3" s="767"/>
      <c r="AX3" s="767"/>
      <c r="AY3" s="767"/>
      <c r="BB3" s="318"/>
      <c r="BC3" s="318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639" t="s">
        <v>284</v>
      </c>
      <c r="G4" s="640" t="s">
        <v>285</v>
      </c>
      <c r="H4" s="640" t="s">
        <v>286</v>
      </c>
      <c r="I4" s="640" t="s">
        <v>287</v>
      </c>
      <c r="J4" s="640" t="s">
        <v>282</v>
      </c>
      <c r="K4" s="640" t="s">
        <v>51</v>
      </c>
      <c r="L4" s="641" t="s">
        <v>60</v>
      </c>
      <c r="M4" s="641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 x14ac:dyDescent="0.2">
      <c r="A5" s="359">
        <v>1</v>
      </c>
      <c r="B5" s="642">
        <f>'1'!G7</f>
        <v>17264.770000000019</v>
      </c>
      <c r="C5" s="642">
        <f>'1'!G8</f>
        <v>17458.849999999977</v>
      </c>
      <c r="D5" s="642">
        <f>'1'!G15</f>
        <v>918.55799999996088</v>
      </c>
      <c r="E5" s="642">
        <f>'1'!G20</f>
        <v>235</v>
      </c>
      <c r="F5" s="642">
        <f>SUM('1'!G35,'1'!G49)</f>
        <v>2185.1000000000022</v>
      </c>
      <c r="G5" s="642">
        <f>SUM('1'!H37,'1'!H51)</f>
        <v>1554.1100000000006</v>
      </c>
      <c r="H5" s="642">
        <f>SUM('1'!G38,'1'!G52)</f>
        <v>1620.2699999999968</v>
      </c>
      <c r="I5" s="642">
        <f>SUM('1'!G39,'1'!G53)</f>
        <v>2609.5899999999965</v>
      </c>
      <c r="J5" s="642">
        <f>SUM('1'!G41,'1'!G42,'1'!G55,'1'!G56)</f>
        <v>3987.7899999999936</v>
      </c>
      <c r="K5" s="642">
        <f>SUM('1'!G43,'1'!G57)</f>
        <v>1901.929999999993</v>
      </c>
      <c r="L5" s="254">
        <f>'1'!G50</f>
        <v>938.92000000000553</v>
      </c>
      <c r="M5" s="254">
        <f>'1'!G36</f>
        <v>710.76000000000204</v>
      </c>
      <c r="N5" s="254">
        <f>'1'!G138</f>
        <v>61</v>
      </c>
      <c r="O5" s="254">
        <f>'1'!G139</f>
        <v>1</v>
      </c>
      <c r="P5" s="254">
        <f>'1'!G140</f>
        <v>0</v>
      </c>
      <c r="Q5" s="254">
        <f>'1'!G141</f>
        <v>165.58999999999651</v>
      </c>
      <c r="R5" s="254">
        <f>'1'!G142</f>
        <v>73.470000000001164</v>
      </c>
      <c r="S5" s="254">
        <f>'1'!$G$145</f>
        <v>12.779999999999745</v>
      </c>
      <c r="T5" s="254">
        <f>'1'!$G$146</f>
        <v>394</v>
      </c>
      <c r="U5" s="254">
        <f>'1'!$G$144</f>
        <v>196</v>
      </c>
      <c r="V5" s="254">
        <f>'1'!$G$147</f>
        <v>369.28000000002794</v>
      </c>
      <c r="W5" s="254">
        <f>'1'!$G$148</f>
        <v>195.04000000003725</v>
      </c>
      <c r="X5" s="254">
        <f>'1'!$G$143</f>
        <v>29</v>
      </c>
      <c r="Y5" s="254">
        <f>'1'!$G$58</f>
        <v>187.13000000000011</v>
      </c>
      <c r="Z5" s="254">
        <f>'1'!$G$151</f>
        <v>226</v>
      </c>
      <c r="AA5" s="254">
        <f>'1'!G161</f>
        <v>48.28000000002794</v>
      </c>
      <c r="AB5" s="254">
        <f>'1'!G162</f>
        <v>42</v>
      </c>
      <c r="AC5" s="254"/>
      <c r="AD5" s="254">
        <f>'1'!G163+'1'!G164</f>
        <v>32.199999999994361</v>
      </c>
      <c r="AE5" s="254">
        <f>'1'!$G$116</f>
        <v>0</v>
      </c>
      <c r="AF5" s="254">
        <f>'1'!$G$117</f>
        <v>21.820000000000164</v>
      </c>
      <c r="AG5" s="254">
        <f>'1'!$G$118</f>
        <v>310.5</v>
      </c>
      <c r="AH5" s="254">
        <f>'1'!$G$119</f>
        <v>441.15000000002328</v>
      </c>
      <c r="AI5" s="254">
        <f>'1'!$G$120</f>
        <v>414.13999999999942</v>
      </c>
      <c r="AJ5" s="254">
        <f>'1'!$G$121</f>
        <v>720.88000000000466</v>
      </c>
      <c r="AK5" s="254">
        <f>'1'!$G$122</f>
        <v>206.03000000001339</v>
      </c>
      <c r="AL5" s="254">
        <f>'1'!$G$123</f>
        <v>261.25</v>
      </c>
      <c r="AM5" s="254">
        <f>'1'!$G$133</f>
        <v>492.57000000000698</v>
      </c>
      <c r="AN5" s="254">
        <f>'1'!$G$15</f>
        <v>918.55799999996088</v>
      </c>
      <c r="AO5" s="254">
        <f>'1'!$G$74</f>
        <v>314.53100000007544</v>
      </c>
      <c r="AP5" s="254">
        <f>'1'!$G$75</f>
        <v>0</v>
      </c>
      <c r="AQ5" s="254">
        <f>'1'!$G$76</f>
        <v>91.059999999997672</v>
      </c>
      <c r="AR5" s="254">
        <f>'1'!$G$77</f>
        <v>29.700000000004366</v>
      </c>
      <c r="AS5" s="254">
        <f>'1'!$G$78</f>
        <v>0</v>
      </c>
      <c r="AT5" s="254">
        <f>AN5-SUM(AO5:AS5)</f>
        <v>483.26699999988341</v>
      </c>
      <c r="AU5" s="254">
        <f>SUM('1'!G91:G92)</f>
        <v>11.769999999999982</v>
      </c>
      <c r="AV5" s="254">
        <f>'1'!$G$88</f>
        <v>0</v>
      </c>
      <c r="AW5" s="254">
        <f>'1'!$G$89</f>
        <v>9.4900000000016007</v>
      </c>
      <c r="AX5" s="254">
        <f>'1'!$G$90</f>
        <v>2.0499999999883585</v>
      </c>
      <c r="AY5" s="252">
        <f>SUM(AV5:AX5)</f>
        <v>11.539999999989959</v>
      </c>
      <c r="AZ5" s="311">
        <f>AO5/AU5</f>
        <v>26.723109600686143</v>
      </c>
      <c r="BA5" s="311">
        <f>AT5/AY5</f>
        <v>41.877556325849561</v>
      </c>
      <c r="BB5" s="351">
        <f>C5-SUM(F5:K5,Y5)</f>
        <v>3412.929999999993</v>
      </c>
      <c r="BC5" s="351">
        <f>BB5/B5%</f>
        <v>19.768175307287553</v>
      </c>
    </row>
    <row r="6" spans="1:55" x14ac:dyDescent="0.2">
      <c r="A6" s="359">
        <v>2</v>
      </c>
      <c r="B6" s="642">
        <f>'2'!G7</f>
        <v>18049</v>
      </c>
      <c r="C6" s="642">
        <f>'2'!G8</f>
        <v>18338</v>
      </c>
      <c r="D6" s="642">
        <f>'2'!G15</f>
        <v>983.14500000001863</v>
      </c>
      <c r="E6" s="642">
        <f>'2'!G20</f>
        <v>183</v>
      </c>
      <c r="F6" s="642">
        <f>SUM('2'!G35,'2'!G49)</f>
        <v>2435.0399999999972</v>
      </c>
      <c r="G6" s="642">
        <f>SUM('2'!G37,'2'!G51)</f>
        <v>1547.1000000000058</v>
      </c>
      <c r="H6" s="642">
        <f>SUM('2'!G38,'2'!G52)</f>
        <v>1758.7900000000009</v>
      </c>
      <c r="I6" s="642">
        <f>SUM('2'!G39,'2'!G53)</f>
        <v>2628.2200000000012</v>
      </c>
      <c r="J6" s="642">
        <f>SUM('2'!G41,'2'!G42,'2'!G55,'2'!G56)</f>
        <v>3469.6100000000006</v>
      </c>
      <c r="K6" s="642">
        <f>SUM('2'!G43,'2'!G57)</f>
        <v>1997.1600000000035</v>
      </c>
      <c r="L6" s="254">
        <f>'2'!G50</f>
        <v>987.52999999999884</v>
      </c>
      <c r="M6" s="254">
        <f>'2'!G36</f>
        <v>811.5</v>
      </c>
      <c r="N6" s="254">
        <f>'2'!G138</f>
        <v>59</v>
      </c>
      <c r="O6" s="254">
        <f>'2'!$G$139</f>
        <v>2</v>
      </c>
      <c r="P6" s="254">
        <f>'2'!$G$140</f>
        <v>10.600000000005821</v>
      </c>
      <c r="Q6" s="254">
        <f>'2'!$G$141</f>
        <v>176.63000000000466</v>
      </c>
      <c r="R6" s="254">
        <f>'2'!$G$142</f>
        <v>71.670000000001892</v>
      </c>
      <c r="S6" s="254">
        <f>'2'!$G$145</f>
        <v>13.710000000000036</v>
      </c>
      <c r="T6" s="254">
        <f>'2'!$G$146</f>
        <v>392</v>
      </c>
      <c r="U6" s="254">
        <f>'2'!$G$144</f>
        <v>210</v>
      </c>
      <c r="V6" s="254">
        <f>'2'!$G$147</f>
        <v>396.31999999994878</v>
      </c>
      <c r="W6" s="251">
        <f>'2'!$G$148</f>
        <v>266.23999999999069</v>
      </c>
      <c r="X6" s="251">
        <f>'2'!$G$143</f>
        <v>24.690000000000055</v>
      </c>
      <c r="Y6" s="251">
        <f>'2'!$G$58</f>
        <v>198.44999999999982</v>
      </c>
      <c r="Z6" s="251">
        <f>'2'!$G$151</f>
        <v>317</v>
      </c>
      <c r="AA6" s="251">
        <f>'2'!G161</f>
        <v>52.839999999967404</v>
      </c>
      <c r="AB6" s="254">
        <f>'2'!G162</f>
        <v>38.100000000005821</v>
      </c>
      <c r="AC6" s="254"/>
      <c r="AD6" s="254">
        <f>'2'!G163+'2'!G164</f>
        <v>36.30000000000291</v>
      </c>
      <c r="AE6" s="254">
        <f>'2'!$G$116</f>
        <v>0</v>
      </c>
      <c r="AF6" s="254">
        <f>'2'!$G$117</f>
        <v>35.460000000000036</v>
      </c>
      <c r="AG6" s="254">
        <f>'2'!$G$118</f>
        <v>318.04000000000815</v>
      </c>
      <c r="AH6" s="254">
        <f>'2'!$G$119</f>
        <v>423.19000000000233</v>
      </c>
      <c r="AI6" s="254">
        <f>'2'!$G$120</f>
        <v>417.20999999999913</v>
      </c>
      <c r="AJ6" s="254">
        <f>'2'!$G$121</f>
        <v>713.23999999999069</v>
      </c>
      <c r="AK6" s="254">
        <f>'2'!$G$122</f>
        <v>214.61000000000058</v>
      </c>
      <c r="AL6" s="254">
        <f>'2'!$G$123</f>
        <v>257.38999999998487</v>
      </c>
      <c r="AM6" s="254">
        <f>'2'!$G$133</f>
        <v>568.0399999999936</v>
      </c>
      <c r="AN6" s="254">
        <f>'2'!$G$15</f>
        <v>983.14500000001863</v>
      </c>
      <c r="AO6" s="254">
        <f>'2'!$G$74</f>
        <v>311.03599999996368</v>
      </c>
      <c r="AP6" s="254">
        <f>'2'!$G$75</f>
        <v>0</v>
      </c>
      <c r="AQ6" s="254">
        <f>'2'!$G$76</f>
        <v>115.70999999999185</v>
      </c>
      <c r="AR6" s="254">
        <f>'2'!$G$77</f>
        <v>49.19999999999709</v>
      </c>
      <c r="AS6" s="254">
        <f>'2'!$G$78</f>
        <v>1.7000000000007276</v>
      </c>
      <c r="AT6" s="254">
        <f t="shared" ref="AT6:AT34" si="0">AN6-SUM(AO6:AS6)</f>
        <v>505.49900000006528</v>
      </c>
      <c r="AU6" s="254">
        <f>SUM('2'!G91:G92)</f>
        <v>11.460000000000036</v>
      </c>
      <c r="AV6" s="254">
        <f>'2'!$G$88</f>
        <v>0</v>
      </c>
      <c r="AW6" s="254">
        <f>'2'!$G$89</f>
        <v>9.3899999999994179</v>
      </c>
      <c r="AX6" s="254">
        <f>'2'!$G$90</f>
        <v>0</v>
      </c>
      <c r="AY6" s="252">
        <f t="shared" ref="AY6:AY34" si="1">SUM(AV6:AX6)</f>
        <v>9.3899999999994179</v>
      </c>
      <c r="AZ6" s="311">
        <f t="shared" ref="AZ6:AZ8" si="2">AO6/AU6</f>
        <v>27.141012216401631</v>
      </c>
      <c r="BA6" s="311">
        <f t="shared" ref="BA6:BA35" si="3">AT6/AY6</f>
        <v>53.833759318434147</v>
      </c>
      <c r="BB6" s="351">
        <f t="shared" ref="BB6:BB35" si="4">C6-SUM(F6:K6,Y6)</f>
        <v>4303.6299999999901</v>
      </c>
      <c r="BC6" s="351">
        <f t="shared" ref="BC6:BC35" si="5">BB6/B6%</f>
        <v>23.844146490110198</v>
      </c>
    </row>
    <row r="7" spans="1:55" s="313" customFormat="1" x14ac:dyDescent="0.2">
      <c r="A7" s="359">
        <v>3</v>
      </c>
      <c r="B7" s="642">
        <f>'3'!G7</f>
        <v>19083</v>
      </c>
      <c r="C7" s="642">
        <f>'3'!G8</f>
        <v>19219</v>
      </c>
      <c r="D7" s="642">
        <f>'3'!G15</f>
        <v>1012.3479999999981</v>
      </c>
      <c r="E7" s="642">
        <f>'3'!G20</f>
        <v>233</v>
      </c>
      <c r="F7" s="642">
        <f>SUM('3'!G35,'3'!G49)</f>
        <v>2503.1700000000019</v>
      </c>
      <c r="G7" s="642">
        <f>SUM('3'!G37,'3'!G51)</f>
        <v>1552.1100000000006</v>
      </c>
      <c r="H7" s="642">
        <f>SUM('3'!G38,'3'!G52)</f>
        <v>1668.1500000000015</v>
      </c>
      <c r="I7" s="642">
        <f>SUM('3'!G39,'3'!G53)</f>
        <v>2641.8299999999945</v>
      </c>
      <c r="J7" s="642">
        <f>SUM('3'!G41,'3'!G42,'3'!G55,'3'!G56)</f>
        <v>3484.5699999999943</v>
      </c>
      <c r="K7" s="642">
        <f>SUM('3'!G43,'3'!G57)</f>
        <v>2229.6699999999983</v>
      </c>
      <c r="L7" s="251">
        <f>'3'!G50</f>
        <v>1070.0599999999977</v>
      </c>
      <c r="M7" s="251">
        <f>'3'!G36</f>
        <v>935.69999999999709</v>
      </c>
      <c r="N7" s="251">
        <f>'3'!G138</f>
        <v>78</v>
      </c>
      <c r="O7" s="251">
        <f>'3'!$G$139</f>
        <v>1</v>
      </c>
      <c r="P7" s="251">
        <f>'3'!$G$140</f>
        <v>1.1999999999970896</v>
      </c>
      <c r="Q7" s="251">
        <f>'3'!$G$141</f>
        <v>159.29999999999563</v>
      </c>
      <c r="R7" s="251">
        <f>'3'!$G$142</f>
        <v>63.109999999996944</v>
      </c>
      <c r="S7" s="251">
        <f>'3'!$G$145</f>
        <v>14.670000000000073</v>
      </c>
      <c r="T7" s="251">
        <f>'3'!$G$146</f>
        <v>417</v>
      </c>
      <c r="U7" s="251">
        <f>'3'!$G$144</f>
        <v>210</v>
      </c>
      <c r="V7" s="251">
        <f>'3'!$G$147</f>
        <v>377.88000000000466</v>
      </c>
      <c r="W7" s="251">
        <f>'3'!$G$148</f>
        <v>244.64000000001397</v>
      </c>
      <c r="X7" s="251">
        <f>'3'!$G$143</f>
        <v>26.450000000000273</v>
      </c>
      <c r="Y7" s="251">
        <f>'3'!$G$58</f>
        <v>202.4399999999996</v>
      </c>
      <c r="Z7" s="251">
        <f>'3'!$G$151</f>
        <v>193</v>
      </c>
      <c r="AA7" s="254">
        <f>'3'!G161</f>
        <v>53.559999999997672</v>
      </c>
      <c r="AB7" s="254">
        <f>'3'!G162</f>
        <v>39.80000000000291</v>
      </c>
      <c r="AC7" s="254"/>
      <c r="AD7" s="254">
        <f>'3'!G163+'3'!G164</f>
        <v>33.699999999999818</v>
      </c>
      <c r="AE7" s="251">
        <f>'3'!$G$116</f>
        <v>0</v>
      </c>
      <c r="AF7" s="251">
        <f>'3'!$G$117</f>
        <v>20.509999999999764</v>
      </c>
      <c r="AG7" s="251">
        <f>'3'!$G$118</f>
        <v>331.33999999999651</v>
      </c>
      <c r="AH7" s="251">
        <f>'3'!$G$119</f>
        <v>418.71999999997206</v>
      </c>
      <c r="AI7" s="251">
        <f>'3'!$G$120</f>
        <v>433.95999999999913</v>
      </c>
      <c r="AJ7" s="251">
        <f>'3'!$G$121</f>
        <v>734.20000000001164</v>
      </c>
      <c r="AK7" s="251">
        <f>'3'!$G$122</f>
        <v>250.57999999998719</v>
      </c>
      <c r="AL7" s="251">
        <f>'3'!$G$123</f>
        <v>255.67999999999302</v>
      </c>
      <c r="AM7" s="251">
        <f>'3'!$G$133</f>
        <v>565.15000000000873</v>
      </c>
      <c r="AN7" s="251">
        <f>'3'!$G$15</f>
        <v>1012.3479999999981</v>
      </c>
      <c r="AO7" s="251">
        <f>'3'!$G$74</f>
        <v>310.54399999999441</v>
      </c>
      <c r="AP7" s="251">
        <f>'3'!$G$75</f>
        <v>0</v>
      </c>
      <c r="AQ7" s="251">
        <f>'3'!$G$76</f>
        <v>122.32000000000698</v>
      </c>
      <c r="AR7" s="251">
        <f>'3'!$G$77</f>
        <v>46.400000000001455</v>
      </c>
      <c r="AS7" s="251">
        <f>'3'!$G$78</f>
        <v>1.5999999999985448</v>
      </c>
      <c r="AT7" s="251">
        <f t="shared" si="0"/>
        <v>531.48399999999674</v>
      </c>
      <c r="AU7" s="254">
        <f>SUM('3'!G91:G92)</f>
        <v>11</v>
      </c>
      <c r="AV7" s="251">
        <f>'3'!$G$88</f>
        <v>0</v>
      </c>
      <c r="AW7" s="251">
        <f>'3'!$G$89</f>
        <v>9.7999999999992724</v>
      </c>
      <c r="AX7" s="251">
        <f>'3'!$G$90</f>
        <v>2.3200000000069849</v>
      </c>
      <c r="AY7" s="255">
        <f t="shared" si="1"/>
        <v>12.120000000006257</v>
      </c>
      <c r="AZ7" s="311">
        <f t="shared" si="2"/>
        <v>28.23127272727222</v>
      </c>
      <c r="BA7" s="311">
        <f t="shared" si="3"/>
        <v>43.85181518149524</v>
      </c>
      <c r="BB7" s="351">
        <f t="shared" si="4"/>
        <v>4937.0600000000086</v>
      </c>
      <c r="BC7" s="351">
        <f t="shared" si="5"/>
        <v>25.871508672640612</v>
      </c>
    </row>
    <row r="8" spans="1:55" x14ac:dyDescent="0.2">
      <c r="A8" s="359">
        <v>4</v>
      </c>
      <c r="B8" s="642">
        <f>'4'!G7</f>
        <v>18470.589999999967</v>
      </c>
      <c r="C8" s="642">
        <f>'4'!G8</f>
        <v>18612.709999999963</v>
      </c>
      <c r="D8" s="642">
        <f>'4'!G15</f>
        <v>997.95200000004843</v>
      </c>
      <c r="E8" s="642">
        <f>'4'!G20</f>
        <v>261</v>
      </c>
      <c r="F8" s="642">
        <f>SUM('4'!G35,'4'!G49)</f>
        <v>2682.8700000000026</v>
      </c>
      <c r="G8" s="642">
        <f>SUM('4'!G37,'4'!G51)</f>
        <v>1614.0999999999985</v>
      </c>
      <c r="H8" s="642">
        <f>SUM('4'!G38,'4'!G52)</f>
        <v>1858.4700000000012</v>
      </c>
      <c r="I8" s="642">
        <f>SUM('4'!G39,'4'!G53)</f>
        <v>2666.7100000000064</v>
      </c>
      <c r="J8" s="642">
        <f>SUM('4'!G41,'4'!G42,'4'!G55,'4'!G56)</f>
        <v>2816.8300000000017</v>
      </c>
      <c r="K8" s="642">
        <f>SUM('4'!G43,'4'!G57)</f>
        <v>2395.179999999993</v>
      </c>
      <c r="L8" s="254">
        <f>'4'!G50</f>
        <v>1149.75</v>
      </c>
      <c r="M8" s="254">
        <f>'4'!G36</f>
        <v>861.87000000000262</v>
      </c>
      <c r="N8" s="254">
        <f>'4'!G138</f>
        <v>102</v>
      </c>
      <c r="O8" s="254">
        <f>'4'!$G$139</f>
        <v>3</v>
      </c>
      <c r="P8" s="254">
        <f>'4'!$G$140</f>
        <v>1.1999999999970896</v>
      </c>
      <c r="Q8" s="254">
        <f>'4'!$G$141</f>
        <v>187.95999999999913</v>
      </c>
      <c r="R8" s="254">
        <f>'4'!$G$142</f>
        <v>65.520000000000437</v>
      </c>
      <c r="S8" s="254">
        <f>'4'!$G$145</f>
        <v>14.8100000000004</v>
      </c>
      <c r="T8" s="254">
        <f>'4'!$G$146</f>
        <v>381</v>
      </c>
      <c r="U8" s="254">
        <f>'4'!$G$144</f>
        <v>212</v>
      </c>
      <c r="V8" s="251">
        <f>'4'!$G$147</f>
        <v>396.43999999994412</v>
      </c>
      <c r="W8" s="251">
        <f>'4'!$G$148</f>
        <v>309.43999999994412</v>
      </c>
      <c r="X8" s="254">
        <f>'4'!$G$143</f>
        <v>27.959999999999582</v>
      </c>
      <c r="Y8" s="254">
        <f>'4'!$G$58</f>
        <v>201.18000000000029</v>
      </c>
      <c r="Z8" s="254">
        <f>'4'!$G$151</f>
        <v>257</v>
      </c>
      <c r="AA8" s="254">
        <f>'4'!G161</f>
        <v>57.239999999990687</v>
      </c>
      <c r="AB8" s="254">
        <f>'4'!G162</f>
        <v>34</v>
      </c>
      <c r="AC8" s="254"/>
      <c r="AD8" s="254">
        <f>'4'!G163+'4'!G164</f>
        <v>33.099999999993997</v>
      </c>
      <c r="AE8" s="254">
        <f>'4'!$G$116</f>
        <v>8.07</v>
      </c>
      <c r="AF8" s="254">
        <f>'4'!$G$117</f>
        <v>77.290000000000418</v>
      </c>
      <c r="AG8" s="254">
        <f>'4'!$G$118</f>
        <v>342.33999999999651</v>
      </c>
      <c r="AH8" s="254">
        <f>'4'!$G$119</f>
        <v>410.06000000002678</v>
      </c>
      <c r="AI8" s="254">
        <f>'4'!$G$120</f>
        <v>427.38999999999942</v>
      </c>
      <c r="AJ8" s="254">
        <f>'4'!$G$121</f>
        <v>720.55999999999767</v>
      </c>
      <c r="AK8" s="254">
        <f>'4'!$G$122</f>
        <v>251.76000000000931</v>
      </c>
      <c r="AL8" s="254">
        <f>'4'!$G$123</f>
        <v>260.30999999999767</v>
      </c>
      <c r="AM8" s="254">
        <f>'4'!$G$133</f>
        <v>690.82999999998719</v>
      </c>
      <c r="AN8" s="254">
        <f>'4'!$G$15</f>
        <v>997.95200000004843</v>
      </c>
      <c r="AO8" s="254">
        <f>'4'!$G$74</f>
        <v>297.04000000003725</v>
      </c>
      <c r="AP8" s="254">
        <f>'4'!$G$75</f>
        <v>0</v>
      </c>
      <c r="AQ8" s="254">
        <f>'4'!$G$76</f>
        <v>150.01000000000931</v>
      </c>
      <c r="AR8" s="254">
        <f>'4'!$G$77</f>
        <v>47.900000000001455</v>
      </c>
      <c r="AS8" s="254">
        <f>'4'!$G$78</f>
        <v>2.3000000000010914</v>
      </c>
      <c r="AT8" s="254">
        <f t="shared" si="0"/>
        <v>500.70199999999932</v>
      </c>
      <c r="AU8" s="254">
        <f>SUM('4'!G91:G92)</f>
        <v>11.4699999999998</v>
      </c>
      <c r="AV8" s="254">
        <f>'4'!$G$88</f>
        <v>0</v>
      </c>
      <c r="AW8" s="254">
        <f>'4'!$G$89</f>
        <v>9.7400000000016007</v>
      </c>
      <c r="AX8" s="254">
        <f>'4'!$G$90</f>
        <v>0.25</v>
      </c>
      <c r="AY8" s="252">
        <f t="shared" si="1"/>
        <v>9.9900000000016007</v>
      </c>
      <c r="AZ8" s="311">
        <f t="shared" si="2"/>
        <v>25.897122929384693</v>
      </c>
      <c r="BA8" s="311">
        <f t="shared" si="3"/>
        <v>50.120320320312224</v>
      </c>
      <c r="BB8" s="351">
        <f t="shared" si="4"/>
        <v>4377.369999999959</v>
      </c>
      <c r="BC8" s="351">
        <f t="shared" si="5"/>
        <v>23.699134678426443</v>
      </c>
    </row>
    <row r="9" spans="1:55" x14ac:dyDescent="0.2">
      <c r="A9" s="359">
        <v>5</v>
      </c>
      <c r="B9" s="642">
        <f>'5'!G7</f>
        <v>20600.080000000075</v>
      </c>
      <c r="C9" s="642">
        <f>'5'!G8</f>
        <v>20830.960000000079</v>
      </c>
      <c r="D9" s="642">
        <f>'5'!G15</f>
        <v>1047.8699999998789</v>
      </c>
      <c r="E9" s="642">
        <f>'5'!G20</f>
        <v>294</v>
      </c>
      <c r="F9" s="642">
        <f>SUM('5'!G35,'5'!G49)</f>
        <v>2888.9999999999964</v>
      </c>
      <c r="G9" s="642">
        <f>SUM('5'!G37,'5'!G51)</f>
        <v>1683.9199999999983</v>
      </c>
      <c r="H9" s="642">
        <f>SUM('5'!G38,'5'!G52)</f>
        <v>1939.4400000000023</v>
      </c>
      <c r="I9" s="642">
        <f>SUM('5'!G39,'5'!G53)</f>
        <v>2758.0200000000041</v>
      </c>
      <c r="J9" s="642">
        <f>SUM('5'!G41,'5'!G42,'5'!G55,'5'!G56)</f>
        <v>3196.3899999999994</v>
      </c>
      <c r="K9" s="642">
        <f>SUM('5'!G43,'5'!G57)</f>
        <v>2237.7600000000093</v>
      </c>
      <c r="L9" s="254">
        <f>'5'!G50</f>
        <v>1526.75</v>
      </c>
      <c r="M9" s="254">
        <f>'5'!G36</f>
        <v>1353.260000000002</v>
      </c>
      <c r="N9" s="254">
        <f>'5'!G138</f>
        <v>97</v>
      </c>
      <c r="O9" s="254">
        <f>'5'!$G$139</f>
        <v>11</v>
      </c>
      <c r="P9" s="254">
        <f>'5'!$G$140</f>
        <v>1.1999999999970896</v>
      </c>
      <c r="Q9" s="258">
        <f>'5'!$G$141</f>
        <v>186.5</v>
      </c>
      <c r="R9" s="254">
        <f>'5'!$G$142</f>
        <v>68.260000000002037</v>
      </c>
      <c r="S9" s="251">
        <f>'5'!$G$145</f>
        <v>8.2599999999993088</v>
      </c>
      <c r="T9" s="254">
        <f>'5'!$G$146</f>
        <v>450</v>
      </c>
      <c r="U9" s="254">
        <f>'5'!$G$144</f>
        <v>213</v>
      </c>
      <c r="V9" s="256">
        <f>'5'!$G$147</f>
        <v>414.56000000005588</v>
      </c>
      <c r="W9" s="254">
        <f>'5'!$G$148</f>
        <v>385.44000000006054</v>
      </c>
      <c r="X9" s="254">
        <f>'5'!$G$143</f>
        <v>27.8100000000004</v>
      </c>
      <c r="Y9" s="254">
        <f>'5'!$G$58</f>
        <v>243.92000000000007</v>
      </c>
      <c r="Z9" s="254">
        <f>'5'!$G$151</f>
        <v>255</v>
      </c>
      <c r="AA9" s="254">
        <f>'5'!G161</f>
        <v>56.520000000018626</v>
      </c>
      <c r="AB9" s="254">
        <f>'5'!G162</f>
        <v>33.899999999994179</v>
      </c>
      <c r="AC9" s="254"/>
      <c r="AD9" s="254">
        <f>'5'!G163+'5'!G164</f>
        <v>33.5</v>
      </c>
      <c r="AE9" s="254">
        <f>'5'!$G$116</f>
        <v>27.28</v>
      </c>
      <c r="AF9" s="254">
        <f>'5'!$G$117</f>
        <v>109.17999999999984</v>
      </c>
      <c r="AG9" s="254">
        <f>'5'!$G$118</f>
        <v>341.54000000000815</v>
      </c>
      <c r="AH9" s="254">
        <f>'5'!$G$119</f>
        <v>387.07999999998719</v>
      </c>
      <c r="AI9" s="254">
        <f>'5'!$G$120</f>
        <v>409.87000000000262</v>
      </c>
      <c r="AJ9" s="254">
        <f>'5'!$G$121</f>
        <v>720.76000000000931</v>
      </c>
      <c r="AK9" s="254">
        <f>'5'!$G$122</f>
        <v>259.33000000000175</v>
      </c>
      <c r="AL9" s="254">
        <f>'5'!$G$123</f>
        <v>248.3300000000163</v>
      </c>
      <c r="AM9" s="254">
        <f>'5'!$G$133</f>
        <v>692.97000000000116</v>
      </c>
      <c r="AN9" s="254">
        <f>'5'!$G$15</f>
        <v>1047.8699999998789</v>
      </c>
      <c r="AO9" s="256">
        <f>'5'!$G$74</f>
        <v>284.73999999999069</v>
      </c>
      <c r="AP9" s="256">
        <f>'5'!$G$75</f>
        <v>0</v>
      </c>
      <c r="AQ9" s="256">
        <f>'5'!$G$76</f>
        <v>134</v>
      </c>
      <c r="AR9" s="256">
        <f>'5'!$G$77</f>
        <v>59.799999999995634</v>
      </c>
      <c r="AS9" s="256">
        <f>'5'!$G$78</f>
        <v>2.1999999999989086</v>
      </c>
      <c r="AT9" s="256">
        <f t="shared" si="0"/>
        <v>567.1299999998937</v>
      </c>
      <c r="AU9" s="254">
        <f>SUM('5'!G91:G92)</f>
        <v>10.619999999999891</v>
      </c>
      <c r="AV9" s="254">
        <f>'5'!$G$88</f>
        <v>0</v>
      </c>
      <c r="AW9" s="254">
        <f>'5'!$G$89</f>
        <v>9.8600000000005821</v>
      </c>
      <c r="AX9" s="254">
        <f>'5'!$G$90</f>
        <v>3.6600000000034925</v>
      </c>
      <c r="AY9" s="252">
        <f t="shared" si="1"/>
        <v>13.520000000004075</v>
      </c>
      <c r="AZ9" s="311">
        <f>AO9/AU9</f>
        <v>26.811676082861922</v>
      </c>
      <c r="BA9" s="311">
        <f t="shared" si="3"/>
        <v>41.947485207080085</v>
      </c>
      <c r="BB9" s="351">
        <f t="shared" si="4"/>
        <v>5882.5100000000693</v>
      </c>
      <c r="BC9" s="351">
        <f t="shared" si="5"/>
        <v>28.555762890241436</v>
      </c>
    </row>
    <row r="10" spans="1:55" x14ac:dyDescent="0.2">
      <c r="A10" s="359">
        <v>6</v>
      </c>
      <c r="B10" s="642">
        <f>'6'!G7</f>
        <v>20386.880000000005</v>
      </c>
      <c r="C10" s="642">
        <f>'6'!G8</f>
        <v>20612</v>
      </c>
      <c r="D10" s="642">
        <f>'6'!G15</f>
        <v>1049.5</v>
      </c>
      <c r="E10" s="642">
        <f>'6'!G20</f>
        <v>275</v>
      </c>
      <c r="F10" s="642">
        <f>SUM('6'!G35,'6'!G49)</f>
        <v>3019.2900000000009</v>
      </c>
      <c r="G10" s="642">
        <f>SUM('6'!G37,'6'!G51)</f>
        <v>1645.6599999999962</v>
      </c>
      <c r="H10" s="642">
        <f>SUM('6'!G38,'6'!G52)</f>
        <v>1915.0299999999988</v>
      </c>
      <c r="I10" s="642">
        <f>SUM('6'!G39,'6'!G53)</f>
        <v>2776.5599999999977</v>
      </c>
      <c r="J10" s="642">
        <f>SUM('6'!G41,'6'!G42,'6'!G55,'6'!G56)</f>
        <v>3426.9199999999983</v>
      </c>
      <c r="K10" s="642">
        <f>SUM('6'!G43,'6'!G57)</f>
        <v>2145.3499999999913</v>
      </c>
      <c r="L10" s="254">
        <f>'6'!G50</f>
        <v>1272.5999999999985</v>
      </c>
      <c r="M10" s="254">
        <f>'6'!G36</f>
        <v>902.15999999999622</v>
      </c>
      <c r="N10" s="254">
        <f>'6'!G138</f>
        <v>89</v>
      </c>
      <c r="O10" s="254">
        <f>'6'!$G$139</f>
        <v>5</v>
      </c>
      <c r="P10" s="254">
        <f>'6'!$G$140</f>
        <v>0.80000000000291038</v>
      </c>
      <c r="Q10" s="254">
        <f>'6'!$G$141</f>
        <v>166.01000000000204</v>
      </c>
      <c r="R10" s="254">
        <f>'6'!$G$142</f>
        <v>66.869999999998981</v>
      </c>
      <c r="S10" s="254">
        <f>'6'!$G$145</f>
        <v>7.180000000000291</v>
      </c>
      <c r="T10" s="251">
        <f>'6'!$G$146</f>
        <v>456</v>
      </c>
      <c r="U10" s="251">
        <f>'6'!$G$144</f>
        <v>212</v>
      </c>
      <c r="V10" s="251">
        <f>'6'!$G$147</f>
        <v>394.1600000000326</v>
      </c>
      <c r="W10" s="251">
        <f>'6'!$G$148</f>
        <v>355.52000000001863</v>
      </c>
      <c r="X10" s="251">
        <f>'6'!$G$143</f>
        <v>29.339999999999691</v>
      </c>
      <c r="Y10" s="251">
        <f>'6'!$G$58</f>
        <v>227.27999999999975</v>
      </c>
      <c r="Z10" s="251">
        <f>'6'!$G$151</f>
        <v>241</v>
      </c>
      <c r="AA10" s="251">
        <f>'6'!G161</f>
        <v>31.840000000025611</v>
      </c>
      <c r="AB10" s="251">
        <f>'6'!G162</f>
        <v>18.100000000005821</v>
      </c>
      <c r="AC10" s="251"/>
      <c r="AD10" s="251">
        <f>'6'!G163+'6'!G164</f>
        <v>34.600000000005821</v>
      </c>
      <c r="AE10" s="254">
        <f>'6'!$G$116</f>
        <v>236.35</v>
      </c>
      <c r="AF10" s="254">
        <f>'6'!$G$117</f>
        <v>118.32000000000016</v>
      </c>
      <c r="AG10" s="254">
        <f>'6'!$G$118</f>
        <v>326.33999999999651</v>
      </c>
      <c r="AH10" s="254">
        <f>'6'!$G$119</f>
        <v>386.94000000000233</v>
      </c>
      <c r="AI10" s="254">
        <f>'6'!$G$120</f>
        <v>394</v>
      </c>
      <c r="AJ10" s="254">
        <f>'6'!$G$121</f>
        <v>732.44000000000233</v>
      </c>
      <c r="AK10" s="254">
        <f>'6'!$G$122</f>
        <v>222.33000000000175</v>
      </c>
      <c r="AL10" s="254">
        <f>'6'!$G$123</f>
        <v>250.45999999999185</v>
      </c>
      <c r="AM10" s="254">
        <f>'6'!$G$133</f>
        <v>622.38999999999942</v>
      </c>
      <c r="AN10" s="254">
        <f>'6'!$G$15</f>
        <v>1049.5</v>
      </c>
      <c r="AO10" s="256">
        <f>'6'!$G$74</f>
        <v>303.77999999991152</v>
      </c>
      <c r="AP10" s="256">
        <f>'6'!$G$75</f>
        <v>0</v>
      </c>
      <c r="AQ10" s="256">
        <f>'6'!$G$76</f>
        <v>109.80999999999767</v>
      </c>
      <c r="AR10" s="256">
        <f>'6'!$G$77</f>
        <v>45.5</v>
      </c>
      <c r="AS10" s="256">
        <f>'6'!$G$78</f>
        <v>1.3000000000010914</v>
      </c>
      <c r="AT10" s="256">
        <f t="shared" si="0"/>
        <v>589.11000000008971</v>
      </c>
      <c r="AU10" s="254">
        <f>SUM('6'!G91:G92)</f>
        <v>11.170000000000073</v>
      </c>
      <c r="AV10" s="254">
        <f>'6'!$G$88</f>
        <v>0</v>
      </c>
      <c r="AW10" s="254">
        <f>'6'!$G$89</f>
        <v>10.180000000000291</v>
      </c>
      <c r="AX10" s="254">
        <f>'6'!$G$90</f>
        <v>4.1599999999889405</v>
      </c>
      <c r="AY10" s="252">
        <f t="shared" si="1"/>
        <v>14.339999999989232</v>
      </c>
      <c r="AZ10" s="311">
        <f t="shared" ref="AZ10:AZ28" si="6">AO10/AU10</f>
        <v>27.196060877341946</v>
      </c>
      <c r="BA10" s="311">
        <f t="shared" si="3"/>
        <v>41.081589958196105</v>
      </c>
      <c r="BB10" s="351">
        <f t="shared" si="4"/>
        <v>5455.910000000018</v>
      </c>
      <c r="BC10" s="351">
        <f t="shared" si="5"/>
        <v>26.761868417335151</v>
      </c>
    </row>
    <row r="11" spans="1:55" x14ac:dyDescent="0.2">
      <c r="A11" s="359">
        <v>7</v>
      </c>
      <c r="B11" s="642">
        <f>'7'!G7</f>
        <v>21554.719999999972</v>
      </c>
      <c r="C11" s="642">
        <f>'7'!G8</f>
        <v>21704.239999999991</v>
      </c>
      <c r="D11" s="642">
        <f>'7'!G15</f>
        <v>1030.6800000001676</v>
      </c>
      <c r="E11" s="642">
        <f>'7'!G20</f>
        <v>242</v>
      </c>
      <c r="F11" s="642">
        <f>SUM('7'!G35,'7'!G49)</f>
        <v>3100.3399999999965</v>
      </c>
      <c r="G11" s="642">
        <f>SUM('7'!G37,'7'!G51)</f>
        <v>1658.8400000000038</v>
      </c>
      <c r="H11" s="642">
        <f>SUM('7'!G38,'7'!G52)</f>
        <v>2017.739999999998</v>
      </c>
      <c r="I11" s="642">
        <f>SUM('7'!G39,'7'!G53)</f>
        <v>3066.4900000000052</v>
      </c>
      <c r="J11" s="642">
        <f>SUM('7'!G41,'7'!G42,'7'!G55,'7'!G56)</f>
        <v>4458.75</v>
      </c>
      <c r="K11" s="642">
        <f>SUM('7'!G43,'7'!G57)</f>
        <v>2208.6800000000076</v>
      </c>
      <c r="L11" s="254">
        <f>'7'!G50</f>
        <v>1415.6200000000026</v>
      </c>
      <c r="M11" s="254">
        <f>'7'!G36</f>
        <v>840.56999999999971</v>
      </c>
      <c r="N11" s="254">
        <f>'7'!G138</f>
        <v>80</v>
      </c>
      <c r="O11" s="254">
        <f>'7'!$G$139</f>
        <v>33</v>
      </c>
      <c r="P11" s="254">
        <f>'7'!$G$140</f>
        <v>1</v>
      </c>
      <c r="Q11" s="254">
        <f>'7'!$G$141</f>
        <v>180.29000000000087</v>
      </c>
      <c r="R11" s="254">
        <f>'7'!$G$142</f>
        <v>74.799999999999272</v>
      </c>
      <c r="S11" s="254">
        <f>'7'!$G$145</f>
        <v>12.600000000000364</v>
      </c>
      <c r="T11" s="251">
        <f>'7'!$G$146</f>
        <v>464</v>
      </c>
      <c r="U11" s="251">
        <f>'7'!$G$144</f>
        <v>217</v>
      </c>
      <c r="V11" s="251">
        <f>'7'!$G$147</f>
        <v>413.27999999991152</v>
      </c>
      <c r="W11" s="251">
        <f>'7'!$G$148</f>
        <v>328.47999999998137</v>
      </c>
      <c r="X11" s="251">
        <f>'7'!$G$143</f>
        <v>26.360000000000127</v>
      </c>
      <c r="Y11" s="251">
        <f>'7'!$G$58</f>
        <v>195.38000000000011</v>
      </c>
      <c r="Z11" s="256">
        <f>'7'!$G$151</f>
        <v>251</v>
      </c>
      <c r="AA11" s="256">
        <f>'7'!G161</f>
        <v>38.599999999976717</v>
      </c>
      <c r="AB11" s="251">
        <f>'7'!G162</f>
        <v>39.399999999994179</v>
      </c>
      <c r="AC11" s="251"/>
      <c r="AD11" s="251">
        <f>'7'!G163+'7'!G164</f>
        <v>37.200000000003456</v>
      </c>
      <c r="AE11" s="254">
        <f>'7'!$G$116</f>
        <v>370.46999999999997</v>
      </c>
      <c r="AF11" s="254">
        <f>'7'!$G$117</f>
        <v>148.92999999999984</v>
      </c>
      <c r="AG11" s="254">
        <f>'7'!$G$118</f>
        <v>355.13999999998487</v>
      </c>
      <c r="AH11" s="254">
        <f>'7'!$G$119</f>
        <v>394.38000000000466</v>
      </c>
      <c r="AI11" s="254">
        <f>'7'!$G$120</f>
        <v>421.58000000000175</v>
      </c>
      <c r="AJ11" s="254">
        <f>'7'!$G$121</f>
        <v>749.55999999999767</v>
      </c>
      <c r="AK11" s="256">
        <f>'7'!$G$122</f>
        <v>205.54999999998836</v>
      </c>
      <c r="AL11" s="254">
        <f>'7'!$G$123</f>
        <v>250.39999999999418</v>
      </c>
      <c r="AM11" s="254">
        <f>'7'!$G$133</f>
        <v>677.02999999999884</v>
      </c>
      <c r="AN11" s="254">
        <f>'7'!$G$15</f>
        <v>1030.6800000001676</v>
      </c>
      <c r="AO11" s="256">
        <f>'7'!$G$74</f>
        <v>301.6600000000326</v>
      </c>
      <c r="AP11" s="256">
        <f>'7'!$G$75</f>
        <v>0</v>
      </c>
      <c r="AQ11" s="256">
        <f>'7'!$G$76</f>
        <v>98.489999999990687</v>
      </c>
      <c r="AR11" s="256">
        <f>'7'!$G$77</f>
        <v>55.900000000001455</v>
      </c>
      <c r="AS11" s="256">
        <f>'7'!$G$78</f>
        <v>0.8999999999996362</v>
      </c>
      <c r="AT11" s="256">
        <f t="shared" si="0"/>
        <v>573.73000000014326</v>
      </c>
      <c r="AU11" s="254">
        <f>SUM('7'!G91:G92)</f>
        <v>11.099999999999909</v>
      </c>
      <c r="AV11" s="254">
        <f>'7'!$G$88</f>
        <v>0</v>
      </c>
      <c r="AW11" s="254">
        <f>'7'!$G$89</f>
        <v>9.7899999999972351</v>
      </c>
      <c r="AX11" s="254">
        <f>'7'!$G$90</f>
        <v>4.1600000000034925</v>
      </c>
      <c r="AY11" s="252">
        <f t="shared" si="1"/>
        <v>13.950000000000728</v>
      </c>
      <c r="AZ11" s="311">
        <f>AO11/AU11</f>
        <v>27.176576576579738</v>
      </c>
      <c r="BA11" s="311">
        <f t="shared" si="3"/>
        <v>41.127598566316365</v>
      </c>
      <c r="BB11" s="351">
        <f t="shared" si="4"/>
        <v>4998.0199999999786</v>
      </c>
      <c r="BC11" s="351">
        <f t="shared" si="5"/>
        <v>23.187589539553215</v>
      </c>
    </row>
    <row r="12" spans="1:55" x14ac:dyDescent="0.2">
      <c r="A12" s="359">
        <v>8</v>
      </c>
      <c r="B12" s="642">
        <f>'8'!G7</f>
        <v>19667.729999999981</v>
      </c>
      <c r="C12" s="642">
        <f>'8'!G8</f>
        <v>19730.089999999967</v>
      </c>
      <c r="D12" s="642">
        <f>'8'!G15</f>
        <v>1052.1799999999348</v>
      </c>
      <c r="E12" s="642">
        <f>'8'!G20</f>
        <v>232</v>
      </c>
      <c r="F12" s="642">
        <f>SUM('8'!G35,'8'!G49)</f>
        <v>3021.0200000000041</v>
      </c>
      <c r="G12" s="642">
        <f>SUM('8'!G37,'8'!G51)</f>
        <v>1609.0699999999997</v>
      </c>
      <c r="H12" s="642">
        <f>SUM('8'!G38,'8'!G52)</f>
        <v>1914.6800000000003</v>
      </c>
      <c r="I12" s="642">
        <f>SUM('8'!G39,'8'!G53)</f>
        <v>2923.2899999999936</v>
      </c>
      <c r="J12" s="642">
        <f>SUM('8'!G41,'8'!G42,'8'!G55,'8'!G56)</f>
        <v>4082.4900000000066</v>
      </c>
      <c r="K12" s="642">
        <f>SUM('8'!G43,'8'!G57)</f>
        <v>2123.6699999999983</v>
      </c>
      <c r="L12" s="254">
        <f>'8'!G50</f>
        <v>1131.1399999999994</v>
      </c>
      <c r="M12" s="254">
        <f>'8'!G36</f>
        <v>799.44000000000233</v>
      </c>
      <c r="N12" s="254">
        <f>'8'!G138</f>
        <v>70</v>
      </c>
      <c r="O12" s="254">
        <f>'8'!$G$139</f>
        <v>1</v>
      </c>
      <c r="P12" s="254">
        <f>'8'!$G$140</f>
        <v>2</v>
      </c>
      <c r="Q12" s="254">
        <f>'8'!$G$141</f>
        <v>169.13999999999942</v>
      </c>
      <c r="R12" s="254">
        <f>'8'!$G$142</f>
        <v>66.200000000000728</v>
      </c>
      <c r="S12" s="254">
        <f>'8'!$G$145</f>
        <v>14.149999999999636</v>
      </c>
      <c r="T12" s="251">
        <f>'8'!$G$146</f>
        <v>405</v>
      </c>
      <c r="U12" s="251">
        <f>'8'!$G$144</f>
        <v>208</v>
      </c>
      <c r="V12" s="251">
        <f>'8'!$G$147</f>
        <v>426.56000000005588</v>
      </c>
      <c r="W12" s="251">
        <f>'8'!$G$148</f>
        <v>300.23999999999069</v>
      </c>
      <c r="X12" s="251">
        <f>'8'!$G$143</f>
        <v>31</v>
      </c>
      <c r="Y12" s="251">
        <f>'8'!$G$58</f>
        <v>202.01000000000022</v>
      </c>
      <c r="Z12" s="251">
        <f>'8'!$G$151</f>
        <v>233</v>
      </c>
      <c r="AA12" s="251">
        <f>'8'!G161</f>
        <v>44.559999999997672</v>
      </c>
      <c r="AB12" s="251">
        <f>'8'!G162</f>
        <v>42.30000000000291</v>
      </c>
      <c r="AC12" s="251"/>
      <c r="AD12" s="251">
        <f>'8'!G163+'8'!G164</f>
        <v>46.299999999993815</v>
      </c>
      <c r="AE12" s="254">
        <f>'8'!$G$116</f>
        <v>290.83000000000004</v>
      </c>
      <c r="AF12" s="254">
        <f>'8'!$G$117</f>
        <v>177.53999999999996</v>
      </c>
      <c r="AG12" s="254">
        <f>'8'!$G$118</f>
        <v>372.45000000001164</v>
      </c>
      <c r="AH12" s="254">
        <f>'8'!$G$119</f>
        <v>401.92999999999302</v>
      </c>
      <c r="AI12" s="254">
        <f>'8'!$G$120</f>
        <v>424.23999999999796</v>
      </c>
      <c r="AJ12" s="254">
        <f>'8'!$G$121</f>
        <v>705.92999999999302</v>
      </c>
      <c r="AK12" s="254">
        <f>'8'!$G$122</f>
        <v>206.63000000000466</v>
      </c>
      <c r="AL12" s="254">
        <f>'8'!$G$123</f>
        <v>252.23000000001048</v>
      </c>
      <c r="AM12" s="254">
        <f>'8'!$G$133</f>
        <v>647.32000000000698</v>
      </c>
      <c r="AN12" s="254">
        <f>'8'!$G$15</f>
        <v>1052.1799999999348</v>
      </c>
      <c r="AO12" s="256">
        <f>'8'!$G$74</f>
        <v>302.52000000001863</v>
      </c>
      <c r="AP12" s="256">
        <f>'8'!$G$75</f>
        <v>0</v>
      </c>
      <c r="AQ12" s="256">
        <f>'8'!$G$76</f>
        <v>110.60000000000582</v>
      </c>
      <c r="AR12" s="256">
        <f>'8'!$G$77</f>
        <v>50.400000000001455</v>
      </c>
      <c r="AS12" s="256">
        <f>'8'!$G$78</f>
        <v>1</v>
      </c>
      <c r="AT12" s="256">
        <f t="shared" si="0"/>
        <v>587.65999999990891</v>
      </c>
      <c r="AU12" s="254">
        <f>SUM('8'!G91:G92)</f>
        <v>11.100000000000364</v>
      </c>
      <c r="AV12" s="254">
        <f>'8'!$G$88</f>
        <v>-0.43000000000029104</v>
      </c>
      <c r="AW12" s="254">
        <f>'8'!$G$89</f>
        <v>10.630000000001019</v>
      </c>
      <c r="AX12" s="254">
        <f>'8'!$G$90</f>
        <v>3.0800000000017462</v>
      </c>
      <c r="AY12" s="252">
        <f t="shared" si="1"/>
        <v>13.280000000002474</v>
      </c>
      <c r="AZ12" s="311">
        <f t="shared" si="6"/>
        <v>27.254054054054841</v>
      </c>
      <c r="BA12" s="311">
        <f t="shared" si="3"/>
        <v>44.25150602408128</v>
      </c>
      <c r="BB12" s="351">
        <f t="shared" si="4"/>
        <v>3853.8599999999642</v>
      </c>
      <c r="BC12" s="351">
        <f t="shared" si="5"/>
        <v>19.594838855322745</v>
      </c>
    </row>
    <row r="13" spans="1:55" x14ac:dyDescent="0.2">
      <c r="A13" s="359">
        <v>9</v>
      </c>
      <c r="B13" s="642">
        <f>'9'!G7</f>
        <v>19382</v>
      </c>
      <c r="C13" s="642">
        <f>'9'!G8</f>
        <v>19467</v>
      </c>
      <c r="D13" s="642">
        <f>'9'!G15</f>
        <v>1070</v>
      </c>
      <c r="E13" s="642">
        <f>'9'!G20</f>
        <v>256</v>
      </c>
      <c r="F13" s="642">
        <f>SUM('9'!G35,'9'!G49)</f>
        <v>2906</v>
      </c>
      <c r="G13" s="642">
        <f>SUM('9'!G37,'9'!G51)</f>
        <v>1638</v>
      </c>
      <c r="H13" s="642">
        <f>SUM('9'!G38,'9'!G52)</f>
        <v>1923</v>
      </c>
      <c r="I13" s="642">
        <f>SUM('9'!G39,'9'!G53)</f>
        <v>3001</v>
      </c>
      <c r="J13" s="642">
        <f>SUM('9'!G41,'9'!G42,'9'!G55,'9'!G56)</f>
        <v>3894.5299999999988</v>
      </c>
      <c r="K13" s="642">
        <f>SUM('9'!G43,'9'!G57)</f>
        <v>2087</v>
      </c>
      <c r="L13" s="254">
        <f>'9'!G50</f>
        <v>1118</v>
      </c>
      <c r="M13" s="254">
        <f>'9'!G36</f>
        <v>779</v>
      </c>
      <c r="N13" s="254">
        <f>'9'!G138</f>
        <v>79</v>
      </c>
      <c r="O13" s="254">
        <f>'9'!$G$139</f>
        <v>2</v>
      </c>
      <c r="P13" s="254">
        <f>'9'!$G$140</f>
        <v>1</v>
      </c>
      <c r="Q13" s="254">
        <f>'9'!$G$141</f>
        <v>180</v>
      </c>
      <c r="R13" s="254">
        <f>'9'!$G$142</f>
        <v>71</v>
      </c>
      <c r="S13" s="254">
        <f>'9'!$G$145</f>
        <v>14</v>
      </c>
      <c r="T13" s="251">
        <f>'9'!$G$146</f>
        <v>408</v>
      </c>
      <c r="U13" s="251">
        <f>'9'!$G$144</f>
        <v>213</v>
      </c>
      <c r="V13" s="251">
        <f>'9'!$G$147</f>
        <v>388</v>
      </c>
      <c r="W13" s="251">
        <f>'9'!$G$148</f>
        <v>244</v>
      </c>
      <c r="X13" s="251">
        <f>'9'!$G$143</f>
        <v>26</v>
      </c>
      <c r="Y13" s="251">
        <f>'9'!$G$58</f>
        <v>285</v>
      </c>
      <c r="Z13" s="251">
        <f>'9'!$G$151</f>
        <v>218</v>
      </c>
      <c r="AA13" s="251">
        <f>'9'!G161</f>
        <v>18</v>
      </c>
      <c r="AB13" s="251">
        <f>'9'!G162</f>
        <v>38</v>
      </c>
      <c r="AC13" s="251"/>
      <c r="AD13" s="251">
        <f>'9'!G163+'9'!G164</f>
        <v>72</v>
      </c>
      <c r="AE13" s="254">
        <f>'9'!$G$116</f>
        <v>290</v>
      </c>
      <c r="AF13" s="254">
        <f>'9'!$G$117</f>
        <v>216</v>
      </c>
      <c r="AG13" s="254">
        <f>'9'!$G$118</f>
        <v>383</v>
      </c>
      <c r="AH13" s="254">
        <f>'9'!$G$119</f>
        <v>435</v>
      </c>
      <c r="AI13" s="254">
        <f>'9'!$G$120</f>
        <v>443</v>
      </c>
      <c r="AJ13" s="254">
        <f>'9'!$G$121</f>
        <v>741</v>
      </c>
      <c r="AK13" s="254">
        <f>'9'!$G$122</f>
        <v>263</v>
      </c>
      <c r="AL13" s="254">
        <f>'9'!$G$123</f>
        <v>254</v>
      </c>
      <c r="AM13" s="254">
        <f>'9'!$G$133</f>
        <v>658</v>
      </c>
      <c r="AN13" s="254">
        <f>'9'!$G$15</f>
        <v>1070</v>
      </c>
      <c r="AO13" s="256">
        <f>'9'!$G$74</f>
        <v>301</v>
      </c>
      <c r="AP13" s="256">
        <f>'9'!$G$75</f>
        <v>0.19999999999708962</v>
      </c>
      <c r="AQ13" s="256">
        <f>'9'!$G$76</f>
        <v>107</v>
      </c>
      <c r="AR13" s="256">
        <f>'9'!$G$77</f>
        <v>43</v>
      </c>
      <c r="AS13" s="256">
        <f>'9'!$G$78</f>
        <v>1</v>
      </c>
      <c r="AT13" s="256">
        <f t="shared" si="0"/>
        <v>617.80000000000291</v>
      </c>
      <c r="AU13" s="254">
        <f>SUM('9'!G91:G92)</f>
        <v>11.150000000000091</v>
      </c>
      <c r="AV13" s="254">
        <f>'9'!$G$88</f>
        <v>0</v>
      </c>
      <c r="AW13" s="254">
        <f>'9'!$G$89</f>
        <v>11.430000000000291</v>
      </c>
      <c r="AX13" s="254">
        <f>'9'!$G$90</f>
        <v>3</v>
      </c>
      <c r="AY13" s="252">
        <f t="shared" si="1"/>
        <v>14.430000000000291</v>
      </c>
      <c r="AZ13" s="311">
        <f t="shared" si="6"/>
        <v>26.995515695067045</v>
      </c>
      <c r="BA13" s="311">
        <f t="shared" si="3"/>
        <v>42.813582813582151</v>
      </c>
      <c r="BB13" s="351">
        <f t="shared" si="4"/>
        <v>3732.4700000000012</v>
      </c>
      <c r="BC13" s="351">
        <f t="shared" si="5"/>
        <v>19.257403776700038</v>
      </c>
    </row>
    <row r="14" spans="1:55" x14ac:dyDescent="0.2">
      <c r="A14" s="359">
        <v>10</v>
      </c>
      <c r="B14" s="642">
        <f>'10'!G7</f>
        <v>20288</v>
      </c>
      <c r="C14" s="642">
        <f>'10'!G8</f>
        <v>20373</v>
      </c>
      <c r="D14" s="642">
        <f>'10'!G15</f>
        <v>1152</v>
      </c>
      <c r="E14" s="642">
        <f>'10'!G20</f>
        <v>317</v>
      </c>
      <c r="F14" s="642">
        <f>SUM('10'!G35,'10'!G49)</f>
        <v>2839</v>
      </c>
      <c r="G14" s="642">
        <f>SUM('10'!G37,'10'!G51)</f>
        <v>1647</v>
      </c>
      <c r="H14" s="642">
        <f>SUM('10'!G38,'10'!G52)</f>
        <v>1955</v>
      </c>
      <c r="I14" s="642">
        <f>SUM('10'!G39,'10'!G53)</f>
        <v>3035</v>
      </c>
      <c r="J14" s="642">
        <f>SUM('10'!G41,'10'!G42,'10'!G55,'10'!G56)</f>
        <v>4557</v>
      </c>
      <c r="K14" s="642">
        <f>SUM('10'!G43,'10'!G57)</f>
        <v>2097</v>
      </c>
      <c r="L14" s="254">
        <f>'10'!G50</f>
        <v>1144</v>
      </c>
      <c r="M14" s="254">
        <f>'10'!G36</f>
        <v>1084</v>
      </c>
      <c r="N14" s="254">
        <f>'10'!G138</f>
        <v>74</v>
      </c>
      <c r="O14" s="254">
        <f>'10'!$G$139</f>
        <v>2</v>
      </c>
      <c r="P14" s="254">
        <f>'10'!$G$140</f>
        <v>1</v>
      </c>
      <c r="Q14" s="254">
        <f>'10'!$G$141</f>
        <v>176</v>
      </c>
      <c r="R14" s="254">
        <f>'10'!$G$142</f>
        <v>69</v>
      </c>
      <c r="S14" s="254">
        <f>'10'!$G$145</f>
        <v>16</v>
      </c>
      <c r="T14" s="251">
        <f>'10'!$G$146</f>
        <v>410</v>
      </c>
      <c r="U14" s="251">
        <f>'10'!$G$144</f>
        <v>224</v>
      </c>
      <c r="V14" s="257">
        <f>'10'!$G$147</f>
        <v>398</v>
      </c>
      <c r="W14" s="257">
        <f>'10'!$G$148</f>
        <v>286</v>
      </c>
      <c r="X14" s="251">
        <f>'10'!$G$143</f>
        <v>30</v>
      </c>
      <c r="Y14" s="251">
        <f>'10'!$G$58</f>
        <v>197</v>
      </c>
      <c r="Z14" s="251">
        <f>'10'!$G$151</f>
        <v>226</v>
      </c>
      <c r="AA14" s="251">
        <f>'10'!G161</f>
        <v>15</v>
      </c>
      <c r="AB14" s="251">
        <f>'10'!G162</f>
        <v>42</v>
      </c>
      <c r="AC14" s="251"/>
      <c r="AD14" s="251">
        <f>'10'!G163+'10'!G164</f>
        <v>93</v>
      </c>
      <c r="AE14" s="254">
        <f>'10'!$G$116</f>
        <v>328</v>
      </c>
      <c r="AF14" s="254">
        <f>'10'!$G$117</f>
        <v>114</v>
      </c>
      <c r="AG14" s="254">
        <f>'10'!$G$118</f>
        <v>412</v>
      </c>
      <c r="AH14" s="254">
        <f>'10'!$G$119</f>
        <v>419</v>
      </c>
      <c r="AI14" s="254">
        <f>'10'!$G$120</f>
        <v>445</v>
      </c>
      <c r="AJ14" s="254">
        <f>'10'!$G$121</f>
        <v>735</v>
      </c>
      <c r="AK14" s="254">
        <f>'10'!$G$122</f>
        <v>143</v>
      </c>
      <c r="AL14" s="254">
        <f>'10'!$G$123</f>
        <v>254</v>
      </c>
      <c r="AM14" s="254">
        <f>'10'!$G$133</f>
        <v>522</v>
      </c>
      <c r="AN14" s="254">
        <f>'10'!$G$15</f>
        <v>1152</v>
      </c>
      <c r="AO14" s="256">
        <f>'10'!$G$74</f>
        <v>341</v>
      </c>
      <c r="AP14" s="256">
        <f>'10'!$G$75</f>
        <v>0</v>
      </c>
      <c r="AQ14" s="256">
        <f>'10'!$G$76</f>
        <v>114</v>
      </c>
      <c r="AR14" s="256">
        <f>'10'!$G$77</f>
        <v>43</v>
      </c>
      <c r="AS14" s="256">
        <f>'10'!$G$78</f>
        <v>3</v>
      </c>
      <c r="AT14" s="256">
        <f t="shared" si="0"/>
        <v>651</v>
      </c>
      <c r="AU14" s="254">
        <f>SUM('10'!G91:G92)</f>
        <v>12</v>
      </c>
      <c r="AV14" s="254">
        <f>'10'!$G$88</f>
        <v>0</v>
      </c>
      <c r="AW14" s="254">
        <f>'10'!$G$89</f>
        <v>11.569999999999709</v>
      </c>
      <c r="AX14" s="254">
        <f>'10'!$G$90</f>
        <v>4</v>
      </c>
      <c r="AY14" s="252">
        <f t="shared" si="1"/>
        <v>15.569999999999709</v>
      </c>
      <c r="AZ14" s="311">
        <f t="shared" si="6"/>
        <v>28.416666666666668</v>
      </c>
      <c r="BA14" s="311">
        <f t="shared" si="3"/>
        <v>41.811175337187677</v>
      </c>
      <c r="BB14" s="351">
        <f t="shared" si="4"/>
        <v>4046</v>
      </c>
      <c r="BC14" s="351">
        <f t="shared" si="5"/>
        <v>19.94282334384858</v>
      </c>
    </row>
    <row r="15" spans="1:55" x14ac:dyDescent="0.2">
      <c r="A15" s="359">
        <v>11</v>
      </c>
      <c r="B15" s="642">
        <f>'11'!G7</f>
        <v>20918</v>
      </c>
      <c r="C15" s="642">
        <f>'11'!G8</f>
        <v>21020</v>
      </c>
      <c r="D15" s="642">
        <f>'11'!G15</f>
        <v>1118</v>
      </c>
      <c r="E15" s="642">
        <f>'11'!G20</f>
        <v>316</v>
      </c>
      <c r="F15" s="642">
        <f>SUM('11'!G35,'11'!G49)</f>
        <v>2776</v>
      </c>
      <c r="G15" s="642">
        <f>SUM('11'!G37,'11'!G51)</f>
        <v>1684</v>
      </c>
      <c r="H15" s="642">
        <f>SUM('11'!G38,'11'!G52)</f>
        <v>2076</v>
      </c>
      <c r="I15" s="642">
        <f>SUM('11'!G39,'11'!G53)</f>
        <v>3148</v>
      </c>
      <c r="J15" s="642">
        <f>SUM('11'!G41,'11'!G42,'11'!G55,'11'!G56)</f>
        <v>4736</v>
      </c>
      <c r="K15" s="642">
        <f>SUM('11'!G43,'11'!G57)</f>
        <v>2112</v>
      </c>
      <c r="L15" s="254">
        <f>'11'!G50</f>
        <v>1282</v>
      </c>
      <c r="M15" s="254">
        <f>'11'!G36</f>
        <v>1077</v>
      </c>
      <c r="N15" s="254">
        <f>'11'!G138</f>
        <v>116</v>
      </c>
      <c r="O15" s="254">
        <f>'11'!$G$139</f>
        <v>13</v>
      </c>
      <c r="P15" s="254">
        <f>'11'!$G$140</f>
        <v>6</v>
      </c>
      <c r="Q15" s="254">
        <f>'11'!$G$141</f>
        <v>190</v>
      </c>
      <c r="R15" s="254">
        <f>'11'!$G$142</f>
        <v>70</v>
      </c>
      <c r="S15" s="254">
        <f>'11'!$G$145</f>
        <v>14</v>
      </c>
      <c r="T15" s="251">
        <f>'11'!$G$146</f>
        <v>421</v>
      </c>
      <c r="U15" s="251">
        <f>'11'!$G$144</f>
        <v>203</v>
      </c>
      <c r="V15" s="251">
        <f>'11'!$G$147</f>
        <v>412</v>
      </c>
      <c r="W15" s="251">
        <f>'11'!$G$148</f>
        <v>330</v>
      </c>
      <c r="X15" s="251">
        <f>'11'!$G$143</f>
        <v>23</v>
      </c>
      <c r="Y15" s="251">
        <f>'11'!$G$58</f>
        <v>202</v>
      </c>
      <c r="Z15" s="251">
        <f>'11'!$G$151</f>
        <v>217</v>
      </c>
      <c r="AA15" s="251">
        <f>'11'!G161</f>
        <v>20</v>
      </c>
      <c r="AB15" s="251">
        <f>'11'!G162</f>
        <v>36</v>
      </c>
      <c r="AC15" s="251">
        <f>'11'!G88</f>
        <v>0</v>
      </c>
      <c r="AD15" s="251">
        <f>'11'!G163+'11'!G164</f>
        <v>92</v>
      </c>
      <c r="AE15" s="254">
        <f>'11'!$G$116</f>
        <v>370</v>
      </c>
      <c r="AF15" s="254">
        <f>'11'!$G$117</f>
        <v>289</v>
      </c>
      <c r="AG15" s="254">
        <f>'11'!$G$118</f>
        <v>404</v>
      </c>
      <c r="AH15" s="254">
        <f>'11'!$G$119</f>
        <v>435</v>
      </c>
      <c r="AI15" s="254">
        <f>'11'!$G$120</f>
        <v>443</v>
      </c>
      <c r="AJ15" s="254">
        <f>'11'!$G$121</f>
        <v>721</v>
      </c>
      <c r="AK15" s="254">
        <f>'11'!$G$122</f>
        <v>212</v>
      </c>
      <c r="AL15" s="254">
        <f>'11'!$G$123</f>
        <v>250</v>
      </c>
      <c r="AM15" s="254">
        <f>'11'!$G$133</f>
        <v>494</v>
      </c>
      <c r="AN15" s="254">
        <f>'11'!$G$15</f>
        <v>1118</v>
      </c>
      <c r="AO15" s="256">
        <f>'11'!$G$74</f>
        <v>316</v>
      </c>
      <c r="AP15" s="256">
        <f>'11'!$G$75</f>
        <v>0</v>
      </c>
      <c r="AQ15" s="256">
        <f>'11'!$G$76</f>
        <v>124</v>
      </c>
      <c r="AR15" s="256">
        <f>'11'!$G$77</f>
        <v>53</v>
      </c>
      <c r="AS15" s="256">
        <f>'11'!$G$78</f>
        <v>3</v>
      </c>
      <c r="AT15" s="256">
        <f t="shared" si="0"/>
        <v>622</v>
      </c>
      <c r="AU15" s="254">
        <f>SUM('11'!G91:G92)</f>
        <v>12</v>
      </c>
      <c r="AV15" s="254">
        <f>'11'!$G$88</f>
        <v>0</v>
      </c>
      <c r="AW15" s="254">
        <f>'11'!$G$89</f>
        <v>11</v>
      </c>
      <c r="AX15" s="254">
        <f>'11'!$G$90</f>
        <v>4</v>
      </c>
      <c r="AY15" s="252">
        <f t="shared" si="1"/>
        <v>15</v>
      </c>
      <c r="AZ15" s="311">
        <f t="shared" si="6"/>
        <v>26.333333333333332</v>
      </c>
      <c r="BA15" s="311">
        <f t="shared" si="3"/>
        <v>41.466666666666669</v>
      </c>
      <c r="BB15" s="351">
        <f t="shared" si="4"/>
        <v>4286</v>
      </c>
      <c r="BC15" s="351">
        <f t="shared" si="5"/>
        <v>20.489530547853523</v>
      </c>
    </row>
    <row r="16" spans="1:55" x14ac:dyDescent="0.2">
      <c r="A16" s="359">
        <v>12</v>
      </c>
      <c r="B16" s="642">
        <f>'12'!G7</f>
        <v>22223</v>
      </c>
      <c r="C16" s="642">
        <f>'12'!G8</f>
        <v>22339</v>
      </c>
      <c r="D16" s="642">
        <f>'12'!G15</f>
        <v>1293</v>
      </c>
      <c r="E16" s="642">
        <f>'12'!G20</f>
        <v>339</v>
      </c>
      <c r="F16" s="642">
        <f>SUM('12'!G35,'12'!G49)</f>
        <v>3199</v>
      </c>
      <c r="G16" s="642">
        <f>SUM('12'!G37,'12'!G51)</f>
        <v>1783</v>
      </c>
      <c r="H16" s="642">
        <f>SUM('12'!G38,'12'!G52)</f>
        <v>2162</v>
      </c>
      <c r="I16" s="642">
        <f>SUM('12'!G39,'12'!G53)</f>
        <v>3245</v>
      </c>
      <c r="J16" s="642">
        <f>SUM('12'!G41,'12'!G42,'12'!G55,'12'!G56)</f>
        <v>4928</v>
      </c>
      <c r="K16" s="642">
        <f>SUM('12'!G43,'12'!G57)</f>
        <v>2226</v>
      </c>
      <c r="L16" s="254">
        <f>'12'!G50</f>
        <v>1310</v>
      </c>
      <c r="M16" s="254">
        <f>'12'!G36</f>
        <v>1194</v>
      </c>
      <c r="N16" s="254">
        <f>'12'!G138</f>
        <v>96</v>
      </c>
      <c r="O16" s="254">
        <f>'12'!$G$139</f>
        <v>7</v>
      </c>
      <c r="P16" s="254">
        <f>'12'!$G$140</f>
        <v>0</v>
      </c>
      <c r="Q16" s="254">
        <f>'12'!$G$141</f>
        <v>187</v>
      </c>
      <c r="R16" s="254">
        <f>'12'!$G$142</f>
        <v>70</v>
      </c>
      <c r="S16" s="254">
        <f>'12'!$G$145</f>
        <v>9</v>
      </c>
      <c r="T16" s="251">
        <f>'12'!$G$146</f>
        <v>471</v>
      </c>
      <c r="U16" s="251">
        <f>'12'!$G$144</f>
        <v>220</v>
      </c>
      <c r="V16" s="251">
        <f>'12'!$G$147</f>
        <v>442</v>
      </c>
      <c r="W16" s="251">
        <f>'12'!$G$148</f>
        <v>383</v>
      </c>
      <c r="X16" s="251">
        <f>'12'!$G$143</f>
        <v>31</v>
      </c>
      <c r="Y16" s="251">
        <f>'12'!$G$58</f>
        <v>231</v>
      </c>
      <c r="Z16" s="251">
        <f>'12'!$G$151</f>
        <v>279</v>
      </c>
      <c r="AA16" s="251">
        <f>'12'!G161</f>
        <v>18</v>
      </c>
      <c r="AB16" s="251">
        <f>'12'!G162</f>
        <v>21</v>
      </c>
      <c r="AC16" s="251">
        <f>'12'!G88</f>
        <v>3.7700000000004366</v>
      </c>
      <c r="AD16" s="251">
        <f>'12'!G163+'12'!G164</f>
        <v>81</v>
      </c>
      <c r="AE16" s="254">
        <f>'12'!$G$116</f>
        <v>484</v>
      </c>
      <c r="AF16" s="254">
        <f>'12'!$G$117</f>
        <v>196</v>
      </c>
      <c r="AG16" s="254">
        <f>'12'!$G$118</f>
        <v>406</v>
      </c>
      <c r="AH16" s="254">
        <f>'12'!$G$119</f>
        <v>440</v>
      </c>
      <c r="AI16" s="254">
        <f>'12'!$G$120</f>
        <v>413</v>
      </c>
      <c r="AJ16" s="254">
        <f>'12'!$G$121</f>
        <v>776</v>
      </c>
      <c r="AK16" s="254">
        <f>'12'!$G$122</f>
        <v>184</v>
      </c>
      <c r="AL16" s="254">
        <f>'12'!$G$123</f>
        <v>263</v>
      </c>
      <c r="AM16" s="254">
        <f>'12'!$G$133</f>
        <v>698</v>
      </c>
      <c r="AN16" s="254">
        <f>'12'!$G$15</f>
        <v>1293</v>
      </c>
      <c r="AO16" s="256">
        <f>'12'!$G$74</f>
        <v>324</v>
      </c>
      <c r="AP16" s="256">
        <f>'12'!$G$75</f>
        <v>0</v>
      </c>
      <c r="AQ16" s="256">
        <f>'12'!$G$76</f>
        <v>152</v>
      </c>
      <c r="AR16" s="256">
        <f>'12'!$G$77</f>
        <v>58</v>
      </c>
      <c r="AS16" s="256">
        <f>'12'!$G$78</f>
        <v>4</v>
      </c>
      <c r="AT16" s="256">
        <f t="shared" si="0"/>
        <v>755</v>
      </c>
      <c r="AU16" s="254">
        <f>SUM('12'!G91:G92)</f>
        <v>11.860000000000127</v>
      </c>
      <c r="AV16" s="254">
        <f>'12'!$G$88</f>
        <v>3.7700000000004366</v>
      </c>
      <c r="AW16" s="254">
        <f>'12'!$G$89</f>
        <v>8.6300000000010186</v>
      </c>
      <c r="AX16" s="254">
        <f>'12'!$G$90</f>
        <v>7.2299999999959255</v>
      </c>
      <c r="AY16" s="252">
        <f t="shared" si="1"/>
        <v>19.629999999997381</v>
      </c>
      <c r="AZ16" s="311">
        <f t="shared" si="6"/>
        <v>27.318718381112692</v>
      </c>
      <c r="BA16" s="311">
        <f t="shared" si="3"/>
        <v>38.461538461543597</v>
      </c>
      <c r="BB16" s="351">
        <f t="shared" si="4"/>
        <v>4565</v>
      </c>
      <c r="BC16" s="351">
        <f t="shared" si="5"/>
        <v>20.541781037663682</v>
      </c>
    </row>
    <row r="17" spans="1:55" x14ac:dyDescent="0.2">
      <c r="A17" s="359">
        <v>13</v>
      </c>
      <c r="B17" s="642">
        <f>'13'!G7</f>
        <v>22076</v>
      </c>
      <c r="C17" s="642">
        <f>'13'!G8</f>
        <v>22200</v>
      </c>
      <c r="D17" s="642">
        <f>'13'!G15</f>
        <v>1108</v>
      </c>
      <c r="E17" s="642">
        <f>'13'!G20</f>
        <v>296</v>
      </c>
      <c r="F17" s="642">
        <f>SUM('13'!G35,'13'!G49)</f>
        <v>2981</v>
      </c>
      <c r="G17" s="642">
        <f>SUM('13'!G37,'13'!G51)</f>
        <v>1781</v>
      </c>
      <c r="H17" s="642">
        <f>SUM('13'!G38,'13'!G52)</f>
        <v>2029</v>
      </c>
      <c r="I17" s="642">
        <f>SUM('13'!G39,'13'!G53)</f>
        <v>3279</v>
      </c>
      <c r="J17" s="642">
        <f>SUM('13'!G41,'13'!G42,'13'!G55,'13'!G56)</f>
        <v>5019</v>
      </c>
      <c r="K17" s="642">
        <f>SUM('13'!G43,'13'!G57)</f>
        <v>2145</v>
      </c>
      <c r="L17" s="254">
        <f>'13'!G50</f>
        <v>1558</v>
      </c>
      <c r="M17" s="254">
        <f>'13'!G36</f>
        <v>1069</v>
      </c>
      <c r="N17" s="254">
        <f>'13'!G138</f>
        <v>148</v>
      </c>
      <c r="O17" s="254">
        <f>'13'!$G$139</f>
        <v>20</v>
      </c>
      <c r="P17" s="254">
        <f>'13'!$G$140</f>
        <v>0</v>
      </c>
      <c r="Q17" s="254">
        <f>'13'!$G$141</f>
        <v>179</v>
      </c>
      <c r="R17" s="254">
        <f>'13'!$G$142</f>
        <v>70</v>
      </c>
      <c r="S17" s="254">
        <f>'13'!$G$145</f>
        <v>10</v>
      </c>
      <c r="T17" s="251">
        <f>'13'!$G$146</f>
        <v>472</v>
      </c>
      <c r="U17" s="251">
        <f>'13'!$G$144</f>
        <v>208</v>
      </c>
      <c r="V17" s="251">
        <f>'13'!$G$147</f>
        <v>443</v>
      </c>
      <c r="W17" s="251">
        <f>'13'!$G$148</f>
        <v>364</v>
      </c>
      <c r="X17" s="251">
        <f>'13'!$G$143</f>
        <v>30</v>
      </c>
      <c r="Y17" s="251">
        <f>'13'!$G$58</f>
        <v>196</v>
      </c>
      <c r="Z17" s="251">
        <f>'13'!$G$151</f>
        <v>230</v>
      </c>
      <c r="AA17" s="251">
        <f>'13'!G161</f>
        <v>17</v>
      </c>
      <c r="AB17" s="251">
        <f>'13'!G162</f>
        <v>20</v>
      </c>
      <c r="AC17" s="251">
        <f>'13'!G88</f>
        <v>0</v>
      </c>
      <c r="AD17" s="251">
        <f>'13'!G163+'13'!G164</f>
        <v>83</v>
      </c>
      <c r="AE17" s="254">
        <f>'13'!$G$116</f>
        <v>446</v>
      </c>
      <c r="AF17" s="254">
        <f>'13'!$G$117</f>
        <v>219</v>
      </c>
      <c r="AG17" s="254">
        <f>'13'!$G$118</f>
        <v>412</v>
      </c>
      <c r="AH17" s="254">
        <f>'13'!$G$119</f>
        <v>426</v>
      </c>
      <c r="AI17" s="254">
        <f>'13'!$G$120</f>
        <v>409</v>
      </c>
      <c r="AJ17" s="254">
        <f>'13'!$G$121</f>
        <v>757</v>
      </c>
      <c r="AK17" s="254">
        <f>'13'!$G$122</f>
        <v>260</v>
      </c>
      <c r="AL17" s="254">
        <f>'13'!$G$123</f>
        <v>259</v>
      </c>
      <c r="AM17" s="254">
        <f>'13'!$G$133</f>
        <v>676</v>
      </c>
      <c r="AN17" s="254">
        <f>'13'!$G$15</f>
        <v>1108</v>
      </c>
      <c r="AO17" s="256">
        <f>'13'!$G$74</f>
        <v>287</v>
      </c>
      <c r="AP17" s="256">
        <f>'13'!$G$75</f>
        <v>0</v>
      </c>
      <c r="AQ17" s="256">
        <f>'13'!$G$76</f>
        <v>119</v>
      </c>
      <c r="AR17" s="256">
        <f>'13'!$G$77</f>
        <v>52</v>
      </c>
      <c r="AS17" s="256">
        <f>'13'!$G$78</f>
        <v>3</v>
      </c>
      <c r="AT17" s="256">
        <f t="shared" si="0"/>
        <v>647</v>
      </c>
      <c r="AU17" s="254">
        <f>SUM('13'!G91:G92)</f>
        <v>10.599999999999909</v>
      </c>
      <c r="AV17" s="254">
        <f>'13'!$G$88</f>
        <v>0</v>
      </c>
      <c r="AW17" s="254">
        <f>'13'!$G$89</f>
        <v>10.029999999998836</v>
      </c>
      <c r="AX17" s="254">
        <f>'13'!$G$90</f>
        <v>8.5500000000029104</v>
      </c>
      <c r="AY17" s="252">
        <f t="shared" si="1"/>
        <v>18.580000000001746</v>
      </c>
      <c r="AZ17" s="311">
        <f t="shared" si="6"/>
        <v>27.075471698113439</v>
      </c>
      <c r="BA17" s="311">
        <f t="shared" si="3"/>
        <v>34.822389666304588</v>
      </c>
      <c r="BB17" s="351">
        <f t="shared" si="4"/>
        <v>4770</v>
      </c>
      <c r="BC17" s="351">
        <f t="shared" si="5"/>
        <v>21.607175212900888</v>
      </c>
    </row>
    <row r="18" spans="1:55" x14ac:dyDescent="0.2">
      <c r="A18" s="359">
        <v>14</v>
      </c>
      <c r="B18" s="642">
        <f>'14'!G7</f>
        <v>21178</v>
      </c>
      <c r="C18" s="642">
        <f>'14'!G8</f>
        <v>21261</v>
      </c>
      <c r="D18" s="642">
        <f>'14'!G15</f>
        <v>1095</v>
      </c>
      <c r="E18" s="642">
        <f>'14'!G20</f>
        <v>296</v>
      </c>
      <c r="F18" s="642">
        <f>SUM('14'!G35,'14'!G49)</f>
        <v>3003</v>
      </c>
      <c r="G18" s="642">
        <f>SUM('14'!G37,'14'!G51)</f>
        <v>1746</v>
      </c>
      <c r="H18" s="642">
        <f>SUM('14'!G38,'14'!G52)</f>
        <v>2061</v>
      </c>
      <c r="I18" s="642">
        <f>SUM('14'!G39,'14'!G53)</f>
        <v>3213</v>
      </c>
      <c r="J18" s="642">
        <f>SUM('14'!G41,'14'!G42,'14'!G55,'14'!G56)</f>
        <v>4624</v>
      </c>
      <c r="K18" s="642">
        <f>SUM('14'!G43,'14'!G57)</f>
        <v>2102</v>
      </c>
      <c r="L18" s="254">
        <f>'14'!G50</f>
        <v>1606</v>
      </c>
      <c r="M18" s="254">
        <f>'14'!G36</f>
        <v>834</v>
      </c>
      <c r="N18" s="254">
        <f>'14'!G138</f>
        <v>98</v>
      </c>
      <c r="O18" s="254">
        <f>'14'!$G$139</f>
        <v>1</v>
      </c>
      <c r="P18" s="254">
        <f>'14'!$G$140</f>
        <v>0</v>
      </c>
      <c r="Q18" s="254">
        <f>'14'!$G$141</f>
        <v>176</v>
      </c>
      <c r="R18" s="254">
        <f>'14'!$G$142</f>
        <v>69</v>
      </c>
      <c r="S18" s="254">
        <f>'14'!$G$145</f>
        <v>15</v>
      </c>
      <c r="T18" s="251">
        <f>'14'!$G$146</f>
        <v>493</v>
      </c>
      <c r="U18" s="251">
        <f>'14'!$G$144</f>
        <v>199</v>
      </c>
      <c r="V18" s="251">
        <f>'14'!$G$147</f>
        <v>449</v>
      </c>
      <c r="W18" s="251">
        <f>'14'!$G$148</f>
        <v>310</v>
      </c>
      <c r="X18" s="251">
        <f>'14'!$G$143</f>
        <v>28</v>
      </c>
      <c r="Y18" s="251">
        <f>'14'!$G$58</f>
        <v>217</v>
      </c>
      <c r="Z18" s="251">
        <f>'14'!$G$151</f>
        <v>262</v>
      </c>
      <c r="AA18" s="251">
        <f>'14'!G161</f>
        <v>18</v>
      </c>
      <c r="AB18" s="251">
        <f>'14'!G162</f>
        <v>40</v>
      </c>
      <c r="AC18" s="251">
        <f>'14'!G88</f>
        <v>0.98999999999796273</v>
      </c>
      <c r="AD18" s="251">
        <f>'14'!G163+'14'!G164</f>
        <v>125</v>
      </c>
      <c r="AE18" s="254">
        <f>'14'!$G$116</f>
        <v>435</v>
      </c>
      <c r="AF18" s="254">
        <f>'14'!$G$117</f>
        <v>254</v>
      </c>
      <c r="AG18" s="254">
        <f>'14'!$G$118</f>
        <v>461</v>
      </c>
      <c r="AH18" s="254">
        <f>'14'!$G$119</f>
        <v>445</v>
      </c>
      <c r="AI18" s="254">
        <f>'14'!$G$120</f>
        <v>417</v>
      </c>
      <c r="AJ18" s="254">
        <f>'14'!$G$121</f>
        <v>760</v>
      </c>
      <c r="AK18" s="254">
        <f>'14'!$G$122</f>
        <v>209</v>
      </c>
      <c r="AL18" s="254">
        <f>'14'!$G$123</f>
        <v>261</v>
      </c>
      <c r="AM18" s="254">
        <f>'14'!$G$133</f>
        <v>679</v>
      </c>
      <c r="AN18" s="254">
        <f>'14'!$G$15</f>
        <v>1095</v>
      </c>
      <c r="AO18" s="256">
        <f>'14'!$G$74</f>
        <v>294</v>
      </c>
      <c r="AP18" s="256">
        <f>'14'!$G$75</f>
        <v>0</v>
      </c>
      <c r="AQ18" s="256">
        <f>'14'!$G$76</f>
        <v>93</v>
      </c>
      <c r="AR18" s="256">
        <f>'14'!$G$77</f>
        <v>39</v>
      </c>
      <c r="AS18" s="256">
        <f>'14'!$G$78</f>
        <v>0</v>
      </c>
      <c r="AT18" s="256">
        <f t="shared" si="0"/>
        <v>669</v>
      </c>
      <c r="AU18" s="254">
        <f>SUM('14'!G91:G92)</f>
        <v>11.170000000000073</v>
      </c>
      <c r="AV18" s="254">
        <f>'14'!$G$88</f>
        <v>0.98999999999796273</v>
      </c>
      <c r="AW18" s="254">
        <f>'14'!$G$89</f>
        <v>10.779999999998836</v>
      </c>
      <c r="AX18" s="254">
        <f>'14'!$G$90</f>
        <v>6.1900000000023283</v>
      </c>
      <c r="AY18" s="252">
        <f t="shared" si="1"/>
        <v>17.959999999999127</v>
      </c>
      <c r="AZ18" s="311">
        <f t="shared" si="6"/>
        <v>26.320501342882551</v>
      </c>
      <c r="BA18" s="311">
        <f t="shared" si="3"/>
        <v>37.249443207128756</v>
      </c>
      <c r="BB18" s="351">
        <f t="shared" si="4"/>
        <v>4295</v>
      </c>
      <c r="BC18" s="351">
        <f t="shared" si="5"/>
        <v>20.280479743129664</v>
      </c>
    </row>
    <row r="19" spans="1:55" x14ac:dyDescent="0.2">
      <c r="A19" s="359">
        <v>15</v>
      </c>
      <c r="B19" s="642">
        <f>'15'!G7</f>
        <v>20999.599999999977</v>
      </c>
      <c r="C19" s="642">
        <f>'15'!G8</f>
        <v>21100</v>
      </c>
      <c r="D19" s="642">
        <f>'15'!G15</f>
        <v>1135.2800000000279</v>
      </c>
      <c r="E19" s="642">
        <f>'15'!G20</f>
        <v>316</v>
      </c>
      <c r="F19" s="642">
        <f>SUM('15'!G35,'15'!G49)</f>
        <v>3027.0299999999988</v>
      </c>
      <c r="G19" s="642">
        <f>SUM('15'!G37,'15'!G51)</f>
        <v>1780.6999999999971</v>
      </c>
      <c r="H19" s="642">
        <f>SUM('15'!G38,'15'!G52)</f>
        <v>1992.6000000000058</v>
      </c>
      <c r="I19" s="642">
        <f>SUM('15'!G39,'15'!G53)</f>
        <v>3189.1999999999971</v>
      </c>
      <c r="J19" s="642">
        <f>SUM('15'!G41,'15'!G42,'15'!G55,'15'!G56)</f>
        <v>4586.5399999999881</v>
      </c>
      <c r="K19" s="642">
        <f>SUM('15'!G43,'15'!G57)</f>
        <v>2095.5799999999872</v>
      </c>
      <c r="L19" s="254">
        <f>'15'!G50</f>
        <v>1491.9499999999971</v>
      </c>
      <c r="M19" s="254">
        <f>'15'!G36</f>
        <v>750.84999999999854</v>
      </c>
      <c r="N19" s="254">
        <f>'15'!G138</f>
        <v>88</v>
      </c>
      <c r="O19" s="254">
        <f>'15'!$G$139</f>
        <v>0</v>
      </c>
      <c r="P19" s="254">
        <f>'15'!$G$140</f>
        <v>0</v>
      </c>
      <c r="Q19" s="254">
        <f>'15'!$G$141</f>
        <v>176.27999999999884</v>
      </c>
      <c r="R19" s="254">
        <f>'15'!$G$142</f>
        <v>59</v>
      </c>
      <c r="S19" s="254">
        <f>'15'!$G$145</f>
        <v>13.25</v>
      </c>
      <c r="T19" s="251">
        <f>'15'!$G$146</f>
        <v>510</v>
      </c>
      <c r="U19" s="251">
        <f>'15'!$G$144</f>
        <v>213</v>
      </c>
      <c r="V19" s="251">
        <f>'15'!$G$147</f>
        <v>405.64000000001397</v>
      </c>
      <c r="W19" s="251">
        <f>'15'!$G$148</f>
        <v>245.64000000001397</v>
      </c>
      <c r="X19" s="251">
        <f>'15'!$G$143</f>
        <v>31.010000000000218</v>
      </c>
      <c r="Y19" s="251">
        <f>'15'!$G$58</f>
        <v>215.47999999999956</v>
      </c>
      <c r="Z19" s="251">
        <f>'15'!$G$151</f>
        <v>230</v>
      </c>
      <c r="AA19" s="251">
        <f>'15'!G161</f>
        <v>32</v>
      </c>
      <c r="AB19" s="251">
        <f>'15'!G162</f>
        <v>44.80000000000291</v>
      </c>
      <c r="AC19" s="251">
        <f>'15'!G88</f>
        <v>0</v>
      </c>
      <c r="AD19" s="251">
        <f>'15'!G163+'15'!G164</f>
        <v>146.39999999999964</v>
      </c>
      <c r="AE19" s="254">
        <f>'15'!$G$116</f>
        <v>0</v>
      </c>
      <c r="AF19" s="254">
        <f>'15'!$G$117</f>
        <v>219.19999999999982</v>
      </c>
      <c r="AG19" s="254">
        <f>'15'!$G$118</f>
        <v>452.42999999999302</v>
      </c>
      <c r="AH19" s="254">
        <f>'15'!$G$119</f>
        <v>433.80999999999767</v>
      </c>
      <c r="AI19" s="254">
        <f>'15'!$G$120</f>
        <v>442.84999999999854</v>
      </c>
      <c r="AJ19" s="254">
        <f>'15'!$G$121</f>
        <v>792.46999999997206</v>
      </c>
      <c r="AK19" s="254">
        <f>'15'!$G$122</f>
        <v>221.80000000000291</v>
      </c>
      <c r="AL19" s="254">
        <f>'15'!$G$123</f>
        <v>257.95000000001164</v>
      </c>
      <c r="AM19" s="254">
        <f>'15'!$G$133</f>
        <v>670.32000000000698</v>
      </c>
      <c r="AN19" s="254">
        <f>'15'!$G$15</f>
        <v>1135.2800000000279</v>
      </c>
      <c r="AO19" s="256">
        <f>'15'!$G$74</f>
        <v>280.39099999994505</v>
      </c>
      <c r="AP19" s="256">
        <f>'15'!$G$75</f>
        <v>0</v>
      </c>
      <c r="AQ19" s="256">
        <f>'15'!$G$76</f>
        <v>88.660000000003492</v>
      </c>
      <c r="AR19" s="256">
        <f>'15'!$G$77</f>
        <v>51.19999999999709</v>
      </c>
      <c r="AS19" s="256">
        <f>'15'!$G$78</f>
        <v>0</v>
      </c>
      <c r="AT19" s="256">
        <f t="shared" si="0"/>
        <v>715.02900000008231</v>
      </c>
      <c r="AU19" s="254">
        <f>SUM('15'!G91:G92)</f>
        <v>10.589999999999691</v>
      </c>
      <c r="AV19" s="254">
        <f>'15'!$G$88</f>
        <v>0</v>
      </c>
      <c r="AW19" s="254">
        <f>'15'!$G$89</f>
        <v>12.130000000001019</v>
      </c>
      <c r="AX19" s="254">
        <f>'15'!$G$90</f>
        <v>7.9700000000011642</v>
      </c>
      <c r="AY19" s="252">
        <f t="shared" si="1"/>
        <v>20.100000000002183</v>
      </c>
      <c r="AZ19" s="311">
        <f t="shared" si="6"/>
        <v>26.476959395651864</v>
      </c>
      <c r="BA19" s="311">
        <f t="shared" si="3"/>
        <v>35.573582089552474</v>
      </c>
      <c r="BB19" s="351">
        <f t="shared" si="4"/>
        <v>4212.8700000000281</v>
      </c>
      <c r="BC19" s="351">
        <f t="shared" si="5"/>
        <v>20.061667841292373</v>
      </c>
    </row>
    <row r="20" spans="1:55" x14ac:dyDescent="0.2">
      <c r="A20" s="359">
        <v>16</v>
      </c>
      <c r="B20" s="642">
        <f>'16'!G7</f>
        <v>20546.979999999981</v>
      </c>
      <c r="C20" s="642">
        <f>'16'!G8</f>
        <v>20625.099999999999</v>
      </c>
      <c r="D20" s="642">
        <f>'16'!G15</f>
        <v>1092.9150000000373</v>
      </c>
      <c r="E20" s="642">
        <f>'16'!G20</f>
        <v>298</v>
      </c>
      <c r="F20" s="642">
        <f>SUM('16'!G35,'16'!G49)</f>
        <v>3072.0999999999985</v>
      </c>
      <c r="G20" s="642">
        <f>SUM('16'!G37,'16'!G51)</f>
        <v>1774.7800000000061</v>
      </c>
      <c r="H20" s="642">
        <f>SUM('16'!G38,'16'!G52)</f>
        <v>2035.1399999999994</v>
      </c>
      <c r="I20" s="642">
        <f>SUM('16'!G39,'16'!G53)</f>
        <v>3126.6800000000076</v>
      </c>
      <c r="J20" s="642">
        <f>SUM('16'!G41,'16'!G42,'16'!G55,'16'!G56)</f>
        <v>4325.9800000000105</v>
      </c>
      <c r="K20" s="642">
        <f>SUM('16'!G43,'16'!G57)</f>
        <v>2105.7700000000186</v>
      </c>
      <c r="L20" s="254">
        <f>'16'!G50</f>
        <v>1217.9799999999959</v>
      </c>
      <c r="M20" s="254">
        <f>'16'!G36</f>
        <v>881.54000000000087</v>
      </c>
      <c r="N20" s="254">
        <f>'16'!G138</f>
        <v>87</v>
      </c>
      <c r="O20" s="254">
        <f>'16'!$G$139</f>
        <v>1</v>
      </c>
      <c r="P20" s="254">
        <f>'16'!$G$140</f>
        <v>0</v>
      </c>
      <c r="Q20" s="254">
        <f>'16'!$G$141</f>
        <v>172.51000000000204</v>
      </c>
      <c r="R20" s="254">
        <f>'16'!$G$142</f>
        <v>79.639999999999418</v>
      </c>
      <c r="S20" s="254">
        <f>'16'!$G$145</f>
        <v>14.75</v>
      </c>
      <c r="T20" s="251">
        <f>'16'!$G$146</f>
        <v>483</v>
      </c>
      <c r="U20" s="251">
        <f>'16'!$G$144</f>
        <v>210</v>
      </c>
      <c r="V20" s="251">
        <f>'16'!$G$147</f>
        <v>404.35999999998603</v>
      </c>
      <c r="W20" s="251">
        <f>'16'!$G$148</f>
        <v>292.88000000000466</v>
      </c>
      <c r="X20" s="251">
        <f>'16'!$G$143</f>
        <v>30.760000000000218</v>
      </c>
      <c r="Y20" s="251">
        <f>'16'!$G$58</f>
        <v>207.45000000000073</v>
      </c>
      <c r="Z20" s="251">
        <f>'16'!$G$151</f>
        <v>274</v>
      </c>
      <c r="AA20" s="251">
        <f>'16'!G161</f>
        <v>17</v>
      </c>
      <c r="AB20" s="251">
        <f>'16'!G162</f>
        <v>46.599999999991269</v>
      </c>
      <c r="AC20" s="251">
        <f>'16'!G88</f>
        <v>0</v>
      </c>
      <c r="AD20" s="251">
        <f>'16'!G163+'16'!G164</f>
        <v>89.399999999994179</v>
      </c>
      <c r="AE20" s="254">
        <f>'16'!$G$116</f>
        <v>865.44999999999982</v>
      </c>
      <c r="AF20" s="254">
        <f>'16'!$G$117</f>
        <v>173.88000000000011</v>
      </c>
      <c r="AG20" s="254">
        <f>'16'!$G$118</f>
        <v>384.66000000000349</v>
      </c>
      <c r="AH20" s="254">
        <f>'16'!$G$119</f>
        <v>456.11999999999534</v>
      </c>
      <c r="AI20" s="254">
        <f>'16'!$G$120</f>
        <v>440.02999999999884</v>
      </c>
      <c r="AJ20" s="254">
        <f>'16'!$G$121</f>
        <v>776.76000000000931</v>
      </c>
      <c r="AK20" s="254">
        <f>'16'!$G$122</f>
        <v>245.88999999999942</v>
      </c>
      <c r="AL20" s="254">
        <f>'16'!$G$123</f>
        <v>263.4199999999837</v>
      </c>
      <c r="AM20" s="254">
        <f>'16'!$G$133</f>
        <v>673.23999999999069</v>
      </c>
      <c r="AN20" s="254">
        <f>'16'!$G$15</f>
        <v>1092.9150000000373</v>
      </c>
      <c r="AO20" s="256">
        <f>'16'!$G$74</f>
        <v>295.77900000009686</v>
      </c>
      <c r="AP20" s="256">
        <f>'16'!$G$75</f>
        <v>-0.19999999999708962</v>
      </c>
      <c r="AQ20" s="256">
        <f>'16'!$G$76</f>
        <v>94.169999999983702</v>
      </c>
      <c r="AR20" s="256">
        <f>'16'!$G$77</f>
        <v>43.400000000001455</v>
      </c>
      <c r="AS20" s="256">
        <f>'16'!$G$78</f>
        <v>0</v>
      </c>
      <c r="AT20" s="256">
        <f t="shared" si="0"/>
        <v>659.76599999995233</v>
      </c>
      <c r="AU20" s="254">
        <f>SUM('16'!G91:G92)</f>
        <v>11.200000000000273</v>
      </c>
      <c r="AV20" s="254">
        <f>'16'!$G$88</f>
        <v>0</v>
      </c>
      <c r="AW20" s="254">
        <f>'16'!$G$89</f>
        <v>10.900000000001455</v>
      </c>
      <c r="AX20" s="254">
        <f>'16'!$G$90</f>
        <v>8.9299999999930151</v>
      </c>
      <c r="AY20" s="252">
        <f t="shared" si="1"/>
        <v>19.82999999999447</v>
      </c>
      <c r="AZ20" s="311">
        <f t="shared" si="6"/>
        <v>26.408839285722291</v>
      </c>
      <c r="BA20" s="311">
        <f t="shared" si="3"/>
        <v>33.271104387298855</v>
      </c>
      <c r="BB20" s="351">
        <f t="shared" si="4"/>
        <v>3977.1999999999571</v>
      </c>
      <c r="BC20" s="351">
        <f t="shared" si="5"/>
        <v>19.356615911437888</v>
      </c>
    </row>
    <row r="21" spans="1:55" x14ac:dyDescent="0.2">
      <c r="A21" s="359">
        <v>17</v>
      </c>
      <c r="B21" s="642">
        <f>'17'!G7</f>
        <v>19976.420000000042</v>
      </c>
      <c r="C21" s="642">
        <f>'17'!G8</f>
        <v>20039.870000000003</v>
      </c>
      <c r="D21" s="642">
        <f>'17'!G15</f>
        <v>1023.3799999998882</v>
      </c>
      <c r="E21" s="642">
        <f>'17'!G20</f>
        <v>306</v>
      </c>
      <c r="F21" s="642">
        <f>SUM('17'!G35,'17'!G49)</f>
        <v>2907.5500000000029</v>
      </c>
      <c r="G21" s="642">
        <f>SUM('17'!G37,'17'!G51)</f>
        <v>1757.6999999999971</v>
      </c>
      <c r="H21" s="642">
        <f>SUM('17'!G38,'17'!G52)</f>
        <v>2041.2599999999948</v>
      </c>
      <c r="I21" s="642">
        <f>SUM('17'!G39,'17'!G53)</f>
        <v>3014.1399999999994</v>
      </c>
      <c r="J21" s="642">
        <f>SUM('17'!G41,'17'!G42,'17'!G55,'17'!G56)</f>
        <v>4155.3800000000047</v>
      </c>
      <c r="K21" s="642">
        <f>SUM('17'!G43,'17'!G57)</f>
        <v>2052.7299999999814</v>
      </c>
      <c r="L21" s="254">
        <f>'17'!G50</f>
        <v>1099.6000000000058</v>
      </c>
      <c r="M21" s="254">
        <f>'17'!G36</f>
        <v>905.22000000000116</v>
      </c>
      <c r="N21" s="254">
        <f>'18 '!G138</f>
        <v>81</v>
      </c>
      <c r="O21" s="254">
        <f>'17'!$G$139</f>
        <v>2</v>
      </c>
      <c r="P21" s="254">
        <f>'17'!$G$140</f>
        <v>0</v>
      </c>
      <c r="Q21" s="254">
        <f>'17'!$G$141</f>
        <v>183.69000000000233</v>
      </c>
      <c r="R21" s="254">
        <f>'17'!$G$142</f>
        <v>64.330000000001746</v>
      </c>
      <c r="S21" s="254">
        <f>'17'!$G$145</f>
        <v>14.729999999999563</v>
      </c>
      <c r="T21" s="251">
        <f>'17'!$G$146</f>
        <v>429</v>
      </c>
      <c r="U21" s="251">
        <f>'17'!$G$144</f>
        <v>212</v>
      </c>
      <c r="V21" s="251">
        <f>'17'!$G$147</f>
        <v>374.04000000003725</v>
      </c>
      <c r="W21" s="251">
        <f>'17'!$G$148</f>
        <v>298.95999999996275</v>
      </c>
      <c r="X21" s="251">
        <f>'17'!$G$143</f>
        <v>25.579999999999927</v>
      </c>
      <c r="Y21" s="251">
        <f>'17'!$G$58</f>
        <v>223.06999999999971</v>
      </c>
      <c r="Z21" s="251">
        <f>'17'!$G$151</f>
        <v>220</v>
      </c>
      <c r="AA21" s="251">
        <f>'17'!G161</f>
        <v>16.919999999983702</v>
      </c>
      <c r="AB21" s="251">
        <f>'17'!G162</f>
        <v>43.200000000011642</v>
      </c>
      <c r="AC21" s="251">
        <f>'17'!G88</f>
        <v>2.0000000000436557E-2</v>
      </c>
      <c r="AD21" s="251">
        <f>'17'!G163+'17'!G164</f>
        <v>86.200000000006185</v>
      </c>
      <c r="AE21" s="254">
        <f>'17'!$G$116</f>
        <v>443.34000000000015</v>
      </c>
      <c r="AF21" s="254">
        <f>'17'!$G$117</f>
        <v>166.63000000000011</v>
      </c>
      <c r="AG21" s="254">
        <f>'17'!$G$118</f>
        <v>388.79000000000815</v>
      </c>
      <c r="AH21" s="254">
        <f>'17'!$G$119</f>
        <v>419.1600000000326</v>
      </c>
      <c r="AI21" s="254">
        <f>'17'!$G$120</f>
        <v>421.59000000000378</v>
      </c>
      <c r="AJ21" s="254">
        <f>'17'!$G$121</f>
        <v>708.52000000001863</v>
      </c>
      <c r="AK21" s="254">
        <f>'17'!$G$122</f>
        <v>217.27999999999884</v>
      </c>
      <c r="AL21" s="254">
        <f>'17'!$G$123</f>
        <v>255.41000000000349</v>
      </c>
      <c r="AM21" s="254">
        <f>'17'!$G$133</f>
        <v>657.55999999999767</v>
      </c>
      <c r="AN21" s="254">
        <f>'17'!$G$15</f>
        <v>1023.3799999998882</v>
      </c>
      <c r="AO21" s="256">
        <f>'17'!$G$74</f>
        <v>298.61999999999534</v>
      </c>
      <c r="AP21" s="256">
        <f>'17'!$G$75</f>
        <v>0</v>
      </c>
      <c r="AQ21" s="256">
        <f>'17'!$G$76</f>
        <v>95.400000000023283</v>
      </c>
      <c r="AR21" s="256">
        <f>'17'!$G$77</f>
        <v>36.80000000000291</v>
      </c>
      <c r="AS21" s="256">
        <f>'17'!$G$78</f>
        <v>1.8999999999996362</v>
      </c>
      <c r="AT21" s="256">
        <f t="shared" si="0"/>
        <v>590.65999999986707</v>
      </c>
      <c r="AU21" s="254">
        <f>SUM('17'!G91:G92)</f>
        <v>11.329999999999927</v>
      </c>
      <c r="AV21" s="254">
        <f>'17'!$G$88</f>
        <v>2.0000000000436557E-2</v>
      </c>
      <c r="AW21" s="254">
        <f>'17'!$G$89</f>
        <v>11.68999999999869</v>
      </c>
      <c r="AX21" s="254">
        <f>'17'!$G$90</f>
        <v>3.7799999999988358</v>
      </c>
      <c r="AY21" s="252">
        <f t="shared" si="1"/>
        <v>15.489999999997963</v>
      </c>
      <c r="AZ21" s="311">
        <f t="shared" si="6"/>
        <v>26.356575463371339</v>
      </c>
      <c r="BA21" s="311">
        <f t="shared" si="3"/>
        <v>38.131697869589722</v>
      </c>
      <c r="BB21" s="351">
        <f t="shared" si="4"/>
        <v>3888.0400000000227</v>
      </c>
      <c r="BC21" s="351">
        <f t="shared" si="5"/>
        <v>19.463147050372463</v>
      </c>
    </row>
    <row r="22" spans="1:55" x14ac:dyDescent="0.2">
      <c r="A22" s="359">
        <v>18</v>
      </c>
      <c r="B22" s="642">
        <f>'18 '!G7</f>
        <v>20562</v>
      </c>
      <c r="C22" s="642">
        <f>'18 '!G8</f>
        <v>20626.43</v>
      </c>
      <c r="D22" s="642">
        <f>'18 '!G15</f>
        <v>1056.8049999999348</v>
      </c>
      <c r="E22" s="642">
        <f>'18 '!G20</f>
        <v>298</v>
      </c>
      <c r="F22" s="642">
        <f>SUM('18 '!G35,'18 '!G49)</f>
        <v>3114.760000000002</v>
      </c>
      <c r="G22" s="642">
        <f>SUM('18 '!G37,'18 '!G51)</f>
        <v>1732.8400000000038</v>
      </c>
      <c r="H22" s="642">
        <f>SUM('18 '!G38,'18 '!G52)</f>
        <v>2102.5</v>
      </c>
      <c r="I22" s="642">
        <f>SUM('18 '!G39,'18 '!G53)</f>
        <v>3089.679999999993</v>
      </c>
      <c r="J22" s="642">
        <f>SUM('18 '!G41,'18 '!G42,'18 '!G55,'18 '!G56)</f>
        <v>4354.0499999999884</v>
      </c>
      <c r="K22" s="642">
        <f>SUM('18 '!G43,'18 '!G57)</f>
        <v>2079.6800000000221</v>
      </c>
      <c r="L22" s="254">
        <f>'18 '!G50</f>
        <v>1071.9199999999983</v>
      </c>
      <c r="M22" s="254">
        <f>'18 '!G36</f>
        <v>982.98999999999796</v>
      </c>
      <c r="N22" s="254">
        <f>'18 '!G138</f>
        <v>81</v>
      </c>
      <c r="O22" s="254">
        <f>'18 '!$G$139</f>
        <v>1</v>
      </c>
      <c r="P22" s="254">
        <f>'18 '!$G$140</f>
        <v>0.39999999999417923</v>
      </c>
      <c r="Q22" s="254">
        <f>'18 '!$G$141</f>
        <v>188.83999999999651</v>
      </c>
      <c r="R22" s="254">
        <f>'18 '!$G$142</f>
        <v>64.229999999999563</v>
      </c>
      <c r="S22" s="254">
        <f>'18 '!$G$145</f>
        <v>14.570000000000618</v>
      </c>
      <c r="T22" s="251">
        <f>'18 '!$G$146</f>
        <v>398</v>
      </c>
      <c r="U22" s="251">
        <f>'18 '!$G$144</f>
        <v>210</v>
      </c>
      <c r="V22" s="256">
        <f>'18 '!$G$147</f>
        <v>322.95999999996275</v>
      </c>
      <c r="W22" s="256">
        <f>'18 '!$G$148</f>
        <v>244.32000000006519</v>
      </c>
      <c r="X22" s="256">
        <f>'18 '!$G$143</f>
        <v>25.109999999999673</v>
      </c>
      <c r="Y22" s="256">
        <f>'18 '!$G$58</f>
        <v>219</v>
      </c>
      <c r="Z22" s="256">
        <f>'18 '!$G$151</f>
        <v>278</v>
      </c>
      <c r="AA22" s="256">
        <f>'18 '!G161</f>
        <v>13.28000000002794</v>
      </c>
      <c r="AB22" s="251">
        <f>'18 '!G162</f>
        <v>50.799999999988358</v>
      </c>
      <c r="AC22" s="251">
        <f>'18 '!G88</f>
        <v>0</v>
      </c>
      <c r="AD22" s="251">
        <f>'18 '!G163+'18 '!G164</f>
        <v>116.39999999999691</v>
      </c>
      <c r="AE22" s="254">
        <f>'18 '!$G$116</f>
        <v>399.32999999999993</v>
      </c>
      <c r="AF22" s="254">
        <f>'18 '!$G$117</f>
        <v>176.44999999999982</v>
      </c>
      <c r="AG22" s="254">
        <f>'18 '!$G$118</f>
        <v>405.38999999998487</v>
      </c>
      <c r="AH22" s="254">
        <f>'18 '!$G$119</f>
        <v>432.23999999999069</v>
      </c>
      <c r="AI22" s="254">
        <f>'18 '!$G$120</f>
        <v>441.54000000000087</v>
      </c>
      <c r="AJ22" s="254">
        <f>'18 '!$G$121</f>
        <v>743.76000000000931</v>
      </c>
      <c r="AK22" s="254">
        <f>'18 '!$G$122</f>
        <v>214.67999999999302</v>
      </c>
      <c r="AL22" s="254">
        <f>'18 '!$G$123</f>
        <v>258.02999999999884</v>
      </c>
      <c r="AM22" s="254">
        <f>'18 '!$G$133</f>
        <v>665.19000000000233</v>
      </c>
      <c r="AN22" s="254">
        <f>'18 '!$G$15</f>
        <v>1056.8049999999348</v>
      </c>
      <c r="AO22" s="256">
        <f>'18 '!$G$74</f>
        <v>298.39000000001397</v>
      </c>
      <c r="AP22" s="256">
        <f>'18 '!$G$75</f>
        <v>0</v>
      </c>
      <c r="AQ22" s="256">
        <f>'18 '!$G$76</f>
        <v>112.64999999999418</v>
      </c>
      <c r="AR22" s="256">
        <f>'18 '!$G$77</f>
        <v>50.599999999998545</v>
      </c>
      <c r="AS22" s="256">
        <f>'18 '!$G$78</f>
        <v>1.2000000000007276</v>
      </c>
      <c r="AT22" s="256">
        <f t="shared" si="0"/>
        <v>593.96499999992739</v>
      </c>
      <c r="AU22" s="254">
        <f>SUM('18 '!G91:G92)</f>
        <v>11.320000000000164</v>
      </c>
      <c r="AV22" s="254">
        <f>'18 '!$G$88</f>
        <v>0</v>
      </c>
      <c r="AW22" s="254">
        <f>'18 '!$G$89</f>
        <v>10.959999999999127</v>
      </c>
      <c r="AX22" s="254">
        <f>'18 '!$G$90</f>
        <v>4.0200000000040745</v>
      </c>
      <c r="AY22" s="252">
        <f t="shared" si="1"/>
        <v>14.980000000003201</v>
      </c>
      <c r="AZ22" s="311">
        <f t="shared" si="6"/>
        <v>26.359540636043256</v>
      </c>
      <c r="BA22" s="311">
        <f t="shared" si="3"/>
        <v>39.650534045380539</v>
      </c>
      <c r="BB22" s="351">
        <f t="shared" si="4"/>
        <v>3933.919999999991</v>
      </c>
      <c r="BC22" s="351">
        <f t="shared" si="5"/>
        <v>19.131991051454094</v>
      </c>
    </row>
    <row r="23" spans="1:55" s="313" customFormat="1" x14ac:dyDescent="0.2">
      <c r="A23" s="359">
        <v>19</v>
      </c>
      <c r="B23" s="642">
        <f>'19'!G7</f>
        <v>21203.65</v>
      </c>
      <c r="C23" s="642">
        <f>'19'!G8</f>
        <v>21297.179999999993</v>
      </c>
      <c r="D23" s="642">
        <f>'19'!G15</f>
        <v>1032.7900000000373</v>
      </c>
      <c r="E23" s="642">
        <f>'19'!G20</f>
        <v>328</v>
      </c>
      <c r="F23" s="642">
        <f>SUM('19'!G35,'19'!G49)</f>
        <v>3082.6199999999953</v>
      </c>
      <c r="G23" s="642">
        <f>SUM('19'!G37,'19'!G51)</f>
        <v>1790.0399999999936</v>
      </c>
      <c r="H23" s="642">
        <f>SUM('19'!G38,'19'!G52)</f>
        <v>2248.3899999999994</v>
      </c>
      <c r="I23" s="642">
        <f>SUM('19'!G39,'19'!G53)</f>
        <v>3138.6000000000058</v>
      </c>
      <c r="J23" s="642">
        <f>SUM('19'!G41,'19'!G42,'19'!G55,'19'!G56)</f>
        <v>4676.5299999999988</v>
      </c>
      <c r="K23" s="642">
        <f>SUM('19'!G43,'19'!G57)</f>
        <v>2131.4499999999825</v>
      </c>
      <c r="L23" s="251">
        <f>'19'!G50</f>
        <v>1096.6500000000087</v>
      </c>
      <c r="M23" s="251">
        <f>'19'!G36</f>
        <v>1020.9700000000012</v>
      </c>
      <c r="N23" s="251">
        <f>'19'!G138</f>
        <v>150</v>
      </c>
      <c r="O23" s="251">
        <f>'19'!$G$139</f>
        <v>1</v>
      </c>
      <c r="P23" s="251">
        <f>'19'!$G$140</f>
        <v>0</v>
      </c>
      <c r="Q23" s="251">
        <f>'19'!$G$141</f>
        <v>185.09000000000378</v>
      </c>
      <c r="R23" s="254">
        <f>'19'!G142</f>
        <v>69.169999999998254</v>
      </c>
      <c r="S23" s="251">
        <f>'19'!$G$145</f>
        <v>15.460000000000036</v>
      </c>
      <c r="T23" s="251">
        <f>'19'!$G$146</f>
        <v>462</v>
      </c>
      <c r="U23" s="251">
        <f>'19'!$G$144</f>
        <v>212</v>
      </c>
      <c r="V23" s="251">
        <f>'19'!$G$147</f>
        <v>408.8399999999674</v>
      </c>
      <c r="W23" s="251">
        <f>'19'!$G$148</f>
        <v>394.23999999999069</v>
      </c>
      <c r="X23" s="251">
        <f>'19'!$G$143</f>
        <v>26.760000000000218</v>
      </c>
      <c r="Y23" s="251">
        <f>'19'!$G$58</f>
        <v>213.98999999999978</v>
      </c>
      <c r="Z23" s="251">
        <f>'19'!$G$151</f>
        <v>268</v>
      </c>
      <c r="AA23" s="251">
        <f>'19'!G161</f>
        <v>16.959999999962747</v>
      </c>
      <c r="AB23" s="251">
        <f>'19'!G162</f>
        <v>41.700000000011642</v>
      </c>
      <c r="AC23" s="251">
        <f>'19'!G88</f>
        <v>0</v>
      </c>
      <c r="AD23" s="251">
        <f>'19'!G163+'19'!G164</f>
        <v>93.30000000000291</v>
      </c>
      <c r="AE23" s="251">
        <f>'19'!$G$116</f>
        <v>352.40000000000055</v>
      </c>
      <c r="AF23" s="251">
        <f>'19'!$G$117</f>
        <v>201.11000000000058</v>
      </c>
      <c r="AG23" s="251">
        <f>'19'!$G$118</f>
        <v>405.5800000000163</v>
      </c>
      <c r="AH23" s="251">
        <f>'19'!$G$119</f>
        <v>443.59999999997672</v>
      </c>
      <c r="AI23" s="251">
        <f>'19'!$G$120</f>
        <v>450.29999999999563</v>
      </c>
      <c r="AJ23" s="251">
        <f>'19'!$G$121</f>
        <v>799.64000000001397</v>
      </c>
      <c r="AK23" s="251">
        <f>'19'!$G$122</f>
        <v>220.20000000001164</v>
      </c>
      <c r="AL23" s="251">
        <f>'19'!$G$123</f>
        <v>268.77999999999884</v>
      </c>
      <c r="AM23" s="251">
        <f>'19'!$G$133</f>
        <v>684.13000000000466</v>
      </c>
      <c r="AN23" s="251">
        <f>'19'!$G$15</f>
        <v>1032.7900000000373</v>
      </c>
      <c r="AO23" s="256">
        <f>'19'!$G$74</f>
        <v>298.97999999998137</v>
      </c>
      <c r="AP23" s="256">
        <f>'19'!$G$75</f>
        <v>0</v>
      </c>
      <c r="AQ23" s="256">
        <f>'19'!$G$76</f>
        <v>92.040000000008149</v>
      </c>
      <c r="AR23" s="256">
        <f>'19'!$G$77</f>
        <v>48.80000000000291</v>
      </c>
      <c r="AS23" s="256">
        <f>'19'!$G$78</f>
        <v>0.7999999999992724</v>
      </c>
      <c r="AT23" s="256">
        <f t="shared" si="0"/>
        <v>592.17000000004555</v>
      </c>
      <c r="AU23" s="251">
        <f>SUM('19'!G91:G92)</f>
        <v>11.339999999999691</v>
      </c>
      <c r="AV23" s="251">
        <f>'19'!$G$88</f>
        <v>0</v>
      </c>
      <c r="AW23" s="251">
        <f>'19'!$G$89</f>
        <v>10.790000000000873</v>
      </c>
      <c r="AX23" s="251">
        <f>'19'!$G$90</f>
        <v>6.3300000000017462</v>
      </c>
      <c r="AY23" s="255">
        <f t="shared" si="1"/>
        <v>17.120000000002619</v>
      </c>
      <c r="AZ23" s="311">
        <f t="shared" si="6"/>
        <v>26.36507936507844</v>
      </c>
      <c r="BA23" s="311">
        <f t="shared" si="3"/>
        <v>34.589369158875876</v>
      </c>
      <c r="BB23" s="351">
        <f t="shared" si="4"/>
        <v>4015.5600000000195</v>
      </c>
      <c r="BC23" s="351">
        <f t="shared" si="5"/>
        <v>18.938060192466953</v>
      </c>
    </row>
    <row r="24" spans="1:55" x14ac:dyDescent="0.2">
      <c r="A24" s="359">
        <v>20</v>
      </c>
      <c r="B24" s="642">
        <f>'20'!G7</f>
        <v>20604.879999999997</v>
      </c>
      <c r="C24" s="642">
        <f>'20'!G8</f>
        <v>20695.800000000003</v>
      </c>
      <c r="D24" s="642">
        <f>'20'!G15</f>
        <v>1045.6000000000931</v>
      </c>
      <c r="E24" s="642">
        <f>'20'!G20</f>
        <v>360</v>
      </c>
      <c r="F24" s="642">
        <f>SUM('20'!G35,'20'!G49)</f>
        <v>3006.3800000000047</v>
      </c>
      <c r="G24" s="642">
        <f>SUM('20'!G37,'20'!G51)</f>
        <v>1617.5299999999988</v>
      </c>
      <c r="H24" s="642">
        <f>SUM('20'!G38,'20'!G52)</f>
        <v>2097.6999999999971</v>
      </c>
      <c r="I24" s="642">
        <f>SUM('20'!G39,'20'!G53)</f>
        <v>3029.6999999999971</v>
      </c>
      <c r="J24" s="642">
        <f>SUM('20'!G41,'20'!G42,'20'!G55,'20'!G56)</f>
        <v>4548.1199999999953</v>
      </c>
      <c r="K24" s="642">
        <f>SUM('20'!G43,'20'!G57)</f>
        <v>2086.3800000000047</v>
      </c>
      <c r="L24" s="254">
        <f>'20'!G50</f>
        <v>1084.7999999999884</v>
      </c>
      <c r="M24" s="254">
        <f>'20'!G36</f>
        <v>997.19000000000233</v>
      </c>
      <c r="N24" s="254">
        <f>'20'!G138</f>
        <v>140</v>
      </c>
      <c r="O24" s="254">
        <f>'20'!$G$139</f>
        <v>2</v>
      </c>
      <c r="P24" s="254">
        <f>'20'!$G$140</f>
        <v>1.3000000000029104</v>
      </c>
      <c r="Q24" s="254">
        <f>'20'!$G$141</f>
        <v>183.72999999999593</v>
      </c>
      <c r="R24" s="254">
        <f>'20'!$G$142</f>
        <v>67.680000000000291</v>
      </c>
      <c r="S24" s="254">
        <f>'20'!$G$145</f>
        <v>14.579999999999927</v>
      </c>
      <c r="T24" s="251">
        <f>'20'!$G$146</f>
        <v>441</v>
      </c>
      <c r="U24" s="251">
        <f>'20'!$G$144</f>
        <v>221</v>
      </c>
      <c r="V24" s="251">
        <f>'20'!$G$147</f>
        <v>359.28000000002794</v>
      </c>
      <c r="W24" s="251">
        <f>'20'!$G$148</f>
        <v>325.76000000000931</v>
      </c>
      <c r="X24" s="251">
        <f>'20'!$G$143</f>
        <v>29.090000000000146</v>
      </c>
      <c r="Y24" s="251">
        <f>'20'!$G$58</f>
        <v>215.65999999999985</v>
      </c>
      <c r="Z24" s="251">
        <f>'20'!$G$151</f>
        <v>232</v>
      </c>
      <c r="AA24" s="251">
        <f>'20'!G161</f>
        <v>14.320000000006985</v>
      </c>
      <c r="AB24" s="251">
        <f>'20'!G162</f>
        <v>20.599999999991269</v>
      </c>
      <c r="AC24" s="251">
        <f>'20'!G88</f>
        <v>-2.0000000000436557E-2</v>
      </c>
      <c r="AD24" s="251">
        <f>'20'!G163+'20'!G164</f>
        <v>54.30000000000291</v>
      </c>
      <c r="AE24" s="254">
        <f>'20'!$G$116</f>
        <v>447.69999999999982</v>
      </c>
      <c r="AF24" s="254">
        <f>'20'!$G$117</f>
        <v>156.23999999999978</v>
      </c>
      <c r="AG24" s="254">
        <f>'20'!$G$118</f>
        <v>379.27999999999884</v>
      </c>
      <c r="AH24" s="254">
        <f>'20'!$G$119</f>
        <v>440.70000000001164</v>
      </c>
      <c r="AI24" s="254">
        <f>'20'!$G$120</f>
        <v>434.12000000000262</v>
      </c>
      <c r="AJ24" s="254">
        <f>'20'!$G$121</f>
        <v>746.71999999997206</v>
      </c>
      <c r="AK24" s="254">
        <f>'20'!$G$122</f>
        <v>222.5</v>
      </c>
      <c r="AL24" s="254">
        <f>'20'!$G$123</f>
        <v>263.70999999999185</v>
      </c>
      <c r="AM24" s="254">
        <f>'20'!$G$133</f>
        <v>672.27000000000407</v>
      </c>
      <c r="AN24" s="254">
        <f>'20'!$G$15</f>
        <v>1045.6000000000931</v>
      </c>
      <c r="AO24" s="256">
        <f>'20'!$G$74</f>
        <v>290.11999999999534</v>
      </c>
      <c r="AP24" s="256">
        <f>'20'!$G$75</f>
        <v>0</v>
      </c>
      <c r="AQ24" s="256">
        <f>'20'!$G$76</f>
        <v>102.04999999998836</v>
      </c>
      <c r="AR24" s="256">
        <f>'20'!$G$77</f>
        <v>46.19999999999709</v>
      </c>
      <c r="AS24" s="256">
        <f>'20'!$G$78</f>
        <v>0.1000000000003638</v>
      </c>
      <c r="AT24" s="256">
        <f t="shared" si="0"/>
        <v>607.13000000011198</v>
      </c>
      <c r="AU24" s="254">
        <f>SUM('20'!G91:G92)</f>
        <v>11.0300000000002</v>
      </c>
      <c r="AV24" s="254">
        <f>'20'!$G$88</f>
        <v>-2.0000000000436557E-2</v>
      </c>
      <c r="AW24" s="254">
        <f>'20'!$G$89</f>
        <v>10.229999999999563</v>
      </c>
      <c r="AX24" s="254">
        <f>'20'!$G$90</f>
        <v>5.5200000000040745</v>
      </c>
      <c r="AY24" s="252">
        <f t="shared" si="1"/>
        <v>15.730000000003201</v>
      </c>
      <c r="AZ24" s="311">
        <f t="shared" si="6"/>
        <v>26.30281051677154</v>
      </c>
      <c r="BA24" s="311">
        <f t="shared" si="3"/>
        <v>38.596948506038679</v>
      </c>
      <c r="BB24" s="351">
        <f t="shared" si="4"/>
        <v>4094.3300000000054</v>
      </c>
      <c r="BC24" s="351">
        <f t="shared" si="5"/>
        <v>19.870681120200679</v>
      </c>
    </row>
    <row r="25" spans="1:55" x14ac:dyDescent="0.2">
      <c r="A25" s="359">
        <v>21</v>
      </c>
      <c r="B25" s="642">
        <f>'21'!G7</f>
        <v>20796.869999999995</v>
      </c>
      <c r="C25" s="642">
        <f>'21'!G8</f>
        <v>20905.690000000002</v>
      </c>
      <c r="D25" s="642">
        <f>'21'!G15</f>
        <v>1175.1399999998976</v>
      </c>
      <c r="E25" s="642">
        <f>'21'!G20</f>
        <v>265</v>
      </c>
      <c r="F25" s="642">
        <f>SUM('21'!G35,'21'!G49)</f>
        <v>2997.7200000000012</v>
      </c>
      <c r="G25" s="642">
        <f>SUM('21'!G37,'21'!G51)</f>
        <v>1643.6000000000058</v>
      </c>
      <c r="H25" s="642">
        <f>SUM('21'!G38,'21'!G52)</f>
        <v>2100.8399999999965</v>
      </c>
      <c r="I25" s="642">
        <f>SUM('21'!G39,'21'!G53)</f>
        <v>3097.5</v>
      </c>
      <c r="J25" s="642">
        <f>SUM('21'!G41,'21'!G42,'21'!G55,'21'!G56)</f>
        <v>4398.070000000007</v>
      </c>
      <c r="K25" s="642">
        <f>SUM('21'!G43,'21'!G57)</f>
        <v>2091.7699999999895</v>
      </c>
      <c r="L25" s="254">
        <f>'21'!G50</f>
        <v>1372.5900000000111</v>
      </c>
      <c r="M25" s="254">
        <f>'21'!G36</f>
        <v>1029.6699999999983</v>
      </c>
      <c r="N25" s="254">
        <f>'21'!G138</f>
        <v>106</v>
      </c>
      <c r="O25" s="254">
        <f>'21'!$G$139</f>
        <v>1</v>
      </c>
      <c r="P25" s="254">
        <f>'21'!$G$140</f>
        <v>1.0100000000093132</v>
      </c>
      <c r="Q25" s="254">
        <f>'21'!$G$141</f>
        <v>170.79000000000087</v>
      </c>
      <c r="R25" s="254">
        <f>'21'!$G$142</f>
        <v>62.5</v>
      </c>
      <c r="S25" s="254">
        <f>'21'!$G$145</f>
        <v>14.510000000000218</v>
      </c>
      <c r="T25" s="251">
        <f>'21'!$G$146</f>
        <v>516</v>
      </c>
      <c r="U25" s="251">
        <f>'21'!$G$144</f>
        <v>193</v>
      </c>
      <c r="V25" s="251">
        <f>'21'!$G$147</f>
        <v>372.92000000004191</v>
      </c>
      <c r="W25" s="251">
        <f>'21'!$G$148</f>
        <v>315.19999999995343</v>
      </c>
      <c r="X25" s="251">
        <f>'21'!$G$143</f>
        <v>24.059999999999491</v>
      </c>
      <c r="Y25" s="251">
        <f>'21'!$G$58</f>
        <v>271.70000000000073</v>
      </c>
      <c r="Z25" s="251">
        <f>'21'!$G$151</f>
        <v>247</v>
      </c>
      <c r="AA25" s="251">
        <f>'21'!G161</f>
        <v>13.92000000004191</v>
      </c>
      <c r="AB25" s="251">
        <f>'21'!G162</f>
        <v>37.69999999999709</v>
      </c>
      <c r="AC25" s="251">
        <f>'21'!G88</f>
        <v>9</v>
      </c>
      <c r="AD25" s="251">
        <f>'21'!G163+'21'!G164</f>
        <v>45.900000000003274</v>
      </c>
      <c r="AE25" s="254">
        <f>'21'!$G$116</f>
        <v>423.67999999999938</v>
      </c>
      <c r="AF25" s="254">
        <f>'21'!$G$117</f>
        <v>178.26999999999953</v>
      </c>
      <c r="AG25" s="254">
        <f>'21'!$G$118</f>
        <v>372.77999999999884</v>
      </c>
      <c r="AH25" s="254">
        <f>'21'!$G$119</f>
        <v>431.82000000000698</v>
      </c>
      <c r="AI25" s="254">
        <f>'21'!$G$120</f>
        <v>430.31999999999971</v>
      </c>
      <c r="AJ25" s="254">
        <f>'21'!$G$121</f>
        <v>809.40000000002328</v>
      </c>
      <c r="AK25" s="254">
        <f>'21'!$G$122</f>
        <v>242.43999999998778</v>
      </c>
      <c r="AL25" s="254">
        <f>'21'!$G$123</f>
        <v>267.88000000000466</v>
      </c>
      <c r="AM25" s="254">
        <f>'21'!$G$133</f>
        <v>673.89999999999418</v>
      </c>
      <c r="AN25" s="254">
        <f>'21'!$G$15</f>
        <v>1175.1399999998976</v>
      </c>
      <c r="AO25" s="256">
        <f>'21'!$G$74</f>
        <v>272.14000000001397</v>
      </c>
      <c r="AP25" s="256">
        <f>'21'!$G$75</f>
        <v>0</v>
      </c>
      <c r="AQ25" s="256">
        <f>'21'!$G$76</f>
        <v>94.869999999995343</v>
      </c>
      <c r="AR25" s="256">
        <f>'21'!$G$77</f>
        <v>33.099999999998545</v>
      </c>
      <c r="AS25" s="256">
        <f>'21'!$G$78</f>
        <v>1</v>
      </c>
      <c r="AT25" s="256">
        <f t="shared" si="0"/>
        <v>774.0299999998897</v>
      </c>
      <c r="AU25" s="254">
        <f>SUM('21'!G91:G92)</f>
        <v>10.039999999999964</v>
      </c>
      <c r="AV25" s="254">
        <f>'21'!$G$88</f>
        <v>9</v>
      </c>
      <c r="AW25" s="254">
        <f>'21'!$G$89</f>
        <v>3.2900000000008731</v>
      </c>
      <c r="AX25" s="254">
        <f>'21'!$G$90</f>
        <v>8.7099999999918509</v>
      </c>
      <c r="AY25" s="252">
        <f t="shared" si="1"/>
        <v>20.999999999992724</v>
      </c>
      <c r="AZ25" s="311">
        <f t="shared" si="6"/>
        <v>27.105577689244516</v>
      </c>
      <c r="BA25" s="311">
        <f t="shared" si="3"/>
        <v>36.858571428578948</v>
      </c>
      <c r="BB25" s="351">
        <f t="shared" si="4"/>
        <v>4304.4900000000016</v>
      </c>
      <c r="BC25" s="351">
        <f t="shared" si="5"/>
        <v>20.697778079105184</v>
      </c>
    </row>
    <row r="26" spans="1:55" x14ac:dyDescent="0.2">
      <c r="A26" s="359">
        <v>22</v>
      </c>
      <c r="B26" s="642">
        <f>'22'!G7</f>
        <v>20635</v>
      </c>
      <c r="C26" s="642">
        <f>'22'!G8</f>
        <v>20737.679999999993</v>
      </c>
      <c r="D26" s="642">
        <f>'22'!G15</f>
        <v>1110.8900000001304</v>
      </c>
      <c r="E26" s="642">
        <f>'22'!G20</f>
        <v>243</v>
      </c>
      <c r="F26" s="642">
        <f>SUM('22'!G35,'22'!G49)</f>
        <v>2910.7799999999916</v>
      </c>
      <c r="G26" s="642">
        <f>SUM('22'!G37,'22'!G51)</f>
        <v>1629.0800000000017</v>
      </c>
      <c r="H26" s="642">
        <f>SUM('22'!G38,'22'!G52)</f>
        <v>2167.5400000000081</v>
      </c>
      <c r="I26" s="642">
        <f>SUM('22'!G39,'22'!G53)</f>
        <v>3093.4600000000064</v>
      </c>
      <c r="J26" s="642">
        <f>SUM('22'!G41,'22'!G42,'22'!G55,'22'!G56)</f>
        <v>4438.4200000000128</v>
      </c>
      <c r="K26" s="642">
        <f>SUM('22'!G43,'22'!G57)</f>
        <v>2091.4500000000116</v>
      </c>
      <c r="L26" s="254">
        <f>'22'!G50</f>
        <v>1073.6699999999983</v>
      </c>
      <c r="M26" s="254">
        <f>'22'!G36</f>
        <v>1119.9700000000012</v>
      </c>
      <c r="N26" s="254">
        <f>'22'!G138</f>
        <v>97</v>
      </c>
      <c r="O26" s="254">
        <f>'22'!$G$139</f>
        <v>2</v>
      </c>
      <c r="P26" s="254">
        <f>'22'!$G$140</f>
        <v>1.2199999999866122</v>
      </c>
      <c r="Q26" s="254">
        <f>'22'!$G$141</f>
        <v>191.7699999999968</v>
      </c>
      <c r="R26" s="254">
        <f>'22'!$G$142</f>
        <v>64.610000000000582</v>
      </c>
      <c r="S26" s="254">
        <f>'22'!$G$145</f>
        <v>17.219999999999345</v>
      </c>
      <c r="T26" s="251">
        <f>'22'!$G$146</f>
        <v>445</v>
      </c>
      <c r="U26" s="251">
        <f>'22'!$G$144</f>
        <v>201</v>
      </c>
      <c r="V26" s="251">
        <f>'22'!$G$147</f>
        <v>352.11999999999534</v>
      </c>
      <c r="W26" s="251">
        <f>'22'!$G$148</f>
        <v>319.43999999994412</v>
      </c>
      <c r="X26" s="251">
        <f>'22'!$G$143</f>
        <v>27.130000000000109</v>
      </c>
      <c r="Y26" s="251">
        <f>'22'!$G$58</f>
        <v>240.06999999999971</v>
      </c>
      <c r="Z26" s="251">
        <f>'22'!$G$151</f>
        <v>252</v>
      </c>
      <c r="AA26" s="251">
        <f>'22'!G161</f>
        <v>16.639999999955762</v>
      </c>
      <c r="AB26" s="251">
        <f>'22'!G162</f>
        <v>38.600000000005821</v>
      </c>
      <c r="AC26" s="251">
        <f>'22'!G88</f>
        <v>0.46000000000276486</v>
      </c>
      <c r="AD26" s="251">
        <f>'22'!G163+'22'!G164</f>
        <v>34.099999999991269</v>
      </c>
      <c r="AE26" s="254">
        <f>'22'!$G$116</f>
        <v>469.53000000000065</v>
      </c>
      <c r="AF26" s="254">
        <f>'22'!$G$117</f>
        <v>163.64000000000033</v>
      </c>
      <c r="AG26" s="254">
        <f>'22'!$G$118</f>
        <v>366.32000000000698</v>
      </c>
      <c r="AH26" s="254">
        <f>'22'!$G$119</f>
        <v>441.38000000000466</v>
      </c>
      <c r="AI26" s="254">
        <f>'22'!$G$120</f>
        <v>432.09999999999854</v>
      </c>
      <c r="AJ26" s="254">
        <f>'22'!$G$121</f>
        <v>786.88000000000466</v>
      </c>
      <c r="AK26" s="254">
        <f>'22'!$G$122</f>
        <v>232.2899999999936</v>
      </c>
      <c r="AL26" s="254">
        <f>'22'!$G$123</f>
        <v>261.5800000000163</v>
      </c>
      <c r="AM26" s="254">
        <f>'22'!$G$133</f>
        <v>666.86999999999534</v>
      </c>
      <c r="AN26" s="254">
        <f>'22'!$G$15</f>
        <v>1110.8900000001304</v>
      </c>
      <c r="AO26" s="256">
        <f>'22'!$G$74</f>
        <v>298.35999999998603</v>
      </c>
      <c r="AP26" s="256">
        <f>'22'!$G$75</f>
        <v>0</v>
      </c>
      <c r="AQ26" s="256">
        <f>'22'!$G$76</f>
        <v>100.16000000000349</v>
      </c>
      <c r="AR26" s="256">
        <f>'22'!$G$77</f>
        <v>40.099999999998545</v>
      </c>
      <c r="AS26" s="256">
        <f>'22'!$G$78</f>
        <v>1.2999999999992724</v>
      </c>
      <c r="AT26" s="256">
        <f t="shared" si="0"/>
        <v>670.97000000014305</v>
      </c>
      <c r="AU26" s="254">
        <f>SUM('22'!G91:G92)</f>
        <v>11</v>
      </c>
      <c r="AV26" s="254">
        <f>'22'!$G$88</f>
        <v>0.46000000000276486</v>
      </c>
      <c r="AW26" s="254">
        <f>'22'!$G$89</f>
        <v>11.06000000000131</v>
      </c>
      <c r="AX26" s="254">
        <f>'22'!$G$90</f>
        <v>6.8200000000069849</v>
      </c>
      <c r="AY26" s="252">
        <f t="shared" si="1"/>
        <v>18.340000000011059</v>
      </c>
      <c r="AZ26" s="311">
        <f t="shared" si="6"/>
        <v>27.123636363635093</v>
      </c>
      <c r="BA26" s="311">
        <f t="shared" si="3"/>
        <v>36.585059978175487</v>
      </c>
      <c r="BB26" s="351">
        <f t="shared" si="4"/>
        <v>4166.879999999961</v>
      </c>
      <c r="BC26" s="351">
        <f t="shared" si="5"/>
        <v>20.193263872061841</v>
      </c>
    </row>
    <row r="27" spans="1:55" x14ac:dyDescent="0.2">
      <c r="A27" s="359">
        <v>23</v>
      </c>
      <c r="B27" s="642">
        <f>'23'!G7</f>
        <v>20710.600000000006</v>
      </c>
      <c r="C27" s="642">
        <f>'23'!G8</f>
        <v>20890.850000000006</v>
      </c>
      <c r="D27" s="642">
        <f>'23'!G15</f>
        <v>1061.1999999999534</v>
      </c>
      <c r="E27" s="642">
        <f>'23'!G20</f>
        <v>315</v>
      </c>
      <c r="F27" s="642">
        <f>SUM('23'!G35,'23'!G49)</f>
        <v>2982.0600000000049</v>
      </c>
      <c r="G27" s="642">
        <f>SUM('23'!G37,'23'!G51)</f>
        <v>1629.7299999999959</v>
      </c>
      <c r="H27" s="642">
        <f>SUM('23'!G38,'23'!G52)</f>
        <v>2162.0299999999988</v>
      </c>
      <c r="I27" s="642">
        <f>SUM('23'!G39,'23'!G53)</f>
        <v>3147.0399999999936</v>
      </c>
      <c r="J27" s="642">
        <f>SUM('23'!G41,'23'!G42,'23'!G55,'23'!G56)</f>
        <v>3349.9099999999944</v>
      </c>
      <c r="K27" s="642">
        <f>SUM('23'!G43,'23'!G57)</f>
        <v>2083.1900000000023</v>
      </c>
      <c r="L27" s="254">
        <f>'23'!G50</f>
        <v>943.83999999999651</v>
      </c>
      <c r="M27" s="254">
        <f>'23'!G36</f>
        <v>1145.5999999999985</v>
      </c>
      <c r="N27" s="254">
        <f>'23'!G138</f>
        <v>110</v>
      </c>
      <c r="O27" s="254">
        <f>'23'!G139</f>
        <v>1</v>
      </c>
      <c r="P27" s="254">
        <f>'23'!$G$140</f>
        <v>1.0700000000069849</v>
      </c>
      <c r="Q27" s="254">
        <f>'23'!$G$141</f>
        <v>179.30000000000291</v>
      </c>
      <c r="R27" s="254">
        <f>'23'!$G$142</f>
        <v>66.840000000000146</v>
      </c>
      <c r="S27" s="254">
        <f>'23'!$G$145</f>
        <v>18.930000000000291</v>
      </c>
      <c r="T27" s="251">
        <f>'23'!$G$146</f>
        <v>471</v>
      </c>
      <c r="U27" s="251">
        <f>'23'!$G$144</f>
        <v>213</v>
      </c>
      <c r="V27" s="251">
        <f>'23'!$G$147</f>
        <v>328.8399999999674</v>
      </c>
      <c r="W27" s="251">
        <f>'23'!$G$148</f>
        <v>300.56000000005588</v>
      </c>
      <c r="X27" s="251">
        <f>'23'!$G$143</f>
        <v>30.5</v>
      </c>
      <c r="Y27" s="251">
        <f>'23'!$G$58</f>
        <v>212.57999999999993</v>
      </c>
      <c r="Z27" s="251">
        <f>'23'!$G$151</f>
        <v>235</v>
      </c>
      <c r="AA27" s="251">
        <f>'23'!$G$161</f>
        <v>20.960000000020955</v>
      </c>
      <c r="AB27" s="251">
        <f>'23'!G162</f>
        <v>35</v>
      </c>
      <c r="AC27" s="251">
        <f>'23'!G88</f>
        <v>-0.22000000000116415</v>
      </c>
      <c r="AD27" s="251">
        <f>'23'!G163+'23'!G164</f>
        <v>121.00000000000273</v>
      </c>
      <c r="AE27" s="254">
        <f>'23'!$G$116</f>
        <v>426.56999999999971</v>
      </c>
      <c r="AF27" s="254">
        <f>'23'!$G$117</f>
        <v>160.57999999999993</v>
      </c>
      <c r="AG27" s="254">
        <f>'23'!$G$118</f>
        <v>455.76999999998952</v>
      </c>
      <c r="AH27" s="254">
        <f>'23'!$G$119</f>
        <v>464.1699999999837</v>
      </c>
      <c r="AI27" s="254">
        <f>'23'!$G$120</f>
        <v>456.15000000000146</v>
      </c>
      <c r="AJ27" s="254">
        <f>'23'!$G$121</f>
        <v>812.84999999997672</v>
      </c>
      <c r="AK27" s="254">
        <f>'23'!$G$122</f>
        <v>259.92000000001281</v>
      </c>
      <c r="AL27" s="254">
        <f>'23'!$G$123</f>
        <v>267.23999999999069</v>
      </c>
      <c r="AM27" s="254">
        <f>'23'!$G$133</f>
        <v>656.52000000000407</v>
      </c>
      <c r="AN27" s="254">
        <f>'23'!$G$15</f>
        <v>1061.1999999999534</v>
      </c>
      <c r="AO27" s="256">
        <f>'23'!$G$74</f>
        <v>277.21999999997206</v>
      </c>
      <c r="AP27" s="256">
        <f>'23'!$G$75</f>
        <v>0</v>
      </c>
      <c r="AQ27" s="256">
        <f>'23'!$G$76</f>
        <v>109</v>
      </c>
      <c r="AR27" s="256">
        <f>'23'!$G$77</f>
        <v>37.80000000000291</v>
      </c>
      <c r="AS27" s="256">
        <f>'23'!$G$78</f>
        <v>0.7000000000007276</v>
      </c>
      <c r="AT27" s="256">
        <f t="shared" si="0"/>
        <v>636.47999999997774</v>
      </c>
      <c r="AU27" s="254">
        <f>SUM('23'!G91:G92)</f>
        <v>10.289999999999964</v>
      </c>
      <c r="AV27" s="254">
        <f>'23'!$G$88</f>
        <v>-0.22000000000116415</v>
      </c>
      <c r="AW27" s="254">
        <f>'23'!$G$89</f>
        <v>10.509999999998399</v>
      </c>
      <c r="AX27" s="254">
        <f>'23'!$G$90</f>
        <v>6.9499999999970896</v>
      </c>
      <c r="AY27" s="252">
        <f t="shared" si="1"/>
        <v>17.239999999994325</v>
      </c>
      <c r="AZ27" s="311">
        <f t="shared" si="6"/>
        <v>26.940719144798159</v>
      </c>
      <c r="BA27" s="311">
        <f t="shared" si="3"/>
        <v>36.918793503491138</v>
      </c>
      <c r="BB27" s="351">
        <f t="shared" si="4"/>
        <v>5324.3100000000159</v>
      </c>
      <c r="BC27" s="351">
        <f t="shared" si="5"/>
        <v>25.708139793149471</v>
      </c>
    </row>
    <row r="28" spans="1:55" s="315" customFormat="1" x14ac:dyDescent="0.2">
      <c r="A28" s="359">
        <v>24</v>
      </c>
      <c r="B28" s="642">
        <f>'24'!G7</f>
        <v>21451</v>
      </c>
      <c r="C28" s="642">
        <f>'24'!G8</f>
        <v>21762</v>
      </c>
      <c r="D28" s="642">
        <f>'24'!G15</f>
        <v>1141</v>
      </c>
      <c r="E28" s="642">
        <f>'24'!G20</f>
        <v>274</v>
      </c>
      <c r="F28" s="642">
        <f>SUM('24'!G35,'24'!G49)</f>
        <v>3058</v>
      </c>
      <c r="G28" s="642">
        <f>SUM('24'!G37,'24'!G51)</f>
        <v>1635</v>
      </c>
      <c r="H28" s="642">
        <f>SUM('24'!G38,'24'!G52)</f>
        <v>2289</v>
      </c>
      <c r="I28" s="642">
        <f>SUM('24'!G39,'24'!G53)</f>
        <v>3236</v>
      </c>
      <c r="J28" s="642">
        <f>SUM('24'!G41,'24'!G42,'24'!G55,'24'!G56)</f>
        <v>3259</v>
      </c>
      <c r="K28" s="642">
        <f>SUM('24'!G43,'24'!G57)</f>
        <v>2090</v>
      </c>
      <c r="L28" s="254">
        <f>'24'!G50</f>
        <v>1040</v>
      </c>
      <c r="M28" s="251">
        <f>'24'!G36</f>
        <v>1020</v>
      </c>
      <c r="N28" s="251">
        <f>'24'!G138</f>
        <v>134</v>
      </c>
      <c r="O28" s="251">
        <f>'24'!G139</f>
        <v>3</v>
      </c>
      <c r="P28" s="251">
        <f>'24'!$G$140</f>
        <v>1</v>
      </c>
      <c r="Q28" s="251">
        <f>'24'!$G$141</f>
        <v>178</v>
      </c>
      <c r="R28" s="251">
        <f>'24'!$G$142</f>
        <v>67</v>
      </c>
      <c r="S28" s="251">
        <f>'24'!$G$145</f>
        <v>17</v>
      </c>
      <c r="T28" s="251">
        <f>'24'!$G$146</f>
        <v>493</v>
      </c>
      <c r="U28" s="251">
        <f>'24'!$G$144</f>
        <v>224</v>
      </c>
      <c r="V28" s="251">
        <f>'24'!$G$147</f>
        <v>416</v>
      </c>
      <c r="W28" s="251">
        <f>'24'!$G$148</f>
        <v>347</v>
      </c>
      <c r="X28" s="251">
        <f>'24'!$G$143</f>
        <v>31</v>
      </c>
      <c r="Y28" s="251">
        <f>'24'!$G$58</f>
        <v>219</v>
      </c>
      <c r="Z28" s="251">
        <f>'24'!$G$151</f>
        <v>227</v>
      </c>
      <c r="AA28" s="251">
        <f>'24'!G161</f>
        <v>67</v>
      </c>
      <c r="AB28" s="251">
        <f>'24'!G162</f>
        <v>45</v>
      </c>
      <c r="AC28" s="251">
        <f>'24'!G88</f>
        <v>0</v>
      </c>
      <c r="AD28" s="251">
        <f>'24'!G163+'24'!G164</f>
        <v>140</v>
      </c>
      <c r="AE28" s="251">
        <f>'24'!$G$116</f>
        <v>414</v>
      </c>
      <c r="AF28" s="251">
        <f>'24'!$G$117</f>
        <v>227</v>
      </c>
      <c r="AG28" s="251">
        <f>'24'!$G$118</f>
        <v>480</v>
      </c>
      <c r="AH28" s="251">
        <f>'24'!$G$119</f>
        <v>406</v>
      </c>
      <c r="AI28" s="251">
        <f>'24'!$G$120</f>
        <v>405</v>
      </c>
      <c r="AJ28" s="251">
        <f>'24'!$G$121</f>
        <v>747</v>
      </c>
      <c r="AK28" s="251">
        <f>'24'!$G$122</f>
        <v>229</v>
      </c>
      <c r="AL28" s="251">
        <f>'24'!$G$123</f>
        <v>268</v>
      </c>
      <c r="AM28" s="251">
        <f>'24'!$G$133</f>
        <v>657</v>
      </c>
      <c r="AN28" s="251">
        <f>'24'!$G$15</f>
        <v>1141</v>
      </c>
      <c r="AO28" s="256">
        <f>'24'!$G$74</f>
        <v>289</v>
      </c>
      <c r="AP28" s="256">
        <f>'24'!$G$75</f>
        <v>0</v>
      </c>
      <c r="AQ28" s="256">
        <f>'24'!$G$76</f>
        <v>124</v>
      </c>
      <c r="AR28" s="256">
        <f>'24'!$G$77</f>
        <v>45</v>
      </c>
      <c r="AS28" s="256">
        <f>'24'!$G$78</f>
        <v>1</v>
      </c>
      <c r="AT28" s="256">
        <f>AN28-SUM(AO28:AS28)</f>
        <v>682</v>
      </c>
      <c r="AU28" s="251">
        <f>SUM('24'!G91:G92)</f>
        <v>10.230000000000018</v>
      </c>
      <c r="AV28" s="251">
        <f>'24'!$G$88</f>
        <v>0</v>
      </c>
      <c r="AW28" s="251">
        <f>'24'!$G$89</f>
        <v>11</v>
      </c>
      <c r="AX28" s="251">
        <f>'24'!$G$90</f>
        <v>7</v>
      </c>
      <c r="AY28" s="255">
        <f t="shared" si="1"/>
        <v>18</v>
      </c>
      <c r="AZ28" s="311">
        <f t="shared" si="6"/>
        <v>28.250244379276587</v>
      </c>
      <c r="BA28" s="311">
        <f t="shared" si="3"/>
        <v>37.888888888888886</v>
      </c>
      <c r="BB28" s="351">
        <f t="shared" si="4"/>
        <v>5976</v>
      </c>
      <c r="BC28" s="351">
        <f t="shared" si="5"/>
        <v>27.858841079669947</v>
      </c>
    </row>
    <row r="29" spans="1:55" x14ac:dyDescent="0.2">
      <c r="A29" s="359">
        <v>25</v>
      </c>
      <c r="B29" s="642">
        <f>'25'!G7</f>
        <v>21634</v>
      </c>
      <c r="C29" s="642">
        <f>'25'!G8</f>
        <v>21934</v>
      </c>
      <c r="D29" s="642">
        <f>'25'!G15</f>
        <v>1157</v>
      </c>
      <c r="E29" s="642">
        <f>'25'!G20</f>
        <v>233</v>
      </c>
      <c r="F29" s="642">
        <f>SUM('25'!G35,'25'!G49)</f>
        <v>2958</v>
      </c>
      <c r="G29" s="642">
        <f>SUM('25'!G37,'25'!G51)</f>
        <v>1625</v>
      </c>
      <c r="H29" s="642">
        <f>SUM('25'!G38,'25'!G52)</f>
        <v>2115</v>
      </c>
      <c r="I29" s="642">
        <f>SUM('25'!G39,'25'!G53)</f>
        <v>3213</v>
      </c>
      <c r="J29" s="642">
        <f>SUM('25'!G41,'25'!G42,'25'!G55,'25'!G56)</f>
        <v>3132</v>
      </c>
      <c r="K29" s="642">
        <f>SUM('25'!G43,'25'!G57)</f>
        <v>2090</v>
      </c>
      <c r="L29" s="254">
        <f>'25'!G50</f>
        <v>1348</v>
      </c>
      <c r="M29" s="254">
        <f>'25'!G36</f>
        <v>1101</v>
      </c>
      <c r="N29" s="254">
        <f>'25'!G138</f>
        <v>163</v>
      </c>
      <c r="O29" s="254">
        <f>'25'!$G$139</f>
        <v>7</v>
      </c>
      <c r="P29" s="254">
        <f>'25'!$G$140</f>
        <v>1</v>
      </c>
      <c r="Q29" s="254">
        <f>'25'!$G$141</f>
        <v>185</v>
      </c>
      <c r="R29" s="254">
        <f>'25'!$G$142</f>
        <v>66</v>
      </c>
      <c r="S29" s="254">
        <f>'25'!$G$145</f>
        <v>14</v>
      </c>
      <c r="T29" s="251">
        <f>'25'!$G$146</f>
        <v>492</v>
      </c>
      <c r="U29" s="251">
        <f>'25'!$G$144</f>
        <v>229</v>
      </c>
      <c r="V29" s="251">
        <f>'25'!$G$147</f>
        <v>414</v>
      </c>
      <c r="W29" s="251">
        <f>'25'!$G$148</f>
        <v>413</v>
      </c>
      <c r="X29" s="251">
        <f>'25'!$G$143</f>
        <v>29</v>
      </c>
      <c r="Y29" s="251">
        <f>'25'!$G$58</f>
        <v>235</v>
      </c>
      <c r="Z29" s="251">
        <f>'25'!$G$151</f>
        <v>231</v>
      </c>
      <c r="AA29" s="251">
        <f>'25'!G161</f>
        <v>22</v>
      </c>
      <c r="AB29" s="251">
        <f>'25'!G162</f>
        <v>42</v>
      </c>
      <c r="AC29" s="251">
        <f>'25'!G88</f>
        <v>0</v>
      </c>
      <c r="AD29" s="251">
        <f>'25'!G163+'25'!G164</f>
        <v>144</v>
      </c>
      <c r="AE29" s="254">
        <f>'25'!$G$116</f>
        <v>410</v>
      </c>
      <c r="AF29" s="254">
        <f>'25'!$G$117</f>
        <v>189</v>
      </c>
      <c r="AG29" s="254">
        <f>'25'!$G$118</f>
        <v>476</v>
      </c>
      <c r="AH29" s="254">
        <f>'25'!$G$119</f>
        <v>437</v>
      </c>
      <c r="AI29" s="254">
        <f>'25'!$G$120</f>
        <v>452</v>
      </c>
      <c r="AJ29" s="254">
        <f>'25'!$G$121</f>
        <v>794</v>
      </c>
      <c r="AK29" s="254">
        <f>'25'!$G$122</f>
        <v>234</v>
      </c>
      <c r="AL29" s="254">
        <f>'25'!$G$123</f>
        <v>277</v>
      </c>
      <c r="AM29" s="254">
        <f>'25'!$G$133</f>
        <v>660</v>
      </c>
      <c r="AN29" s="254">
        <f>'25'!$G$15</f>
        <v>1157</v>
      </c>
      <c r="AO29" s="256">
        <f>'25'!$G$74</f>
        <v>337</v>
      </c>
      <c r="AP29" s="256">
        <f>'25'!$G$75</f>
        <v>0</v>
      </c>
      <c r="AQ29" s="256">
        <f>'25'!$G$76</f>
        <v>114</v>
      </c>
      <c r="AR29" s="256">
        <f>'25'!$G$77</f>
        <v>60</v>
      </c>
      <c r="AS29" s="256">
        <f>'25'!$G$78</f>
        <v>2</v>
      </c>
      <c r="AT29" s="256">
        <f t="shared" si="0"/>
        <v>644</v>
      </c>
      <c r="AU29" s="254">
        <f>SUM('25'!G91:G92)</f>
        <v>12.75</v>
      </c>
      <c r="AV29" s="254">
        <f>'25'!$G$88</f>
        <v>0</v>
      </c>
      <c r="AW29" s="254">
        <f>'25'!$G$89</f>
        <v>10</v>
      </c>
      <c r="AX29" s="254">
        <f>'25'!$G$90</f>
        <v>7</v>
      </c>
      <c r="AY29" s="252">
        <f t="shared" si="1"/>
        <v>17</v>
      </c>
      <c r="BA29" s="311">
        <f t="shared" si="3"/>
        <v>37.882352941176471</v>
      </c>
      <c r="BB29" s="351">
        <f t="shared" si="4"/>
        <v>6566</v>
      </c>
      <c r="BC29" s="351">
        <f t="shared" si="5"/>
        <v>30.350374410649902</v>
      </c>
    </row>
    <row r="30" spans="1:55" x14ac:dyDescent="0.2">
      <c r="A30" s="359">
        <v>26</v>
      </c>
      <c r="B30" s="642">
        <f>'26'!G7</f>
        <v>20716</v>
      </c>
      <c r="C30" s="642">
        <f>'26'!G8</f>
        <v>20998</v>
      </c>
      <c r="D30" s="642">
        <f>'26'!G15</f>
        <v>1096</v>
      </c>
      <c r="E30" s="642">
        <f>'26'!G20</f>
        <v>315</v>
      </c>
      <c r="F30" s="642">
        <f>SUM('26'!G35,'26'!G49)</f>
        <v>3059</v>
      </c>
      <c r="G30" s="642">
        <f>SUM('26'!G37,'26'!G51)</f>
        <v>1650</v>
      </c>
      <c r="H30" s="642">
        <f>SUM('26'!G38,'26'!G52)</f>
        <v>2135</v>
      </c>
      <c r="I30" s="642">
        <f>SUM('26'!G39,'26'!G53)</f>
        <v>3217</v>
      </c>
      <c r="J30" s="642">
        <f>SUM('26'!G41,'26'!G42,'26'!G55,'26'!G56)</f>
        <v>2872</v>
      </c>
      <c r="K30" s="642">
        <f>SUM('26'!G43,'26'!G57)</f>
        <v>2098</v>
      </c>
      <c r="L30" s="254">
        <f>'26'!G50</f>
        <v>1027</v>
      </c>
      <c r="M30" s="254">
        <f>'26'!G36</f>
        <v>936</v>
      </c>
      <c r="N30" s="254">
        <f>'26'!G138</f>
        <v>166</v>
      </c>
      <c r="O30" s="254">
        <f>'26'!$G$139</f>
        <v>2</v>
      </c>
      <c r="P30" s="254">
        <f>'26'!$G$140</f>
        <v>0</v>
      </c>
      <c r="Q30" s="254">
        <f>'26'!$G$141</f>
        <v>176</v>
      </c>
      <c r="R30" s="254">
        <f>'26'!$G$142</f>
        <v>69</v>
      </c>
      <c r="S30" s="254">
        <f>'26'!$G$145</f>
        <v>17</v>
      </c>
      <c r="T30" s="251">
        <f>'26'!$G$146</f>
        <v>452</v>
      </c>
      <c r="U30" s="251">
        <f>'26'!$G$144</f>
        <v>234</v>
      </c>
      <c r="V30" s="251">
        <f>'26'!$G$147</f>
        <v>375</v>
      </c>
      <c r="W30" s="251">
        <f>'26'!$G$148</f>
        <v>224</v>
      </c>
      <c r="X30" s="251">
        <f>'26'!$G$143</f>
        <v>25</v>
      </c>
      <c r="Y30" s="251">
        <f>'26'!$G$58</f>
        <v>244</v>
      </c>
      <c r="Z30" s="251">
        <f>'26'!$G$151</f>
        <v>239</v>
      </c>
      <c r="AA30" s="251">
        <f>'26'!G161</f>
        <v>13</v>
      </c>
      <c r="AB30" s="251">
        <f>'26'!G162</f>
        <v>23</v>
      </c>
      <c r="AC30" s="251">
        <f>'26'!G88</f>
        <v>0.22000000000116415</v>
      </c>
      <c r="AD30" s="251">
        <f>'26'!G163+'26'!G164</f>
        <v>151</v>
      </c>
      <c r="AE30" s="254">
        <f>'26'!$G$116</f>
        <v>420</v>
      </c>
      <c r="AF30" s="254">
        <f>'26'!$G$117</f>
        <v>197</v>
      </c>
      <c r="AG30" s="254">
        <f>'26'!$G$118</f>
        <v>481</v>
      </c>
      <c r="AH30" s="254">
        <f>'26'!$G$119</f>
        <v>454</v>
      </c>
      <c r="AI30" s="254">
        <f>'26'!$G$120</f>
        <v>470</v>
      </c>
      <c r="AJ30" s="254">
        <f>'26'!$G$121</f>
        <v>788</v>
      </c>
      <c r="AK30" s="254">
        <f>'26'!$G$122</f>
        <v>221</v>
      </c>
      <c r="AL30" s="254">
        <f>'26'!$G$123</f>
        <v>284</v>
      </c>
      <c r="AM30" s="254">
        <f>'26'!$G$133</f>
        <v>671</v>
      </c>
      <c r="AN30" s="254">
        <f>'26'!$G$15</f>
        <v>1096</v>
      </c>
      <c r="AO30" s="256">
        <f>'26'!$G$74</f>
        <v>329</v>
      </c>
      <c r="AP30" s="256">
        <f>'26'!$G$75</f>
        <v>0</v>
      </c>
      <c r="AQ30" s="256">
        <f>'26'!$G$76</f>
        <v>92</v>
      </c>
      <c r="AR30" s="256">
        <f>'26'!$G$77</f>
        <v>50</v>
      </c>
      <c r="AS30" s="256">
        <f>'26'!$G$78</f>
        <v>2</v>
      </c>
      <c r="AT30" s="256">
        <f t="shared" si="0"/>
        <v>623</v>
      </c>
      <c r="AU30" s="254">
        <f>SUM('26'!G91:G92)</f>
        <v>12.050000000000182</v>
      </c>
      <c r="AV30" s="254">
        <f>'26'!$G$88</f>
        <v>0.22000000000116415</v>
      </c>
      <c r="AW30" s="254">
        <f>'26'!$G$89</f>
        <v>10.68999999999869</v>
      </c>
      <c r="AX30" s="254">
        <f>'26'!$G$90</f>
        <v>7.6300000000046566</v>
      </c>
      <c r="AY30" s="252">
        <f t="shared" si="1"/>
        <v>18.540000000004511</v>
      </c>
      <c r="BA30" s="311">
        <f t="shared" si="3"/>
        <v>33.603020496216203</v>
      </c>
      <c r="BB30" s="351">
        <f t="shared" si="4"/>
        <v>5723</v>
      </c>
      <c r="BC30" s="351">
        <f t="shared" si="5"/>
        <v>27.625989573276694</v>
      </c>
    </row>
    <row r="31" spans="1:55" x14ac:dyDescent="0.2">
      <c r="A31" s="359">
        <v>27</v>
      </c>
      <c r="B31" s="642">
        <f>'27'!G7</f>
        <v>18836</v>
      </c>
      <c r="C31" s="642">
        <f>'27'!G8</f>
        <v>19054</v>
      </c>
      <c r="D31" s="642">
        <f>'27'!G15</f>
        <v>1097</v>
      </c>
      <c r="E31" s="642">
        <f>'27'!G20</f>
        <v>310</v>
      </c>
      <c r="F31" s="642">
        <f>SUM('27'!G35,'27'!G49)</f>
        <v>2816</v>
      </c>
      <c r="G31" s="642">
        <f>SUM('27'!G37,'27'!G51)</f>
        <v>1620</v>
      </c>
      <c r="H31" s="642">
        <f>SUM('27'!G38,'27'!G52)</f>
        <v>2095</v>
      </c>
      <c r="I31" s="642">
        <f>SUM('27'!G39,'27'!G53)</f>
        <v>3029</v>
      </c>
      <c r="J31" s="642">
        <f>SUM('27'!G41,'27'!G42,'27'!G55,'27'!G56)</f>
        <v>2609</v>
      </c>
      <c r="K31" s="642">
        <f>SUM('27'!G43,'27'!G57)</f>
        <v>2201</v>
      </c>
      <c r="L31" s="254">
        <f>'27'!G50</f>
        <v>965</v>
      </c>
      <c r="M31" s="254">
        <f>'27'!G36</f>
        <v>804</v>
      </c>
      <c r="N31" s="254">
        <f>'27'!G138</f>
        <v>188</v>
      </c>
      <c r="O31" s="254">
        <f>'27'!$G$139</f>
        <v>0</v>
      </c>
      <c r="P31" s="254">
        <f>'27'!$G$140</f>
        <v>0</v>
      </c>
      <c r="Q31" s="254">
        <f>'27'!$G$141</f>
        <v>189</v>
      </c>
      <c r="R31" s="254">
        <f>'27'!$G$142</f>
        <v>68</v>
      </c>
      <c r="S31" s="254">
        <f>'27'!$G$145</f>
        <v>20</v>
      </c>
      <c r="T31" s="251">
        <f>'27'!$G$146</f>
        <v>451</v>
      </c>
      <c r="U31" s="251">
        <f>'27'!$G$144</f>
        <v>235</v>
      </c>
      <c r="V31" s="251">
        <f>'27'!$G$147</f>
        <v>353</v>
      </c>
      <c r="W31" s="251">
        <f>'27'!$G$148</f>
        <v>309</v>
      </c>
      <c r="X31" s="251">
        <f>'27'!$G$143</f>
        <v>27</v>
      </c>
      <c r="Y31" s="251">
        <f>'27'!$G$58</f>
        <v>213</v>
      </c>
      <c r="Z31" s="251">
        <f>'27'!$G$151</f>
        <v>237</v>
      </c>
      <c r="AA31" s="251">
        <f>'27'!G161</f>
        <v>17</v>
      </c>
      <c r="AB31" s="251">
        <f>'27'!G162</f>
        <v>17</v>
      </c>
      <c r="AC31" s="251">
        <f>'27'!G88</f>
        <v>0</v>
      </c>
      <c r="AD31" s="251">
        <f>'27'!G163+'27'!G164</f>
        <v>131</v>
      </c>
      <c r="AE31" s="254">
        <f>'27'!$G$116</f>
        <v>360</v>
      </c>
      <c r="AF31" s="254">
        <f>'27'!$G$117</f>
        <v>194</v>
      </c>
      <c r="AG31" s="254">
        <f>'27'!$G$118</f>
        <v>445</v>
      </c>
      <c r="AH31" s="254">
        <f>'27'!$G$119</f>
        <v>411</v>
      </c>
      <c r="AI31" s="254">
        <f>'27'!$G$120</f>
        <v>406</v>
      </c>
      <c r="AJ31" s="254">
        <f>'27'!$G$121</f>
        <v>736</v>
      </c>
      <c r="AK31" s="254">
        <f>'27'!$G$122</f>
        <v>177</v>
      </c>
      <c r="AL31" s="254">
        <f>'27'!$G$123</f>
        <v>263</v>
      </c>
      <c r="AM31" s="254">
        <f>'27'!$G$133</f>
        <v>647</v>
      </c>
      <c r="AN31" s="254">
        <f>'27'!$G$15</f>
        <v>1097</v>
      </c>
      <c r="AO31" s="254">
        <f>'27'!$G$74</f>
        <v>334</v>
      </c>
      <c r="AP31" s="254">
        <f>'27'!$G$75</f>
        <v>0</v>
      </c>
      <c r="AQ31" s="254">
        <f>'27'!$G$76</f>
        <v>90</v>
      </c>
      <c r="AR31" s="254">
        <f>'27'!$G$77</f>
        <v>45</v>
      </c>
      <c r="AS31" s="254">
        <f>'27'!$G$78</f>
        <v>1</v>
      </c>
      <c r="AT31" s="254">
        <f t="shared" si="0"/>
        <v>627</v>
      </c>
      <c r="AU31" s="254">
        <f>SUM('27'!G91:G92)</f>
        <v>12.269999999999982</v>
      </c>
      <c r="AV31" s="254">
        <f>'27'!$G$88</f>
        <v>0</v>
      </c>
      <c r="AW31" s="254">
        <f>'27'!$G$89</f>
        <v>10.229999999999563</v>
      </c>
      <c r="AX31" s="254">
        <f>'27'!$G$90</f>
        <v>7.1299999999901047</v>
      </c>
      <c r="AY31" s="252">
        <f t="shared" si="1"/>
        <v>17.359999999989668</v>
      </c>
      <c r="BA31" s="311">
        <f t="shared" si="3"/>
        <v>36.117511520758825</v>
      </c>
      <c r="BB31" s="351">
        <f t="shared" si="4"/>
        <v>4471</v>
      </c>
      <c r="BC31" s="351">
        <f t="shared" si="5"/>
        <v>23.736462093862816</v>
      </c>
    </row>
    <row r="32" spans="1:55" x14ac:dyDescent="0.2">
      <c r="A32" s="359">
        <v>28</v>
      </c>
      <c r="B32" s="642">
        <f>'28'!G7</f>
        <v>29214</v>
      </c>
      <c r="C32" s="642">
        <f>'28'!G8</f>
        <v>20000</v>
      </c>
      <c r="D32" s="642">
        <f>'28'!G15</f>
        <v>1100</v>
      </c>
      <c r="E32" s="642">
        <f>'28'!G20</f>
        <v>-1570</v>
      </c>
      <c r="F32" s="642">
        <f>SUM('28'!G35,'28'!G49)</f>
        <v>-84827</v>
      </c>
      <c r="G32" s="642">
        <f>SUM('28'!G37,'28'!G51)</f>
        <v>-49782</v>
      </c>
      <c r="H32" s="642">
        <f>SUM('28'!G38,'28'!G52)</f>
        <v>-59487</v>
      </c>
      <c r="I32" s="642">
        <f>SUM('28'!G39,'28'!G53)</f>
        <v>-89484</v>
      </c>
      <c r="J32" s="642">
        <f>SUM('28'!G41,'28'!G42,'28'!G55,'28'!G56)</f>
        <v>-119224.45999999999</v>
      </c>
      <c r="K32" s="642">
        <f>SUM('28'!G43,'28'!G57)</f>
        <v>-63154</v>
      </c>
      <c r="L32" s="254">
        <f>'28'!G50</f>
        <v>-35448</v>
      </c>
      <c r="M32" s="254">
        <f>'28'!G36</f>
        <v>-28127</v>
      </c>
      <c r="N32" s="254">
        <f>'28'!G138</f>
        <v>-3049</v>
      </c>
      <c r="O32" s="254">
        <f>'28'!$G$139</f>
        <v>-128</v>
      </c>
      <c r="P32" s="254">
        <f>'28'!$G$140</f>
        <v>-33</v>
      </c>
      <c r="Q32" s="254">
        <f>'28'!$G$141</f>
        <v>-5371</v>
      </c>
      <c r="R32" s="254">
        <f>'28'!$G$142</f>
        <v>-2072</v>
      </c>
      <c r="S32" s="254">
        <f>'28'!$G$145</f>
        <v>-406</v>
      </c>
      <c r="T32" s="251">
        <f>'28'!$G$146</f>
        <v>-13332</v>
      </c>
      <c r="U32" s="251">
        <f>'28'!$G$144</f>
        <v>-6369</v>
      </c>
      <c r="V32" s="251">
        <f>'28'!$G$147</f>
        <v>-11669</v>
      </c>
      <c r="W32" s="251">
        <f>'28'!$G$148</f>
        <v>-8895</v>
      </c>
      <c r="X32" s="251">
        <f>'28'!$G$143</f>
        <v>-826</v>
      </c>
      <c r="Y32" s="251">
        <f>'28'!$G$58</f>
        <v>-6514</v>
      </c>
      <c r="Z32" s="251">
        <f>'28'!$G$151</f>
        <v>-7352</v>
      </c>
      <c r="AA32" s="251">
        <f>'28'!G161</f>
        <v>-864</v>
      </c>
      <c r="AB32" s="251">
        <f>'28'!G162</f>
        <v>-1048</v>
      </c>
      <c r="AC32" s="251">
        <f>'28'!G88</f>
        <v>-13.790000000000873</v>
      </c>
      <c r="AD32" s="251">
        <f>'28'!G163+'28'!G164</f>
        <v>-2306.1000000000004</v>
      </c>
      <c r="AE32" s="254">
        <f>'28'!$G$116</f>
        <v>-8718</v>
      </c>
      <c r="AF32" s="254">
        <f>'28'!$G$117</f>
        <v>-4485</v>
      </c>
      <c r="AG32" s="254">
        <f>'28'!$G$118</f>
        <v>-11635</v>
      </c>
      <c r="AH32" s="254">
        <f>'28'!$G$119</f>
        <v>-12797</v>
      </c>
      <c r="AI32" s="254">
        <f>'28'!$G$120</f>
        <v>-12864</v>
      </c>
      <c r="AJ32" s="254">
        <f>'28'!$G$121</f>
        <v>-22503</v>
      </c>
      <c r="AK32" s="254">
        <f>'28'!$G$122</f>
        <v>-6638</v>
      </c>
      <c r="AL32" s="254">
        <f>'28'!$G$123</f>
        <v>-7860</v>
      </c>
      <c r="AM32" s="254">
        <f>'28'!$G$133</f>
        <v>-18766</v>
      </c>
      <c r="AN32" s="254">
        <f>'28'!$G$15</f>
        <v>1100</v>
      </c>
      <c r="AO32" s="254">
        <f>'28'!$G$74</f>
        <v>-9093</v>
      </c>
      <c r="AP32" s="254">
        <f>'28'!$G$75</f>
        <v>0</v>
      </c>
      <c r="AQ32" s="254">
        <f>'28'!$G$76</f>
        <v>-3218</v>
      </c>
      <c r="AR32" s="254">
        <f>'28'!$G$77</f>
        <v>-1370</v>
      </c>
      <c r="AS32" s="254">
        <f>'28'!$G$78</f>
        <v>-40</v>
      </c>
      <c r="AT32" s="254">
        <f t="shared" si="0"/>
        <v>14821</v>
      </c>
      <c r="AU32" s="254">
        <f>SUM('28'!G91:G92)</f>
        <v>-8.9200000000000728</v>
      </c>
      <c r="AV32" s="254">
        <f>'28'!$G$88</f>
        <v>-13.790000000000873</v>
      </c>
      <c r="AW32" s="254">
        <f>'28'!$G$89</f>
        <v>-304.23999999999796</v>
      </c>
      <c r="AX32" s="254">
        <f>'28'!$G$90</f>
        <v>-145.61000000000058</v>
      </c>
      <c r="AY32" s="252">
        <f t="shared" si="1"/>
        <v>-463.63999999999942</v>
      </c>
      <c r="BA32" s="311">
        <f t="shared" si="3"/>
        <v>-31.966612026572381</v>
      </c>
      <c r="BB32" s="351">
        <f t="shared" si="4"/>
        <v>492472.45999999996</v>
      </c>
      <c r="BC32" s="351">
        <f t="shared" si="5"/>
        <v>1685.7412884233586</v>
      </c>
    </row>
    <row r="33" spans="1:55" x14ac:dyDescent="0.2">
      <c r="A33" s="359">
        <v>29</v>
      </c>
      <c r="B33" s="642">
        <f>'29'!G7</f>
        <v>22000</v>
      </c>
      <c r="C33" s="642">
        <f>'29'!G8</f>
        <v>20000</v>
      </c>
      <c r="D33" s="642">
        <f>'29'!G15</f>
        <v>1100</v>
      </c>
      <c r="E33" s="642">
        <f>'29'!G20</f>
        <v>312</v>
      </c>
      <c r="F33" s="642">
        <f>SUM('29'!G35,'29'!G49)</f>
        <v>2108</v>
      </c>
      <c r="G33" s="642">
        <f>SUM('29'!G37,'29'!G51)</f>
        <v>1611</v>
      </c>
      <c r="H33" s="642">
        <f>SUM('29'!G38,'29'!G52)</f>
        <v>1750</v>
      </c>
      <c r="I33" s="642">
        <f>SUM('29'!G39,'29'!G53)</f>
        <v>2606</v>
      </c>
      <c r="J33" s="642">
        <f>SUM('29'!G41,'29'!G42,'29'!G55,'29'!G56)</f>
        <v>3572</v>
      </c>
      <c r="K33" s="642">
        <f>SUM('29'!G43,'29'!G57)</f>
        <v>2065</v>
      </c>
      <c r="L33" s="254">
        <f>'29'!G50</f>
        <v>983</v>
      </c>
      <c r="M33" s="254">
        <f>'29'!G36</f>
        <v>695</v>
      </c>
      <c r="N33" s="254">
        <f>'29'!G138</f>
        <v>48</v>
      </c>
      <c r="O33" s="254">
        <f>'29'!$G$139</f>
        <v>0</v>
      </c>
      <c r="P33" s="254">
        <f>'29'!$G$140</f>
        <v>0</v>
      </c>
      <c r="Q33" s="254">
        <f>'29'!$G$141</f>
        <v>185</v>
      </c>
      <c r="R33" s="254">
        <f>'29'!$G$142</f>
        <v>78</v>
      </c>
      <c r="S33" s="254">
        <f>'29'!$G$145</f>
        <v>8</v>
      </c>
      <c r="T33" s="254">
        <f>'29'!$G$146</f>
        <v>383</v>
      </c>
      <c r="U33" s="254">
        <f>'29'!$G$144</f>
        <v>200</v>
      </c>
      <c r="V33" s="254">
        <f>'29'!$G$147</f>
        <v>374</v>
      </c>
      <c r="W33" s="254">
        <f>'29'!$G$148</f>
        <v>185</v>
      </c>
      <c r="X33" s="254">
        <f>'29'!$G$143</f>
        <v>25</v>
      </c>
      <c r="Y33" s="254">
        <f>'29'!$G$58</f>
        <v>211</v>
      </c>
      <c r="Z33" s="254">
        <f>'29'!$G$151</f>
        <v>250</v>
      </c>
      <c r="AA33" s="254">
        <f>'29'!G161</f>
        <v>25</v>
      </c>
      <c r="AB33" s="254">
        <f>'29'!G162</f>
        <v>29</v>
      </c>
      <c r="AC33" s="254">
        <f>'29'!G88</f>
        <v>0</v>
      </c>
      <c r="AD33" s="254">
        <f>'29'!G163+'29'!G164</f>
        <v>50.100000000000364</v>
      </c>
      <c r="AE33" s="254">
        <f>'29'!$G$116</f>
        <v>0</v>
      </c>
      <c r="AF33" s="254">
        <f>'29'!$G$117</f>
        <v>24</v>
      </c>
      <c r="AG33" s="254">
        <f>'29'!$G$118</f>
        <v>336</v>
      </c>
      <c r="AH33" s="254">
        <f>'29'!$G$119</f>
        <v>417</v>
      </c>
      <c r="AI33" s="254">
        <f>'29'!$G$120</f>
        <v>424</v>
      </c>
      <c r="AJ33" s="254">
        <f>'29'!$G$121</f>
        <v>710</v>
      </c>
      <c r="AK33" s="254">
        <f>'29'!$G$122</f>
        <v>200</v>
      </c>
      <c r="AL33" s="254">
        <f>'29'!$G$123</f>
        <v>275</v>
      </c>
      <c r="AM33" s="254">
        <f>'29'!$G$133</f>
        <v>494</v>
      </c>
      <c r="AN33" s="254">
        <f>'29'!$G$15</f>
        <v>1100</v>
      </c>
      <c r="AO33" s="254">
        <f>'29'!$G$74</f>
        <v>303</v>
      </c>
      <c r="AP33" s="254">
        <f>'29'!$G$75</f>
        <v>0</v>
      </c>
      <c r="AQ33" s="254">
        <f>'29'!$G$76</f>
        <v>98</v>
      </c>
      <c r="AR33" s="254">
        <f>'29'!$G$77</f>
        <v>46</v>
      </c>
      <c r="AS33" s="254">
        <f>'29'!$G$78</f>
        <v>2</v>
      </c>
      <c r="AT33" s="254">
        <f t="shared" si="0"/>
        <v>651</v>
      </c>
      <c r="AU33" s="254">
        <f>SUM('29'!G91:G92)</f>
        <v>11</v>
      </c>
      <c r="AV33" s="254">
        <f>'29'!$G$88</f>
        <v>0</v>
      </c>
      <c r="AW33" s="254">
        <f>'29'!$G$89</f>
        <v>9.930000000000291</v>
      </c>
      <c r="AX33" s="254">
        <f>'29'!$G$90</f>
        <v>0.930000000007567</v>
      </c>
      <c r="AY33" s="252">
        <f t="shared" si="1"/>
        <v>10.860000000007858</v>
      </c>
      <c r="BA33" s="311">
        <f t="shared" si="3"/>
        <v>59.944751381172097</v>
      </c>
      <c r="BB33" s="351">
        <f t="shared" si="4"/>
        <v>6077</v>
      </c>
      <c r="BC33" s="351">
        <f t="shared" si="5"/>
        <v>27.622727272727271</v>
      </c>
    </row>
    <row r="34" spans="1:55" s="313" customFormat="1" x14ac:dyDescent="0.2">
      <c r="A34" s="359">
        <v>30</v>
      </c>
      <c r="B34" s="642">
        <f>'30'!G7</f>
        <v>22000</v>
      </c>
      <c r="C34" s="642">
        <f>'30'!G8</f>
        <v>20000</v>
      </c>
      <c r="D34" s="642">
        <f>'30'!G15</f>
        <v>1100</v>
      </c>
      <c r="E34" s="642">
        <f>'30'!G20</f>
        <v>226</v>
      </c>
      <c r="F34" s="642">
        <f>SUM('30'!G35,'30'!G49)</f>
        <v>2077</v>
      </c>
      <c r="G34" s="642">
        <f>SUM('30'!G37,'30'!G51)</f>
        <v>1553</v>
      </c>
      <c r="H34" s="642">
        <f>SUM('30'!G38,'30'!G52)</f>
        <v>1629</v>
      </c>
      <c r="I34" s="642">
        <f>SUM('30'!G39,'30'!G53)</f>
        <v>2616</v>
      </c>
      <c r="J34" s="642">
        <f>SUM('30'!G41,'30'!G42,'30'!G55,'30'!G56)</f>
        <v>3884</v>
      </c>
      <c r="K34" s="642">
        <f>SUM('30'!G43,'30'!G57)</f>
        <v>1898</v>
      </c>
      <c r="L34" s="251">
        <f>'30'!G50</f>
        <v>1051</v>
      </c>
      <c r="M34" s="251">
        <f>'30'!G36</f>
        <v>846</v>
      </c>
      <c r="N34" s="251">
        <f>'30'!G138</f>
        <v>69</v>
      </c>
      <c r="O34" s="251">
        <f>'30'!$G$139</f>
        <v>2</v>
      </c>
      <c r="P34" s="251">
        <f>'30'!$G$140</f>
        <v>0</v>
      </c>
      <c r="Q34" s="251">
        <f>'30'!$G$141</f>
        <v>174</v>
      </c>
      <c r="R34" s="251">
        <f>'30'!$G$142</f>
        <v>77</v>
      </c>
      <c r="S34" s="251">
        <f>'30'!$G$145</f>
        <v>6</v>
      </c>
      <c r="T34" s="251">
        <f>'30'!$G$146</f>
        <v>486</v>
      </c>
      <c r="U34" s="251">
        <f>'30'!$G$144</f>
        <v>201</v>
      </c>
      <c r="V34" s="251">
        <f>'30'!$G$147</f>
        <v>340</v>
      </c>
      <c r="W34" s="251">
        <f>'30'!$G$148</f>
        <v>220</v>
      </c>
      <c r="X34" s="251">
        <f>'30'!$G$143</f>
        <v>20</v>
      </c>
      <c r="Y34" s="251">
        <f>'30'!$G$58</f>
        <v>190</v>
      </c>
      <c r="Z34" s="251">
        <f>'30'!$G$151</f>
        <v>233</v>
      </c>
      <c r="AA34" s="251">
        <f>'30'!G161</f>
        <v>26</v>
      </c>
      <c r="AB34" s="251">
        <f>'30'!G162</f>
        <v>12</v>
      </c>
      <c r="AC34" s="251">
        <f>'30'!G88</f>
        <v>0</v>
      </c>
      <c r="AD34" s="251">
        <f>'30'!G163+'30'!G164</f>
        <v>34</v>
      </c>
      <c r="AE34" s="251">
        <f>'30'!$G$116</f>
        <v>0</v>
      </c>
      <c r="AF34" s="251">
        <f>'30'!$G$117</f>
        <v>22</v>
      </c>
      <c r="AG34" s="251">
        <f>'30'!$G$118</f>
        <v>311</v>
      </c>
      <c r="AH34" s="251">
        <f>'30'!$G$119</f>
        <v>419</v>
      </c>
      <c r="AI34" s="251">
        <f>'30'!$G$120</f>
        <v>426</v>
      </c>
      <c r="AJ34" s="251">
        <f>'30'!$G$121</f>
        <v>733</v>
      </c>
      <c r="AK34" s="251">
        <f>'30'!$G$122</f>
        <v>206</v>
      </c>
      <c r="AL34" s="251">
        <f>'30'!$G$123</f>
        <v>273</v>
      </c>
      <c r="AM34" s="251">
        <f>'30'!$G$133</f>
        <v>496</v>
      </c>
      <c r="AN34" s="251">
        <f>'30'!$G$15</f>
        <v>1100</v>
      </c>
      <c r="AO34" s="251">
        <f>'30'!$G$74</f>
        <v>308</v>
      </c>
      <c r="AP34" s="251">
        <f>'30'!$G$75</f>
        <v>0</v>
      </c>
      <c r="AQ34" s="251">
        <f>'30'!$G$76</f>
        <v>95</v>
      </c>
      <c r="AR34" s="251">
        <f>'30'!$G$77</f>
        <v>35</v>
      </c>
      <c r="AS34" s="251">
        <f>'30'!$G$78</f>
        <v>1</v>
      </c>
      <c r="AT34" s="251">
        <f t="shared" si="0"/>
        <v>661</v>
      </c>
      <c r="AU34" s="251">
        <f>SUM('30'!G91:G92)</f>
        <v>11.609999999999673</v>
      </c>
      <c r="AV34" s="251">
        <f>'30'!$G$88</f>
        <v>0</v>
      </c>
      <c r="AW34" s="251">
        <f>'30'!$G$89</f>
        <v>9.2099999999991269</v>
      </c>
      <c r="AX34" s="251">
        <f>'30'!$G$90</f>
        <v>1.9199999999982538</v>
      </c>
      <c r="AY34" s="255">
        <f t="shared" si="1"/>
        <v>11.129999999997381</v>
      </c>
      <c r="BA34" s="311">
        <f t="shared" si="3"/>
        <v>59.389038634335627</v>
      </c>
      <c r="BB34" s="351">
        <f t="shared" si="4"/>
        <v>6153</v>
      </c>
      <c r="BC34" s="351">
        <f t="shared" si="5"/>
        <v>27.968181818181819</v>
      </c>
    </row>
    <row r="35" spans="1:55" x14ac:dyDescent="0.2">
      <c r="A35" s="359">
        <v>31</v>
      </c>
      <c r="B35" s="642">
        <f>'31'!G7</f>
        <v>22000</v>
      </c>
      <c r="C35" s="642">
        <f>'31'!G8</f>
        <v>20000</v>
      </c>
      <c r="D35" s="642">
        <f>'31'!G15</f>
        <v>1100</v>
      </c>
      <c r="E35" s="642">
        <f>'31'!G20</f>
        <v>146</v>
      </c>
      <c r="F35" s="642">
        <f>SUM('31'!G35,'31'!G49)</f>
        <v>2110.1699999999983</v>
      </c>
      <c r="G35" s="642">
        <f>SUM('31'!G37,'31'!G51)</f>
        <v>1588.0899999999965</v>
      </c>
      <c r="H35" s="642">
        <f>SUM('31'!G38,'31'!G52)</f>
        <v>1627.4300000000003</v>
      </c>
      <c r="I35" s="642">
        <f>SUM('31'!G39,'31'!G53)</f>
        <v>2649.2900000000009</v>
      </c>
      <c r="J35" s="642">
        <f>SUM('31'!G41,'31'!G42,'31'!G55,'31'!G56)</f>
        <v>4318.8500000000058</v>
      </c>
      <c r="K35" s="642">
        <f>SUM('31'!G43,'31'!G57)</f>
        <v>1885.6000000000058</v>
      </c>
      <c r="L35" s="251">
        <f>'31'!G50</f>
        <v>1070.6299999999974</v>
      </c>
      <c r="M35" s="251">
        <f>'31'!G36</f>
        <v>638.73999999999796</v>
      </c>
      <c r="N35" s="251">
        <f>'31'!G138</f>
        <v>59</v>
      </c>
      <c r="O35" s="251">
        <f>'31'!$G$139</f>
        <v>1</v>
      </c>
      <c r="P35" s="251">
        <f>'31'!$G$140</f>
        <v>0</v>
      </c>
      <c r="Q35" s="251">
        <f>'31'!$G$141</f>
        <v>172.58000000000175</v>
      </c>
      <c r="R35" s="251">
        <f>'31'!$G$142</f>
        <v>80.099999999998545</v>
      </c>
      <c r="S35" s="251">
        <f>'31'!$G$145</f>
        <v>9.8400000000001455</v>
      </c>
      <c r="T35" s="251">
        <f>'31'!$G$146</f>
        <v>386</v>
      </c>
      <c r="U35" s="251">
        <f>'31'!$G$144</f>
        <v>216</v>
      </c>
      <c r="V35" s="251">
        <f>'31'!$G$147</f>
        <v>347.52000000001863</v>
      </c>
      <c r="W35" s="251">
        <f>'31'!$G$148</f>
        <v>157.95999999996275</v>
      </c>
      <c r="X35" s="251">
        <f>'31'!$G$143</f>
        <v>28.389999999999873</v>
      </c>
      <c r="Y35" s="251">
        <f>'31'!$G$58</f>
        <v>197.21000000000004</v>
      </c>
      <c r="Z35" s="251">
        <f>'31'!$G$151</f>
        <v>294</v>
      </c>
      <c r="AA35" s="251">
        <f>'31'!G161</f>
        <v>42.559999999997672</v>
      </c>
      <c r="AB35" s="251">
        <f>'31'!G162</f>
        <v>36.399999999994179</v>
      </c>
      <c r="AC35" s="251">
        <f>'31'!G89</f>
        <v>9.2999999999992724</v>
      </c>
      <c r="AD35" s="251">
        <f>'31'!G163+'31'!G164</f>
        <v>36.100000000005821</v>
      </c>
      <c r="AE35" s="251">
        <f>'31'!$G$116</f>
        <v>0</v>
      </c>
      <c r="AF35" s="251">
        <f>'31'!$G$117</f>
        <v>38.949999999999818</v>
      </c>
      <c r="AG35" s="251">
        <f>'31'!$G$118</f>
        <v>319.30999999999767</v>
      </c>
      <c r="AH35" s="251">
        <f>'31'!$G$119</f>
        <v>426.54999999998836</v>
      </c>
      <c r="AI35" s="251">
        <f>'31'!$G$120</f>
        <v>419.61000000000058</v>
      </c>
      <c r="AJ35" s="251">
        <f>'31'!$G$121</f>
        <v>730.42999999999302</v>
      </c>
      <c r="AK35" s="251">
        <f>'31'!$G$122</f>
        <v>206.17999999999302</v>
      </c>
      <c r="AL35" s="251">
        <f>'31'!$G$123</f>
        <v>278.95000000001164</v>
      </c>
      <c r="AM35" s="251">
        <f>'31'!$G$133</f>
        <v>437.69999999999709</v>
      </c>
      <c r="AN35" s="251">
        <f>'31'!$G$15</f>
        <v>1100</v>
      </c>
      <c r="AO35" s="251">
        <f>'31'!$G$74</f>
        <v>294.14899999997579</v>
      </c>
      <c r="AP35" s="251">
        <f>'31'!$G$75</f>
        <v>0</v>
      </c>
      <c r="AQ35" s="251">
        <f>'31'!$G$76</f>
        <v>75</v>
      </c>
      <c r="AR35" s="251">
        <f>'31'!$G$77</f>
        <v>28.19999999999709</v>
      </c>
      <c r="AS35" s="251">
        <f>'31'!$G$78</f>
        <v>2</v>
      </c>
      <c r="AT35" s="251">
        <f t="shared" ref="AT35" si="7">AN35-SUM(AO35:AS35)</f>
        <v>700.65100000002712</v>
      </c>
      <c r="AU35" s="251">
        <f>SUM('31'!G92:G142)</f>
        <v>26254.802218181783</v>
      </c>
      <c r="AV35" s="251">
        <f>'31'!$G$88</f>
        <v>0</v>
      </c>
      <c r="AW35" s="251">
        <f>'31'!$G$89</f>
        <v>9.2999999999992724</v>
      </c>
      <c r="AX35" s="251">
        <f>'30'!$G$90</f>
        <v>1.9199999999982538</v>
      </c>
      <c r="AY35" s="255">
        <f t="shared" ref="AY35" si="8">SUM(AV35:AX35)</f>
        <v>11.219999999997526</v>
      </c>
      <c r="BA35" s="311">
        <f t="shared" si="3"/>
        <v>62.446613190747023</v>
      </c>
      <c r="BB35" s="351">
        <f t="shared" si="4"/>
        <v>5623.3599999999933</v>
      </c>
      <c r="BC35" s="351">
        <f t="shared" si="5"/>
        <v>25.560727272727242</v>
      </c>
    </row>
    <row r="36" spans="1:55" s="316" customFormat="1" x14ac:dyDescent="0.2">
      <c r="A36" s="304" t="s">
        <v>359</v>
      </c>
      <c r="B36" s="305">
        <f>AVERAGE(B5:B35)</f>
        <v>20807.379677419354</v>
      </c>
      <c r="C36" s="305">
        <f t="shared" ref="C36:BC36" si="9">AVERAGE(C5:C35)</f>
        <v>20446.208064516126</v>
      </c>
      <c r="D36" s="305">
        <f t="shared" si="9"/>
        <v>1082.36235483871</v>
      </c>
      <c r="E36" s="305">
        <f t="shared" si="9"/>
        <v>217.74193548387098</v>
      </c>
      <c r="F36" s="305">
        <f t="shared" si="9"/>
        <v>0</v>
      </c>
      <c r="G36" s="305">
        <f t="shared" si="9"/>
        <v>0</v>
      </c>
      <c r="H36" s="305">
        <f t="shared" si="9"/>
        <v>0</v>
      </c>
      <c r="I36" s="305">
        <f t="shared" si="9"/>
        <v>2.3470831013494922E-13</v>
      </c>
      <c r="J36" s="305">
        <f t="shared" si="9"/>
        <v>-2.0235483870966426</v>
      </c>
      <c r="K36" s="305">
        <f t="shared" si="9"/>
        <v>0</v>
      </c>
      <c r="L36" s="305">
        <f t="shared" si="9"/>
        <v>0</v>
      </c>
      <c r="M36" s="305">
        <f t="shared" si="9"/>
        <v>0</v>
      </c>
      <c r="N36" s="305">
        <f t="shared" si="9"/>
        <v>-1.1290322580645162</v>
      </c>
      <c r="O36" s="305">
        <f t="shared" si="9"/>
        <v>0</v>
      </c>
      <c r="P36" s="305">
        <f t="shared" si="9"/>
        <v>0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0</v>
      </c>
      <c r="Z36" s="305">
        <f t="shared" si="9"/>
        <v>0</v>
      </c>
      <c r="AA36" s="305">
        <f t="shared" si="9"/>
        <v>0</v>
      </c>
      <c r="AB36" s="305">
        <f t="shared" si="9"/>
        <v>0</v>
      </c>
      <c r="AC36" s="305">
        <f t="shared" si="9"/>
        <v>0.46333333333331256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0</v>
      </c>
      <c r="AN36" s="305">
        <f t="shared" si="9"/>
        <v>1082.36235483871</v>
      </c>
      <c r="AO36" s="305">
        <f t="shared" si="9"/>
        <v>0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9.6774193548387094E-2</v>
      </c>
      <c r="AT36" s="305">
        <f t="shared" si="9"/>
        <v>1082.2655806451614</v>
      </c>
      <c r="AU36" s="305">
        <f t="shared" si="9"/>
        <v>857.17426510263817</v>
      </c>
      <c r="AV36" s="305">
        <f t="shared" si="9"/>
        <v>0</v>
      </c>
      <c r="AW36" s="305">
        <f t="shared" si="9"/>
        <v>0</v>
      </c>
      <c r="AX36" s="305">
        <f t="shared" si="9"/>
        <v>-1.2903225806733263E-2</v>
      </c>
      <c r="AY36" s="305">
        <f t="shared" si="9"/>
        <v>-1.2903225806733263E-2</v>
      </c>
      <c r="AZ36" s="305">
        <f t="shared" si="9"/>
        <v>26.940878100889673</v>
      </c>
      <c r="BA36" s="305">
        <f t="shared" si="9"/>
        <v>39.361214614447832</v>
      </c>
      <c r="BB36" s="305">
        <f t="shared" si="9"/>
        <v>20448.231612903222</v>
      </c>
      <c r="BC36" s="305">
        <f t="shared" si="9"/>
        <v>76.557682431258343</v>
      </c>
    </row>
    <row r="37" spans="1:55" x14ac:dyDescent="0.2">
      <c r="A37" s="261" t="s">
        <v>196</v>
      </c>
      <c r="B37" s="305">
        <f>SUM(B5:B35)</f>
        <v>645028.77</v>
      </c>
      <c r="C37" s="305">
        <f t="shared" ref="C37:BC37" si="10">SUM(C5:C35)</f>
        <v>633832.44999999995</v>
      </c>
      <c r="D37" s="305">
        <f t="shared" si="10"/>
        <v>33553.233000000007</v>
      </c>
      <c r="E37" s="305">
        <f t="shared" si="10"/>
        <v>6750</v>
      </c>
      <c r="F37" s="305">
        <f>SUM(F5:F35)</f>
        <v>0</v>
      </c>
      <c r="G37" s="305">
        <f t="shared" si="10"/>
        <v>0</v>
      </c>
      <c r="H37" s="305">
        <f t="shared" si="10"/>
        <v>0</v>
      </c>
      <c r="I37" s="305">
        <f t="shared" si="10"/>
        <v>7.2759576141834259E-12</v>
      </c>
      <c r="J37" s="305">
        <f t="shared" si="10"/>
        <v>-62.729999999995925</v>
      </c>
      <c r="K37" s="305">
        <f t="shared" si="10"/>
        <v>0</v>
      </c>
      <c r="L37" s="305">
        <f t="shared" si="10"/>
        <v>0</v>
      </c>
      <c r="M37" s="305">
        <f t="shared" si="10"/>
        <v>0</v>
      </c>
      <c r="N37" s="305">
        <f t="shared" si="10"/>
        <v>-35</v>
      </c>
      <c r="O37" s="305">
        <f t="shared" si="10"/>
        <v>0</v>
      </c>
      <c r="P37" s="305">
        <f t="shared" si="10"/>
        <v>0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0</v>
      </c>
      <c r="Z37" s="305">
        <f t="shared" si="10"/>
        <v>0</v>
      </c>
      <c r="AA37" s="305">
        <f t="shared" si="10"/>
        <v>0</v>
      </c>
      <c r="AB37" s="305">
        <f t="shared" si="10"/>
        <v>0</v>
      </c>
      <c r="AC37" s="305">
        <f t="shared" si="10"/>
        <v>9.7299999999995634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0</v>
      </c>
      <c r="AN37" s="305">
        <f t="shared" si="10"/>
        <v>33553.233000000007</v>
      </c>
      <c r="AO37" s="305">
        <f t="shared" si="10"/>
        <v>0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3</v>
      </c>
      <c r="AT37" s="305">
        <f t="shared" si="10"/>
        <v>33550.233000000007</v>
      </c>
      <c r="AU37" s="305">
        <f t="shared" si="10"/>
        <v>26572.402218181782</v>
      </c>
      <c r="AV37" s="305">
        <f t="shared" si="10"/>
        <v>0</v>
      </c>
      <c r="AW37" s="305">
        <f t="shared" si="10"/>
        <v>0</v>
      </c>
      <c r="AX37" s="305">
        <f t="shared" si="10"/>
        <v>-0.40000000000873115</v>
      </c>
      <c r="AY37" s="305">
        <f t="shared" si="10"/>
        <v>-0.40000000000873115</v>
      </c>
      <c r="AZ37" s="305">
        <f t="shared" si="10"/>
        <v>646.58107442135213</v>
      </c>
      <c r="BA37" s="305">
        <f t="shared" si="10"/>
        <v>1220.1976530478828</v>
      </c>
      <c r="BB37" s="305">
        <f t="shared" si="10"/>
        <v>633895.17999999993</v>
      </c>
      <c r="BC37" s="305">
        <f t="shared" si="10"/>
        <v>2373.2881553690086</v>
      </c>
    </row>
    <row r="38" spans="1:55" s="316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 x14ac:dyDescent="0.2">
      <c r="A39" s="261"/>
      <c r="B39" s="261"/>
      <c r="C39" s="261"/>
      <c r="D39" s="261"/>
      <c r="E39" s="261"/>
      <c r="F39" s="643">
        <f t="shared" ref="F39:K39" si="11">F19-F18</f>
        <v>24.029999999998836</v>
      </c>
      <c r="G39" s="643">
        <f t="shared" si="11"/>
        <v>34.69999999999709</v>
      </c>
      <c r="H39" s="643">
        <f t="shared" si="11"/>
        <v>-68.399999999994179</v>
      </c>
      <c r="I39" s="643">
        <f t="shared" si="11"/>
        <v>-23.80000000000291</v>
      </c>
      <c r="J39" s="643">
        <f t="shared" si="11"/>
        <v>-37.46000000001186</v>
      </c>
      <c r="K39" s="643">
        <f t="shared" si="11"/>
        <v>-6.4200000000128057</v>
      </c>
      <c r="L39" s="643"/>
      <c r="M39" s="643"/>
      <c r="AO39" s="317" t="s">
        <v>109</v>
      </c>
      <c r="AP39" s="318">
        <v>191</v>
      </c>
      <c r="AQ39" s="318"/>
      <c r="AR39" s="318"/>
    </row>
    <row r="40" spans="1:55" x14ac:dyDescent="0.2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 x14ac:dyDescent="0.2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 x14ac:dyDescent="0.2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 x14ac:dyDescent="0.2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 x14ac:dyDescent="0.2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0"/>
      <c r="B89" s="320"/>
      <c r="C89" s="320"/>
      <c r="D89" s="320"/>
      <c r="E89" s="320"/>
    </row>
    <row r="90" spans="1:5" x14ac:dyDescent="0.2">
      <c r="A90" s="320"/>
      <c r="B90" s="320"/>
      <c r="C90" s="320"/>
      <c r="D90" s="320"/>
      <c r="E90" s="320"/>
    </row>
    <row r="91" spans="1:5" x14ac:dyDescent="0.2">
      <c r="A91" s="320"/>
      <c r="B91" s="320"/>
      <c r="C91" s="320"/>
      <c r="D91" s="320"/>
      <c r="E91" s="320"/>
    </row>
    <row r="92" spans="1:5" x14ac:dyDescent="0.2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zoomScale="60" zoomScaleNormal="61" zoomScalePageLayoutView="70" workbookViewId="0">
      <selection activeCell="F42" sqref="F42"/>
    </sheetView>
  </sheetViews>
  <sheetFormatPr defaultColWidth="22.33203125" defaultRowHeight="21.95" customHeight="1" x14ac:dyDescent="0.4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30" style="495" customWidth="1"/>
    <col min="6" max="6" width="19.44140625" style="495" customWidth="1"/>
    <col min="7" max="7" width="28.88671875" style="731" customWidth="1"/>
    <col min="8" max="8" width="24.6640625" style="170" customWidth="1"/>
    <col min="9" max="9" width="23.5546875" style="495" customWidth="1"/>
    <col min="10" max="10" width="24" style="170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826" t="s">
        <v>115</v>
      </c>
      <c r="B1" s="827"/>
      <c r="C1" s="827"/>
      <c r="D1" s="827"/>
      <c r="E1" s="827"/>
      <c r="F1" s="827"/>
      <c r="G1" s="827"/>
      <c r="H1" s="827"/>
      <c r="I1" s="827"/>
      <c r="J1" s="828"/>
    </row>
    <row r="2" spans="1:15" ht="27" x14ac:dyDescent="0.4">
      <c r="A2" s="508" t="s">
        <v>350</v>
      </c>
      <c r="B2" s="531">
        <v>44593</v>
      </c>
      <c r="C2" s="378" t="s">
        <v>67</v>
      </c>
      <c r="D2" s="379">
        <v>0.40589999999999998</v>
      </c>
      <c r="E2" s="699"/>
      <c r="F2" s="378"/>
      <c r="G2" s="711" t="s">
        <v>116</v>
      </c>
      <c r="H2" s="378" t="s">
        <v>5</v>
      </c>
      <c r="I2" s="378" t="s">
        <v>7</v>
      </c>
      <c r="J2" s="383" t="s">
        <v>117</v>
      </c>
    </row>
    <row r="3" spans="1:15" ht="22.5" x14ac:dyDescent="0.4">
      <c r="A3" s="509"/>
      <c r="B3" s="380"/>
      <c r="C3" s="378" t="s">
        <v>118</v>
      </c>
      <c r="D3" s="381">
        <v>23</v>
      </c>
      <c r="E3" s="838" t="s">
        <v>119</v>
      </c>
      <c r="F3" s="839"/>
      <c r="G3" s="711"/>
      <c r="H3" s="382"/>
      <c r="I3" s="382"/>
      <c r="J3" s="383"/>
      <c r="K3" s="532"/>
      <c r="L3" s="427"/>
    </row>
    <row r="4" spans="1:15" ht="27" x14ac:dyDescent="0.5">
      <c r="A4" s="510"/>
      <c r="B4" s="384"/>
      <c r="C4" s="378" t="s">
        <v>120</v>
      </c>
      <c r="D4" s="379">
        <v>0.55000000000000004</v>
      </c>
      <c r="E4" s="700"/>
      <c r="F4" s="385"/>
      <c r="G4" s="711"/>
      <c r="H4" s="385"/>
      <c r="I4" s="386"/>
      <c r="J4" s="383"/>
      <c r="K4" s="533"/>
      <c r="L4" s="427"/>
    </row>
    <row r="5" spans="1:15" s="160" customFormat="1" ht="22.5" x14ac:dyDescent="0.4">
      <c r="A5" s="511" t="s">
        <v>121</v>
      </c>
      <c r="B5" s="146"/>
      <c r="C5" s="146"/>
      <c r="D5" s="146" t="s">
        <v>122</v>
      </c>
      <c r="E5" s="106" t="s">
        <v>123</v>
      </c>
      <c r="F5" s="120" t="s">
        <v>110</v>
      </c>
      <c r="G5" s="556" t="s">
        <v>124</v>
      </c>
      <c r="H5" s="95" t="s">
        <v>125</v>
      </c>
      <c r="I5" s="99" t="s">
        <v>126</v>
      </c>
      <c r="J5" s="173" t="s">
        <v>127</v>
      </c>
      <c r="K5" s="736"/>
      <c r="L5" s="180"/>
    </row>
    <row r="6" spans="1:15" ht="22.5" x14ac:dyDescent="0.4">
      <c r="A6" s="829" t="s">
        <v>128</v>
      </c>
      <c r="B6" s="830"/>
      <c r="C6" s="831"/>
      <c r="D6" s="389"/>
      <c r="E6" s="389"/>
      <c r="F6" s="390"/>
      <c r="G6" s="712"/>
      <c r="H6" s="390"/>
      <c r="I6" s="390"/>
      <c r="J6" s="391"/>
      <c r="K6" s="534"/>
      <c r="L6" s="427"/>
    </row>
    <row r="7" spans="1:15" ht="23.25" thickBot="1" x14ac:dyDescent="0.45">
      <c r="A7" s="512" t="s">
        <v>129</v>
      </c>
      <c r="B7" s="392"/>
      <c r="C7" s="392"/>
      <c r="D7" s="151" t="s">
        <v>130</v>
      </c>
      <c r="E7" s="394">
        <v>651180.23</v>
      </c>
      <c r="F7" s="395">
        <v>668445</v>
      </c>
      <c r="G7" s="649">
        <f>F7-E7</f>
        <v>17264.770000000019</v>
      </c>
      <c r="H7" s="395">
        <f>G7</f>
        <v>17264.770000000019</v>
      </c>
      <c r="I7" s="402">
        <v>12000</v>
      </c>
      <c r="J7" s="396">
        <f>H7/DAY(B2)</f>
        <v>17264.770000000019</v>
      </c>
      <c r="K7" s="535">
        <v>1375467</v>
      </c>
      <c r="L7" s="427"/>
      <c r="N7" s="536"/>
      <c r="O7" s="171"/>
    </row>
    <row r="8" spans="1:15" ht="23.25" thickBot="1" x14ac:dyDescent="0.45">
      <c r="A8" s="513" t="s">
        <v>131</v>
      </c>
      <c r="B8" s="397"/>
      <c r="C8" s="398"/>
      <c r="D8" s="224" t="s">
        <v>24</v>
      </c>
      <c r="E8" s="394">
        <v>708548.15</v>
      </c>
      <c r="F8" s="395">
        <v>726007</v>
      </c>
      <c r="G8" s="649">
        <f>F8-E8</f>
        <v>17458.849999999977</v>
      </c>
      <c r="H8" s="395">
        <f>G8</f>
        <v>17458.849999999977</v>
      </c>
      <c r="I8" s="399">
        <v>12000</v>
      </c>
      <c r="J8" s="396">
        <f>H8/DAY(B2)</f>
        <v>17458.849999999977</v>
      </c>
      <c r="K8" s="535">
        <v>1715917</v>
      </c>
      <c r="L8" s="394">
        <v>1728480</v>
      </c>
      <c r="M8" s="536">
        <f>L8-K8</f>
        <v>12563</v>
      </c>
      <c r="N8" s="536"/>
      <c r="O8" s="171"/>
    </row>
    <row r="9" spans="1:15" ht="22.5" x14ac:dyDescent="0.4">
      <c r="A9" s="514" t="s">
        <v>132</v>
      </c>
      <c r="B9" s="400"/>
      <c r="C9" s="400"/>
      <c r="D9" s="393" t="s">
        <v>130</v>
      </c>
      <c r="E9" s="701">
        <v>282253.84999999998</v>
      </c>
      <c r="F9" s="660">
        <v>297005.71000000002</v>
      </c>
      <c r="G9" s="713">
        <f>F9-E9</f>
        <v>14751.860000000044</v>
      </c>
      <c r="H9" s="395">
        <f t="shared" ref="H9:H13" si="0">G9</f>
        <v>14751.860000000044</v>
      </c>
      <c r="I9" s="402">
        <f>I8-J8</f>
        <v>-5458.8499999999767</v>
      </c>
      <c r="J9" s="396">
        <f>H9/DAY(B2)</f>
        <v>14751.860000000044</v>
      </c>
      <c r="K9" s="537">
        <f>K8-100</f>
        <v>1715817</v>
      </c>
      <c r="L9" s="427"/>
      <c r="N9" s="536"/>
      <c r="O9" s="171"/>
    </row>
    <row r="10" spans="1:15" ht="22.5" x14ac:dyDescent="0.4">
      <c r="A10" s="512" t="s">
        <v>133</v>
      </c>
      <c r="B10" s="392"/>
      <c r="C10" s="392"/>
      <c r="D10" s="393" t="s">
        <v>130</v>
      </c>
      <c r="E10" s="702">
        <v>105258.97</v>
      </c>
      <c r="F10" s="660">
        <v>107261.54</v>
      </c>
      <c r="G10" s="713">
        <f t="shared" ref="G10:G11" si="1">F10-E10</f>
        <v>2002.5699999999924</v>
      </c>
      <c r="H10" s="395">
        <f t="shared" si="0"/>
        <v>2002.5699999999924</v>
      </c>
      <c r="I10" s="395"/>
      <c r="J10" s="396">
        <f>H10/DAY(B2)</f>
        <v>2002.5699999999924</v>
      </c>
      <c r="K10" s="537"/>
      <c r="L10" s="427"/>
      <c r="N10" s="536"/>
      <c r="O10" s="171"/>
    </row>
    <row r="11" spans="1:15" ht="22.5" x14ac:dyDescent="0.4">
      <c r="A11" s="512" t="s">
        <v>134</v>
      </c>
      <c r="B11" s="392"/>
      <c r="C11" s="392"/>
      <c r="D11" s="393" t="s">
        <v>130</v>
      </c>
      <c r="E11" s="394">
        <v>37170</v>
      </c>
      <c r="F11" s="395">
        <v>37170</v>
      </c>
      <c r="G11" s="713">
        <f t="shared" si="1"/>
        <v>0</v>
      </c>
      <c r="H11" s="395">
        <f t="shared" si="0"/>
        <v>0</v>
      </c>
      <c r="I11" s="395"/>
      <c r="J11" s="396">
        <f>H11/DAY(B2)</f>
        <v>0</v>
      </c>
      <c r="K11" s="537"/>
      <c r="L11" s="427"/>
      <c r="N11" s="536"/>
      <c r="O11" s="171">
        <f>142-18</f>
        <v>124</v>
      </c>
    </row>
    <row r="12" spans="1:15" ht="22.5" x14ac:dyDescent="0.4">
      <c r="A12" s="512" t="s">
        <v>135</v>
      </c>
      <c r="B12" s="392"/>
      <c r="C12" s="392"/>
      <c r="D12" s="393" t="s">
        <v>130</v>
      </c>
      <c r="E12" s="401">
        <v>40010</v>
      </c>
      <c r="F12" s="660">
        <v>40010</v>
      </c>
      <c r="G12" s="713">
        <f>F12-E12</f>
        <v>0</v>
      </c>
      <c r="H12" s="395">
        <f t="shared" si="0"/>
        <v>0</v>
      </c>
      <c r="I12" s="395"/>
      <c r="J12" s="396">
        <f>H12/DAY(B2)</f>
        <v>0</v>
      </c>
      <c r="K12" s="537"/>
      <c r="L12" s="427"/>
      <c r="N12" s="536"/>
      <c r="O12" s="171"/>
    </row>
    <row r="13" spans="1:15" ht="22.5" x14ac:dyDescent="0.4">
      <c r="A13" s="515" t="s">
        <v>136</v>
      </c>
      <c r="B13" s="403"/>
      <c r="C13" s="403"/>
      <c r="D13" s="393"/>
      <c r="E13" s="394"/>
      <c r="F13" s="395"/>
      <c r="G13" s="713">
        <f>F13-E13</f>
        <v>0</v>
      </c>
      <c r="H13" s="395">
        <f t="shared" si="0"/>
        <v>0</v>
      </c>
      <c r="I13" s="402">
        <f>G7-G13</f>
        <v>17264.770000000019</v>
      </c>
      <c r="J13" s="396">
        <f>H13/DAY(B2)</f>
        <v>0</v>
      </c>
      <c r="K13" s="537"/>
      <c r="L13" s="427"/>
      <c r="N13" s="536"/>
      <c r="O13" s="171"/>
    </row>
    <row r="14" spans="1:15" ht="22.5" x14ac:dyDescent="0.4">
      <c r="A14" s="832" t="s">
        <v>137</v>
      </c>
      <c r="B14" s="833"/>
      <c r="C14" s="834"/>
      <c r="D14" s="390"/>
      <c r="E14" s="390"/>
      <c r="F14" s="646"/>
      <c r="G14" s="714"/>
      <c r="H14" s="646"/>
      <c r="I14" s="646"/>
      <c r="J14" s="647"/>
      <c r="K14" s="538"/>
      <c r="L14" s="427"/>
      <c r="N14" s="536"/>
      <c r="O14" s="171"/>
    </row>
    <row r="15" spans="1:15" ht="22.5" x14ac:dyDescent="0.4">
      <c r="A15" s="516" t="s">
        <v>138</v>
      </c>
      <c r="B15" s="405"/>
      <c r="C15" s="405"/>
      <c r="D15" s="393" t="s">
        <v>139</v>
      </c>
      <c r="E15" s="406">
        <v>1906636.767</v>
      </c>
      <c r="F15" s="661">
        <v>1907555.325</v>
      </c>
      <c r="G15" s="715">
        <f>(F15-E15)</f>
        <v>918.55799999996088</v>
      </c>
      <c r="H15" s="402">
        <f>G15</f>
        <v>918.55799999996088</v>
      </c>
      <c r="I15" s="402">
        <v>800</v>
      </c>
      <c r="J15" s="396">
        <f>H15/DAY(B2)</f>
        <v>918.55799999996088</v>
      </c>
      <c r="K15" s="537"/>
      <c r="L15" s="427"/>
      <c r="N15" s="536"/>
      <c r="O15" s="171"/>
    </row>
    <row r="16" spans="1:15" ht="22.5" x14ac:dyDescent="0.4">
      <c r="A16" s="517"/>
      <c r="B16" s="408"/>
      <c r="C16" s="408"/>
      <c r="D16" s="409"/>
      <c r="E16" s="406"/>
      <c r="F16" s="659"/>
      <c r="G16" s="713"/>
      <c r="H16" s="402"/>
      <c r="I16" s="402">
        <f>I15-J15</f>
        <v>-118.55799999996088</v>
      </c>
      <c r="J16" s="410"/>
      <c r="K16" s="537"/>
      <c r="L16" s="427"/>
      <c r="N16" s="536"/>
      <c r="O16" s="171"/>
    </row>
    <row r="17" spans="1:15" ht="22.5" x14ac:dyDescent="0.4">
      <c r="A17" s="832" t="s">
        <v>140</v>
      </c>
      <c r="B17" s="833"/>
      <c r="C17" s="834"/>
      <c r="D17" s="390"/>
      <c r="E17" s="390"/>
      <c r="F17" s="646"/>
      <c r="G17" s="714"/>
      <c r="H17" s="646"/>
      <c r="I17" s="646"/>
      <c r="J17" s="647"/>
      <c r="K17" s="537"/>
      <c r="L17" s="427"/>
      <c r="N17" s="536"/>
      <c r="O17" s="171"/>
    </row>
    <row r="18" spans="1:15" ht="22.5" x14ac:dyDescent="0.4">
      <c r="A18" s="800" t="s">
        <v>141</v>
      </c>
      <c r="B18" s="801"/>
      <c r="C18" s="802"/>
      <c r="D18" s="393" t="s">
        <v>142</v>
      </c>
      <c r="E18" s="433">
        <v>9</v>
      </c>
      <c r="F18" s="662">
        <v>18</v>
      </c>
      <c r="G18" s="655">
        <f>F18*10</f>
        <v>180</v>
      </c>
      <c r="H18" s="395">
        <f>G18</f>
        <v>180</v>
      </c>
      <c r="I18" s="402">
        <v>65</v>
      </c>
      <c r="J18" s="396">
        <f>H18/DAY(B2)</f>
        <v>180</v>
      </c>
      <c r="K18" s="537"/>
      <c r="L18" s="427"/>
      <c r="N18" s="536"/>
      <c r="O18" s="171"/>
    </row>
    <row r="19" spans="1:15" ht="22.5" x14ac:dyDescent="0.4">
      <c r="A19" s="800" t="s">
        <v>69</v>
      </c>
      <c r="B19" s="801"/>
      <c r="C19" s="802"/>
      <c r="D19" s="393" t="s">
        <v>142</v>
      </c>
      <c r="E19" s="411">
        <v>153891</v>
      </c>
      <c r="F19" s="662">
        <v>153946</v>
      </c>
      <c r="G19" s="713">
        <f t="shared" ref="G19" si="2">F19-E19</f>
        <v>55</v>
      </c>
      <c r="H19" s="395">
        <f t="shared" ref="H19" si="3">G19</f>
        <v>55</v>
      </c>
      <c r="I19" s="660"/>
      <c r="J19" s="396">
        <f>H19/DAY(B2)</f>
        <v>55</v>
      </c>
      <c r="K19" s="537"/>
      <c r="L19" s="427"/>
      <c r="N19" s="536"/>
      <c r="O19" s="171"/>
    </row>
    <row r="20" spans="1:15" ht="22.5" x14ac:dyDescent="0.4">
      <c r="A20" s="515" t="s">
        <v>143</v>
      </c>
      <c r="B20" s="403"/>
      <c r="C20" s="403"/>
      <c r="D20" s="412"/>
      <c r="E20" s="412"/>
      <c r="F20" s="663"/>
      <c r="G20" s="716">
        <f>G18+G19</f>
        <v>235</v>
      </c>
      <c r="H20" s="395">
        <f>G20</f>
        <v>235</v>
      </c>
      <c r="I20" s="413">
        <f>I18-J20</f>
        <v>-170</v>
      </c>
      <c r="J20" s="396">
        <f>H20/DAY(B2)</f>
        <v>235</v>
      </c>
      <c r="K20" s="537"/>
      <c r="L20" s="427"/>
      <c r="N20" s="536"/>
      <c r="O20" s="171"/>
    </row>
    <row r="21" spans="1:15" ht="22.5" x14ac:dyDescent="0.4">
      <c r="A21" s="832" t="s">
        <v>144</v>
      </c>
      <c r="B21" s="833"/>
      <c r="C21" s="834"/>
      <c r="D21" s="390"/>
      <c r="E21" s="390"/>
      <c r="F21" s="646"/>
      <c r="G21" s="714"/>
      <c r="H21" s="646"/>
      <c r="I21" s="646"/>
      <c r="J21" s="647"/>
      <c r="K21" s="537"/>
      <c r="L21" s="427"/>
      <c r="N21" s="536"/>
      <c r="O21" s="171"/>
    </row>
    <row r="22" spans="1:15" ht="22.5" x14ac:dyDescent="0.4">
      <c r="A22" s="516" t="s">
        <v>145</v>
      </c>
      <c r="B22" s="405"/>
      <c r="C22" s="405"/>
      <c r="D22" s="393" t="s">
        <v>146</v>
      </c>
      <c r="E22" s="411">
        <v>2970</v>
      </c>
      <c r="F22" s="662">
        <v>2970</v>
      </c>
      <c r="G22" s="655">
        <f>(F22-E22)</f>
        <v>0</v>
      </c>
      <c r="H22" s="395">
        <f>G22</f>
        <v>0</v>
      </c>
      <c r="I22" s="395"/>
      <c r="J22" s="396">
        <f>H22/DAY(B2)</f>
        <v>0</v>
      </c>
      <c r="K22" s="537"/>
      <c r="L22" s="427"/>
      <c r="N22" s="536"/>
      <c r="O22" s="171"/>
    </row>
    <row r="23" spans="1:15" ht="22.5" x14ac:dyDescent="0.4">
      <c r="A23" s="516" t="s">
        <v>147</v>
      </c>
      <c r="B23" s="405"/>
      <c r="C23" s="405"/>
      <c r="D23" s="393" t="s">
        <v>146</v>
      </c>
      <c r="E23" s="411">
        <v>2000</v>
      </c>
      <c r="F23" s="662">
        <v>2000</v>
      </c>
      <c r="G23" s="655">
        <f t="shared" ref="G23" si="4">(F23-E23)</f>
        <v>0</v>
      </c>
      <c r="H23" s="395">
        <f t="shared" ref="H23:H24" si="5">G23</f>
        <v>0</v>
      </c>
      <c r="I23" s="395"/>
      <c r="J23" s="396">
        <f>H23/DAY(B2)</f>
        <v>0</v>
      </c>
      <c r="K23" s="537"/>
      <c r="L23" s="427"/>
      <c r="N23" s="536"/>
      <c r="O23" s="171"/>
    </row>
    <row r="24" spans="1:15" ht="22.5" x14ac:dyDescent="0.4">
      <c r="A24" s="518" t="s">
        <v>148</v>
      </c>
      <c r="B24" s="414"/>
      <c r="C24" s="414"/>
      <c r="D24" s="387" t="s">
        <v>146</v>
      </c>
      <c r="E24" s="703">
        <v>4970</v>
      </c>
      <c r="F24" s="664"/>
      <c r="G24" s="655">
        <f>SUM(G22:G23)</f>
        <v>0</v>
      </c>
      <c r="H24" s="395">
        <f t="shared" si="5"/>
        <v>0</v>
      </c>
      <c r="I24" s="395"/>
      <c r="J24" s="396">
        <f>H24/DAY(B2)</f>
        <v>0</v>
      </c>
      <c r="K24" s="537"/>
      <c r="L24" s="427"/>
      <c r="N24" s="536"/>
      <c r="O24" s="171"/>
    </row>
    <row r="25" spans="1:15" ht="22.5" x14ac:dyDescent="0.4">
      <c r="A25" s="829" t="s">
        <v>149</v>
      </c>
      <c r="B25" s="830"/>
      <c r="C25" s="831"/>
      <c r="D25" s="389"/>
      <c r="E25" s="389"/>
      <c r="F25" s="646"/>
      <c r="G25" s="714"/>
      <c r="H25" s="646"/>
      <c r="I25" s="665"/>
      <c r="J25" s="647"/>
      <c r="K25" s="537"/>
      <c r="L25" s="427"/>
      <c r="N25" s="536"/>
      <c r="O25" s="171"/>
    </row>
    <row r="26" spans="1:15" ht="22.5" x14ac:dyDescent="0.4">
      <c r="A26" s="519" t="s">
        <v>150</v>
      </c>
      <c r="B26" s="415"/>
      <c r="C26" s="416"/>
      <c r="D26" s="417" t="s">
        <v>151</v>
      </c>
      <c r="E26" s="704"/>
      <c r="F26" s="666"/>
      <c r="G26" s="717"/>
      <c r="H26" s="395"/>
      <c r="I26" s="418"/>
      <c r="J26" s="396"/>
      <c r="K26" s="538"/>
      <c r="L26" s="427"/>
      <c r="N26" s="536"/>
      <c r="O26" s="171"/>
    </row>
    <row r="27" spans="1:15" ht="22.5" x14ac:dyDescent="0.4">
      <c r="A27" s="519" t="s">
        <v>5</v>
      </c>
      <c r="B27" s="415"/>
      <c r="C27" s="416"/>
      <c r="D27" s="419" t="s">
        <v>24</v>
      </c>
      <c r="E27" s="705">
        <f>G8</f>
        <v>17458.849999999977</v>
      </c>
      <c r="F27" s="667">
        <v>9</v>
      </c>
      <c r="G27" s="718">
        <f>E27*F27</f>
        <v>157129.64999999979</v>
      </c>
      <c r="H27" s="395">
        <f t="shared" ref="H27:H32" si="6">G27</f>
        <v>157129.64999999979</v>
      </c>
      <c r="I27" s="668"/>
      <c r="J27" s="396">
        <f>H27/DAY(B2)</f>
        <v>157129.64999999979</v>
      </c>
      <c r="K27" s="537"/>
      <c r="L27" s="427"/>
      <c r="N27" s="536"/>
      <c r="O27" s="171"/>
    </row>
    <row r="28" spans="1:15" ht="22.5" x14ac:dyDescent="0.4">
      <c r="A28" s="519" t="s">
        <v>152</v>
      </c>
      <c r="B28" s="415"/>
      <c r="C28" s="416"/>
      <c r="D28" s="419" t="s">
        <v>153</v>
      </c>
      <c r="E28" s="705">
        <f>G15</f>
        <v>918.55799999996088</v>
      </c>
      <c r="F28" s="667">
        <v>52</v>
      </c>
      <c r="G28" s="718">
        <f>E28*F28</f>
        <v>47765.015999997966</v>
      </c>
      <c r="H28" s="395">
        <f t="shared" si="6"/>
        <v>47765.015999997966</v>
      </c>
      <c r="I28" s="418"/>
      <c r="J28" s="396">
        <f>H28/DAY(B2)</f>
        <v>47765.015999997966</v>
      </c>
      <c r="K28" s="537"/>
      <c r="L28" s="427"/>
      <c r="N28" s="536"/>
      <c r="O28" s="171"/>
    </row>
    <row r="29" spans="1:15" ht="22.5" x14ac:dyDescent="0.4">
      <c r="A29" s="519" t="s">
        <v>154</v>
      </c>
      <c r="B29" s="415"/>
      <c r="C29" s="416"/>
      <c r="D29" s="419" t="s">
        <v>155</v>
      </c>
      <c r="E29" s="705">
        <f>G24</f>
        <v>0</v>
      </c>
      <c r="F29" s="667">
        <v>69</v>
      </c>
      <c r="G29" s="718">
        <f>E29*F29</f>
        <v>0</v>
      </c>
      <c r="H29" s="395">
        <f t="shared" si="6"/>
        <v>0</v>
      </c>
      <c r="I29" s="418"/>
      <c r="J29" s="396">
        <f>H29/DAY(B2)</f>
        <v>0</v>
      </c>
      <c r="K29" s="537"/>
      <c r="L29" s="427"/>
      <c r="N29" s="536"/>
      <c r="O29" s="171"/>
    </row>
    <row r="30" spans="1:15" ht="22.5" x14ac:dyDescent="0.4">
      <c r="A30" s="519" t="s">
        <v>156</v>
      </c>
      <c r="B30" s="415"/>
      <c r="C30" s="416"/>
      <c r="D30" s="419" t="s">
        <v>157</v>
      </c>
      <c r="E30" s="705">
        <f>G19</f>
        <v>55</v>
      </c>
      <c r="F30" s="667">
        <v>146</v>
      </c>
      <c r="G30" s="718">
        <f>E30*F30</f>
        <v>8030</v>
      </c>
      <c r="H30" s="395">
        <f t="shared" si="6"/>
        <v>8030</v>
      </c>
      <c r="I30" s="418"/>
      <c r="J30" s="396">
        <f>H30/DAY(B2)</f>
        <v>8030</v>
      </c>
      <c r="K30" s="537"/>
      <c r="L30" s="427"/>
      <c r="N30" s="536"/>
      <c r="O30" s="171"/>
    </row>
    <row r="31" spans="1:15" ht="22.5" x14ac:dyDescent="0.4">
      <c r="A31" s="519" t="s">
        <v>158</v>
      </c>
      <c r="B31" s="415"/>
      <c r="C31" s="416"/>
      <c r="D31" s="419" t="s">
        <v>142</v>
      </c>
      <c r="E31" s="705">
        <f>G18</f>
        <v>180</v>
      </c>
      <c r="F31" s="667">
        <v>80</v>
      </c>
      <c r="G31" s="718">
        <f>E31*F31</f>
        <v>14400</v>
      </c>
      <c r="H31" s="395">
        <f t="shared" si="6"/>
        <v>14400</v>
      </c>
      <c r="I31" s="418"/>
      <c r="J31" s="396">
        <f>H31/DAY(B2)</f>
        <v>14400</v>
      </c>
      <c r="K31" s="537"/>
      <c r="L31" s="427"/>
      <c r="N31" s="536"/>
      <c r="O31" s="171"/>
    </row>
    <row r="32" spans="1:15" ht="22.5" x14ac:dyDescent="0.4">
      <c r="A32" s="520" t="s">
        <v>159</v>
      </c>
      <c r="B32" s="420"/>
      <c r="C32" s="421"/>
      <c r="D32" s="422"/>
      <c r="E32" s="422"/>
      <c r="F32" s="648"/>
      <c r="G32" s="719">
        <f>G27+G28+G29+G30+G31</f>
        <v>227324.66599999776</v>
      </c>
      <c r="H32" s="672">
        <f t="shared" si="6"/>
        <v>227324.66599999776</v>
      </c>
      <c r="I32" s="673"/>
      <c r="J32" s="674">
        <f>H32/DAY(B2)</f>
        <v>227324.66599999776</v>
      </c>
      <c r="K32" s="537"/>
      <c r="L32" s="427"/>
      <c r="N32" s="536"/>
      <c r="O32" s="171"/>
    </row>
    <row r="33" spans="1:15" ht="25.5" customHeight="1" x14ac:dyDescent="0.4">
      <c r="A33" s="840" t="s">
        <v>331</v>
      </c>
      <c r="B33" s="841"/>
      <c r="C33" s="841"/>
      <c r="D33" s="539"/>
      <c r="E33" s="706"/>
      <c r="F33" s="669"/>
      <c r="G33" s="669"/>
      <c r="H33" s="669"/>
      <c r="I33" s="669"/>
      <c r="J33" s="670"/>
      <c r="K33" s="537"/>
      <c r="L33" s="427"/>
      <c r="N33" s="536"/>
      <c r="O33" s="171"/>
    </row>
    <row r="34" spans="1:15" ht="22.5" x14ac:dyDescent="0.4">
      <c r="A34" s="521" t="s">
        <v>160</v>
      </c>
      <c r="B34" s="423"/>
      <c r="C34" s="423"/>
      <c r="D34" s="390"/>
      <c r="E34" s="389"/>
      <c r="F34" s="646"/>
      <c r="G34" s="646"/>
      <c r="H34" s="646"/>
      <c r="I34" s="646"/>
      <c r="J34" s="647"/>
      <c r="K34" s="537"/>
      <c r="L34" s="427"/>
      <c r="N34" s="536"/>
      <c r="O34" s="171"/>
    </row>
    <row r="35" spans="1:15" ht="22.5" x14ac:dyDescent="0.4">
      <c r="A35" s="512" t="s">
        <v>161</v>
      </c>
      <c r="B35" s="392"/>
      <c r="C35" s="392"/>
      <c r="D35" s="393" t="s">
        <v>130</v>
      </c>
      <c r="E35" s="707">
        <v>32004.98</v>
      </c>
      <c r="F35" s="660">
        <v>33251</v>
      </c>
      <c r="G35" s="713">
        <f t="shared" ref="G35:G46" si="7">F35-E35</f>
        <v>1246.0200000000004</v>
      </c>
      <c r="H35" s="395">
        <f t="shared" ref="H35:H47" si="8">G35</f>
        <v>1246.0200000000004</v>
      </c>
      <c r="I35" s="395"/>
      <c r="J35" s="396">
        <f>H35/DAY(B2)</f>
        <v>1246.0200000000004</v>
      </c>
      <c r="K35" s="537"/>
      <c r="L35" s="427"/>
      <c r="N35" s="536"/>
      <c r="O35" s="171"/>
    </row>
    <row r="36" spans="1:15" ht="22.5" x14ac:dyDescent="0.4">
      <c r="A36" s="512" t="s">
        <v>162</v>
      </c>
      <c r="B36" s="392"/>
      <c r="C36" s="392"/>
      <c r="D36" s="393" t="s">
        <v>130</v>
      </c>
      <c r="E36" s="707">
        <v>43458.74</v>
      </c>
      <c r="F36" s="660">
        <v>44169.5</v>
      </c>
      <c r="G36" s="713">
        <f t="shared" si="7"/>
        <v>710.76000000000204</v>
      </c>
      <c r="H36" s="395">
        <f t="shared" si="8"/>
        <v>710.76000000000204</v>
      </c>
      <c r="I36" s="395"/>
      <c r="J36" s="396">
        <f>H36/DAY(B2)</f>
        <v>710.76000000000204</v>
      </c>
      <c r="K36" s="537"/>
      <c r="L36" s="427"/>
      <c r="N36" s="536"/>
      <c r="O36" s="540"/>
    </row>
    <row r="37" spans="1:15" ht="22.5" x14ac:dyDescent="0.4">
      <c r="A37" s="512" t="s">
        <v>163</v>
      </c>
      <c r="B37" s="392"/>
      <c r="C37" s="392"/>
      <c r="D37" s="393" t="s">
        <v>130</v>
      </c>
      <c r="E37" s="707">
        <v>35425.089999999997</v>
      </c>
      <c r="F37" s="660">
        <v>36979.199999999997</v>
      </c>
      <c r="G37" s="713">
        <f t="shared" si="7"/>
        <v>1554.1100000000006</v>
      </c>
      <c r="H37" s="395">
        <f t="shared" si="8"/>
        <v>1554.1100000000006</v>
      </c>
      <c r="I37" s="395"/>
      <c r="J37" s="396">
        <f>H37/DAY(B2)</f>
        <v>1554.1100000000006</v>
      </c>
      <c r="K37" s="537"/>
      <c r="L37" s="427"/>
      <c r="N37" s="536"/>
      <c r="O37" s="541"/>
    </row>
    <row r="38" spans="1:15" ht="22.5" x14ac:dyDescent="0.4">
      <c r="A38" s="512" t="s">
        <v>164</v>
      </c>
      <c r="B38" s="392"/>
      <c r="C38" s="392"/>
      <c r="D38" s="393" t="s">
        <v>130</v>
      </c>
      <c r="E38" s="708">
        <v>38376.43</v>
      </c>
      <c r="F38" s="395">
        <v>39996.699999999997</v>
      </c>
      <c r="G38" s="713">
        <f t="shared" si="7"/>
        <v>1620.2699999999968</v>
      </c>
      <c r="H38" s="395">
        <f t="shared" si="8"/>
        <v>1620.2699999999968</v>
      </c>
      <c r="I38" s="395"/>
      <c r="J38" s="396">
        <f>H38/DAY(B2)</f>
        <v>1620.2699999999968</v>
      </c>
      <c r="K38" s="537"/>
      <c r="L38" s="427"/>
      <c r="N38" s="536"/>
      <c r="O38" s="171"/>
    </row>
    <row r="39" spans="1:15" ht="22.5" x14ac:dyDescent="0.4">
      <c r="A39" s="512" t="s">
        <v>165</v>
      </c>
      <c r="B39" s="392"/>
      <c r="C39" s="392"/>
      <c r="D39" s="393" t="s">
        <v>130</v>
      </c>
      <c r="E39" s="707">
        <v>59173.29</v>
      </c>
      <c r="F39" s="660">
        <v>61782.879999999997</v>
      </c>
      <c r="G39" s="713">
        <f t="shared" si="7"/>
        <v>2609.5899999999965</v>
      </c>
      <c r="H39" s="395">
        <f t="shared" si="8"/>
        <v>2609.5899999999965</v>
      </c>
      <c r="I39" s="395"/>
      <c r="J39" s="396">
        <f>H39/DAY(B2)</f>
        <v>2609.5899999999965</v>
      </c>
      <c r="K39" s="537"/>
      <c r="L39" s="427"/>
      <c r="N39" s="536"/>
      <c r="O39" s="171"/>
    </row>
    <row r="40" spans="1:15" ht="22.5" x14ac:dyDescent="0.4">
      <c r="A40" s="522" t="s">
        <v>166</v>
      </c>
      <c r="B40" s="424"/>
      <c r="C40" s="424"/>
      <c r="D40" s="393" t="s">
        <v>130</v>
      </c>
      <c r="E40" s="707">
        <v>21249.86</v>
      </c>
      <c r="F40" s="660">
        <v>21938.6</v>
      </c>
      <c r="G40" s="713">
        <f t="shared" si="7"/>
        <v>688.73999999999796</v>
      </c>
      <c r="H40" s="395">
        <f t="shared" si="8"/>
        <v>688.73999999999796</v>
      </c>
      <c r="I40" s="395"/>
      <c r="J40" s="396">
        <f>H40/DAY(B2)</f>
        <v>688.73999999999796</v>
      </c>
      <c r="K40" s="538"/>
      <c r="L40" s="427"/>
      <c r="N40" s="536"/>
      <c r="O40" s="171"/>
    </row>
    <row r="41" spans="1:15" ht="22.5" x14ac:dyDescent="0.4">
      <c r="A41" s="512" t="s">
        <v>167</v>
      </c>
      <c r="B41" s="392"/>
      <c r="C41" s="392"/>
      <c r="D41" s="393" t="s">
        <v>130</v>
      </c>
      <c r="E41" s="707">
        <v>62.73</v>
      </c>
      <c r="F41" s="660">
        <v>62.73</v>
      </c>
      <c r="G41" s="713">
        <f t="shared" si="7"/>
        <v>0</v>
      </c>
      <c r="H41" s="395">
        <f t="shared" si="8"/>
        <v>0</v>
      </c>
      <c r="I41" s="395"/>
      <c r="J41" s="396">
        <f>H41/DAY(B2)</f>
        <v>0</v>
      </c>
      <c r="K41" s="537"/>
      <c r="L41" s="427"/>
      <c r="N41" s="536"/>
      <c r="O41" s="171"/>
    </row>
    <row r="42" spans="1:15" ht="22.5" x14ac:dyDescent="0.4">
      <c r="A42" s="512" t="s">
        <v>168</v>
      </c>
      <c r="B42" s="392"/>
      <c r="C42" s="392"/>
      <c r="D42" s="393" t="s">
        <v>130</v>
      </c>
      <c r="E42" s="707">
        <v>100129.74</v>
      </c>
      <c r="F42" s="660">
        <v>104117.53</v>
      </c>
      <c r="G42" s="713">
        <f t="shared" si="7"/>
        <v>3987.7899999999936</v>
      </c>
      <c r="H42" s="395">
        <f t="shared" si="8"/>
        <v>3987.7899999999936</v>
      </c>
      <c r="I42" s="395"/>
      <c r="J42" s="396">
        <f>H42/DAY(B2)</f>
        <v>3987.7899999999936</v>
      </c>
      <c r="K42" s="537"/>
      <c r="L42" s="427"/>
      <c r="N42" s="536"/>
      <c r="O42" s="171"/>
    </row>
    <row r="43" spans="1:15" ht="22.5" x14ac:dyDescent="0.4">
      <c r="A43" s="512" t="s">
        <v>169</v>
      </c>
      <c r="B43" s="392"/>
      <c r="C43" s="392"/>
      <c r="D43" s="393" t="s">
        <v>130</v>
      </c>
      <c r="E43" s="707">
        <v>114851.6</v>
      </c>
      <c r="F43" s="660">
        <v>116753.53</v>
      </c>
      <c r="G43" s="713">
        <f t="shared" si="7"/>
        <v>1901.929999999993</v>
      </c>
      <c r="H43" s="395">
        <f t="shared" si="8"/>
        <v>1901.929999999993</v>
      </c>
      <c r="I43" s="395"/>
      <c r="J43" s="396">
        <f>H43/DAY(B2)</f>
        <v>1901.929999999993</v>
      </c>
      <c r="K43" s="537"/>
      <c r="L43" s="427"/>
      <c r="N43" s="536"/>
      <c r="O43" s="171"/>
    </row>
    <row r="44" spans="1:15" ht="22.5" x14ac:dyDescent="0.4">
      <c r="A44" s="512" t="s">
        <v>170</v>
      </c>
      <c r="B44" s="392"/>
      <c r="C44" s="392"/>
      <c r="D44" s="393" t="s">
        <v>130</v>
      </c>
      <c r="E44" s="707">
        <v>0</v>
      </c>
      <c r="F44" s="660">
        <v>0</v>
      </c>
      <c r="G44" s="713">
        <f t="shared" si="7"/>
        <v>0</v>
      </c>
      <c r="H44" s="395">
        <f t="shared" si="8"/>
        <v>0</v>
      </c>
      <c r="I44" s="395"/>
      <c r="J44" s="396">
        <f>H44/DAY(B2)</f>
        <v>0</v>
      </c>
      <c r="K44" s="537"/>
      <c r="L44" s="427"/>
      <c r="N44" s="536"/>
      <c r="O44" s="171"/>
    </row>
    <row r="45" spans="1:15" ht="22.5" x14ac:dyDescent="0.4">
      <c r="A45" s="512" t="s">
        <v>171</v>
      </c>
      <c r="B45" s="392"/>
      <c r="C45" s="392"/>
      <c r="D45" s="393" t="s">
        <v>130</v>
      </c>
      <c r="E45" s="707">
        <v>0</v>
      </c>
      <c r="F45" s="660">
        <v>0</v>
      </c>
      <c r="G45" s="713">
        <f t="shared" si="7"/>
        <v>0</v>
      </c>
      <c r="H45" s="395">
        <f t="shared" si="8"/>
        <v>0</v>
      </c>
      <c r="I45" s="395"/>
      <c r="J45" s="396">
        <f>H45/DAY(B2)</f>
        <v>0</v>
      </c>
      <c r="K45" s="537"/>
      <c r="L45" s="427"/>
      <c r="N45" s="536"/>
      <c r="O45" s="171"/>
    </row>
    <row r="46" spans="1:15" ht="22.5" x14ac:dyDescent="0.4">
      <c r="A46" s="512" t="s">
        <v>172</v>
      </c>
      <c r="B46" s="392"/>
      <c r="C46" s="392"/>
      <c r="D46" s="393" t="s">
        <v>130</v>
      </c>
      <c r="E46" s="707">
        <v>0</v>
      </c>
      <c r="F46" s="660">
        <v>0</v>
      </c>
      <c r="G46" s="713">
        <f t="shared" si="7"/>
        <v>0</v>
      </c>
      <c r="H46" s="395">
        <f t="shared" si="8"/>
        <v>0</v>
      </c>
      <c r="I46" s="395"/>
      <c r="J46" s="396">
        <f>H46/DAY(B2)</f>
        <v>0</v>
      </c>
      <c r="K46" s="537"/>
      <c r="L46" s="427"/>
      <c r="N46" s="536"/>
      <c r="O46" s="171"/>
    </row>
    <row r="47" spans="1:15" ht="22.5" x14ac:dyDescent="0.4">
      <c r="A47" s="515" t="s">
        <v>173</v>
      </c>
      <c r="B47" s="403"/>
      <c r="C47" s="403"/>
      <c r="D47" s="388"/>
      <c r="E47" s="387"/>
      <c r="F47" s="395"/>
      <c r="G47" s="655">
        <f>G35+G36+G37+G38+G39+G40+G41+G42+G43+G44+G45+G46</f>
        <v>14319.209999999981</v>
      </c>
      <c r="H47" s="395">
        <f t="shared" si="8"/>
        <v>14319.209999999981</v>
      </c>
      <c r="I47" s="395"/>
      <c r="J47" s="396">
        <f>H47/DAY(B2)</f>
        <v>14319.209999999981</v>
      </c>
      <c r="K47" s="537"/>
      <c r="L47" s="427"/>
      <c r="N47" s="536"/>
      <c r="O47" s="171"/>
    </row>
    <row r="48" spans="1:15" ht="22.5" x14ac:dyDescent="0.4">
      <c r="A48" s="521" t="s">
        <v>174</v>
      </c>
      <c r="B48" s="423"/>
      <c r="C48" s="423"/>
      <c r="D48" s="390"/>
      <c r="E48" s="389"/>
      <c r="F48" s="646"/>
      <c r="G48" s="646"/>
      <c r="H48" s="646"/>
      <c r="I48" s="646"/>
      <c r="J48" s="647"/>
      <c r="K48" s="537"/>
      <c r="L48" s="427"/>
      <c r="N48" s="536"/>
      <c r="O48" s="171"/>
    </row>
    <row r="49" spans="1:15" ht="22.5" x14ac:dyDescent="0.4">
      <c r="A49" s="512" t="s">
        <v>161</v>
      </c>
      <c r="B49" s="425"/>
      <c r="C49" s="425"/>
      <c r="D49" s="393" t="s">
        <v>130</v>
      </c>
      <c r="E49" s="707">
        <v>24996.19</v>
      </c>
      <c r="F49" s="660">
        <v>25935.27</v>
      </c>
      <c r="G49" s="713">
        <f t="shared" ref="G49:G58" si="9">F49-E49</f>
        <v>939.08000000000175</v>
      </c>
      <c r="H49" s="395">
        <f t="shared" ref="H49:H60" si="10">G49</f>
        <v>939.08000000000175</v>
      </c>
      <c r="I49" s="395"/>
      <c r="J49" s="396">
        <f>H49/DAY(B2)</f>
        <v>939.08000000000175</v>
      </c>
      <c r="K49" s="537"/>
      <c r="L49" s="427"/>
      <c r="N49" s="536"/>
      <c r="O49" s="171"/>
    </row>
    <row r="50" spans="1:15" ht="22.5" x14ac:dyDescent="0.4">
      <c r="A50" s="512" t="s">
        <v>175</v>
      </c>
      <c r="B50" s="425"/>
      <c r="C50" s="425"/>
      <c r="D50" s="393" t="s">
        <v>130</v>
      </c>
      <c r="E50" s="707">
        <v>56386.63</v>
      </c>
      <c r="F50" s="660">
        <v>57325.55</v>
      </c>
      <c r="G50" s="713">
        <f t="shared" si="9"/>
        <v>938.92000000000553</v>
      </c>
      <c r="H50" s="395">
        <f t="shared" si="10"/>
        <v>938.92000000000553</v>
      </c>
      <c r="I50" s="395"/>
      <c r="J50" s="396">
        <f>H50/DAY(B2)</f>
        <v>938.92000000000553</v>
      </c>
      <c r="K50" s="537"/>
      <c r="L50" s="427"/>
      <c r="N50" s="536"/>
      <c r="O50" s="171"/>
    </row>
    <row r="51" spans="1:15" ht="22.5" x14ac:dyDescent="0.4">
      <c r="A51" s="512" t="s">
        <v>163</v>
      </c>
      <c r="B51" s="425"/>
      <c r="C51" s="425"/>
      <c r="D51" s="393" t="s">
        <v>130</v>
      </c>
      <c r="E51" s="707">
        <v>0</v>
      </c>
      <c r="F51" s="660">
        <v>0</v>
      </c>
      <c r="G51" s="713">
        <f t="shared" si="9"/>
        <v>0</v>
      </c>
      <c r="H51" s="395">
        <f t="shared" si="10"/>
        <v>0</v>
      </c>
      <c r="I51" s="395"/>
      <c r="J51" s="396">
        <f>H51/DAY(B2)</f>
        <v>0</v>
      </c>
      <c r="K51" s="537"/>
      <c r="L51" s="427"/>
      <c r="N51" s="536"/>
      <c r="O51" s="171"/>
    </row>
    <row r="52" spans="1:15" ht="22.5" x14ac:dyDescent="0.4">
      <c r="A52" s="512" t="s">
        <v>176</v>
      </c>
      <c r="B52" s="425"/>
      <c r="C52" s="425"/>
      <c r="D52" s="393" t="s">
        <v>130</v>
      </c>
      <c r="E52" s="707">
        <v>0</v>
      </c>
      <c r="F52" s="660">
        <v>0</v>
      </c>
      <c r="G52" s="713">
        <f t="shared" si="9"/>
        <v>0</v>
      </c>
      <c r="H52" s="395">
        <f t="shared" si="10"/>
        <v>0</v>
      </c>
      <c r="I52" s="395"/>
      <c r="J52" s="396">
        <f>H52/DAY(B2)</f>
        <v>0</v>
      </c>
      <c r="K52" s="537"/>
      <c r="L52" s="427"/>
      <c r="N52" s="536"/>
      <c r="O52" s="171"/>
    </row>
    <row r="53" spans="1:15" ht="22.5" x14ac:dyDescent="0.4">
      <c r="A53" s="512" t="s">
        <v>165</v>
      </c>
      <c r="B53" s="425"/>
      <c r="C53" s="425"/>
      <c r="D53" s="393" t="s">
        <v>130</v>
      </c>
      <c r="E53" s="707">
        <v>0</v>
      </c>
      <c r="F53" s="660">
        <v>0</v>
      </c>
      <c r="G53" s="713">
        <f t="shared" si="9"/>
        <v>0</v>
      </c>
      <c r="H53" s="395">
        <f t="shared" si="10"/>
        <v>0</v>
      </c>
      <c r="I53" s="395"/>
      <c r="J53" s="396">
        <f>H53/DAY(B2)</f>
        <v>0</v>
      </c>
      <c r="K53" s="537"/>
      <c r="L53" s="427"/>
      <c r="N53" s="536"/>
      <c r="O53" s="171"/>
    </row>
    <row r="54" spans="1:15" ht="22.5" x14ac:dyDescent="0.4">
      <c r="A54" s="512" t="s">
        <v>177</v>
      </c>
      <c r="B54" s="425"/>
      <c r="C54" s="425"/>
      <c r="D54" s="393" t="s">
        <v>130</v>
      </c>
      <c r="E54" s="707">
        <v>5147.42</v>
      </c>
      <c r="F54" s="660">
        <v>5147.42</v>
      </c>
      <c r="G54" s="713">
        <f t="shared" si="9"/>
        <v>0</v>
      </c>
      <c r="H54" s="395">
        <f t="shared" si="10"/>
        <v>0</v>
      </c>
      <c r="I54" s="395"/>
      <c r="J54" s="396">
        <f>H54/DAY(B2)</f>
        <v>0</v>
      </c>
      <c r="K54" s="537"/>
      <c r="L54" s="427"/>
      <c r="N54" s="536"/>
      <c r="O54" s="171"/>
    </row>
    <row r="55" spans="1:15" ht="22.5" x14ac:dyDescent="0.4">
      <c r="A55" s="512" t="s">
        <v>178</v>
      </c>
      <c r="B55" s="425"/>
      <c r="C55" s="425"/>
      <c r="D55" s="393" t="s">
        <v>130</v>
      </c>
      <c r="E55" s="707">
        <v>74366.11</v>
      </c>
      <c r="F55" s="660">
        <v>74366.11</v>
      </c>
      <c r="G55" s="713">
        <f t="shared" si="9"/>
        <v>0</v>
      </c>
      <c r="H55" s="395">
        <f t="shared" si="10"/>
        <v>0</v>
      </c>
      <c r="I55" s="395"/>
      <c r="J55" s="396">
        <f>H55/DAY(B2)</f>
        <v>0</v>
      </c>
      <c r="K55" s="537"/>
      <c r="L55" s="427"/>
      <c r="N55" s="536"/>
      <c r="O55" s="171"/>
    </row>
    <row r="56" spans="1:15" ht="22.5" x14ac:dyDescent="0.4">
      <c r="A56" s="512" t="s">
        <v>179</v>
      </c>
      <c r="B56" s="425"/>
      <c r="C56" s="425"/>
      <c r="D56" s="393" t="s">
        <v>180</v>
      </c>
      <c r="E56" s="707">
        <v>8610.5400000000009</v>
      </c>
      <c r="F56" s="660">
        <v>8610.5400000000009</v>
      </c>
      <c r="G56" s="713">
        <f t="shared" si="9"/>
        <v>0</v>
      </c>
      <c r="H56" s="395">
        <f t="shared" si="10"/>
        <v>0</v>
      </c>
      <c r="I56" s="395"/>
      <c r="J56" s="396">
        <f>H56/DAY(B2)</f>
        <v>0</v>
      </c>
      <c r="K56" s="534"/>
      <c r="L56" s="427"/>
      <c r="N56" s="536"/>
      <c r="O56" s="171"/>
    </row>
    <row r="57" spans="1:15" ht="22.5" x14ac:dyDescent="0.4">
      <c r="A57" s="512" t="s">
        <v>169</v>
      </c>
      <c r="B57" s="425"/>
      <c r="C57" s="425"/>
      <c r="D57" s="393" t="s">
        <v>130</v>
      </c>
      <c r="E57" s="707">
        <v>0</v>
      </c>
      <c r="F57" s="660">
        <v>0</v>
      </c>
      <c r="G57" s="713">
        <f t="shared" si="9"/>
        <v>0</v>
      </c>
      <c r="H57" s="395">
        <f t="shared" si="10"/>
        <v>0</v>
      </c>
      <c r="I57" s="395"/>
      <c r="J57" s="396">
        <f>H57/DAY(B2)</f>
        <v>0</v>
      </c>
      <c r="K57" s="537"/>
      <c r="L57" s="427"/>
      <c r="N57" s="536"/>
      <c r="O57" s="171"/>
    </row>
    <row r="58" spans="1:15" ht="22.5" x14ac:dyDescent="0.4">
      <c r="A58" s="512" t="s">
        <v>181</v>
      </c>
      <c r="B58" s="425"/>
      <c r="C58" s="425"/>
      <c r="D58" s="393" t="s">
        <v>130</v>
      </c>
      <c r="E58" s="707">
        <v>4796.21</v>
      </c>
      <c r="F58" s="660">
        <v>4983.34</v>
      </c>
      <c r="G58" s="713">
        <f t="shared" si="9"/>
        <v>187.13000000000011</v>
      </c>
      <c r="H58" s="395">
        <f t="shared" si="10"/>
        <v>187.13000000000011</v>
      </c>
      <c r="I58" s="395"/>
      <c r="J58" s="396">
        <f>H58/DAY(B2)</f>
        <v>187.13000000000011</v>
      </c>
      <c r="K58" s="537"/>
      <c r="L58" s="427"/>
      <c r="N58" s="536"/>
      <c r="O58" s="171"/>
    </row>
    <row r="59" spans="1:15" ht="22.5" x14ac:dyDescent="0.4">
      <c r="A59" s="515" t="s">
        <v>173</v>
      </c>
      <c r="B59" s="403"/>
      <c r="C59" s="403"/>
      <c r="D59" s="387"/>
      <c r="E59" s="387"/>
      <c r="F59" s="395"/>
      <c r="G59" s="655">
        <f>G49+G50+G51+G52+G53+G54+G55+G56+G57+G58</f>
        <v>2065.1300000000074</v>
      </c>
      <c r="H59" s="395">
        <f t="shared" si="10"/>
        <v>2065.1300000000074</v>
      </c>
      <c r="I59" s="395">
        <f>G7-G60</f>
        <v>880.43000000002939</v>
      </c>
      <c r="J59" s="396">
        <f>H59/DAY(B2)</f>
        <v>2065.1300000000074</v>
      </c>
      <c r="K59" s="537"/>
      <c r="L59" s="427"/>
      <c r="N59" s="536"/>
      <c r="O59" s="171"/>
    </row>
    <row r="60" spans="1:15" ht="22.5" x14ac:dyDescent="0.4">
      <c r="A60" s="512"/>
      <c r="B60" s="392"/>
      <c r="C60" s="392"/>
      <c r="D60" s="387" t="s">
        <v>182</v>
      </c>
      <c r="E60" s="387"/>
      <c r="F60" s="395"/>
      <c r="G60" s="655">
        <f>G47+G59</f>
        <v>16384.339999999989</v>
      </c>
      <c r="H60" s="395">
        <f t="shared" si="10"/>
        <v>16384.339999999989</v>
      </c>
      <c r="I60" s="395">
        <f>G13-G60</f>
        <v>-16384.339999999989</v>
      </c>
      <c r="J60" s="396">
        <f>H60/DAY(B2)</f>
        <v>16384.339999999989</v>
      </c>
      <c r="K60" s="537"/>
      <c r="L60" s="427"/>
      <c r="N60" s="536"/>
      <c r="O60" s="171"/>
    </row>
    <row r="61" spans="1:15" s="544" customFormat="1" ht="22.5" x14ac:dyDescent="0.4">
      <c r="A61" s="820" t="s">
        <v>332</v>
      </c>
      <c r="B61" s="821"/>
      <c r="C61" s="822"/>
      <c r="D61" s="426"/>
      <c r="E61" s="426"/>
      <c r="F61" s="645"/>
      <c r="G61" s="720"/>
      <c r="H61" s="645"/>
      <c r="I61" s="645"/>
      <c r="J61" s="671"/>
      <c r="K61" s="542"/>
      <c r="L61" s="543"/>
      <c r="N61" s="536"/>
      <c r="O61" s="171"/>
    </row>
    <row r="62" spans="1:15" ht="22.5" x14ac:dyDescent="0.4">
      <c r="A62" s="800" t="s">
        <v>198</v>
      </c>
      <c r="B62" s="801"/>
      <c r="C62" s="802"/>
      <c r="D62" s="393" t="s">
        <v>142</v>
      </c>
      <c r="E62" s="411">
        <v>269516</v>
      </c>
      <c r="F62" s="662">
        <v>269579</v>
      </c>
      <c r="G62" s="713">
        <f t="shared" ref="G62:G63" si="11">F62-E62</f>
        <v>63</v>
      </c>
      <c r="H62" s="395">
        <f t="shared" ref="H62:H71" si="12">G62</f>
        <v>63</v>
      </c>
      <c r="I62" s="395"/>
      <c r="J62" s="396">
        <f>H62/DAY(B2)</f>
        <v>63</v>
      </c>
      <c r="K62" s="538"/>
      <c r="L62" s="427"/>
      <c r="N62" s="536"/>
      <c r="O62" s="171"/>
    </row>
    <row r="63" spans="1:15" ht="22.5" x14ac:dyDescent="0.4">
      <c r="A63" s="800" t="s">
        <v>199</v>
      </c>
      <c r="B63" s="801"/>
      <c r="C63" s="802"/>
      <c r="D63" s="393" t="s">
        <v>142</v>
      </c>
      <c r="E63" s="433">
        <v>215797</v>
      </c>
      <c r="F63" s="662">
        <v>215929</v>
      </c>
      <c r="G63" s="713">
        <f t="shared" si="11"/>
        <v>132</v>
      </c>
      <c r="H63" s="395">
        <f t="shared" si="12"/>
        <v>132</v>
      </c>
      <c r="I63" s="395"/>
      <c r="J63" s="396">
        <f>H63/DAY(B2)</f>
        <v>132</v>
      </c>
      <c r="K63" s="542"/>
      <c r="L63" s="427"/>
      <c r="N63" s="536"/>
      <c r="O63" s="171"/>
    </row>
    <row r="64" spans="1:15" ht="22.5" x14ac:dyDescent="0.4">
      <c r="A64" s="794" t="s">
        <v>200</v>
      </c>
      <c r="B64" s="795"/>
      <c r="C64" s="796"/>
      <c r="D64" s="393"/>
      <c r="E64" s="411"/>
      <c r="F64" s="662"/>
      <c r="G64" s="713">
        <f>G62+G63</f>
        <v>195</v>
      </c>
      <c r="H64" s="395">
        <f t="shared" si="12"/>
        <v>195</v>
      </c>
      <c r="I64" s="395"/>
      <c r="J64" s="396">
        <f>H64/DAY(B2)</f>
        <v>195</v>
      </c>
      <c r="K64" s="542"/>
      <c r="L64" s="427"/>
      <c r="N64" s="536"/>
      <c r="O64" s="171"/>
    </row>
    <row r="65" spans="1:15" ht="22.5" x14ac:dyDescent="0.4">
      <c r="A65" s="835" t="s">
        <v>201</v>
      </c>
      <c r="B65" s="836"/>
      <c r="C65" s="837"/>
      <c r="D65" s="393" t="s">
        <v>142</v>
      </c>
      <c r="E65" s="411">
        <v>434923</v>
      </c>
      <c r="F65" s="662">
        <v>434994</v>
      </c>
      <c r="G65" s="713">
        <f t="shared" ref="G65:G70" si="13">F65-E65</f>
        <v>71</v>
      </c>
      <c r="H65" s="395">
        <f t="shared" si="12"/>
        <v>71</v>
      </c>
      <c r="I65" s="395"/>
      <c r="J65" s="396">
        <f>H65/DAY(B2)</f>
        <v>71</v>
      </c>
      <c r="K65" s="542"/>
      <c r="L65" s="427"/>
      <c r="N65" s="536"/>
      <c r="O65" s="171"/>
    </row>
    <row r="66" spans="1:15" ht="22.5" x14ac:dyDescent="0.4">
      <c r="A66" s="516" t="s">
        <v>202</v>
      </c>
      <c r="B66" s="405"/>
      <c r="C66" s="405"/>
      <c r="D66" s="393" t="s">
        <v>142</v>
      </c>
      <c r="E66" s="411">
        <v>107743</v>
      </c>
      <c r="F66" s="662">
        <v>107760</v>
      </c>
      <c r="G66" s="713">
        <f t="shared" si="13"/>
        <v>17</v>
      </c>
      <c r="H66" s="395">
        <f t="shared" si="12"/>
        <v>17</v>
      </c>
      <c r="I66" s="395"/>
      <c r="J66" s="396">
        <f>H66/DAY(B2)</f>
        <v>17</v>
      </c>
      <c r="K66" s="534"/>
      <c r="L66" s="427"/>
      <c r="N66" s="536"/>
      <c r="O66" s="171"/>
    </row>
    <row r="67" spans="1:15" ht="22.5" x14ac:dyDescent="0.4">
      <c r="A67" s="516" t="s">
        <v>203</v>
      </c>
      <c r="B67" s="405"/>
      <c r="C67" s="405"/>
      <c r="D67" s="393" t="s">
        <v>142</v>
      </c>
      <c r="E67" s="411">
        <v>104648</v>
      </c>
      <c r="F67" s="662">
        <v>104662</v>
      </c>
      <c r="G67" s="713">
        <f t="shared" si="13"/>
        <v>14</v>
      </c>
      <c r="H67" s="395">
        <f t="shared" si="12"/>
        <v>14</v>
      </c>
      <c r="I67" s="395"/>
      <c r="J67" s="396">
        <f>H67/DAY(B2)</f>
        <v>14</v>
      </c>
      <c r="K67" s="545"/>
      <c r="L67" s="427"/>
      <c r="N67" s="536"/>
      <c r="O67" s="171"/>
    </row>
    <row r="68" spans="1:15" ht="22.5" x14ac:dyDescent="0.4">
      <c r="A68" s="516" t="s">
        <v>204</v>
      </c>
      <c r="B68" s="405"/>
      <c r="C68" s="405"/>
      <c r="D68" s="393" t="s">
        <v>142</v>
      </c>
      <c r="E68" s="411">
        <v>157697</v>
      </c>
      <c r="F68" s="662">
        <v>157736</v>
      </c>
      <c r="G68" s="713">
        <f t="shared" si="13"/>
        <v>39</v>
      </c>
      <c r="H68" s="395">
        <f t="shared" si="12"/>
        <v>39</v>
      </c>
      <c r="I68" s="395"/>
      <c r="J68" s="396">
        <f>H68/DAY(B2)</f>
        <v>39</v>
      </c>
      <c r="K68" s="542"/>
      <c r="L68" s="427"/>
      <c r="N68" s="536"/>
      <c r="O68" s="171"/>
    </row>
    <row r="69" spans="1:15" ht="22.5" x14ac:dyDescent="0.4">
      <c r="A69" s="516" t="s">
        <v>205</v>
      </c>
      <c r="B69" s="405"/>
      <c r="C69" s="405"/>
      <c r="D69" s="393" t="s">
        <v>142</v>
      </c>
      <c r="E69" s="411">
        <v>10541</v>
      </c>
      <c r="F69" s="662">
        <v>10550</v>
      </c>
      <c r="G69" s="713">
        <f t="shared" si="13"/>
        <v>9</v>
      </c>
      <c r="H69" s="395">
        <f t="shared" si="12"/>
        <v>9</v>
      </c>
      <c r="I69" s="395"/>
      <c r="J69" s="396">
        <f>H69/DAY(B2)</f>
        <v>9</v>
      </c>
      <c r="K69" s="542"/>
      <c r="L69" s="427"/>
      <c r="N69" s="536"/>
      <c r="O69" s="171"/>
    </row>
    <row r="70" spans="1:15" ht="22.5" x14ac:dyDescent="0.4">
      <c r="A70" s="516" t="s">
        <v>206</v>
      </c>
      <c r="B70" s="405"/>
      <c r="C70" s="405"/>
      <c r="D70" s="393" t="s">
        <v>142</v>
      </c>
      <c r="E70" s="411">
        <v>8120</v>
      </c>
      <c r="F70" s="411">
        <v>8128</v>
      </c>
      <c r="G70" s="721">
        <f t="shared" si="13"/>
        <v>8</v>
      </c>
      <c r="H70" s="395">
        <f t="shared" si="12"/>
        <v>8</v>
      </c>
      <c r="I70" s="394"/>
      <c r="J70" s="396">
        <f>H70/DAY(B2)</f>
        <v>8</v>
      </c>
      <c r="K70" s="542"/>
      <c r="L70" s="427"/>
      <c r="N70" s="536"/>
      <c r="O70" s="171"/>
    </row>
    <row r="71" spans="1:15" ht="22.5" x14ac:dyDescent="0.4">
      <c r="A71" s="794" t="s">
        <v>208</v>
      </c>
      <c r="B71" s="795"/>
      <c r="C71" s="796"/>
      <c r="D71" s="409"/>
      <c r="E71" s="409"/>
      <c r="F71" s="409"/>
      <c r="G71" s="722">
        <f>SUM(G65:G70)</f>
        <v>158</v>
      </c>
      <c r="H71" s="395">
        <f t="shared" si="12"/>
        <v>158</v>
      </c>
      <c r="I71" s="651"/>
      <c r="J71" s="396">
        <f>H71/DAY(B2)</f>
        <v>158</v>
      </c>
      <c r="K71" s="542"/>
      <c r="L71" s="427"/>
      <c r="N71" s="536"/>
      <c r="O71" s="171"/>
    </row>
    <row r="72" spans="1:15" ht="22.5" x14ac:dyDescent="0.4">
      <c r="A72" s="842"/>
      <c r="B72" s="790"/>
      <c r="C72" s="505"/>
      <c r="D72" s="427"/>
      <c r="E72" s="652"/>
      <c r="F72" s="652"/>
      <c r="G72" s="723"/>
      <c r="H72" s="428"/>
      <c r="I72" s="652"/>
      <c r="J72" s="653"/>
      <c r="N72" s="536"/>
      <c r="O72" s="171"/>
    </row>
    <row r="73" spans="1:15" ht="22.5" x14ac:dyDescent="0.4">
      <c r="A73" s="820" t="s">
        <v>333</v>
      </c>
      <c r="B73" s="821"/>
      <c r="C73" s="822"/>
      <c r="D73" s="426"/>
      <c r="E73" s="426"/>
      <c r="F73" s="426"/>
      <c r="G73" s="724"/>
      <c r="H73" s="429"/>
      <c r="I73" s="429"/>
      <c r="J73" s="430"/>
      <c r="K73" s="542"/>
      <c r="L73" s="427"/>
      <c r="N73" s="536"/>
      <c r="O73" s="171"/>
    </row>
    <row r="74" spans="1:15" ht="22.5" x14ac:dyDescent="0.4">
      <c r="A74" s="800" t="s">
        <v>220</v>
      </c>
      <c r="B74" s="801"/>
      <c r="C74" s="802"/>
      <c r="D74" s="393" t="s">
        <v>139</v>
      </c>
      <c r="E74" s="406">
        <v>901306.14899999998</v>
      </c>
      <c r="F74" s="406">
        <v>901620.68</v>
      </c>
      <c r="G74" s="721">
        <f t="shared" ref="G74:G78" si="14">F74-E74</f>
        <v>314.53100000007544</v>
      </c>
      <c r="H74" s="395">
        <f t="shared" ref="H74:H79" si="15">G74</f>
        <v>314.53100000007544</v>
      </c>
      <c r="I74" s="651"/>
      <c r="J74" s="396">
        <f>H74/DAY(B2)</f>
        <v>314.53100000007544</v>
      </c>
      <c r="K74" s="542"/>
      <c r="L74" s="427"/>
      <c r="N74" s="536"/>
      <c r="O74" s="171"/>
    </row>
    <row r="75" spans="1:15" ht="22.5" x14ac:dyDescent="0.4">
      <c r="A75" s="800" t="s">
        <v>221</v>
      </c>
      <c r="B75" s="801"/>
      <c r="C75" s="802"/>
      <c r="D75" s="393" t="s">
        <v>139</v>
      </c>
      <c r="E75" s="406">
        <v>73586.8</v>
      </c>
      <c r="F75" s="406">
        <v>73586.8</v>
      </c>
      <c r="G75" s="721">
        <f t="shared" si="14"/>
        <v>0</v>
      </c>
      <c r="H75" s="395">
        <f t="shared" si="15"/>
        <v>0</v>
      </c>
      <c r="I75" s="651"/>
      <c r="J75" s="396">
        <f>H75/DAY(B2)</f>
        <v>0</v>
      </c>
      <c r="K75" s="542"/>
      <c r="L75" s="427"/>
      <c r="N75" s="536"/>
      <c r="O75" s="171"/>
    </row>
    <row r="76" spans="1:15" ht="22.5" x14ac:dyDescent="0.4">
      <c r="A76" s="823" t="s">
        <v>222</v>
      </c>
      <c r="B76" s="824"/>
      <c r="C76" s="825"/>
      <c r="D76" s="393" t="s">
        <v>139</v>
      </c>
      <c r="E76" s="406">
        <v>169975</v>
      </c>
      <c r="F76" s="406">
        <v>170066.06</v>
      </c>
      <c r="G76" s="721">
        <f t="shared" si="14"/>
        <v>91.059999999997672</v>
      </c>
      <c r="H76" s="395">
        <f t="shared" si="15"/>
        <v>91.059999999997672</v>
      </c>
      <c r="I76" s="651"/>
      <c r="J76" s="396">
        <f>H76/DAY(B2)</f>
        <v>91.059999999997672</v>
      </c>
      <c r="K76" s="542"/>
      <c r="L76" s="427"/>
      <c r="N76" s="536"/>
      <c r="O76" s="171"/>
    </row>
    <row r="77" spans="1:15" ht="22.5" x14ac:dyDescent="0.4">
      <c r="A77" s="823" t="s">
        <v>223</v>
      </c>
      <c r="B77" s="824"/>
      <c r="C77" s="825"/>
      <c r="D77" s="393" t="s">
        <v>139</v>
      </c>
      <c r="E77" s="507">
        <v>41302.199999999997</v>
      </c>
      <c r="F77" s="406">
        <v>41331.9</v>
      </c>
      <c r="G77" s="721">
        <f t="shared" si="14"/>
        <v>29.700000000004366</v>
      </c>
      <c r="H77" s="395">
        <f t="shared" si="15"/>
        <v>29.700000000004366</v>
      </c>
      <c r="I77" s="651"/>
      <c r="J77" s="396">
        <f>H77/DAY(B2)</f>
        <v>29.700000000004366</v>
      </c>
      <c r="K77" s="542"/>
      <c r="L77" s="427"/>
      <c r="N77" s="536"/>
      <c r="O77" s="171"/>
    </row>
    <row r="78" spans="1:15" ht="22.5" x14ac:dyDescent="0.4">
      <c r="A78" s="823" t="s">
        <v>224</v>
      </c>
      <c r="B78" s="824"/>
      <c r="C78" s="825"/>
      <c r="D78" s="393" t="s">
        <v>139</v>
      </c>
      <c r="E78" s="507">
        <v>9516</v>
      </c>
      <c r="F78" s="406">
        <v>9516</v>
      </c>
      <c r="G78" s="721">
        <f t="shared" si="14"/>
        <v>0</v>
      </c>
      <c r="H78" s="395">
        <f t="shared" si="15"/>
        <v>0</v>
      </c>
      <c r="I78" s="394"/>
      <c r="J78" s="396">
        <f>H78/DAY(B2)</f>
        <v>0</v>
      </c>
      <c r="K78" s="542"/>
      <c r="L78" s="427"/>
      <c r="N78" s="536"/>
      <c r="O78" s="171"/>
    </row>
    <row r="79" spans="1:15" ht="22.5" x14ac:dyDescent="0.4">
      <c r="A79" s="823" t="s">
        <v>225</v>
      </c>
      <c r="B79" s="824"/>
      <c r="C79" s="825"/>
      <c r="D79" s="393"/>
      <c r="E79" s="406"/>
      <c r="F79" s="406"/>
      <c r="G79" s="721">
        <f>G15-SUM(G74:G78)</f>
        <v>483.26699999988341</v>
      </c>
      <c r="H79" s="395">
        <f t="shared" si="15"/>
        <v>483.26699999988341</v>
      </c>
      <c r="I79" s="394"/>
      <c r="J79" s="396"/>
      <c r="K79" s="542"/>
      <c r="L79" s="427"/>
      <c r="N79" s="536"/>
      <c r="O79" s="171"/>
    </row>
    <row r="80" spans="1:15" ht="22.5" x14ac:dyDescent="0.4">
      <c r="A80" s="794" t="s">
        <v>329</v>
      </c>
      <c r="B80" s="795"/>
      <c r="C80" s="796"/>
      <c r="D80" s="393"/>
      <c r="E80" s="401"/>
      <c r="F80" s="401"/>
      <c r="G80" s="721">
        <f>SUM(G74:G79)</f>
        <v>918.55799999996088</v>
      </c>
      <c r="H80" s="395"/>
      <c r="I80" s="394"/>
      <c r="J80" s="396"/>
      <c r="K80" s="542"/>
      <c r="L80" s="427"/>
      <c r="N80" s="536"/>
      <c r="O80" s="171"/>
    </row>
    <row r="81" spans="1:15" ht="22.5" x14ac:dyDescent="0.4">
      <c r="A81" s="814" t="s">
        <v>226</v>
      </c>
      <c r="B81" s="815"/>
      <c r="C81" s="816"/>
      <c r="D81" s="389"/>
      <c r="E81" s="389"/>
      <c r="F81" s="390"/>
      <c r="G81" s="725"/>
      <c r="H81" s="431"/>
      <c r="I81" s="431"/>
      <c r="J81" s="432"/>
      <c r="O81" s="171"/>
    </row>
    <row r="82" spans="1:15" ht="22.5" x14ac:dyDescent="0.4">
      <c r="A82" s="516" t="s">
        <v>227</v>
      </c>
      <c r="B82" s="405"/>
      <c r="C82" s="405"/>
      <c r="D82" s="393" t="s">
        <v>228</v>
      </c>
      <c r="E82" s="411">
        <v>0</v>
      </c>
      <c r="F82" s="411">
        <v>0</v>
      </c>
      <c r="G82" s="721">
        <f t="shared" ref="G82:G92" si="16">F82-E82</f>
        <v>0</v>
      </c>
      <c r="H82" s="395">
        <f t="shared" ref="H82:H92" si="17">G82</f>
        <v>0</v>
      </c>
      <c r="I82" s="394"/>
      <c r="J82" s="396">
        <f>H82/DAY(B2)</f>
        <v>0</v>
      </c>
      <c r="O82" s="171"/>
    </row>
    <row r="83" spans="1:15" ht="22.5" x14ac:dyDescent="0.4">
      <c r="A83" s="516" t="s">
        <v>229</v>
      </c>
      <c r="B83" s="405"/>
      <c r="C83" s="405"/>
      <c r="D83" s="393" t="s">
        <v>228</v>
      </c>
      <c r="E83" s="411">
        <v>0</v>
      </c>
      <c r="F83" s="411">
        <v>0</v>
      </c>
      <c r="G83" s="721">
        <f t="shared" si="16"/>
        <v>0</v>
      </c>
      <c r="H83" s="395">
        <f t="shared" si="17"/>
        <v>0</v>
      </c>
      <c r="I83" s="394"/>
      <c r="J83" s="396">
        <f>H83/DAY(B2)</f>
        <v>0</v>
      </c>
      <c r="O83" s="171"/>
    </row>
    <row r="84" spans="1:15" ht="22.5" x14ac:dyDescent="0.4">
      <c r="A84" s="516" t="s">
        <v>230</v>
      </c>
      <c r="B84" s="405"/>
      <c r="C84" s="405"/>
      <c r="D84" s="393" t="s">
        <v>228</v>
      </c>
      <c r="E84" s="433">
        <v>41675</v>
      </c>
      <c r="F84" s="433">
        <v>41675</v>
      </c>
      <c r="G84" s="721">
        <f t="shared" si="16"/>
        <v>0</v>
      </c>
      <c r="H84" s="395">
        <f t="shared" si="17"/>
        <v>0</v>
      </c>
      <c r="I84" s="394"/>
      <c r="J84" s="396">
        <f>H84/DAY(B2)</f>
        <v>0</v>
      </c>
      <c r="O84" s="171"/>
    </row>
    <row r="85" spans="1:15" ht="22.5" x14ac:dyDescent="0.4">
      <c r="A85" s="516" t="s">
        <v>231</v>
      </c>
      <c r="B85" s="405"/>
      <c r="C85" s="405"/>
      <c r="D85" s="393" t="s">
        <v>228</v>
      </c>
      <c r="E85" s="433">
        <v>2262</v>
      </c>
      <c r="F85" s="433">
        <v>2286</v>
      </c>
      <c r="G85" s="721">
        <f t="shared" si="16"/>
        <v>24</v>
      </c>
      <c r="H85" s="395">
        <f t="shared" si="17"/>
        <v>24</v>
      </c>
      <c r="I85" s="394">
        <f>G82+G83+G84+G85</f>
        <v>24</v>
      </c>
      <c r="J85" s="396">
        <f>H85/DAY(B2)</f>
        <v>24</v>
      </c>
      <c r="O85" s="171"/>
    </row>
    <row r="86" spans="1:15" ht="22.5" x14ac:dyDescent="0.4">
      <c r="A86" s="516" t="s">
        <v>232</v>
      </c>
      <c r="B86" s="405"/>
      <c r="C86" s="405"/>
      <c r="D86" s="393" t="s">
        <v>228</v>
      </c>
      <c r="E86" s="433">
        <v>43442</v>
      </c>
      <c r="F86" s="433">
        <v>43442</v>
      </c>
      <c r="G86" s="726">
        <f t="shared" si="16"/>
        <v>0</v>
      </c>
      <c r="H86" s="395">
        <f t="shared" si="17"/>
        <v>0</v>
      </c>
      <c r="I86" s="394"/>
      <c r="J86" s="396">
        <f>H86/DAY(B2)</f>
        <v>0</v>
      </c>
      <c r="O86" s="171"/>
    </row>
    <row r="87" spans="1:15" ht="22.5" x14ac:dyDescent="0.4">
      <c r="A87" s="516" t="s">
        <v>233</v>
      </c>
      <c r="B87" s="405"/>
      <c r="C87" s="405"/>
      <c r="D87" s="393" t="s">
        <v>228</v>
      </c>
      <c r="E87" s="433">
        <v>34598.5</v>
      </c>
      <c r="F87" s="433">
        <v>34598.550000000003</v>
      </c>
      <c r="G87" s="721">
        <f t="shared" si="16"/>
        <v>5.0000000002910383E-2</v>
      </c>
      <c r="H87" s="395">
        <f t="shared" si="17"/>
        <v>5.0000000002910383E-2</v>
      </c>
      <c r="I87" s="394"/>
      <c r="J87" s="396">
        <f>H87/DAY(B2)</f>
        <v>5.0000000002910383E-2</v>
      </c>
      <c r="O87" s="171"/>
    </row>
    <row r="88" spans="1:15" ht="22.5" x14ac:dyDescent="0.4">
      <c r="A88" s="516" t="s">
        <v>234</v>
      </c>
      <c r="B88" s="405"/>
      <c r="C88" s="405"/>
      <c r="D88" s="393" t="s">
        <v>228</v>
      </c>
      <c r="E88" s="433">
        <v>24063.43</v>
      </c>
      <c r="F88" s="433">
        <v>24063.43</v>
      </c>
      <c r="G88" s="721">
        <f t="shared" si="16"/>
        <v>0</v>
      </c>
      <c r="H88" s="395">
        <f t="shared" si="17"/>
        <v>0</v>
      </c>
      <c r="I88" s="394">
        <f>G86+G87+G88</f>
        <v>5.0000000002910383E-2</v>
      </c>
      <c r="J88" s="396">
        <f>H88/DAY(B2)</f>
        <v>0</v>
      </c>
      <c r="O88" s="171"/>
    </row>
    <row r="89" spans="1:15" ht="22.5" x14ac:dyDescent="0.4">
      <c r="A89" s="516" t="s">
        <v>235</v>
      </c>
      <c r="B89" s="405"/>
      <c r="C89" s="405"/>
      <c r="D89" s="393" t="s">
        <v>228</v>
      </c>
      <c r="E89" s="433">
        <v>25891.119999999999</v>
      </c>
      <c r="F89" s="433">
        <v>25900.61</v>
      </c>
      <c r="G89" s="721">
        <f t="shared" si="16"/>
        <v>9.4900000000016007</v>
      </c>
      <c r="H89" s="395">
        <f t="shared" si="17"/>
        <v>9.4900000000016007</v>
      </c>
      <c r="I89" s="394"/>
      <c r="J89" s="396">
        <f>H89/DAY(B2)</f>
        <v>9.4900000000016007</v>
      </c>
      <c r="O89" s="171"/>
    </row>
    <row r="90" spans="1:15" ht="22.5" x14ac:dyDescent="0.4">
      <c r="A90" s="516" t="s">
        <v>236</v>
      </c>
      <c r="B90" s="405"/>
      <c r="C90" s="405"/>
      <c r="D90" s="393" t="s">
        <v>228</v>
      </c>
      <c r="E90" s="433">
        <v>71163.320000000007</v>
      </c>
      <c r="F90" s="433">
        <v>71165.37</v>
      </c>
      <c r="G90" s="721">
        <f t="shared" si="16"/>
        <v>2.0499999999883585</v>
      </c>
      <c r="H90" s="395">
        <f t="shared" si="17"/>
        <v>2.0499999999883585</v>
      </c>
      <c r="I90" s="394">
        <f>G89+G90</f>
        <v>11.539999999989959</v>
      </c>
      <c r="J90" s="396">
        <f>H90/DAY(B2)</f>
        <v>2.0499999999883585</v>
      </c>
      <c r="O90" s="171"/>
    </row>
    <row r="91" spans="1:15" ht="22.5" x14ac:dyDescent="0.4">
      <c r="A91" s="516" t="s">
        <v>237</v>
      </c>
      <c r="B91" s="405"/>
      <c r="C91" s="405"/>
      <c r="D91" s="393" t="s">
        <v>228</v>
      </c>
      <c r="E91" s="411">
        <v>3251.09</v>
      </c>
      <c r="F91" s="411">
        <v>3262.86</v>
      </c>
      <c r="G91" s="721">
        <f t="shared" si="16"/>
        <v>11.769999999999982</v>
      </c>
      <c r="H91" s="395">
        <f t="shared" si="17"/>
        <v>11.769999999999982</v>
      </c>
      <c r="I91" s="442"/>
      <c r="J91" s="396">
        <f>H91/DAY(B2)</f>
        <v>11.769999999999982</v>
      </c>
      <c r="O91" s="171"/>
    </row>
    <row r="92" spans="1:15" ht="22.5" x14ac:dyDescent="0.4">
      <c r="A92" s="516" t="s">
        <v>238</v>
      </c>
      <c r="B92" s="405"/>
      <c r="C92" s="405"/>
      <c r="D92" s="393" t="s">
        <v>228</v>
      </c>
      <c r="E92" s="411">
        <v>5741.07</v>
      </c>
      <c r="F92" s="411">
        <v>5741.07</v>
      </c>
      <c r="G92" s="721">
        <f t="shared" si="16"/>
        <v>0</v>
      </c>
      <c r="H92" s="395">
        <f t="shared" si="17"/>
        <v>0</v>
      </c>
      <c r="I92" s="442"/>
      <c r="J92" s="396">
        <f>H92/DAY(B2)</f>
        <v>0</v>
      </c>
      <c r="O92" s="171"/>
    </row>
    <row r="93" spans="1:15" ht="22.5" x14ac:dyDescent="0.4">
      <c r="A93" s="817" t="s">
        <v>239</v>
      </c>
      <c r="B93" s="818"/>
      <c r="C93" s="819"/>
      <c r="D93" s="390"/>
      <c r="E93" s="390"/>
      <c r="F93" s="390"/>
      <c r="G93" s="727"/>
      <c r="H93" s="404"/>
      <c r="I93" s="404"/>
      <c r="J93" s="435"/>
      <c r="K93" s="542"/>
      <c r="L93" s="427"/>
      <c r="O93" s="171"/>
    </row>
    <row r="94" spans="1:15" ht="22.5" x14ac:dyDescent="0.4">
      <c r="A94" s="800" t="s">
        <v>240</v>
      </c>
      <c r="B94" s="801"/>
      <c r="C94" s="802"/>
      <c r="D94" s="393" t="s">
        <v>130</v>
      </c>
      <c r="E94" s="393"/>
      <c r="F94" s="393"/>
      <c r="G94" s="728">
        <f>G35+G43+G49+G57</f>
        <v>4087.0299999999952</v>
      </c>
      <c r="H94" s="395">
        <f t="shared" ref="H94:H105" si="18">G94</f>
        <v>4087.0299999999952</v>
      </c>
      <c r="I94" s="394"/>
      <c r="J94" s="396">
        <f>H94/DAY(B2)</f>
        <v>4087.0299999999952</v>
      </c>
      <c r="K94" s="542"/>
      <c r="L94" s="427"/>
      <c r="O94" s="171"/>
    </row>
    <row r="95" spans="1:15" ht="22.5" x14ac:dyDescent="0.4">
      <c r="A95" s="800" t="s">
        <v>241</v>
      </c>
      <c r="B95" s="801"/>
      <c r="C95" s="802"/>
      <c r="D95" s="393" t="s">
        <v>23</v>
      </c>
      <c r="E95" s="387"/>
      <c r="F95" s="393"/>
      <c r="G95" s="729">
        <f>G94/G7</f>
        <v>0.23672658251456524</v>
      </c>
      <c r="H95" s="395">
        <f t="shared" si="18"/>
        <v>0.23672658251456524</v>
      </c>
      <c r="I95" s="654"/>
      <c r="J95" s="396">
        <f>H95/DAY(B2)</f>
        <v>0.23672658251456524</v>
      </c>
      <c r="K95" s="542"/>
      <c r="L95" s="427"/>
      <c r="O95" s="171"/>
    </row>
    <row r="96" spans="1:15" ht="22.5" x14ac:dyDescent="0.4">
      <c r="A96" s="800" t="s">
        <v>242</v>
      </c>
      <c r="B96" s="801"/>
      <c r="C96" s="802"/>
      <c r="D96" s="393" t="s">
        <v>130</v>
      </c>
      <c r="E96" s="394"/>
      <c r="F96" s="394"/>
      <c r="G96" s="728">
        <f>G41+G42+G55+G56</f>
        <v>3987.7899999999936</v>
      </c>
      <c r="H96" s="395">
        <f t="shared" si="18"/>
        <v>3987.7899999999936</v>
      </c>
      <c r="I96" s="394"/>
      <c r="J96" s="396">
        <f>H96/DAY(B2)</f>
        <v>3987.7899999999936</v>
      </c>
      <c r="K96" s="542"/>
      <c r="L96" s="427"/>
      <c r="O96" s="171"/>
    </row>
    <row r="97" spans="1:15" ht="22.5" x14ac:dyDescent="0.4">
      <c r="A97" s="800" t="s">
        <v>243</v>
      </c>
      <c r="B97" s="801"/>
      <c r="C97" s="802"/>
      <c r="D97" s="393" t="s">
        <v>23</v>
      </c>
      <c r="E97" s="394"/>
      <c r="F97" s="394"/>
      <c r="G97" s="729">
        <f>G96/G7</f>
        <v>0.23097846076142278</v>
      </c>
      <c r="H97" s="395">
        <f t="shared" si="18"/>
        <v>0.23097846076142278</v>
      </c>
      <c r="I97" s="654"/>
      <c r="J97" s="396">
        <f>H97/DAY(B2)</f>
        <v>0.23097846076142278</v>
      </c>
      <c r="K97" s="542"/>
      <c r="L97" s="427"/>
      <c r="O97" s="171"/>
    </row>
    <row r="98" spans="1:15" ht="22.5" x14ac:dyDescent="0.4">
      <c r="A98" s="800" t="s">
        <v>244</v>
      </c>
      <c r="B98" s="801"/>
      <c r="C98" s="802"/>
      <c r="D98" s="393" t="s">
        <v>130</v>
      </c>
      <c r="E98" s="394"/>
      <c r="F98" s="394"/>
      <c r="G98" s="728">
        <f>G39+G53</f>
        <v>2609.5899999999965</v>
      </c>
      <c r="H98" s="395">
        <f t="shared" si="18"/>
        <v>2609.5899999999965</v>
      </c>
      <c r="I98" s="655"/>
      <c r="J98" s="396">
        <f>H98/DAY(B2)</f>
        <v>2609.5899999999965</v>
      </c>
      <c r="K98" s="542"/>
      <c r="L98" s="427"/>
      <c r="O98" s="171"/>
    </row>
    <row r="99" spans="1:15" ht="22.5" x14ac:dyDescent="0.4">
      <c r="A99" s="800" t="s">
        <v>245</v>
      </c>
      <c r="B99" s="801"/>
      <c r="C99" s="802"/>
      <c r="D99" s="393" t="s">
        <v>23</v>
      </c>
      <c r="E99" s="394"/>
      <c r="F99" s="394"/>
      <c r="G99" s="729">
        <f>G98/G7</f>
        <v>0.15115115926826675</v>
      </c>
      <c r="H99" s="395">
        <f t="shared" si="18"/>
        <v>0.15115115926826675</v>
      </c>
      <c r="I99" s="655"/>
      <c r="J99" s="396">
        <f>H99/DAY(B2)</f>
        <v>0.15115115926826675</v>
      </c>
      <c r="O99" s="171"/>
    </row>
    <row r="100" spans="1:15" ht="22.5" x14ac:dyDescent="0.4">
      <c r="A100" s="800" t="s">
        <v>246</v>
      </c>
      <c r="B100" s="801"/>
      <c r="C100" s="802"/>
      <c r="D100" s="393" t="s">
        <v>180</v>
      </c>
      <c r="E100" s="394"/>
      <c r="F100" s="394"/>
      <c r="G100" s="728">
        <f>G38+G52</f>
        <v>1620.2699999999968</v>
      </c>
      <c r="H100" s="395">
        <f t="shared" si="18"/>
        <v>1620.2699999999968</v>
      </c>
      <c r="I100" s="394"/>
      <c r="J100" s="396">
        <f>H100/DAY(B2)</f>
        <v>1620.2699999999968</v>
      </c>
      <c r="K100" s="546"/>
      <c r="O100" s="171"/>
    </row>
    <row r="101" spans="1:15" ht="22.5" x14ac:dyDescent="0.4">
      <c r="A101" s="800" t="s">
        <v>247</v>
      </c>
      <c r="B101" s="801"/>
      <c r="C101" s="802"/>
      <c r="D101" s="393" t="s">
        <v>23</v>
      </c>
      <c r="E101" s="394"/>
      <c r="F101" s="394"/>
      <c r="G101" s="729">
        <f>G100/G7</f>
        <v>9.3848339711446779E-2</v>
      </c>
      <c r="H101" s="395">
        <f t="shared" si="18"/>
        <v>9.3848339711446779E-2</v>
      </c>
      <c r="I101" s="655"/>
      <c r="J101" s="396">
        <f>H101/DAY(B2)</f>
        <v>9.3848339711446779E-2</v>
      </c>
      <c r="O101" s="171"/>
    </row>
    <row r="102" spans="1:15" ht="22.5" x14ac:dyDescent="0.4">
      <c r="A102" s="800" t="s">
        <v>248</v>
      </c>
      <c r="B102" s="801"/>
      <c r="C102" s="802"/>
      <c r="D102" s="393" t="s">
        <v>180</v>
      </c>
      <c r="E102" s="394"/>
      <c r="F102" s="394"/>
      <c r="G102" s="728">
        <f>G36+G50</f>
        <v>1649.6800000000076</v>
      </c>
      <c r="H102" s="395">
        <f t="shared" si="18"/>
        <v>1649.6800000000076</v>
      </c>
      <c r="I102" s="655"/>
      <c r="J102" s="396">
        <f>H102/DAY(B2)</f>
        <v>1649.6800000000076</v>
      </c>
      <c r="O102" s="171"/>
    </row>
    <row r="103" spans="1:15" ht="22.5" x14ac:dyDescent="0.4">
      <c r="A103" s="800" t="s">
        <v>249</v>
      </c>
      <c r="B103" s="801"/>
      <c r="C103" s="802"/>
      <c r="D103" s="393" t="s">
        <v>23</v>
      </c>
      <c r="E103" s="394"/>
      <c r="F103" s="394"/>
      <c r="G103" s="729">
        <f>G102/G7</f>
        <v>9.5551808683232139E-2</v>
      </c>
      <c r="H103" s="395">
        <f t="shared" si="18"/>
        <v>9.5551808683232139E-2</v>
      </c>
      <c r="I103" s="394"/>
      <c r="J103" s="396">
        <f>H103/DAY(B2)</f>
        <v>9.5551808683232139E-2</v>
      </c>
      <c r="O103" s="171"/>
    </row>
    <row r="104" spans="1:15" ht="22.5" x14ac:dyDescent="0.4">
      <c r="A104" s="800" t="s">
        <v>250</v>
      </c>
      <c r="B104" s="801"/>
      <c r="C104" s="802"/>
      <c r="D104" s="393" t="s">
        <v>180</v>
      </c>
      <c r="E104" s="394"/>
      <c r="F104" s="394"/>
      <c r="G104" s="728">
        <f>G37+G51</f>
        <v>1554.1100000000006</v>
      </c>
      <c r="H104" s="395">
        <f t="shared" si="18"/>
        <v>1554.1100000000006</v>
      </c>
      <c r="I104" s="394"/>
      <c r="J104" s="396">
        <f>H104/DAY(B2)</f>
        <v>1554.1100000000006</v>
      </c>
      <c r="O104" s="171"/>
    </row>
    <row r="105" spans="1:15" ht="23.25" thickBot="1" x14ac:dyDescent="0.45">
      <c r="A105" s="807" t="s">
        <v>251</v>
      </c>
      <c r="B105" s="808"/>
      <c r="C105" s="809"/>
      <c r="D105" s="436" t="s">
        <v>23</v>
      </c>
      <c r="E105" s="437"/>
      <c r="F105" s="437"/>
      <c r="G105" s="730">
        <f>G104/G7</f>
        <v>9.0016258542685412E-2</v>
      </c>
      <c r="H105" s="395">
        <f t="shared" si="18"/>
        <v>9.0016258542685412E-2</v>
      </c>
      <c r="I105" s="437"/>
      <c r="J105" s="438">
        <f>H105/DAY(B2)</f>
        <v>9.0016258542685412E-2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810" t="s">
        <v>324</v>
      </c>
      <c r="B108" s="810"/>
      <c r="C108" s="810"/>
      <c r="D108" s="810"/>
      <c r="E108" s="810"/>
      <c r="F108" s="810"/>
      <c r="G108" s="810"/>
      <c r="H108" s="810"/>
      <c r="I108" s="810"/>
      <c r="J108" s="810"/>
    </row>
    <row r="109" spans="1:15" ht="22.5" x14ac:dyDescent="0.4">
      <c r="A109" s="803"/>
      <c r="B109" s="803"/>
    </row>
    <row r="110" spans="1:15" ht="22.5" x14ac:dyDescent="0.4">
      <c r="A110" s="811" t="s">
        <v>165</v>
      </c>
      <c r="B110" s="812"/>
      <c r="C110" s="812"/>
      <c r="D110" s="812"/>
      <c r="E110" s="812"/>
      <c r="F110" s="812"/>
      <c r="G110" s="812"/>
      <c r="H110" s="812"/>
      <c r="I110" s="812"/>
      <c r="J110" s="813"/>
    </row>
    <row r="111" spans="1:15" ht="22.5" x14ac:dyDescent="0.4">
      <c r="A111" s="797"/>
      <c r="B111" s="798"/>
      <c r="C111" s="799"/>
      <c r="D111" s="434"/>
      <c r="E111" s="442"/>
      <c r="F111" s="442"/>
      <c r="G111" s="732"/>
      <c r="H111" s="439"/>
      <c r="I111" s="442"/>
      <c r="J111" s="439"/>
    </row>
    <row r="112" spans="1:15" ht="22.5" x14ac:dyDescent="0.4">
      <c r="A112" s="789" t="s">
        <v>252</v>
      </c>
      <c r="B112" s="792"/>
      <c r="C112" s="790"/>
      <c r="D112" s="387" t="s">
        <v>183</v>
      </c>
      <c r="E112" s="440">
        <v>58054</v>
      </c>
      <c r="F112" s="440">
        <v>58132</v>
      </c>
      <c r="G112" s="721">
        <f t="shared" ref="G112:G123" si="19">F112-E112</f>
        <v>78</v>
      </c>
      <c r="H112" s="395">
        <f t="shared" ref="H112:H123" si="20">G112</f>
        <v>78</v>
      </c>
      <c r="I112" s="442"/>
      <c r="J112" s="441">
        <f>H112/DAY(B2)</f>
        <v>78</v>
      </c>
    </row>
    <row r="113" spans="1:18" ht="29.25" customHeight="1" x14ac:dyDescent="0.4">
      <c r="A113" s="789" t="s">
        <v>253</v>
      </c>
      <c r="B113" s="792"/>
      <c r="C113" s="790"/>
      <c r="D113" s="387" t="s">
        <v>183</v>
      </c>
      <c r="E113" s="440">
        <v>46400.89</v>
      </c>
      <c r="F113" s="440">
        <v>46884.44</v>
      </c>
      <c r="G113" s="721">
        <f t="shared" si="19"/>
        <v>483.55000000000291</v>
      </c>
      <c r="H113" s="395">
        <f t="shared" si="20"/>
        <v>483.55000000000291</v>
      </c>
      <c r="I113" s="442"/>
      <c r="J113" s="441">
        <f>H113/DAY(B2)</f>
        <v>483.55000000000291</v>
      </c>
    </row>
    <row r="114" spans="1:18" ht="29.25" customHeight="1" x14ac:dyDescent="0.4">
      <c r="A114" s="789" t="s">
        <v>254</v>
      </c>
      <c r="B114" s="792"/>
      <c r="C114" s="790"/>
      <c r="D114" s="387" t="s">
        <v>183</v>
      </c>
      <c r="E114" s="440">
        <v>33160</v>
      </c>
      <c r="F114" s="440">
        <v>33421.300000000003</v>
      </c>
      <c r="G114" s="721">
        <f t="shared" si="19"/>
        <v>261.30000000000291</v>
      </c>
      <c r="H114" s="395">
        <f t="shared" si="20"/>
        <v>261.30000000000291</v>
      </c>
      <c r="I114" s="442"/>
      <c r="J114" s="441">
        <f>H114/DAY(B2)</f>
        <v>261.30000000000291</v>
      </c>
    </row>
    <row r="115" spans="1:18" ht="29.25" customHeight="1" x14ac:dyDescent="0.4">
      <c r="A115" s="789" t="s">
        <v>255</v>
      </c>
      <c r="B115" s="792"/>
      <c r="C115" s="790"/>
      <c r="D115" s="387" t="s">
        <v>183</v>
      </c>
      <c r="E115" s="440">
        <v>9094.65</v>
      </c>
      <c r="F115" s="440">
        <v>9103.4500000000007</v>
      </c>
      <c r="G115" s="721">
        <f t="shared" si="19"/>
        <v>8.8000000000010914</v>
      </c>
      <c r="H115" s="395">
        <f t="shared" si="20"/>
        <v>8.8000000000010914</v>
      </c>
      <c r="I115" s="442"/>
      <c r="J115" s="441">
        <f>H115/DAY(B2)</f>
        <v>8.8000000000010914</v>
      </c>
    </row>
    <row r="116" spans="1:18" ht="29.25" customHeight="1" x14ac:dyDescent="0.4">
      <c r="A116" s="804" t="s">
        <v>96</v>
      </c>
      <c r="B116" s="805"/>
      <c r="C116" s="806"/>
      <c r="D116" s="387" t="s">
        <v>183</v>
      </c>
      <c r="E116" s="440">
        <v>0</v>
      </c>
      <c r="F116" s="440">
        <v>0</v>
      </c>
      <c r="G116" s="721">
        <f t="shared" si="19"/>
        <v>0</v>
      </c>
      <c r="H116" s="395">
        <f t="shared" si="20"/>
        <v>0</v>
      </c>
      <c r="I116" s="442"/>
      <c r="J116" s="441">
        <f>H116/DAY(B2)</f>
        <v>0</v>
      </c>
      <c r="Q116" s="789"/>
      <c r="R116" s="790"/>
    </row>
    <row r="117" spans="1:18" ht="29.25" customHeight="1" x14ac:dyDescent="0.4">
      <c r="A117" s="804" t="s">
        <v>184</v>
      </c>
      <c r="B117" s="805"/>
      <c r="C117" s="806"/>
      <c r="D117" s="387" t="s">
        <v>183</v>
      </c>
      <c r="E117" s="440">
        <v>3337.95</v>
      </c>
      <c r="F117" s="440">
        <v>3359.77</v>
      </c>
      <c r="G117" s="721">
        <f t="shared" si="19"/>
        <v>21.820000000000164</v>
      </c>
      <c r="H117" s="395">
        <f t="shared" si="20"/>
        <v>21.820000000000164</v>
      </c>
      <c r="I117" s="442"/>
      <c r="J117" s="441">
        <f>H117/DAY(B2)</f>
        <v>21.820000000000164</v>
      </c>
      <c r="Q117" s="789"/>
      <c r="R117" s="790"/>
    </row>
    <row r="118" spans="1:18" ht="22.5" x14ac:dyDescent="0.4">
      <c r="A118" s="788" t="s">
        <v>97</v>
      </c>
      <c r="B118" s="788"/>
      <c r="C118" s="788"/>
      <c r="D118" s="393" t="s">
        <v>183</v>
      </c>
      <c r="E118" s="440">
        <v>252452.31</v>
      </c>
      <c r="F118" s="440">
        <v>252762.81</v>
      </c>
      <c r="G118" s="721">
        <f t="shared" si="19"/>
        <v>310.5</v>
      </c>
      <c r="H118" s="395">
        <f t="shared" si="20"/>
        <v>310.5</v>
      </c>
      <c r="I118" s="442"/>
      <c r="J118" s="441">
        <f>H118/DAY(B2)</f>
        <v>310.5</v>
      </c>
      <c r="Q118" s="789"/>
      <c r="R118" s="790"/>
    </row>
    <row r="119" spans="1:18" ht="22.5" x14ac:dyDescent="0.4">
      <c r="A119" s="788" t="s">
        <v>98</v>
      </c>
      <c r="B119" s="788"/>
      <c r="C119" s="788"/>
      <c r="D119" s="393" t="s">
        <v>183</v>
      </c>
      <c r="E119" s="440">
        <v>258148.55</v>
      </c>
      <c r="F119" s="440">
        <v>258589.7</v>
      </c>
      <c r="G119" s="721">
        <f t="shared" si="19"/>
        <v>441.15000000002328</v>
      </c>
      <c r="H119" s="395">
        <f t="shared" si="20"/>
        <v>441.15000000002328</v>
      </c>
      <c r="I119" s="442"/>
      <c r="J119" s="441">
        <f>H119/DAY(B2)</f>
        <v>441.15000000002328</v>
      </c>
    </row>
    <row r="120" spans="1:18" ht="22.5" x14ac:dyDescent="0.4">
      <c r="A120" s="788" t="s">
        <v>99</v>
      </c>
      <c r="B120" s="788"/>
      <c r="C120" s="788"/>
      <c r="D120" s="393" t="s">
        <v>183</v>
      </c>
      <c r="E120" s="440">
        <v>42959.61</v>
      </c>
      <c r="F120" s="440">
        <v>43373.75</v>
      </c>
      <c r="G120" s="721">
        <f t="shared" si="19"/>
        <v>414.13999999999942</v>
      </c>
      <c r="H120" s="395">
        <f t="shared" si="20"/>
        <v>414.13999999999942</v>
      </c>
      <c r="I120" s="442"/>
      <c r="J120" s="441">
        <f>H120/DAY(B2)</f>
        <v>414.13999999999942</v>
      </c>
    </row>
    <row r="121" spans="1:18" ht="22.5" x14ac:dyDescent="0.4">
      <c r="A121" s="788" t="s">
        <v>100</v>
      </c>
      <c r="B121" s="788"/>
      <c r="C121" s="788"/>
      <c r="D121" s="393" t="s">
        <v>183</v>
      </c>
      <c r="E121" s="440">
        <v>398034.43</v>
      </c>
      <c r="F121" s="440">
        <v>398755.31</v>
      </c>
      <c r="G121" s="721">
        <f t="shared" si="19"/>
        <v>720.88000000000466</v>
      </c>
      <c r="H121" s="395">
        <f t="shared" si="20"/>
        <v>720.88000000000466</v>
      </c>
      <c r="I121" s="442"/>
      <c r="J121" s="441">
        <f>H121/DAY(B2)</f>
        <v>720.88000000000466</v>
      </c>
    </row>
    <row r="122" spans="1:18" ht="22.5" x14ac:dyDescent="0.4">
      <c r="A122" s="788" t="s">
        <v>101</v>
      </c>
      <c r="B122" s="788"/>
      <c r="C122" s="788"/>
      <c r="D122" s="393" t="s">
        <v>183</v>
      </c>
      <c r="E122" s="440">
        <v>126186.18</v>
      </c>
      <c r="F122" s="440">
        <v>126392.21</v>
      </c>
      <c r="G122" s="721">
        <f t="shared" si="19"/>
        <v>206.03000000001339</v>
      </c>
      <c r="H122" s="395">
        <f t="shared" si="20"/>
        <v>206.03000000001339</v>
      </c>
      <c r="I122" s="442"/>
      <c r="J122" s="441">
        <f>H122/DAY(B2)</f>
        <v>206.03000000001339</v>
      </c>
    </row>
    <row r="123" spans="1:18" ht="22.5" x14ac:dyDescent="0.4">
      <c r="A123" s="788" t="s">
        <v>102</v>
      </c>
      <c r="B123" s="788"/>
      <c r="C123" s="788"/>
      <c r="D123" s="393" t="s">
        <v>183</v>
      </c>
      <c r="E123" s="440">
        <v>154046.95000000001</v>
      </c>
      <c r="F123" s="440">
        <v>154308.20000000001</v>
      </c>
      <c r="G123" s="721">
        <f t="shared" si="19"/>
        <v>261.25</v>
      </c>
      <c r="H123" s="395">
        <f t="shared" si="20"/>
        <v>261.25</v>
      </c>
      <c r="I123" s="442"/>
      <c r="J123" s="441">
        <f>H123/DAY(B2)</f>
        <v>261.25</v>
      </c>
    </row>
    <row r="124" spans="1:18" ht="29.25" customHeight="1" x14ac:dyDescent="0.4">
      <c r="A124" s="797"/>
      <c r="B124" s="798"/>
      <c r="C124" s="799"/>
      <c r="D124" s="434"/>
      <c r="E124" s="442"/>
      <c r="F124" s="442"/>
      <c r="G124" s="732"/>
      <c r="H124" s="439"/>
      <c r="I124" s="442"/>
      <c r="J124" s="439"/>
    </row>
    <row r="125" spans="1:18" ht="27" x14ac:dyDescent="0.5">
      <c r="A125" s="794" t="s">
        <v>196</v>
      </c>
      <c r="B125" s="795"/>
      <c r="C125" s="796"/>
      <c r="D125" s="393"/>
      <c r="E125" s="709"/>
      <c r="F125" s="442"/>
      <c r="G125" s="721">
        <f>SUM(G112:G124)</f>
        <v>3207.4200000000478</v>
      </c>
      <c r="H125" s="439"/>
      <c r="I125" s="156">
        <f>G125-(G39+G53)</f>
        <v>597.83000000005131</v>
      </c>
      <c r="J125" s="439"/>
    </row>
    <row r="126" spans="1:18" ht="22.5" x14ac:dyDescent="0.4">
      <c r="A126" s="782" t="s">
        <v>317</v>
      </c>
      <c r="B126" s="782"/>
      <c r="C126" s="782"/>
      <c r="D126" s="782"/>
      <c r="E126" s="782"/>
      <c r="F126" s="782"/>
      <c r="G126" s="782"/>
      <c r="H126" s="782"/>
      <c r="I126" s="782"/>
      <c r="J126" s="782"/>
    </row>
    <row r="127" spans="1:18" ht="27" x14ac:dyDescent="0.5">
      <c r="A127" s="783"/>
      <c r="B127" s="783"/>
      <c r="C127" s="434"/>
      <c r="D127" s="393"/>
      <c r="E127" s="709"/>
      <c r="F127" s="442"/>
      <c r="G127" s="721"/>
      <c r="H127" s="395">
        <f t="shared" ref="H127:H135" si="21">G127</f>
        <v>0</v>
      </c>
      <c r="I127" s="442"/>
      <c r="J127" s="441">
        <f>H127/DAY(B2)</f>
        <v>0</v>
      </c>
    </row>
    <row r="128" spans="1:18" ht="29.25" customHeight="1" x14ac:dyDescent="0.4">
      <c r="A128" s="789" t="s">
        <v>318</v>
      </c>
      <c r="B128" s="792"/>
      <c r="C128" s="790"/>
      <c r="D128" s="393" t="s">
        <v>183</v>
      </c>
      <c r="E128" s="442">
        <v>47746</v>
      </c>
      <c r="F128" s="442">
        <v>48067</v>
      </c>
      <c r="G128" s="721">
        <f t="shared" ref="G128:G133" si="22">F128-E128</f>
        <v>321</v>
      </c>
      <c r="H128" s="395">
        <f t="shared" si="21"/>
        <v>321</v>
      </c>
      <c r="I128" s="442"/>
      <c r="J128" s="441">
        <f>H128/DAY(B2)</f>
        <v>321</v>
      </c>
    </row>
    <row r="129" spans="1:15" ht="22.5" x14ac:dyDescent="0.4">
      <c r="A129" s="523" t="s">
        <v>319</v>
      </c>
      <c r="B129" s="443"/>
      <c r="C129" s="444"/>
      <c r="D129" s="393" t="s">
        <v>183</v>
      </c>
      <c r="E129" s="442">
        <v>26910.87</v>
      </c>
      <c r="F129" s="442">
        <v>27123</v>
      </c>
      <c r="G129" s="721">
        <f t="shared" si="22"/>
        <v>212.13000000000102</v>
      </c>
      <c r="H129" s="395">
        <f t="shared" si="21"/>
        <v>212.13000000000102</v>
      </c>
      <c r="I129" s="442"/>
      <c r="J129" s="441">
        <f>H129/DAY(B2)</f>
        <v>212.13000000000102</v>
      </c>
      <c r="N129" s="547"/>
      <c r="O129" s="495"/>
    </row>
    <row r="130" spans="1:15" ht="22.5" x14ac:dyDescent="0.4">
      <c r="A130" s="523" t="s">
        <v>320</v>
      </c>
      <c r="B130" s="443"/>
      <c r="C130" s="444"/>
      <c r="D130" s="393" t="s">
        <v>183</v>
      </c>
      <c r="E130" s="442">
        <v>35694</v>
      </c>
      <c r="F130" s="442">
        <v>36147.81</v>
      </c>
      <c r="G130" s="721">
        <f t="shared" si="22"/>
        <v>453.80999999999767</v>
      </c>
      <c r="H130" s="395">
        <f t="shared" si="21"/>
        <v>453.80999999999767</v>
      </c>
      <c r="I130" s="442"/>
      <c r="J130" s="441">
        <f>H130/DAY(B2)</f>
        <v>453.80999999999767</v>
      </c>
      <c r="N130" s="547"/>
      <c r="O130" s="495"/>
    </row>
    <row r="131" spans="1:15" ht="22.5" x14ac:dyDescent="0.4">
      <c r="A131" s="789" t="s">
        <v>321</v>
      </c>
      <c r="B131" s="792"/>
      <c r="C131" s="790"/>
      <c r="D131" s="393" t="s">
        <v>183</v>
      </c>
      <c r="E131" s="442">
        <v>15307.68</v>
      </c>
      <c r="F131" s="644">
        <v>15367.2</v>
      </c>
      <c r="G131" s="726">
        <f t="shared" si="22"/>
        <v>59.520000000000437</v>
      </c>
      <c r="H131" s="395">
        <f t="shared" si="21"/>
        <v>59.520000000000437</v>
      </c>
      <c r="I131" s="442"/>
      <c r="J131" s="441">
        <f>H131/DAY(B2)</f>
        <v>59.520000000000437</v>
      </c>
      <c r="N131" s="547"/>
      <c r="O131" s="495"/>
    </row>
    <row r="132" spans="1:15" ht="22.5" x14ac:dyDescent="0.4">
      <c r="A132" s="789" t="s">
        <v>322</v>
      </c>
      <c r="B132" s="792"/>
      <c r="C132" s="790"/>
      <c r="D132" s="393" t="s">
        <v>183</v>
      </c>
      <c r="E132" s="442">
        <v>51848.3</v>
      </c>
      <c r="F132" s="644">
        <v>52011.77</v>
      </c>
      <c r="G132" s="726">
        <f t="shared" si="22"/>
        <v>163.46999999999389</v>
      </c>
      <c r="H132" s="395">
        <f t="shared" si="21"/>
        <v>163.46999999999389</v>
      </c>
      <c r="I132" s="442"/>
      <c r="J132" s="441">
        <f>H132/DAY(B2)</f>
        <v>163.46999999999389</v>
      </c>
    </row>
    <row r="133" spans="1:15" ht="22.5" x14ac:dyDescent="0.4">
      <c r="A133" s="789" t="s">
        <v>342</v>
      </c>
      <c r="B133" s="792"/>
      <c r="C133" s="790"/>
      <c r="D133" s="393" t="s">
        <v>183</v>
      </c>
      <c r="E133" s="442">
        <v>105343.7</v>
      </c>
      <c r="F133" s="644">
        <v>105836.27</v>
      </c>
      <c r="G133" s="726">
        <f t="shared" si="22"/>
        <v>492.57000000000698</v>
      </c>
      <c r="H133" s="395">
        <f t="shared" si="21"/>
        <v>492.57000000000698</v>
      </c>
      <c r="I133" s="442"/>
      <c r="J133" s="441">
        <f>H133/DAY(B2)</f>
        <v>492.57000000000698</v>
      </c>
    </row>
    <row r="134" spans="1:15" ht="22.5" x14ac:dyDescent="0.4">
      <c r="A134" s="793" t="s">
        <v>340</v>
      </c>
      <c r="B134" s="787"/>
      <c r="C134" s="777"/>
      <c r="D134" s="393" t="s">
        <v>183</v>
      </c>
      <c r="E134" s="442">
        <v>8601.23</v>
      </c>
      <c r="F134" s="644">
        <v>8755.39</v>
      </c>
      <c r="G134" s="726">
        <f>F134-E134</f>
        <v>154.15999999999985</v>
      </c>
      <c r="H134" s="395">
        <f t="shared" ref="H134" si="23">G134</f>
        <v>154.15999999999985</v>
      </c>
      <c r="I134" s="442"/>
      <c r="J134" s="441">
        <f>H134/DAY(B2)</f>
        <v>154.15999999999985</v>
      </c>
    </row>
    <row r="135" spans="1:15" ht="22.5" x14ac:dyDescent="0.4">
      <c r="A135" s="794" t="s">
        <v>196</v>
      </c>
      <c r="B135" s="795"/>
      <c r="C135" s="796"/>
      <c r="D135" s="393"/>
      <c r="E135" s="442"/>
      <c r="F135" s="442"/>
      <c r="G135" s="721">
        <f>SUM(G128:G134)</f>
        <v>1856.6599999999999</v>
      </c>
      <c r="H135" s="395">
        <f t="shared" si="21"/>
        <v>1856.6599999999999</v>
      </c>
      <c r="I135" s="156">
        <f>G135-(G35+G49)</f>
        <v>-328.44000000000233</v>
      </c>
      <c r="J135" s="441">
        <f>H135/DAY(B2)</f>
        <v>1856.6599999999999</v>
      </c>
    </row>
    <row r="136" spans="1:15" ht="22.5" x14ac:dyDescent="0.4">
      <c r="A136" s="782" t="s">
        <v>325</v>
      </c>
      <c r="B136" s="782"/>
      <c r="C136" s="782"/>
      <c r="D136" s="782"/>
      <c r="E136" s="782"/>
      <c r="F136" s="782"/>
      <c r="G136" s="782"/>
      <c r="H136" s="782"/>
      <c r="I136" s="782"/>
      <c r="J136" s="782"/>
    </row>
    <row r="137" spans="1:15" ht="22.5" x14ac:dyDescent="0.4">
      <c r="A137" s="165"/>
      <c r="B137" s="434"/>
      <c r="C137" s="434"/>
      <c r="D137" s="434"/>
      <c r="E137" s="442"/>
      <c r="F137" s="442"/>
      <c r="G137" s="732"/>
      <c r="H137" s="439"/>
      <c r="I137" s="442"/>
      <c r="J137" s="439"/>
    </row>
    <row r="138" spans="1:15" ht="22.5" x14ac:dyDescent="0.4">
      <c r="A138" s="788" t="s">
        <v>185</v>
      </c>
      <c r="B138" s="788"/>
      <c r="C138" s="788"/>
      <c r="D138" s="393" t="s">
        <v>183</v>
      </c>
      <c r="E138" s="445">
        <v>866173</v>
      </c>
      <c r="F138" s="445">
        <v>866234</v>
      </c>
      <c r="G138" s="721">
        <f t="shared" ref="G138:G150" si="24">F138-E138</f>
        <v>61</v>
      </c>
      <c r="H138" s="395">
        <f t="shared" ref="H138:H150" si="25">G138</f>
        <v>61</v>
      </c>
      <c r="I138" s="394"/>
      <c r="J138" s="441">
        <f>H138/DAY(B2)</f>
        <v>61</v>
      </c>
    </row>
    <row r="139" spans="1:15" ht="22.5" x14ac:dyDescent="0.4">
      <c r="A139" s="788" t="s">
        <v>186</v>
      </c>
      <c r="B139" s="788"/>
      <c r="C139" s="788"/>
      <c r="D139" s="393" t="s">
        <v>183</v>
      </c>
      <c r="E139" s="446">
        <v>886573</v>
      </c>
      <c r="F139" s="446">
        <v>886574</v>
      </c>
      <c r="G139" s="721">
        <f t="shared" si="24"/>
        <v>1</v>
      </c>
      <c r="H139" s="395">
        <f t="shared" si="25"/>
        <v>1</v>
      </c>
      <c r="I139" s="394"/>
      <c r="J139" s="441">
        <f>H139/DAY(B2)</f>
        <v>1</v>
      </c>
    </row>
    <row r="140" spans="1:15" ht="22.5" x14ac:dyDescent="0.4">
      <c r="A140" s="788" t="s">
        <v>187</v>
      </c>
      <c r="B140" s="788"/>
      <c r="C140" s="788"/>
      <c r="D140" s="393" t="s">
        <v>183</v>
      </c>
      <c r="E140" s="447">
        <v>88922</v>
      </c>
      <c r="F140" s="447">
        <v>88922</v>
      </c>
      <c r="G140" s="721">
        <f t="shared" si="24"/>
        <v>0</v>
      </c>
      <c r="H140" s="395">
        <f t="shared" si="25"/>
        <v>0</v>
      </c>
      <c r="I140" s="394"/>
      <c r="J140" s="441">
        <f>H140/DAY(B2)</f>
        <v>0</v>
      </c>
    </row>
    <row r="141" spans="1:15" ht="22.5" x14ac:dyDescent="0.4">
      <c r="A141" s="791" t="s">
        <v>188</v>
      </c>
      <c r="B141" s="791"/>
      <c r="C141" s="791"/>
      <c r="D141" s="448" t="s">
        <v>183</v>
      </c>
      <c r="E141" s="447">
        <v>54685.58</v>
      </c>
      <c r="F141" s="446">
        <v>54851.17</v>
      </c>
      <c r="G141" s="726">
        <f t="shared" si="24"/>
        <v>165.58999999999651</v>
      </c>
      <c r="H141" s="453">
        <f t="shared" si="25"/>
        <v>165.58999999999651</v>
      </c>
      <c r="I141" s="656"/>
      <c r="J141" s="525">
        <f>H141/DAY(B2)</f>
        <v>165.58999999999651</v>
      </c>
    </row>
    <row r="142" spans="1:15" ht="22.5" x14ac:dyDescent="0.4">
      <c r="A142" s="791" t="s">
        <v>189</v>
      </c>
      <c r="B142" s="791"/>
      <c r="C142" s="791"/>
      <c r="D142" s="448" t="s">
        <v>183</v>
      </c>
      <c r="E142" s="446">
        <v>21284.1</v>
      </c>
      <c r="F142" s="446">
        <v>21357.57</v>
      </c>
      <c r="G142" s="726">
        <f t="shared" si="24"/>
        <v>73.470000000001164</v>
      </c>
      <c r="H142" s="453">
        <f t="shared" si="25"/>
        <v>73.470000000001164</v>
      </c>
      <c r="I142" s="657"/>
      <c r="J142" s="525">
        <f>H142/DAY(B2)</f>
        <v>73.470000000001164</v>
      </c>
    </row>
    <row r="143" spans="1:15" ht="22.5" x14ac:dyDescent="0.4">
      <c r="A143" s="847" t="s">
        <v>91</v>
      </c>
      <c r="B143" s="847"/>
      <c r="C143" s="847"/>
      <c r="D143" s="448" t="s">
        <v>183</v>
      </c>
      <c r="E143" s="447">
        <v>3835.39</v>
      </c>
      <c r="F143" s="446">
        <v>3864.39</v>
      </c>
      <c r="G143" s="726">
        <f t="shared" si="24"/>
        <v>29</v>
      </c>
      <c r="H143" s="453">
        <f t="shared" si="25"/>
        <v>29</v>
      </c>
      <c r="I143" s="657"/>
      <c r="J143" s="525">
        <f>H143/DAY(B2)</f>
        <v>29</v>
      </c>
    </row>
    <row r="144" spans="1:15" ht="22.5" x14ac:dyDescent="0.4">
      <c r="A144" s="791" t="s">
        <v>90</v>
      </c>
      <c r="B144" s="791"/>
      <c r="C144" s="791"/>
      <c r="D144" s="448" t="s">
        <v>183</v>
      </c>
      <c r="E144" s="447">
        <v>876487</v>
      </c>
      <c r="F144" s="446">
        <v>876683</v>
      </c>
      <c r="G144" s="726">
        <f t="shared" si="24"/>
        <v>196</v>
      </c>
      <c r="H144" s="453">
        <f t="shared" si="25"/>
        <v>196</v>
      </c>
      <c r="I144" s="657"/>
      <c r="J144" s="525">
        <f>H144/DAY(B2)</f>
        <v>196</v>
      </c>
    </row>
    <row r="145" spans="1:10" ht="22.5" x14ac:dyDescent="0.4">
      <c r="A145" s="847" t="s">
        <v>190</v>
      </c>
      <c r="B145" s="847"/>
      <c r="C145" s="847"/>
      <c r="D145" s="448" t="s">
        <v>183</v>
      </c>
      <c r="E145" s="447">
        <v>4958.84</v>
      </c>
      <c r="F145" s="446">
        <v>4971.62</v>
      </c>
      <c r="G145" s="726">
        <f t="shared" si="24"/>
        <v>12.779999999999745</v>
      </c>
      <c r="H145" s="453">
        <f t="shared" si="25"/>
        <v>12.779999999999745</v>
      </c>
      <c r="I145" s="657"/>
      <c r="J145" s="525">
        <f>H145/DAY(B2)</f>
        <v>12.779999999999745</v>
      </c>
    </row>
    <row r="146" spans="1:10" ht="22.5" x14ac:dyDescent="0.4">
      <c r="A146" s="848" t="s">
        <v>191</v>
      </c>
      <c r="B146" s="849"/>
      <c r="C146" s="850"/>
      <c r="D146" s="448" t="s">
        <v>183</v>
      </c>
      <c r="E146" s="446">
        <v>737333</v>
      </c>
      <c r="F146" s="446">
        <v>737727</v>
      </c>
      <c r="G146" s="726">
        <f t="shared" si="24"/>
        <v>394</v>
      </c>
      <c r="H146" s="453">
        <f t="shared" si="25"/>
        <v>394</v>
      </c>
      <c r="I146" s="657"/>
      <c r="J146" s="525">
        <f>H146/DAY(B2)</f>
        <v>394</v>
      </c>
    </row>
    <row r="147" spans="1:10" ht="22.5" x14ac:dyDescent="0.4">
      <c r="A147" s="791" t="s">
        <v>192</v>
      </c>
      <c r="B147" s="791"/>
      <c r="C147" s="791"/>
      <c r="D147" s="448" t="s">
        <v>183</v>
      </c>
      <c r="E147" s="446">
        <v>626612.52</v>
      </c>
      <c r="F147" s="446">
        <v>626981.80000000005</v>
      </c>
      <c r="G147" s="726">
        <f t="shared" si="24"/>
        <v>369.28000000002794</v>
      </c>
      <c r="H147" s="453">
        <f t="shared" si="25"/>
        <v>369.28000000002794</v>
      </c>
      <c r="I147" s="657"/>
      <c r="J147" s="525">
        <f>H147/DAY(B2)</f>
        <v>369.28000000002794</v>
      </c>
    </row>
    <row r="148" spans="1:10" ht="22.5" x14ac:dyDescent="0.4">
      <c r="A148" s="843" t="s">
        <v>193</v>
      </c>
      <c r="B148" s="844"/>
      <c r="C148" s="845"/>
      <c r="D148" s="507" t="s">
        <v>130</v>
      </c>
      <c r="E148" s="407">
        <v>689442.96</v>
      </c>
      <c r="F148" s="433">
        <v>689638</v>
      </c>
      <c r="G148" s="726">
        <f t="shared" si="24"/>
        <v>195.04000000003725</v>
      </c>
      <c r="H148" s="453">
        <f t="shared" si="25"/>
        <v>195.04000000003725</v>
      </c>
      <c r="I148" s="453"/>
      <c r="J148" s="525">
        <f>H148/DAY(B2)</f>
        <v>195.04000000003725</v>
      </c>
    </row>
    <row r="149" spans="1:10" ht="22.5" x14ac:dyDescent="0.4">
      <c r="A149" s="843" t="s">
        <v>336</v>
      </c>
      <c r="B149" s="844"/>
      <c r="C149" s="845"/>
      <c r="D149" s="526" t="s">
        <v>130</v>
      </c>
      <c r="E149" s="387">
        <v>24678.2</v>
      </c>
      <c r="F149" s="448">
        <v>25075.18</v>
      </c>
      <c r="G149" s="726">
        <f t="shared" si="24"/>
        <v>396.97999999999956</v>
      </c>
      <c r="H149" s="453">
        <f t="shared" si="25"/>
        <v>396.97999999999956</v>
      </c>
      <c r="I149" s="649"/>
      <c r="J149" s="525">
        <f>H149/DAY(B2)</f>
        <v>396.97999999999956</v>
      </c>
    </row>
    <row r="150" spans="1:10" ht="22.5" x14ac:dyDescent="0.4">
      <c r="A150" s="843" t="s">
        <v>337</v>
      </c>
      <c r="B150" s="844"/>
      <c r="C150" s="845"/>
      <c r="D150" s="507" t="s">
        <v>130</v>
      </c>
      <c r="E150" s="448">
        <v>10850.83</v>
      </c>
      <c r="F150" s="448">
        <v>11065.7</v>
      </c>
      <c r="G150" s="726">
        <f t="shared" si="24"/>
        <v>214.8700000000008</v>
      </c>
      <c r="H150" s="453">
        <f t="shared" si="25"/>
        <v>214.8700000000008</v>
      </c>
      <c r="I150" s="649"/>
      <c r="J150" s="525">
        <f>H150/DAY(B2)</f>
        <v>214.8700000000008</v>
      </c>
    </row>
    <row r="151" spans="1:10" ht="22.5" x14ac:dyDescent="0.4">
      <c r="A151" s="843" t="s">
        <v>338</v>
      </c>
      <c r="B151" s="844"/>
      <c r="C151" s="845"/>
      <c r="D151" s="527"/>
      <c r="E151" s="448">
        <v>85480</v>
      </c>
      <c r="F151" s="448">
        <v>85706</v>
      </c>
      <c r="G151" s="726">
        <f t="shared" ref="G151:G152" si="26">F151-E151</f>
        <v>226</v>
      </c>
      <c r="H151" s="453">
        <f t="shared" ref="H151:H153" si="27">G151</f>
        <v>226</v>
      </c>
      <c r="I151" s="649"/>
      <c r="J151" s="525">
        <f>H151/DAY(B2)</f>
        <v>226</v>
      </c>
    </row>
    <row r="152" spans="1:10" ht="22.5" x14ac:dyDescent="0.4">
      <c r="A152" s="843" t="s">
        <v>339</v>
      </c>
      <c r="B152" s="844"/>
      <c r="C152" s="845"/>
      <c r="D152" s="527"/>
      <c r="E152" s="448">
        <v>1660</v>
      </c>
      <c r="F152" s="448">
        <v>1676.46</v>
      </c>
      <c r="G152" s="726">
        <f t="shared" si="26"/>
        <v>16.460000000000036</v>
      </c>
      <c r="H152" s="453">
        <f t="shared" si="27"/>
        <v>16.460000000000036</v>
      </c>
      <c r="I152" s="649"/>
      <c r="J152" s="525">
        <f>H152/DAY(B2)</f>
        <v>16.460000000000036</v>
      </c>
    </row>
    <row r="153" spans="1:10" ht="22.5" x14ac:dyDescent="0.4">
      <c r="A153" s="794" t="s">
        <v>196</v>
      </c>
      <c r="B153" s="795"/>
      <c r="C153" s="796"/>
      <c r="D153" s="527"/>
      <c r="E153" s="449"/>
      <c r="F153" s="449"/>
      <c r="G153" s="733">
        <f>SUM(G138:G152)</f>
        <v>2351.470000000063</v>
      </c>
      <c r="H153" s="528">
        <f t="shared" si="27"/>
        <v>2351.470000000063</v>
      </c>
      <c r="I153" s="650">
        <f>G153-(G38+G52)</f>
        <v>731.20000000006621</v>
      </c>
      <c r="J153" s="529"/>
    </row>
    <row r="154" spans="1:10" ht="22.5" x14ac:dyDescent="0.4">
      <c r="A154" s="846" t="s">
        <v>344</v>
      </c>
      <c r="B154" s="846"/>
      <c r="C154" s="846"/>
      <c r="D154" s="846"/>
      <c r="E154" s="846"/>
      <c r="F154" s="846"/>
      <c r="G154" s="846"/>
      <c r="H154" s="846"/>
      <c r="I154" s="846"/>
      <c r="J154" s="846"/>
    </row>
    <row r="155" spans="1:10" ht="27.75" customHeight="1" x14ac:dyDescent="0.5">
      <c r="A155" s="791" t="s">
        <v>345</v>
      </c>
      <c r="B155" s="791"/>
      <c r="C155" s="791"/>
      <c r="D155" s="457"/>
      <c r="E155" s="710">
        <v>32385</v>
      </c>
      <c r="F155" s="644">
        <v>32945</v>
      </c>
      <c r="G155" s="726">
        <f t="shared" ref="G155:G158" si="28">F155-E155</f>
        <v>560</v>
      </c>
      <c r="H155" s="644"/>
      <c r="I155" s="644"/>
      <c r="J155" s="525">
        <f>H155/DAY(B2)</f>
        <v>0</v>
      </c>
    </row>
    <row r="156" spans="1:10" ht="25.5" customHeight="1" x14ac:dyDescent="0.4">
      <c r="A156" s="791" t="s">
        <v>349</v>
      </c>
      <c r="B156" s="791"/>
      <c r="C156" s="791"/>
      <c r="D156" s="461"/>
      <c r="E156" s="442">
        <v>2736</v>
      </c>
      <c r="F156" s="644">
        <v>2788</v>
      </c>
      <c r="G156" s="726">
        <f t="shared" si="28"/>
        <v>52</v>
      </c>
      <c r="H156" s="460"/>
      <c r="I156" s="644"/>
      <c r="J156" s="525">
        <f>H156/DAY(B2)</f>
        <v>0</v>
      </c>
    </row>
    <row r="157" spans="1:10" ht="25.5" customHeight="1" x14ac:dyDescent="0.5">
      <c r="A157" s="768" t="s">
        <v>363</v>
      </c>
      <c r="B157" s="769"/>
      <c r="C157" s="770"/>
      <c r="D157" s="401" t="s">
        <v>130</v>
      </c>
      <c r="E157" s="394">
        <v>4032</v>
      </c>
      <c r="F157" s="644">
        <v>4127.37</v>
      </c>
      <c r="G157" s="726">
        <f t="shared" si="28"/>
        <v>95.369999999999891</v>
      </c>
      <c r="H157" s="460"/>
      <c r="I157" s="644"/>
      <c r="J157" s="525"/>
    </row>
    <row r="158" spans="1:10" ht="25.5" customHeight="1" x14ac:dyDescent="0.5">
      <c r="A158" s="768" t="s">
        <v>364</v>
      </c>
      <c r="B158" s="769"/>
      <c r="C158" s="770"/>
      <c r="D158" s="401" t="s">
        <v>130</v>
      </c>
      <c r="E158" s="442">
        <v>46.66</v>
      </c>
      <c r="F158" s="644">
        <v>46.66</v>
      </c>
      <c r="G158" s="726">
        <f t="shared" si="28"/>
        <v>0</v>
      </c>
      <c r="H158" s="460"/>
      <c r="I158" s="644"/>
      <c r="J158" s="525"/>
    </row>
    <row r="159" spans="1:10" ht="25.5" customHeight="1" x14ac:dyDescent="0.4">
      <c r="A159" s="771"/>
      <c r="B159" s="772"/>
      <c r="C159" s="773"/>
      <c r="D159" s="461"/>
      <c r="E159" s="442"/>
      <c r="F159" s="644"/>
      <c r="G159" s="726"/>
      <c r="H159" s="460"/>
      <c r="I159" s="644"/>
      <c r="J159" s="525"/>
    </row>
    <row r="160" spans="1:10" ht="22.5" x14ac:dyDescent="0.4">
      <c r="A160" s="782" t="s">
        <v>326</v>
      </c>
      <c r="B160" s="782"/>
      <c r="C160" s="782"/>
      <c r="D160" s="782"/>
      <c r="E160" s="782"/>
      <c r="F160" s="782"/>
      <c r="G160" s="782"/>
      <c r="H160" s="782"/>
      <c r="I160" s="782"/>
      <c r="J160" s="782"/>
    </row>
    <row r="161" spans="1:10" ht="22.5" x14ac:dyDescent="0.4">
      <c r="A161" s="524" t="s">
        <v>92</v>
      </c>
      <c r="B161" s="450"/>
      <c r="C161" s="450"/>
      <c r="D161" s="451" t="s">
        <v>180</v>
      </c>
      <c r="E161" s="452">
        <v>472053.56</v>
      </c>
      <c r="F161" s="452">
        <v>472101.84</v>
      </c>
      <c r="G161" s="734">
        <f t="shared" ref="G161:G168" si="29">F161-E161</f>
        <v>48.28000000002794</v>
      </c>
      <c r="H161" s="395">
        <f t="shared" ref="H161:H168" si="30">G161</f>
        <v>48.28000000002794</v>
      </c>
      <c r="I161" s="649"/>
      <c r="J161" s="454">
        <f>H161/DAY(B2)</f>
        <v>48.28000000002794</v>
      </c>
    </row>
    <row r="162" spans="1:10" ht="22.5" x14ac:dyDescent="0.4">
      <c r="A162" s="524" t="s">
        <v>93</v>
      </c>
      <c r="B162" s="450"/>
      <c r="C162" s="450"/>
      <c r="D162" s="451" t="s">
        <v>180</v>
      </c>
      <c r="E162" s="452">
        <v>88516.4</v>
      </c>
      <c r="F162" s="452">
        <v>88558.399999999994</v>
      </c>
      <c r="G162" s="734">
        <f t="shared" si="29"/>
        <v>42</v>
      </c>
      <c r="H162" s="395">
        <f t="shared" si="30"/>
        <v>42</v>
      </c>
      <c r="I162" s="649"/>
      <c r="J162" s="454">
        <f>H162/DAY(B2)</f>
        <v>42</v>
      </c>
    </row>
    <row r="163" spans="1:10" ht="22.5" x14ac:dyDescent="0.4">
      <c r="A163" s="524" t="s">
        <v>197</v>
      </c>
      <c r="B163" s="450"/>
      <c r="C163" s="450"/>
      <c r="D163" s="451" t="s">
        <v>180</v>
      </c>
      <c r="E163" s="452">
        <v>79220.100000000006</v>
      </c>
      <c r="F163" s="452">
        <v>79251.5</v>
      </c>
      <c r="G163" s="734">
        <f t="shared" si="29"/>
        <v>31.399999999994179</v>
      </c>
      <c r="H163" s="395">
        <f t="shared" si="30"/>
        <v>31.399999999994179</v>
      </c>
      <c r="I163" s="649"/>
      <c r="J163" s="454">
        <f>H163/DAY(B2)</f>
        <v>31.399999999994179</v>
      </c>
    </row>
    <row r="164" spans="1:10" ht="22.5" x14ac:dyDescent="0.4">
      <c r="A164" s="524" t="s">
        <v>197</v>
      </c>
      <c r="B164" s="450"/>
      <c r="C164" s="450"/>
      <c r="D164" s="451" t="s">
        <v>180</v>
      </c>
      <c r="E164" s="452">
        <v>4320</v>
      </c>
      <c r="F164" s="452">
        <v>4320.8</v>
      </c>
      <c r="G164" s="734">
        <f>F164-E164</f>
        <v>0.8000000000001819</v>
      </c>
      <c r="H164" s="395">
        <f t="shared" si="30"/>
        <v>0.8000000000001819</v>
      </c>
      <c r="I164" s="649"/>
      <c r="J164" s="454">
        <f>H164/DAY(B2)</f>
        <v>0.8000000000001819</v>
      </c>
    </row>
    <row r="165" spans="1:10" ht="22.5" x14ac:dyDescent="0.4">
      <c r="A165" s="524" t="s">
        <v>309</v>
      </c>
      <c r="B165" s="450"/>
      <c r="C165" s="450"/>
      <c r="D165" s="451" t="s">
        <v>180</v>
      </c>
      <c r="E165" s="452">
        <v>29857.25</v>
      </c>
      <c r="F165" s="452">
        <v>29866.080000000002</v>
      </c>
      <c r="G165" s="734">
        <f t="shared" si="29"/>
        <v>8.8300000000017462</v>
      </c>
      <c r="H165" s="395">
        <f t="shared" si="30"/>
        <v>8.8300000000017462</v>
      </c>
      <c r="I165" s="649"/>
      <c r="J165" s="454">
        <f>H165/DAY(B2)</f>
        <v>8.8300000000017462</v>
      </c>
    </row>
    <row r="166" spans="1:10" ht="22.5" x14ac:dyDescent="0.4">
      <c r="A166" s="783"/>
      <c r="B166" s="783"/>
      <c r="C166" s="434"/>
      <c r="D166" s="451" t="s">
        <v>180</v>
      </c>
      <c r="E166" s="442"/>
      <c r="F166" s="442"/>
      <c r="G166" s="734">
        <f t="shared" si="29"/>
        <v>0</v>
      </c>
      <c r="H166" s="395">
        <f t="shared" si="30"/>
        <v>0</v>
      </c>
      <c r="I166" s="442"/>
      <c r="J166" s="439"/>
    </row>
    <row r="167" spans="1:10" ht="22.5" x14ac:dyDescent="0.4">
      <c r="A167" s="783"/>
      <c r="B167" s="783"/>
      <c r="C167" s="434"/>
      <c r="D167" s="451" t="s">
        <v>180</v>
      </c>
      <c r="E167" s="442"/>
      <c r="F167" s="442"/>
      <c r="G167" s="734">
        <f t="shared" si="29"/>
        <v>0</v>
      </c>
      <c r="H167" s="395">
        <f t="shared" si="30"/>
        <v>0</v>
      </c>
      <c r="I167" s="442"/>
      <c r="J167" s="439"/>
    </row>
    <row r="168" spans="1:10" ht="22.5" x14ac:dyDescent="0.4">
      <c r="A168" s="783"/>
      <c r="B168" s="783"/>
      <c r="C168" s="434"/>
      <c r="D168" s="451" t="s">
        <v>180</v>
      </c>
      <c r="E168" s="442"/>
      <c r="F168" s="442"/>
      <c r="G168" s="734">
        <f t="shared" si="29"/>
        <v>0</v>
      </c>
      <c r="H168" s="395">
        <f t="shared" si="30"/>
        <v>0</v>
      </c>
      <c r="I168" s="442"/>
      <c r="J168" s="439"/>
    </row>
    <row r="169" spans="1:10" ht="22.5" x14ac:dyDescent="0.4"/>
    <row r="170" spans="1:10" ht="22.5" x14ac:dyDescent="0.4"/>
    <row r="171" spans="1:10" ht="22.5" x14ac:dyDescent="0.4">
      <c r="A171" s="784" t="s">
        <v>330</v>
      </c>
      <c r="B171" s="785"/>
      <c r="C171" s="785"/>
      <c r="D171" s="785"/>
      <c r="E171" s="785"/>
      <c r="F171" s="785"/>
      <c r="G171" s="785"/>
      <c r="H171" s="785"/>
      <c r="I171" s="785"/>
      <c r="J171" s="786"/>
    </row>
    <row r="172" spans="1:10" ht="22.5" x14ac:dyDescent="0.4">
      <c r="A172" s="780"/>
      <c r="B172" s="781"/>
      <c r="C172" s="455"/>
      <c r="D172" s="506"/>
      <c r="E172" s="442"/>
      <c r="F172" s="442"/>
      <c r="G172" s="732"/>
      <c r="H172" s="439"/>
      <c r="I172" s="442"/>
      <c r="J172" s="456">
        <f>H172/DAY(B2)</f>
        <v>0</v>
      </c>
    </row>
    <row r="173" spans="1:10" ht="22.5" x14ac:dyDescent="0.4">
      <c r="A173" s="776" t="s">
        <v>209</v>
      </c>
      <c r="B173" s="777"/>
      <c r="C173" s="377"/>
      <c r="D173" s="506" t="s">
        <v>142</v>
      </c>
      <c r="E173" s="698">
        <v>8126</v>
      </c>
      <c r="F173" s="442">
        <v>8126</v>
      </c>
      <c r="G173" s="732">
        <f>F173-E173</f>
        <v>0</v>
      </c>
      <c r="H173" s="395">
        <f t="shared" ref="H173:H189" si="31">G173</f>
        <v>0</v>
      </c>
      <c r="I173" s="442"/>
      <c r="J173" s="456">
        <f>H173/DAY(B2)</f>
        <v>0</v>
      </c>
    </row>
    <row r="174" spans="1:10" ht="22.5" x14ac:dyDescent="0.4">
      <c r="A174" s="776" t="s">
        <v>75</v>
      </c>
      <c r="B174" s="777"/>
      <c r="C174" s="377"/>
      <c r="D174" s="506" t="s">
        <v>142</v>
      </c>
      <c r="E174" s="697">
        <v>38615</v>
      </c>
      <c r="F174" s="644">
        <v>38626</v>
      </c>
      <c r="G174" s="732">
        <f t="shared" ref="G174:G175" si="32">F174-E174</f>
        <v>11</v>
      </c>
      <c r="H174" s="395">
        <f t="shared" si="31"/>
        <v>11</v>
      </c>
      <c r="I174" s="442"/>
      <c r="J174" s="456">
        <f>H174/DAY(B2)</f>
        <v>11</v>
      </c>
    </row>
    <row r="175" spans="1:10" ht="22.5" x14ac:dyDescent="0.4">
      <c r="A175" s="776" t="s">
        <v>76</v>
      </c>
      <c r="B175" s="787"/>
      <c r="C175" s="777"/>
      <c r="D175" s="506" t="s">
        <v>142</v>
      </c>
      <c r="E175" s="442">
        <v>21813</v>
      </c>
      <c r="F175" s="442">
        <v>21823</v>
      </c>
      <c r="G175" s="732">
        <f t="shared" si="32"/>
        <v>10</v>
      </c>
      <c r="H175" s="395">
        <f t="shared" si="31"/>
        <v>10</v>
      </c>
      <c r="I175" s="442"/>
      <c r="J175" s="456"/>
    </row>
    <row r="176" spans="1:10" ht="22.5" x14ac:dyDescent="0.4">
      <c r="A176" s="774" t="s">
        <v>196</v>
      </c>
      <c r="B176" s="775"/>
      <c r="C176" s="377"/>
      <c r="D176" s="506"/>
      <c r="E176" s="442"/>
      <c r="F176" s="442"/>
      <c r="G176" s="732">
        <f>SUM(G173:G175)</f>
        <v>21</v>
      </c>
      <c r="H176" s="395">
        <f t="shared" si="31"/>
        <v>21</v>
      </c>
      <c r="I176" s="442"/>
      <c r="J176" s="456">
        <f>H176/DAY(B2)</f>
        <v>21</v>
      </c>
    </row>
    <row r="177" spans="1:10" ht="22.5" x14ac:dyDescent="0.4">
      <c r="A177" s="776" t="s">
        <v>77</v>
      </c>
      <c r="B177" s="777"/>
      <c r="C177" s="377"/>
      <c r="D177" s="506" t="s">
        <v>142</v>
      </c>
      <c r="E177" s="442"/>
      <c r="F177" s="442"/>
      <c r="G177" s="732"/>
      <c r="H177" s="395">
        <f t="shared" si="31"/>
        <v>0</v>
      </c>
      <c r="I177" s="442"/>
      <c r="J177" s="456">
        <f>H177/DAY(B2)</f>
        <v>0</v>
      </c>
    </row>
    <row r="178" spans="1:10" ht="22.5" x14ac:dyDescent="0.4">
      <c r="A178" s="776" t="s">
        <v>210</v>
      </c>
      <c r="B178" s="777"/>
      <c r="C178" s="377"/>
      <c r="D178" s="506" t="s">
        <v>142</v>
      </c>
      <c r="E178" s="442">
        <v>81315</v>
      </c>
      <c r="F178" s="442">
        <v>81358</v>
      </c>
      <c r="G178" s="732">
        <f>F178-E178</f>
        <v>43</v>
      </c>
      <c r="H178" s="395">
        <f t="shared" si="31"/>
        <v>43</v>
      </c>
      <c r="I178" s="442"/>
      <c r="J178" s="456">
        <f>H178/DAY(B2)</f>
        <v>43</v>
      </c>
    </row>
    <row r="179" spans="1:10" ht="22.5" x14ac:dyDescent="0.4">
      <c r="A179" s="776" t="s">
        <v>211</v>
      </c>
      <c r="B179" s="777"/>
      <c r="C179" s="377"/>
      <c r="D179" s="506" t="s">
        <v>142</v>
      </c>
      <c r="E179" s="697">
        <v>34803</v>
      </c>
      <c r="F179" s="442">
        <v>34832</v>
      </c>
      <c r="G179" s="732">
        <f t="shared" ref="G179:G180" si="33">F179-E179</f>
        <v>29</v>
      </c>
      <c r="H179" s="395">
        <f t="shared" si="31"/>
        <v>29</v>
      </c>
      <c r="I179" s="442"/>
      <c r="J179" s="456">
        <f>H179/DAY(B2)</f>
        <v>29</v>
      </c>
    </row>
    <row r="180" spans="1:10" ht="22.5" x14ac:dyDescent="0.4">
      <c r="A180" s="776" t="s">
        <v>212</v>
      </c>
      <c r="B180" s="777"/>
      <c r="C180" s="377"/>
      <c r="D180" s="506" t="s">
        <v>142</v>
      </c>
      <c r="E180" s="697">
        <v>5702</v>
      </c>
      <c r="F180" s="442">
        <v>5705</v>
      </c>
      <c r="G180" s="732">
        <f t="shared" si="33"/>
        <v>3</v>
      </c>
      <c r="H180" s="395">
        <f t="shared" si="31"/>
        <v>3</v>
      </c>
      <c r="I180" s="442"/>
      <c r="J180" s="456">
        <f>H180/DAY(B2)</f>
        <v>3</v>
      </c>
    </row>
    <row r="181" spans="1:10" ht="22.5" x14ac:dyDescent="0.4">
      <c r="A181" s="774" t="s">
        <v>108</v>
      </c>
      <c r="B181" s="775"/>
      <c r="C181" s="377"/>
      <c r="D181" s="506"/>
      <c r="E181" s="697"/>
      <c r="F181" s="442"/>
      <c r="G181" s="732">
        <f>SUM(G178:G180)</f>
        <v>75</v>
      </c>
      <c r="H181" s="395">
        <f t="shared" si="31"/>
        <v>75</v>
      </c>
      <c r="I181" s="442"/>
      <c r="J181" s="456">
        <f>H181/DAY(B2)</f>
        <v>75</v>
      </c>
    </row>
    <row r="182" spans="1:10" ht="21.95" customHeight="1" x14ac:dyDescent="0.4">
      <c r="A182" s="776" t="s">
        <v>213</v>
      </c>
      <c r="B182" s="777"/>
      <c r="C182" s="377"/>
      <c r="D182" s="506"/>
      <c r="E182" s="442"/>
      <c r="F182" s="442"/>
      <c r="G182" s="732"/>
      <c r="H182" s="395">
        <f t="shared" si="31"/>
        <v>0</v>
      </c>
      <c r="I182" s="442"/>
      <c r="J182" s="456">
        <f>H182/DAY(B2)</f>
        <v>0</v>
      </c>
    </row>
    <row r="183" spans="1:10" ht="21.95" customHeight="1" x14ac:dyDescent="0.4">
      <c r="A183" s="776" t="s">
        <v>214</v>
      </c>
      <c r="B183" s="777"/>
      <c r="C183" s="377"/>
      <c r="D183" s="506" t="s">
        <v>142</v>
      </c>
      <c r="E183" s="697">
        <v>15345</v>
      </c>
      <c r="F183" s="644">
        <v>15356</v>
      </c>
      <c r="G183" s="584">
        <f>F183-E183</f>
        <v>11</v>
      </c>
      <c r="H183" s="395">
        <f t="shared" si="31"/>
        <v>11</v>
      </c>
      <c r="I183" s="442"/>
      <c r="J183" s="456">
        <f>H183/DAY(B2)</f>
        <v>11</v>
      </c>
    </row>
    <row r="184" spans="1:10" ht="21.95" customHeight="1" x14ac:dyDescent="0.4">
      <c r="A184" s="776" t="s">
        <v>215</v>
      </c>
      <c r="B184" s="777"/>
      <c r="C184" s="377"/>
      <c r="D184" s="506" t="s">
        <v>142</v>
      </c>
      <c r="E184" s="697">
        <v>10518</v>
      </c>
      <c r="F184" s="644">
        <v>10525</v>
      </c>
      <c r="G184" s="584">
        <f t="shared" ref="G184:G185" si="34">F184-E184</f>
        <v>7</v>
      </c>
      <c r="H184" s="395">
        <f t="shared" si="31"/>
        <v>7</v>
      </c>
      <c r="I184" s="442"/>
      <c r="J184" s="456">
        <f>H184/DAY(B2)</f>
        <v>7</v>
      </c>
    </row>
    <row r="185" spans="1:10" ht="22.5" x14ac:dyDescent="0.4">
      <c r="A185" s="776" t="s">
        <v>216</v>
      </c>
      <c r="B185" s="777"/>
      <c r="C185" s="377"/>
      <c r="D185" s="506" t="s">
        <v>142</v>
      </c>
      <c r="E185" s="697"/>
      <c r="F185" s="644"/>
      <c r="G185" s="584">
        <f t="shared" si="34"/>
        <v>0</v>
      </c>
      <c r="H185" s="395">
        <f t="shared" si="31"/>
        <v>0</v>
      </c>
      <c r="I185" s="442"/>
      <c r="J185" s="458">
        <f>H185/DAY(B2)</f>
        <v>0</v>
      </c>
    </row>
    <row r="186" spans="1:10" ht="22.5" x14ac:dyDescent="0.4">
      <c r="A186" s="774" t="s">
        <v>196</v>
      </c>
      <c r="B186" s="775"/>
      <c r="C186" s="377"/>
      <c r="D186" s="229"/>
      <c r="E186" s="697"/>
      <c r="F186" s="644"/>
      <c r="G186" s="584">
        <f>SUM(G183:G185)</f>
        <v>18</v>
      </c>
      <c r="H186" s="395">
        <f t="shared" si="31"/>
        <v>18</v>
      </c>
      <c r="I186" s="644"/>
      <c r="J186" s="458">
        <f>H186/DAY(B2)</f>
        <v>18</v>
      </c>
    </row>
    <row r="187" spans="1:10" ht="22.5" x14ac:dyDescent="0.4">
      <c r="A187" s="776" t="s">
        <v>217</v>
      </c>
      <c r="B187" s="777"/>
      <c r="C187" s="377"/>
      <c r="D187" s="459" t="s">
        <v>142</v>
      </c>
      <c r="E187" s="460"/>
      <c r="F187" s="460"/>
      <c r="G187" s="584">
        <f>G62+G19</f>
        <v>118</v>
      </c>
      <c r="H187" s="395">
        <f t="shared" si="31"/>
        <v>118</v>
      </c>
      <c r="I187" s="644"/>
      <c r="J187" s="458">
        <f>H187/DAY(B2)</f>
        <v>118</v>
      </c>
    </row>
    <row r="188" spans="1:10" ht="22.5" x14ac:dyDescent="0.4">
      <c r="A188" s="776" t="s">
        <v>218</v>
      </c>
      <c r="B188" s="777"/>
      <c r="C188" s="377"/>
      <c r="D188" s="459" t="s">
        <v>142</v>
      </c>
      <c r="E188" s="460"/>
      <c r="F188" s="460"/>
      <c r="G188" s="584">
        <f>G65+G66+G67+G69+G70</f>
        <v>119</v>
      </c>
      <c r="H188" s="395">
        <f t="shared" si="31"/>
        <v>119</v>
      </c>
      <c r="I188" s="644"/>
      <c r="J188" s="653"/>
    </row>
    <row r="189" spans="1:10" ht="22.5" x14ac:dyDescent="0.4">
      <c r="A189" s="776" t="s">
        <v>219</v>
      </c>
      <c r="B189" s="777"/>
      <c r="C189" s="377"/>
      <c r="D189" s="459" t="s">
        <v>142</v>
      </c>
      <c r="E189" s="697"/>
      <c r="F189" s="644"/>
      <c r="G189" s="584">
        <f>G181</f>
        <v>75</v>
      </c>
      <c r="H189" s="395">
        <f t="shared" si="31"/>
        <v>75</v>
      </c>
      <c r="I189" s="644"/>
      <c r="J189" s="454">
        <f>H189/DAY(B2)</f>
        <v>75</v>
      </c>
    </row>
    <row r="190" spans="1:10" ht="27" x14ac:dyDescent="0.5">
      <c r="A190" s="778" t="s">
        <v>360</v>
      </c>
      <c r="B190" s="779"/>
      <c r="C190" s="595"/>
      <c r="D190" s="474"/>
      <c r="E190" s="658"/>
      <c r="F190" s="596">
        <v>52955</v>
      </c>
      <c r="G190" s="735">
        <f>F190-E190</f>
        <v>52955</v>
      </c>
      <c r="H190" s="476"/>
      <c r="I190" s="596"/>
      <c r="J190" s="476"/>
    </row>
    <row r="191" spans="1:10" ht="22.5" x14ac:dyDescent="0.4">
      <c r="A191" s="776"/>
      <c r="B191" s="777"/>
    </row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  <row r="268" ht="22.5" x14ac:dyDescent="0.4"/>
    <row r="269" ht="22.5" x14ac:dyDescent="0.4"/>
    <row r="270" ht="22.5" x14ac:dyDescent="0.4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73" zoomScale="55" zoomScaleSheetLayoutView="55" workbookViewId="0">
      <selection activeCell="F42" sqref="F42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6" s="57" customFormat="1" ht="27" x14ac:dyDescent="0.5">
      <c r="A2" s="191" t="s">
        <v>350</v>
      </c>
      <c r="B2" s="262">
        <v>44594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668445</v>
      </c>
      <c r="F7" s="95">
        <v>686494</v>
      </c>
      <c r="G7" s="112">
        <f>F7-E7</f>
        <v>18049</v>
      </c>
      <c r="H7" s="99">
        <f>G7+'1'!H7</f>
        <v>35313.770000000019</v>
      </c>
      <c r="I7" s="113">
        <f>'[1]1'!I7</f>
        <v>12000</v>
      </c>
      <c r="J7" s="175">
        <f>H7/DAY(B2)</f>
        <v>17656.885000000009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726007</v>
      </c>
      <c r="F8" s="114">
        <v>744345</v>
      </c>
      <c r="G8" s="115">
        <f>F8-E8</f>
        <v>18338</v>
      </c>
      <c r="H8" s="99">
        <f>G8+'1'!H8</f>
        <v>35796.849999999977</v>
      </c>
      <c r="I8" s="116">
        <v>12000</v>
      </c>
      <c r="J8" s="175">
        <f>H8/DAY(B2)</f>
        <v>17898.424999999988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297005.71000000002</v>
      </c>
      <c r="F9" s="353">
        <v>310735.19</v>
      </c>
      <c r="G9" s="112">
        <f t="shared" ref="G9:G11" si="0">F9-E9</f>
        <v>13729.479999999981</v>
      </c>
      <c r="H9" s="99">
        <f>G9+'1'!H9</f>
        <v>28481.340000000026</v>
      </c>
      <c r="I9" s="124">
        <f>I8-J8</f>
        <v>-5898.4249999999884</v>
      </c>
      <c r="J9" s="175">
        <f>H9/DAY(B2)</f>
        <v>14240.670000000013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107261.54</v>
      </c>
      <c r="F10" s="117">
        <v>111088.19</v>
      </c>
      <c r="G10" s="112">
        <f t="shared" si="0"/>
        <v>3826.6500000000087</v>
      </c>
      <c r="H10" s="99">
        <f>G10+'1'!H10</f>
        <v>5829.2200000000012</v>
      </c>
      <c r="I10" s="118"/>
      <c r="J10" s="175">
        <f>H10/DAY(B2)</f>
        <v>2914.6100000000006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37170</v>
      </c>
      <c r="F11" s="95">
        <v>37170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17556.12999999999</v>
      </c>
      <c r="H13" s="99">
        <f>G13+'1'!H13</f>
        <v>17556.12999999999</v>
      </c>
      <c r="I13" s="120">
        <f>G7-G13</f>
        <v>492.8700000000099</v>
      </c>
      <c r="J13" s="175">
        <f>H13/DAY(B2)</f>
        <v>8778.0649999999951</v>
      </c>
      <c r="K13" s="79"/>
      <c r="L13" s="66"/>
      <c r="N13" s="87"/>
      <c r="O13" s="71"/>
      <c r="P13" s="65">
        <v>822</v>
      </c>
    </row>
    <row r="14" spans="1:16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'1'!F15</f>
        <v>1907555.325</v>
      </c>
      <c r="F15" s="352">
        <v>1908538.47</v>
      </c>
      <c r="G15" s="356">
        <f>(F15-E15)</f>
        <v>983.14500000001863</v>
      </c>
      <c r="H15" s="99">
        <f>G15+'1'!H15</f>
        <v>1901.7029999999795</v>
      </c>
      <c r="I15" s="113">
        <v>800</v>
      </c>
      <c r="J15" s="175">
        <f>H15/DAY(B2)</f>
        <v>950.85149999998976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-150.85149999998976</v>
      </c>
      <c r="J16" s="176"/>
      <c r="K16" s="79"/>
      <c r="L16" s="66"/>
      <c r="N16" s="87"/>
      <c r="O16" s="71"/>
      <c r="P16" s="71">
        <f>G9+P12</f>
        <v>14427.479999999981</v>
      </c>
    </row>
    <row r="17" spans="1:16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14551.479999999981</v>
      </c>
    </row>
    <row r="18" spans="1:16" ht="27.75" x14ac:dyDescent="0.5">
      <c r="A18" s="892" t="s">
        <v>141</v>
      </c>
      <c r="B18" s="893"/>
      <c r="C18" s="894"/>
      <c r="D18" s="151" t="s">
        <v>142</v>
      </c>
      <c r="E18" s="95">
        <f>'1'!F18</f>
        <v>18</v>
      </c>
      <c r="F18" s="117">
        <v>15</v>
      </c>
      <c r="G18" s="119">
        <f>F18*10</f>
        <v>150</v>
      </c>
      <c r="H18" s="99">
        <f>G18+'1'!H18</f>
        <v>330</v>
      </c>
      <c r="I18" s="113">
        <f>'[1]1'!I18</f>
        <v>65</v>
      </c>
      <c r="J18" s="175">
        <f>H18/DAY(B2)</f>
        <v>165</v>
      </c>
      <c r="K18" s="79"/>
      <c r="L18" s="66"/>
      <c r="N18" s="87"/>
      <c r="O18" s="71"/>
    </row>
    <row r="19" spans="1:16" ht="27.75" x14ac:dyDescent="0.5">
      <c r="A19" s="892" t="s">
        <v>69</v>
      </c>
      <c r="B19" s="893"/>
      <c r="C19" s="894"/>
      <c r="D19" s="151" t="s">
        <v>142</v>
      </c>
      <c r="E19" s="95">
        <f>'1'!F19</f>
        <v>153946</v>
      </c>
      <c r="F19" s="353">
        <v>153979</v>
      </c>
      <c r="G19" s="112">
        <f>F19-E19</f>
        <v>33</v>
      </c>
      <c r="H19" s="99">
        <f>G19+'1'!H19</f>
        <v>88</v>
      </c>
      <c r="I19" s="354"/>
      <c r="J19" s="175">
        <f>H19/DAY(B2)</f>
        <v>44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5">
        <f>G18+G19</f>
        <v>183</v>
      </c>
      <c r="H20" s="99">
        <f>G20+'1'!H20</f>
        <v>418</v>
      </c>
      <c r="I20" s="336">
        <f>I18-J20</f>
        <v>-144</v>
      </c>
      <c r="J20" s="175">
        <f>H20/DAY(B2)</f>
        <v>209</v>
      </c>
      <c r="K20" s="79"/>
      <c r="L20" s="66"/>
      <c r="N20" s="87"/>
      <c r="O20" s="71"/>
    </row>
    <row r="21" spans="1:16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18338</v>
      </c>
      <c r="F27" s="136">
        <v>9</v>
      </c>
      <c r="G27" s="137">
        <f>E27*F27</f>
        <v>165042</v>
      </c>
      <c r="H27" s="99">
        <f>G27+'1'!H27</f>
        <v>322171.64999999979</v>
      </c>
      <c r="I27" s="138"/>
      <c r="J27" s="175">
        <f>H27/DAY(B2)</f>
        <v>161085.8249999999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983.14500000001863</v>
      </c>
      <c r="F28" s="136">
        <v>52</v>
      </c>
      <c r="G28" s="137">
        <f t="shared" ref="G28:G31" si="2">E28*F28</f>
        <v>51123.540000000969</v>
      </c>
      <c r="H28" s="99">
        <f>G28+'1'!H28</f>
        <v>98888.555999998935</v>
      </c>
      <c r="I28" s="140"/>
      <c r="J28" s="175">
        <f>H28/DAY(B2)</f>
        <v>49444.277999999467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33</v>
      </c>
      <c r="F30" s="136">
        <v>146</v>
      </c>
      <c r="G30" s="137">
        <f t="shared" si="2"/>
        <v>4818</v>
      </c>
      <c r="H30" s="99">
        <f>G30+'1'!H30</f>
        <v>12848</v>
      </c>
      <c r="I30" s="140"/>
      <c r="J30" s="175">
        <f>H30/DAY(B2)</f>
        <v>6424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 t="shared" si="2"/>
        <v>12000</v>
      </c>
      <c r="H31" s="99">
        <f>G31+'1'!H31</f>
        <v>26400</v>
      </c>
      <c r="I31" s="140"/>
      <c r="J31" s="175">
        <f>H31/DAY(B2)</f>
        <v>13200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232983.54000000097</v>
      </c>
      <c r="H32" s="99">
        <f>G32+'1'!H32</f>
        <v>460308.20599999873</v>
      </c>
      <c r="I32" s="144"/>
      <c r="J32" s="175">
        <f>H32/DAY(B2)</f>
        <v>230154.10299999936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33251</v>
      </c>
      <c r="F35" s="145">
        <v>34639.31</v>
      </c>
      <c r="G35" s="112">
        <f t="shared" ref="G35:G46" si="3">F35-E35</f>
        <v>1388.3099999999977</v>
      </c>
      <c r="H35" s="99">
        <f>G35+'1'!H35</f>
        <v>2634.3299999999981</v>
      </c>
      <c r="I35" s="95"/>
      <c r="J35" s="175">
        <f>H35/DAY(B2)</f>
        <v>1317.1649999999991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44169.5</v>
      </c>
      <c r="F36" s="145">
        <v>44981</v>
      </c>
      <c r="G36" s="112">
        <f t="shared" si="3"/>
        <v>811.5</v>
      </c>
      <c r="H36" s="99">
        <f>G36+'1'!H36</f>
        <v>1522.260000000002</v>
      </c>
      <c r="I36" s="95"/>
      <c r="J36" s="175">
        <f>H36/DAY(B2)</f>
        <v>761.13000000000102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36979.199999999997</v>
      </c>
      <c r="F37" s="145">
        <v>38526.300000000003</v>
      </c>
      <c r="G37" s="112">
        <f t="shared" si="3"/>
        <v>1547.1000000000058</v>
      </c>
      <c r="H37" s="99">
        <f>G37+'1'!H37</f>
        <v>3101.2100000000064</v>
      </c>
      <c r="I37" s="95"/>
      <c r="J37" s="175">
        <f>H37/DAY(B2)</f>
        <v>1550.6050000000032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39996.699999999997</v>
      </c>
      <c r="F38" s="108">
        <v>41755.49</v>
      </c>
      <c r="G38" s="112">
        <f t="shared" si="3"/>
        <v>1758.7900000000009</v>
      </c>
      <c r="H38" s="99">
        <f>G38+'1'!H38</f>
        <v>3379.0599999999977</v>
      </c>
      <c r="I38" s="95"/>
      <c r="J38" s="175">
        <f>H38/DAY(B2)</f>
        <v>1689.5299999999988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61782.879999999997</v>
      </c>
      <c r="F39" s="145">
        <v>64411.1</v>
      </c>
      <c r="G39" s="112">
        <f t="shared" si="3"/>
        <v>2628.2200000000012</v>
      </c>
      <c r="H39" s="99">
        <f>G39+'1'!H39</f>
        <v>5237.8099999999977</v>
      </c>
      <c r="I39" s="95"/>
      <c r="J39" s="175">
        <f>H39/DAY(B2)</f>
        <v>2618.9049999999988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61</v>
      </c>
      <c r="F40" s="145">
        <v>61</v>
      </c>
      <c r="G40" s="112">
        <f t="shared" si="3"/>
        <v>0</v>
      </c>
      <c r="H40" s="99">
        <f>G40+'1'!H40</f>
        <v>688.73999999999796</v>
      </c>
      <c r="I40" s="95"/>
      <c r="J40" s="175">
        <f>H40/DAY(B2)</f>
        <v>344.36999999999898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62.73</v>
      </c>
      <c r="F41" s="145">
        <v>62.73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104117.53</v>
      </c>
      <c r="F42" s="145">
        <v>106463.85</v>
      </c>
      <c r="G42" s="112">
        <f t="shared" si="3"/>
        <v>2346.320000000007</v>
      </c>
      <c r="H42" s="99">
        <f>G42+'1'!H42</f>
        <v>6334.1100000000006</v>
      </c>
      <c r="I42" s="95"/>
      <c r="J42" s="175">
        <f>H42/DAY(B2)</f>
        <v>3167.0550000000003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116753.53</v>
      </c>
      <c r="F43" s="145">
        <v>118750.69</v>
      </c>
      <c r="G43" s="112">
        <f t="shared" si="3"/>
        <v>1997.1600000000035</v>
      </c>
      <c r="H43" s="99">
        <f>G43+'1'!H43</f>
        <v>3899.0899999999965</v>
      </c>
      <c r="I43" s="95"/>
      <c r="J43" s="175">
        <f>H43/DAY(B2)</f>
        <v>1949.5449999999983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12477.400000000016</v>
      </c>
      <c r="H47" s="99">
        <f>G47+'1'!H47</f>
        <v>26796.609999999997</v>
      </c>
      <c r="I47" s="95"/>
      <c r="J47" s="175">
        <f>H47/DAY(B2)</f>
        <v>13398.304999999998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25935.27</v>
      </c>
      <c r="F49" s="145">
        <v>26982</v>
      </c>
      <c r="G49" s="112">
        <f t="shared" ref="G49:G58" si="4">F49-E49</f>
        <v>1046.7299999999996</v>
      </c>
      <c r="H49" s="99">
        <f>G49+'1'!H49</f>
        <v>1985.8100000000013</v>
      </c>
      <c r="I49" s="95"/>
      <c r="J49" s="175">
        <f>H49/DAY(B2)</f>
        <v>992.90500000000065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57325.55</v>
      </c>
      <c r="F50" s="145">
        <v>58313.08</v>
      </c>
      <c r="G50" s="112">
        <f t="shared" si="4"/>
        <v>987.52999999999884</v>
      </c>
      <c r="H50" s="99">
        <f>G50+'1'!H50</f>
        <v>1926.4500000000044</v>
      </c>
      <c r="I50" s="95"/>
      <c r="J50" s="175">
        <f>H50/DAY(B2)</f>
        <v>963.22500000000218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5147.42</v>
      </c>
      <c r="F54" s="145">
        <v>5303.73</v>
      </c>
      <c r="G54" s="112">
        <f t="shared" si="4"/>
        <v>156.30999999999949</v>
      </c>
      <c r="H54" s="99">
        <f>G54+'1'!H54</f>
        <v>156.30999999999949</v>
      </c>
      <c r="I54" s="95"/>
      <c r="J54" s="175">
        <f>H54/DAY(B2)</f>
        <v>78.154999999999745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74366.11</v>
      </c>
      <c r="F55" s="145">
        <v>75489.399999999994</v>
      </c>
      <c r="G55" s="112">
        <f t="shared" si="4"/>
        <v>1123.2899999999936</v>
      </c>
      <c r="H55" s="99">
        <f>G55+'1'!H55</f>
        <v>1123.2899999999936</v>
      </c>
      <c r="I55" s="95"/>
      <c r="J55" s="175">
        <f>H55/DAY(B2)</f>
        <v>561.6449999999968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8610.5400000000009</v>
      </c>
      <c r="F56" s="145">
        <v>8610.5400000000009</v>
      </c>
      <c r="G56" s="112">
        <f t="shared" si="4"/>
        <v>0</v>
      </c>
      <c r="H56" s="99">
        <f>G56+'1'!H56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4983.34</v>
      </c>
      <c r="F58" s="145">
        <v>5181.79</v>
      </c>
      <c r="G58" s="112">
        <f t="shared" si="4"/>
        <v>198.44999999999982</v>
      </c>
      <c r="H58" s="99">
        <f>G58+'1'!H58</f>
        <v>385.57999999999993</v>
      </c>
      <c r="I58" s="95"/>
      <c r="J58" s="175">
        <f>H58/DAY(B2)</f>
        <v>192.78999999999996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3512.3099999999913</v>
      </c>
      <c r="H59" s="99">
        <f>G59+'1'!H59</f>
        <v>5577.4399999999987</v>
      </c>
      <c r="I59" s="95">
        <f>G7-G60</f>
        <v>2059.2899999999936</v>
      </c>
      <c r="J59" s="175">
        <f>H59/DAY(B2)</f>
        <v>2788.7199999999993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15989.710000000006</v>
      </c>
      <c r="H60" s="99">
        <f>G60+'1'!H60</f>
        <v>32374.049999999996</v>
      </c>
      <c r="I60" s="95">
        <f>G13-G60</f>
        <v>1566.4199999999837</v>
      </c>
      <c r="J60" s="175">
        <f>H60/DAY(B2)</f>
        <v>16187.024999999998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'1'!F62</f>
        <v>269579</v>
      </c>
      <c r="F62" s="122">
        <v>269684</v>
      </c>
      <c r="G62" s="112">
        <f t="shared" ref="G62:G63" si="5">F62-E62</f>
        <v>105</v>
      </c>
      <c r="H62" s="99">
        <f>G62+'1'!H62</f>
        <v>168</v>
      </c>
      <c r="I62" s="118"/>
      <c r="J62" s="175">
        <f>H62/DAY(B2)</f>
        <v>84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'1'!F63</f>
        <v>215929</v>
      </c>
      <c r="F63" s="122">
        <v>216088</v>
      </c>
      <c r="G63" s="112">
        <f t="shared" si="5"/>
        <v>159</v>
      </c>
      <c r="H63" s="99">
        <f>G63+'1'!H63</f>
        <v>291</v>
      </c>
      <c r="I63" s="118"/>
      <c r="J63" s="175">
        <f>H63/DAY(B2)</f>
        <v>145.5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'1'!F64</f>
        <v>0</v>
      </c>
      <c r="F64" s="122"/>
      <c r="G64" s="112">
        <f>G62+G63</f>
        <v>264</v>
      </c>
      <c r="H64" s="99">
        <f>G64+'1'!H64</f>
        <v>459</v>
      </c>
      <c r="I64" s="118"/>
      <c r="J64" s="175">
        <f>H64/DAY(B2)</f>
        <v>229.5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'1'!F65</f>
        <v>434994</v>
      </c>
      <c r="F65" s="122">
        <v>435065</v>
      </c>
      <c r="G65" s="112">
        <f t="shared" ref="G65:G70" si="6">F65-E65</f>
        <v>71</v>
      </c>
      <c r="H65" s="99">
        <f>G65+'1'!H65</f>
        <v>142</v>
      </c>
      <c r="I65" s="118"/>
      <c r="J65" s="175">
        <f>H65/DAY(B2)</f>
        <v>71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'1'!F66</f>
        <v>107760</v>
      </c>
      <c r="F66" s="122">
        <v>107780</v>
      </c>
      <c r="G66" s="112">
        <f t="shared" si="6"/>
        <v>20</v>
      </c>
      <c r="H66" s="99">
        <f>G66+'1'!H66</f>
        <v>37</v>
      </c>
      <c r="I66" s="118"/>
      <c r="J66" s="175">
        <f>H66/DAY(B2)</f>
        <v>18.5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'1'!F67</f>
        <v>104662</v>
      </c>
      <c r="F67" s="122">
        <v>104682</v>
      </c>
      <c r="G67" s="112">
        <f t="shared" si="6"/>
        <v>20</v>
      </c>
      <c r="H67" s="99">
        <f>G67+'1'!H67</f>
        <v>34</v>
      </c>
      <c r="I67" s="118"/>
      <c r="J67" s="175">
        <f>H67/DAY(B2)</f>
        <v>17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'1'!F68</f>
        <v>157736</v>
      </c>
      <c r="F68" s="122">
        <v>157766</v>
      </c>
      <c r="G68" s="112">
        <f t="shared" si="6"/>
        <v>30</v>
      </c>
      <c r="H68" s="99">
        <f>G68+'1'!H68</f>
        <v>69</v>
      </c>
      <c r="I68" s="118"/>
      <c r="J68" s="175">
        <f>H68/DAY(B2)</f>
        <v>34.5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'1'!F69</f>
        <v>10550</v>
      </c>
      <c r="F69" s="122">
        <v>10569</v>
      </c>
      <c r="G69" s="236">
        <f t="shared" si="6"/>
        <v>19</v>
      </c>
      <c r="H69" s="99">
        <f>G69+'1'!H69</f>
        <v>28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'1'!F70</f>
        <v>8128</v>
      </c>
      <c r="F70" s="122">
        <v>8138</v>
      </c>
      <c r="G70" s="112">
        <f t="shared" si="6"/>
        <v>10</v>
      </c>
      <c r="H70" s="99">
        <f>G70+'1'!H70</f>
        <v>18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170</v>
      </c>
      <c r="H71" s="99">
        <f>G71+'1'!H71</f>
        <v>328</v>
      </c>
      <c r="I71" s="154"/>
      <c r="J71" s="175">
        <f>H71/DAY(B2)</f>
        <v>164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'1'!F74</f>
        <v>901620.68</v>
      </c>
      <c r="F74" s="123">
        <v>901931.71600000001</v>
      </c>
      <c r="G74" s="112">
        <f t="shared" ref="G74:G78" si="7">F74-E74</f>
        <v>311.03599999996368</v>
      </c>
      <c r="H74" s="99">
        <f>G74+'1'!H74</f>
        <v>625.56700000003912</v>
      </c>
      <c r="I74" s="154"/>
      <c r="J74" s="175">
        <f>H74/DAY(B2)</f>
        <v>312.78350000001956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'1'!F76</f>
        <v>170066.06</v>
      </c>
      <c r="F76" s="123">
        <v>170181.77</v>
      </c>
      <c r="G76" s="112">
        <f t="shared" si="7"/>
        <v>115.70999999999185</v>
      </c>
      <c r="H76" s="99">
        <f>G76+'1'!H76</f>
        <v>206.76999999998952</v>
      </c>
      <c r="I76" s="154"/>
      <c r="J76" s="175">
        <f>H76/DAY(B2)</f>
        <v>103.38499999999476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'1'!F77</f>
        <v>41331.9</v>
      </c>
      <c r="F77" s="123">
        <v>41381.1</v>
      </c>
      <c r="G77" s="112">
        <f t="shared" si="7"/>
        <v>49.19999999999709</v>
      </c>
      <c r="H77" s="99">
        <f>G77+'1'!H77</f>
        <v>78.900000000001455</v>
      </c>
      <c r="I77" s="154"/>
      <c r="J77" s="175">
        <f>H77/DAY(B2)</f>
        <v>39.450000000000728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'1'!F78</f>
        <v>9516</v>
      </c>
      <c r="F78" s="123">
        <v>9517.7000000000007</v>
      </c>
      <c r="G78" s="112">
        <f t="shared" si="7"/>
        <v>1.7000000000007276</v>
      </c>
      <c r="H78" s="99">
        <f>G78+'1'!H78</f>
        <v>1.7000000000007276</v>
      </c>
      <c r="I78" s="118"/>
      <c r="J78" s="175">
        <f>H78/DAY(B2)</f>
        <v>0.8500000000003638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'1'!F79</f>
        <v>0</v>
      </c>
      <c r="F79" s="123"/>
      <c r="G79" s="112">
        <f>G15-SUM(G74:G78)</f>
        <v>505.49900000006528</v>
      </c>
      <c r="H79" s="99">
        <f>G79+'1'!H79</f>
        <v>988.76599999994869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983.14500000001863</v>
      </c>
      <c r="H80" s="99">
        <f>G80+'1'!H80</f>
        <v>983.14500000001863</v>
      </c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'1'!F84</f>
        <v>41675</v>
      </c>
      <c r="F84" s="164">
        <v>41675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'1'!F85</f>
        <v>2286</v>
      </c>
      <c r="F85" s="164">
        <v>2302</v>
      </c>
      <c r="G85" s="112">
        <f t="shared" si="8"/>
        <v>16</v>
      </c>
      <c r="H85" s="99">
        <f>G85+'1'!H85</f>
        <v>40</v>
      </c>
      <c r="I85" s="118">
        <f>G82+G83+G84+G85</f>
        <v>16</v>
      </c>
      <c r="J85" s="175">
        <f>H85/DAY(B2)</f>
        <v>20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'1'!F86</f>
        <v>43442</v>
      </c>
      <c r="F86" s="164">
        <v>43450</v>
      </c>
      <c r="G86" s="112">
        <f t="shared" si="8"/>
        <v>8</v>
      </c>
      <c r="H86" s="99">
        <f>G86+'1'!H86</f>
        <v>8</v>
      </c>
      <c r="I86" s="118"/>
      <c r="J86" s="175">
        <f>H86/DAY(B2)</f>
        <v>4</v>
      </c>
      <c r="O86" s="71">
        <f>24-8</f>
        <v>16</v>
      </c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'1'!F87</f>
        <v>34598.550000000003</v>
      </c>
      <c r="F87" s="164">
        <v>34598.550000000003</v>
      </c>
      <c r="G87" s="112">
        <f t="shared" si="8"/>
        <v>0</v>
      </c>
      <c r="H87" s="99">
        <f>G87+'1'!H87</f>
        <v>5.0000000002910383E-2</v>
      </c>
      <c r="I87" s="118"/>
      <c r="J87" s="175">
        <f>H87/DAY(B2)</f>
        <v>2.5000000001455192E-2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'1'!F88</f>
        <v>24063.43</v>
      </c>
      <c r="F88" s="164">
        <v>24063.43</v>
      </c>
      <c r="G88" s="112">
        <f t="shared" si="8"/>
        <v>0</v>
      </c>
      <c r="H88" s="99">
        <f>G88+'1'!H88</f>
        <v>0</v>
      </c>
      <c r="I88" s="118">
        <f>G86+G87+G88</f>
        <v>8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'1'!F89</f>
        <v>25900.61</v>
      </c>
      <c r="F89" s="164">
        <v>25910</v>
      </c>
      <c r="G89" s="112">
        <f t="shared" si="8"/>
        <v>9.3899999999994179</v>
      </c>
      <c r="H89" s="99">
        <f>G89+'1'!H89</f>
        <v>18.880000000001019</v>
      </c>
      <c r="I89" s="118"/>
      <c r="J89" s="175">
        <f>H89/DAY(B2)</f>
        <v>9.4400000000005093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'1'!F90</f>
        <v>71165.37</v>
      </c>
      <c r="F90" s="164">
        <v>71165.37</v>
      </c>
      <c r="G90" s="112">
        <f t="shared" si="8"/>
        <v>0</v>
      </c>
      <c r="H90" s="99">
        <f>G90+'1'!H90</f>
        <v>2.0499999999883585</v>
      </c>
      <c r="I90" s="118">
        <f>G89+G90</f>
        <v>9.3899999999994179</v>
      </c>
      <c r="J90" s="175">
        <f>H90/DAY(B2)</f>
        <v>1.0249999999941792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'1'!F91</f>
        <v>3262.86</v>
      </c>
      <c r="F91" s="122">
        <v>3274.32</v>
      </c>
      <c r="G91" s="112">
        <f t="shared" si="8"/>
        <v>11.460000000000036</v>
      </c>
      <c r="H91" s="99">
        <f>G91+'1'!H91</f>
        <v>23.230000000000018</v>
      </c>
      <c r="I91" s="165"/>
      <c r="J91" s="175">
        <f>H91/DAY(B2)</f>
        <v>11.615000000000009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'1'!F92</f>
        <v>5741.07</v>
      </c>
      <c r="F92" s="122">
        <v>5741.07</v>
      </c>
      <c r="G92" s="112">
        <f t="shared" si="8"/>
        <v>0</v>
      </c>
      <c r="H92" s="99">
        <f>G92+'1'!H92</f>
        <v>0</v>
      </c>
      <c r="I92" s="165"/>
      <c r="J92" s="175">
        <f>H92/DAY(B2)</f>
        <v>0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4432.2000000000007</v>
      </c>
      <c r="H94" s="99">
        <f>G94+'1'!H94</f>
        <v>8519.2299999999959</v>
      </c>
      <c r="I94" s="118"/>
      <c r="J94" s="175">
        <f>H94/DAY(B2)</f>
        <v>4259.614999999998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0.2455648512382958</v>
      </c>
      <c r="H95" s="99">
        <f>G95+'1'!H95</f>
        <v>0.48229143375286104</v>
      </c>
      <c r="I95" s="167"/>
      <c r="J95" s="175">
        <f>H95/DAY(B2)</f>
        <v>0.24114571687643052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3469.6100000000006</v>
      </c>
      <c r="H96" s="99">
        <f>G96+'1'!H96</f>
        <v>7457.3999999999942</v>
      </c>
      <c r="I96" s="118"/>
      <c r="J96" s="175">
        <f>H96/DAY(B2)</f>
        <v>3728.6999999999971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0.19223281068203227</v>
      </c>
      <c r="H97" s="99">
        <f>G97+'1'!H97</f>
        <v>0.42321127144345505</v>
      </c>
      <c r="I97" s="167"/>
      <c r="J97" s="175">
        <f>H97/DAY(B2)</f>
        <v>0.21160563572172753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2628.2200000000012</v>
      </c>
      <c r="H98" s="99">
        <f>G98+'1'!H98</f>
        <v>5237.8099999999977</v>
      </c>
      <c r="I98" s="168"/>
      <c r="J98" s="175">
        <f>H98/DAY(B2)</f>
        <v>2618.9049999999988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0.14561582359133476</v>
      </c>
      <c r="H99" s="99">
        <f>G99+'1'!H99</f>
        <v>0.29676698285960151</v>
      </c>
      <c r="I99" s="168"/>
      <c r="J99" s="175">
        <f>H99/DAY(B2)</f>
        <v>0.14838349142980076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1758.7900000000009</v>
      </c>
      <c r="H100" s="99">
        <f>G100+'1'!H100</f>
        <v>3379.0599999999977</v>
      </c>
      <c r="I100" s="118"/>
      <c r="J100" s="175">
        <f>H100/DAY(B2)</f>
        <v>1689.5299999999988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9.7445287827580523E-2</v>
      </c>
      <c r="H101" s="99">
        <f>G101+'1'!H101</f>
        <v>0.19129362753902729</v>
      </c>
      <c r="I101" s="168"/>
      <c r="J101" s="175">
        <f>H101/DAY(B2)</f>
        <v>9.5646813769513644E-2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1799.0299999999988</v>
      </c>
      <c r="H102" s="99">
        <f>G102+'1'!H102</f>
        <v>3448.7100000000064</v>
      </c>
      <c r="I102" s="168"/>
      <c r="J102" s="175">
        <f>H102/DAY(B2)</f>
        <v>1724.3550000000032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9.9674774225718812E-2</v>
      </c>
      <c r="H103" s="99">
        <f>G103+'1'!H103</f>
        <v>0.19522658290895095</v>
      </c>
      <c r="I103" s="118"/>
      <c r="J103" s="175">
        <f>H103/DAY(B2)</f>
        <v>9.7613291454475476E-2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1547.1000000000058</v>
      </c>
      <c r="H104" s="99">
        <f>G104+'1'!H104</f>
        <v>3101.2100000000064</v>
      </c>
      <c r="I104" s="118"/>
      <c r="J104" s="175">
        <f>H104/DAY(B2)</f>
        <v>1550.6050000000032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8.5716660202781639E-2</v>
      </c>
      <c r="H105" s="99">
        <f>G105+'1'!H105</f>
        <v>0.17573291874546704</v>
      </c>
      <c r="I105" s="187"/>
      <c r="J105" s="188">
        <f>H105/DAY(B2)</f>
        <v>8.7866459372733519E-2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'1'!F112</f>
        <v>58132</v>
      </c>
      <c r="F112" s="237">
        <v>58208.63</v>
      </c>
      <c r="G112" s="112">
        <f t="shared" ref="G112:G123" si="9">F112-E112</f>
        <v>76.629999999997381</v>
      </c>
      <c r="H112" s="99">
        <f>G112+'1'!H112</f>
        <v>154.62999999999738</v>
      </c>
      <c r="I112" s="165"/>
      <c r="J112" s="328">
        <f>H112/DAY(B2)</f>
        <v>77.31499999999869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'1'!F113</f>
        <v>46884.44</v>
      </c>
      <c r="F113" s="237">
        <v>47363.9</v>
      </c>
      <c r="G113" s="112">
        <f t="shared" si="9"/>
        <v>479.45999999999913</v>
      </c>
      <c r="H113" s="99">
        <f>G113+'1'!H113</f>
        <v>963.01000000000204</v>
      </c>
      <c r="I113" s="165"/>
      <c r="J113" s="328">
        <f>H113/DAY(B2)</f>
        <v>481.50500000000102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'1'!F114</f>
        <v>33421.300000000003</v>
      </c>
      <c r="F114" s="237">
        <v>33745.300000000003</v>
      </c>
      <c r="G114" s="112">
        <f t="shared" si="9"/>
        <v>324</v>
      </c>
      <c r="H114" s="99">
        <f>G114+'1'!H114</f>
        <v>585.30000000000291</v>
      </c>
      <c r="I114" s="165"/>
      <c r="J114" s="328">
        <f>H114/DAY(B2)</f>
        <v>292.65000000000146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'1'!F115</f>
        <v>9103.4500000000007</v>
      </c>
      <c r="F115" s="237">
        <v>9114.76</v>
      </c>
      <c r="G115" s="112">
        <f t="shared" si="9"/>
        <v>11.309999999999491</v>
      </c>
      <c r="H115" s="99">
        <f>G115+'1'!H115</f>
        <v>20.110000000000582</v>
      </c>
      <c r="I115" s="165"/>
      <c r="J115" s="328">
        <f>H115/DAY(B2)</f>
        <v>10.055000000000291</v>
      </c>
    </row>
    <row r="116" spans="1:18" ht="29.25" customHeight="1" x14ac:dyDescent="0.5">
      <c r="A116" s="878" t="s">
        <v>96</v>
      </c>
      <c r="B116" s="879"/>
      <c r="C116" s="880"/>
      <c r="D116" s="677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28">
        <f>H116/DAY(B2)</f>
        <v>0</v>
      </c>
      <c r="Q116" s="871"/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'1'!F117</f>
        <v>3359.77</v>
      </c>
      <c r="F117" s="237">
        <v>3395.23</v>
      </c>
      <c r="G117" s="112">
        <f t="shared" si="9"/>
        <v>35.460000000000036</v>
      </c>
      <c r="H117" s="99">
        <f>G117+'1'!H117</f>
        <v>57.2800000000002</v>
      </c>
      <c r="I117" s="165"/>
      <c r="J117" s="328">
        <f>H117/DAY(B2)</f>
        <v>28.6400000000001</v>
      </c>
      <c r="Q117" s="871"/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'1'!F118</f>
        <v>252762.81</v>
      </c>
      <c r="F118" s="237">
        <v>253080.85</v>
      </c>
      <c r="G118" s="112">
        <f t="shared" si="9"/>
        <v>318.04000000000815</v>
      </c>
      <c r="H118" s="99">
        <f>G118+'1'!H118</f>
        <v>628.54000000000815</v>
      </c>
      <c r="I118" s="165"/>
      <c r="J118" s="328">
        <f>H118/DAY(B2)</f>
        <v>314.27000000000407</v>
      </c>
      <c r="Q118" s="871"/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'1'!F119</f>
        <v>258589.7</v>
      </c>
      <c r="F119" s="237">
        <v>259012.89</v>
      </c>
      <c r="G119" s="112">
        <f t="shared" si="9"/>
        <v>423.19000000000233</v>
      </c>
      <c r="H119" s="99">
        <f>G119+'1'!H119</f>
        <v>864.34000000002561</v>
      </c>
      <c r="I119" s="165"/>
      <c r="J119" s="328">
        <f>H119/DAY(B2)</f>
        <v>432.17000000001281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'1'!F120</f>
        <v>43373.75</v>
      </c>
      <c r="F120" s="237">
        <v>43790.96</v>
      </c>
      <c r="G120" s="112">
        <f t="shared" si="9"/>
        <v>417.20999999999913</v>
      </c>
      <c r="H120" s="99">
        <f>G120+'1'!H120</f>
        <v>831.34999999999854</v>
      </c>
      <c r="I120" s="165"/>
      <c r="J120" s="328">
        <f>H120/DAY(B2)</f>
        <v>415.67499999999927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'1'!F121</f>
        <v>398755.31</v>
      </c>
      <c r="F121" s="237">
        <v>399468.55</v>
      </c>
      <c r="G121" s="112">
        <f t="shared" si="9"/>
        <v>713.23999999999069</v>
      </c>
      <c r="H121" s="99">
        <f>G121+'1'!H121</f>
        <v>1434.1199999999953</v>
      </c>
      <c r="I121" s="165"/>
      <c r="J121" s="328">
        <f>H121/DAY(B2)</f>
        <v>717.05999999999767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'1'!F122</f>
        <v>126392.21</v>
      </c>
      <c r="F122" s="237">
        <v>126606.82</v>
      </c>
      <c r="G122" s="112">
        <f t="shared" si="9"/>
        <v>214.61000000000058</v>
      </c>
      <c r="H122" s="99">
        <f>G122+'1'!H122</f>
        <v>420.64000000001397</v>
      </c>
      <c r="I122" s="165"/>
      <c r="J122" s="328">
        <f>H122/DAY(B2)</f>
        <v>210.32000000000698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'1'!F123</f>
        <v>154308.20000000001</v>
      </c>
      <c r="F123" s="237">
        <v>154565.59</v>
      </c>
      <c r="G123" s="112">
        <f t="shared" si="9"/>
        <v>257.38999999998487</v>
      </c>
      <c r="H123" s="99">
        <f>G123+'1'!H123</f>
        <v>518.63999999998487</v>
      </c>
      <c r="I123" s="165"/>
      <c r="J123" s="328">
        <f>H123/DAY(B2)</f>
        <v>259.31999999999243</v>
      </c>
    </row>
    <row r="124" spans="1:18" ht="29.25" customHeight="1" x14ac:dyDescent="0.5">
      <c r="A124" s="875"/>
      <c r="B124" s="876"/>
      <c r="C124" s="877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3270.5399999999818</v>
      </c>
      <c r="H125" s="156"/>
      <c r="I125" s="327">
        <f>G125-(G39+G53)</f>
        <v>642.31999999998061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'1'!F128</f>
        <v>48067</v>
      </c>
      <c r="F128" s="165">
        <v>48382.55</v>
      </c>
      <c r="G128" s="112">
        <f t="shared" ref="G128:G133" si="10">F128-E128</f>
        <v>315.55000000000291</v>
      </c>
      <c r="H128" s="99">
        <f>G128+'1'!H128</f>
        <v>636.55000000000291</v>
      </c>
      <c r="I128" s="165"/>
      <c r="J128" s="328">
        <f>H128/DAY(B2)</f>
        <v>318.27500000000146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'1'!F129</f>
        <v>27123</v>
      </c>
      <c r="F129" s="165">
        <v>27328.1</v>
      </c>
      <c r="G129" s="112">
        <f t="shared" si="10"/>
        <v>205.09999999999854</v>
      </c>
      <c r="H129" s="99">
        <f>G129+'1'!H129</f>
        <v>417.22999999999956</v>
      </c>
      <c r="I129" s="165"/>
      <c r="J129" s="328">
        <f>H129/DAY(B2)</f>
        <v>208.61499999999978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'1'!F130</f>
        <v>36147.81</v>
      </c>
      <c r="F130" s="165">
        <v>36747.9</v>
      </c>
      <c r="G130" s="112">
        <f t="shared" si="10"/>
        <v>600.09000000000378</v>
      </c>
      <c r="H130" s="99">
        <f>G130+'1'!H130</f>
        <v>1053.9000000000015</v>
      </c>
      <c r="I130" s="165"/>
      <c r="J130" s="328">
        <f>H130/DAY(B2)</f>
        <v>526.95000000000073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'1'!F131</f>
        <v>15367.2</v>
      </c>
      <c r="F131" s="165">
        <v>15427.4</v>
      </c>
      <c r="G131" s="112">
        <f t="shared" si="10"/>
        <v>60.199999999998909</v>
      </c>
      <c r="H131" s="99">
        <f>G131+'1'!H131</f>
        <v>119.71999999999935</v>
      </c>
      <c r="I131" s="165"/>
      <c r="J131" s="328">
        <f>H131/DAY(B2)</f>
        <v>59.859999999999673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'1'!F132</f>
        <v>52011.77</v>
      </c>
      <c r="F132" s="165">
        <v>52212.32</v>
      </c>
      <c r="G132" s="112">
        <f t="shared" si="10"/>
        <v>200.55000000000291</v>
      </c>
      <c r="H132" s="99">
        <f>G132+'1'!H132</f>
        <v>364.0199999999968</v>
      </c>
      <c r="I132" s="165"/>
      <c r="J132" s="328">
        <f>H132/DAY(B2)</f>
        <v>182.0099999999984</v>
      </c>
    </row>
    <row r="133" spans="1:15" ht="27.75" x14ac:dyDescent="0.5">
      <c r="A133" s="871" t="s">
        <v>342</v>
      </c>
      <c r="B133" s="872"/>
      <c r="C133" s="873"/>
      <c r="D133" s="151" t="s">
        <v>183</v>
      </c>
      <c r="E133" s="95">
        <f>'1'!F133</f>
        <v>105836.27</v>
      </c>
      <c r="F133" s="165">
        <v>106404.31</v>
      </c>
      <c r="G133" s="112">
        <f t="shared" si="10"/>
        <v>568.0399999999936</v>
      </c>
      <c r="H133" s="99">
        <f>G133+'1'!H133</f>
        <v>1060.6100000000006</v>
      </c>
      <c r="I133" s="165"/>
      <c r="J133" s="328">
        <f>H133/DAY(B2)</f>
        <v>530.30500000000029</v>
      </c>
    </row>
    <row r="134" spans="1:15" ht="27.75" x14ac:dyDescent="0.5">
      <c r="A134" s="871" t="s">
        <v>340</v>
      </c>
      <c r="B134" s="872"/>
      <c r="C134" s="873"/>
      <c r="D134" s="675" t="s">
        <v>183</v>
      </c>
      <c r="E134" s="95">
        <f>'1'!F134</f>
        <v>8755.39</v>
      </c>
      <c r="F134" s="158">
        <v>8906.8799999999992</v>
      </c>
      <c r="G134" s="112">
        <f>F134-E134</f>
        <v>151.48999999999978</v>
      </c>
      <c r="H134" s="99">
        <f>G134+'1'!H134</f>
        <v>305.64999999999964</v>
      </c>
      <c r="I134" s="165"/>
      <c r="J134" s="328">
        <f>H134/DAY(B2)</f>
        <v>152.82499999999982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2101.0200000000004</v>
      </c>
      <c r="H135" s="99">
        <f>G135+'1'!H135</f>
        <v>3957.6800000000003</v>
      </c>
      <c r="I135" s="327">
        <f>G135-(G35+G49)</f>
        <v>-334.0199999999968</v>
      </c>
      <c r="J135" s="328">
        <f>H135/DAY(B2)</f>
        <v>1978.8400000000001</v>
      </c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675" t="s">
        <v>183</v>
      </c>
      <c r="E138" s="95">
        <f>'1'!F138</f>
        <v>866234</v>
      </c>
      <c r="F138" s="147">
        <v>866293</v>
      </c>
      <c r="G138" s="112">
        <f t="shared" ref="G138:G152" si="11">F138-E138</f>
        <v>59</v>
      </c>
      <c r="H138" s="99">
        <f>G138+'1'!H138</f>
        <v>120</v>
      </c>
      <c r="I138" s="118"/>
      <c r="J138" s="328">
        <f>H138/DAY(B2)</f>
        <v>60</v>
      </c>
    </row>
    <row r="139" spans="1:15" ht="27.75" x14ac:dyDescent="0.5">
      <c r="A139" s="870" t="s">
        <v>186</v>
      </c>
      <c r="B139" s="870"/>
      <c r="C139" s="870"/>
      <c r="D139" s="675" t="s">
        <v>183</v>
      </c>
      <c r="E139" s="95">
        <f>'1'!F139</f>
        <v>886574</v>
      </c>
      <c r="F139" s="148">
        <v>886576</v>
      </c>
      <c r="G139" s="112">
        <f t="shared" si="11"/>
        <v>2</v>
      </c>
      <c r="H139" s="99">
        <f>G139+'1'!H139</f>
        <v>3</v>
      </c>
      <c r="I139" s="118"/>
      <c r="J139" s="328">
        <f>H139/DAY(B2)</f>
        <v>1.5</v>
      </c>
    </row>
    <row r="140" spans="1:15" ht="27.75" x14ac:dyDescent="0.5">
      <c r="A140" s="870" t="s">
        <v>187</v>
      </c>
      <c r="B140" s="870"/>
      <c r="C140" s="870"/>
      <c r="D140" s="675" t="s">
        <v>183</v>
      </c>
      <c r="E140" s="95">
        <f>'1'!F140</f>
        <v>88922</v>
      </c>
      <c r="F140" s="149">
        <v>88932.6</v>
      </c>
      <c r="G140" s="112">
        <f t="shared" si="11"/>
        <v>10.600000000005821</v>
      </c>
      <c r="H140" s="99">
        <f>G140+'1'!H140</f>
        <v>10.600000000005821</v>
      </c>
      <c r="I140" s="118"/>
      <c r="J140" s="328">
        <f>H140/DAY(B2)</f>
        <v>5.3000000000029104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'1'!F141</f>
        <v>54851.17</v>
      </c>
      <c r="F141" s="149">
        <v>55027.8</v>
      </c>
      <c r="G141" s="112">
        <f t="shared" si="11"/>
        <v>176.63000000000466</v>
      </c>
      <c r="H141" s="99">
        <f>G141+'1'!H141</f>
        <v>342.22000000000116</v>
      </c>
      <c r="I141" s="118"/>
      <c r="J141" s="328">
        <f>H141/DAY(B2)</f>
        <v>171.11000000000058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'1'!F142</f>
        <v>21357.57</v>
      </c>
      <c r="F142" s="148">
        <v>21429.24</v>
      </c>
      <c r="G142" s="112">
        <f t="shared" si="11"/>
        <v>71.670000000001892</v>
      </c>
      <c r="H142" s="99">
        <f>G142+'1'!H142</f>
        <v>145.14000000000306</v>
      </c>
      <c r="I142" s="140"/>
      <c r="J142" s="328">
        <f>H142/DAY(B2)</f>
        <v>72.570000000001528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'1'!F143</f>
        <v>3864.39</v>
      </c>
      <c r="F143" s="149">
        <v>3889.08</v>
      </c>
      <c r="G143" s="112">
        <f t="shared" si="11"/>
        <v>24.690000000000055</v>
      </c>
      <c r="H143" s="99">
        <f>G143+'1'!H143</f>
        <v>53.690000000000055</v>
      </c>
      <c r="I143" s="140"/>
      <c r="J143" s="328">
        <f>H143/DAY(B2)</f>
        <v>26.845000000000027</v>
      </c>
    </row>
    <row r="144" spans="1:15" ht="27.75" x14ac:dyDescent="0.5">
      <c r="A144" s="851" t="s">
        <v>90</v>
      </c>
      <c r="B144" s="851"/>
      <c r="C144" s="851"/>
      <c r="D144" s="675" t="s">
        <v>183</v>
      </c>
      <c r="E144" s="95">
        <f>'1'!F144</f>
        <v>876683</v>
      </c>
      <c r="F144" s="149">
        <v>876893</v>
      </c>
      <c r="G144" s="112">
        <f t="shared" si="11"/>
        <v>210</v>
      </c>
      <c r="H144" s="99">
        <f>G144+'1'!H144</f>
        <v>406</v>
      </c>
      <c r="I144" s="140"/>
      <c r="J144" s="328">
        <f>H144/DAY(B2)</f>
        <v>203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'1'!F145</f>
        <v>4971.62</v>
      </c>
      <c r="F145" s="149">
        <v>4985.33</v>
      </c>
      <c r="G145" s="112">
        <f t="shared" si="11"/>
        <v>13.710000000000036</v>
      </c>
      <c r="H145" s="99">
        <f>G145+'1'!H145</f>
        <v>26.489999999999782</v>
      </c>
      <c r="I145" s="140"/>
      <c r="J145" s="328">
        <f>H145/DAY(B2)</f>
        <v>13.244999999999891</v>
      </c>
    </row>
    <row r="146" spans="1:10" ht="27.75" x14ac:dyDescent="0.5">
      <c r="A146" s="905" t="s">
        <v>191</v>
      </c>
      <c r="B146" s="890"/>
      <c r="C146" s="891"/>
      <c r="D146" s="675" t="s">
        <v>183</v>
      </c>
      <c r="E146" s="95">
        <f>'1'!F146</f>
        <v>737727</v>
      </c>
      <c r="F146" s="148">
        <v>738119</v>
      </c>
      <c r="G146" s="112">
        <f t="shared" si="11"/>
        <v>392</v>
      </c>
      <c r="H146" s="99">
        <f>G146+'1'!H146</f>
        <v>786</v>
      </c>
      <c r="I146" s="140"/>
      <c r="J146" s="328">
        <f>H146/DAY(B2)</f>
        <v>393</v>
      </c>
    </row>
    <row r="147" spans="1:10" ht="27.75" x14ac:dyDescent="0.5">
      <c r="A147" s="851" t="s">
        <v>192</v>
      </c>
      <c r="B147" s="851"/>
      <c r="C147" s="851"/>
      <c r="D147" s="675" t="s">
        <v>183</v>
      </c>
      <c r="E147" s="95">
        <f>'1'!F147</f>
        <v>626981.80000000005</v>
      </c>
      <c r="F147" s="148">
        <v>627378.12</v>
      </c>
      <c r="G147" s="112">
        <f t="shared" si="11"/>
        <v>396.31999999994878</v>
      </c>
      <c r="H147" s="99">
        <f>G147+'1'!H147</f>
        <v>765.59999999997672</v>
      </c>
      <c r="I147" s="140"/>
      <c r="J147" s="328">
        <f>H147/DAY(B2)</f>
        <v>382.79999999998836</v>
      </c>
    </row>
    <row r="148" spans="1:10" ht="27.75" x14ac:dyDescent="0.5">
      <c r="A148" s="852" t="s">
        <v>193</v>
      </c>
      <c r="B148" s="853"/>
      <c r="C148" s="854"/>
      <c r="D148" s="676" t="s">
        <v>130</v>
      </c>
      <c r="E148" s="95">
        <f>'1'!F148</f>
        <v>689638</v>
      </c>
      <c r="F148" s="150">
        <v>689904.24</v>
      </c>
      <c r="G148" s="112">
        <f t="shared" si="11"/>
        <v>266.23999999999069</v>
      </c>
      <c r="H148" s="99">
        <f>G148+'1'!H148</f>
        <v>461.28000000002794</v>
      </c>
      <c r="I148" s="124"/>
      <c r="J148" s="328">
        <f>H148/DAY(B2)</f>
        <v>230.64000000001397</v>
      </c>
    </row>
    <row r="149" spans="1:10" ht="27.75" x14ac:dyDescent="0.5">
      <c r="A149" s="852" t="s">
        <v>336</v>
      </c>
      <c r="B149" s="853"/>
      <c r="C149" s="854"/>
      <c r="D149" s="677" t="s">
        <v>130</v>
      </c>
      <c r="E149" s="95">
        <f>'1'!F149</f>
        <v>25075.18</v>
      </c>
      <c r="F149" s="146">
        <v>25534.7</v>
      </c>
      <c r="G149" s="112">
        <f t="shared" si="11"/>
        <v>459.52000000000044</v>
      </c>
      <c r="H149" s="99">
        <f>G149+'1'!H149</f>
        <v>856.5</v>
      </c>
      <c r="I149" s="119"/>
      <c r="J149" s="328">
        <f>H149/DAY(B2)</f>
        <v>428.25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'1'!F150</f>
        <v>11065.7</v>
      </c>
      <c r="F150" s="233">
        <v>11279.22</v>
      </c>
      <c r="G150" s="112">
        <f t="shared" si="11"/>
        <v>213.51999999999862</v>
      </c>
      <c r="H150" s="99">
        <f>G150+'1'!H150</f>
        <v>428.38999999999942</v>
      </c>
      <c r="I150" s="119"/>
      <c r="J150" s="328">
        <f>H150/DAY(B2)</f>
        <v>214.19499999999971</v>
      </c>
    </row>
    <row r="151" spans="1:10" ht="27.75" x14ac:dyDescent="0.5">
      <c r="A151" s="852" t="s">
        <v>338</v>
      </c>
      <c r="B151" s="853"/>
      <c r="C151" s="854"/>
      <c r="D151" s="676" t="s">
        <v>130</v>
      </c>
      <c r="E151" s="95">
        <f>'1'!F151</f>
        <v>85706</v>
      </c>
      <c r="F151" s="233">
        <v>86023</v>
      </c>
      <c r="G151" s="112">
        <f t="shared" si="11"/>
        <v>317</v>
      </c>
      <c r="H151" s="99">
        <f>G151+'1'!H151</f>
        <v>543</v>
      </c>
      <c r="I151" s="119"/>
      <c r="J151" s="328">
        <f>H151/DAY(B2)</f>
        <v>271.5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'1'!F152</f>
        <v>1676.46</v>
      </c>
      <c r="F152" s="233">
        <v>1706.35</v>
      </c>
      <c r="G152" s="112">
        <f t="shared" si="11"/>
        <v>29.889999999999873</v>
      </c>
      <c r="H152" s="99">
        <f>G152+'1'!H152</f>
        <v>46.349999999999909</v>
      </c>
      <c r="I152" s="119"/>
      <c r="J152" s="328">
        <f>H152/DAY(B2)</f>
        <v>23.174999999999955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2642.7899999999509</v>
      </c>
      <c r="H153" s="363"/>
      <c r="I153" s="119">
        <f>G153-(G38+G52)</f>
        <v>883.99999999994998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678" t="s">
        <v>130</v>
      </c>
      <c r="E155" s="95">
        <f>'1'!F155</f>
        <v>32945</v>
      </c>
      <c r="F155" s="548">
        <v>33621.9</v>
      </c>
      <c r="G155" s="112">
        <f t="shared" ref="G155:G158" si="12">F155-E155</f>
        <v>676.90000000000146</v>
      </c>
      <c r="H155" s="99">
        <f>G155+'1'!H155</f>
        <v>676.90000000000146</v>
      </c>
      <c r="I155" s="364"/>
      <c r="J155" s="328">
        <f>H155/DAY(B2)</f>
        <v>338.45000000000073</v>
      </c>
    </row>
    <row r="156" spans="1:10" ht="27.75" x14ac:dyDescent="0.5">
      <c r="A156" s="851" t="s">
        <v>347</v>
      </c>
      <c r="B156" s="851"/>
      <c r="C156" s="851"/>
      <c r="D156" s="678" t="s">
        <v>130</v>
      </c>
      <c r="E156" s="95">
        <f>'1'!F156</f>
        <v>2788</v>
      </c>
      <c r="F156" s="165">
        <v>2839.76</v>
      </c>
      <c r="G156" s="112">
        <f t="shared" si="12"/>
        <v>51.760000000000218</v>
      </c>
      <c r="H156" s="99">
        <f>G156+'1'!H156</f>
        <v>51.760000000000218</v>
      </c>
      <c r="I156" s="165"/>
      <c r="J156" s="328">
        <f>H156/DAY(B2)</f>
        <v>25.880000000000109</v>
      </c>
    </row>
    <row r="157" spans="1:10" ht="27.75" x14ac:dyDescent="0.5">
      <c r="A157" s="852" t="s">
        <v>363</v>
      </c>
      <c r="B157" s="853"/>
      <c r="C157" s="854"/>
      <c r="D157" s="678" t="s">
        <v>130</v>
      </c>
      <c r="E157" s="95">
        <f>'1'!F157</f>
        <v>4127.37</v>
      </c>
      <c r="F157" s="165">
        <v>4207</v>
      </c>
      <c r="G157" s="112">
        <f t="shared" si="12"/>
        <v>79.630000000000109</v>
      </c>
      <c r="H157" s="99"/>
      <c r="I157" s="165"/>
      <c r="J157" s="328"/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>
        <f>'1'!F158</f>
        <v>46.66</v>
      </c>
      <c r="F158" s="165">
        <v>60</v>
      </c>
      <c r="G158" s="112">
        <f t="shared" si="12"/>
        <v>13.340000000000003</v>
      </c>
      <c r="H158" s="99"/>
      <c r="I158" s="165"/>
      <c r="J158" s="328"/>
    </row>
    <row r="159" spans="1:10" ht="27.75" x14ac:dyDescent="0.5">
      <c r="A159" s="852"/>
      <c r="B159" s="853"/>
      <c r="C159" s="854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4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472101.84</v>
      </c>
      <c r="F161" s="235">
        <v>472154.68</v>
      </c>
      <c r="G161" s="238">
        <f t="shared" ref="G161:G165" si="13">F161-E161</f>
        <v>52.839999999967404</v>
      </c>
      <c r="H161" s="99">
        <f>G161+'1'!H161</f>
        <v>101.11999999999534</v>
      </c>
      <c r="I161" s="236"/>
      <c r="J161" s="239">
        <f>H161/DAY(B2)</f>
        <v>50.559999999997672</v>
      </c>
    </row>
    <row r="162" spans="1:14" ht="29.25" x14ac:dyDescent="0.5">
      <c r="A162" s="242" t="s">
        <v>93</v>
      </c>
      <c r="B162" s="243"/>
      <c r="C162" s="243"/>
      <c r="D162" s="244" t="s">
        <v>180</v>
      </c>
      <c r="E162" s="95">
        <f>'1'!F162</f>
        <v>88558.399999999994</v>
      </c>
      <c r="F162" s="235">
        <v>88596.5</v>
      </c>
      <c r="G162" s="238">
        <f t="shared" si="13"/>
        <v>38.100000000005821</v>
      </c>
      <c r="H162" s="99">
        <f>G162+'1'!H162</f>
        <v>80.100000000005821</v>
      </c>
      <c r="I162" s="236"/>
      <c r="J162" s="239">
        <f>H162/DAY(B2)</f>
        <v>40.05000000000291</v>
      </c>
    </row>
    <row r="163" spans="1:14" ht="29.25" x14ac:dyDescent="0.5">
      <c r="A163" s="242" t="s">
        <v>197</v>
      </c>
      <c r="B163" s="243"/>
      <c r="C163" s="243"/>
      <c r="D163" s="244" t="s">
        <v>180</v>
      </c>
      <c r="E163" s="95">
        <f>'1'!F163</f>
        <v>79251.5</v>
      </c>
      <c r="F163" s="235">
        <v>79285.3</v>
      </c>
      <c r="G163" s="238">
        <f t="shared" si="13"/>
        <v>33.80000000000291</v>
      </c>
      <c r="H163" s="99">
        <f>G163+'1'!H163</f>
        <v>65.19999999999709</v>
      </c>
      <c r="I163" s="236"/>
      <c r="J163" s="239">
        <f>H163/DAY(B2)</f>
        <v>32.599999999998545</v>
      </c>
    </row>
    <row r="164" spans="1:14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4320.8</v>
      </c>
      <c r="F164" s="235">
        <v>4323.3</v>
      </c>
      <c r="G164" s="238">
        <f t="shared" si="13"/>
        <v>2.5</v>
      </c>
      <c r="H164" s="99">
        <f>G164+'1'!H164</f>
        <v>3.3000000000001819</v>
      </c>
      <c r="I164" s="236"/>
      <c r="J164" s="239">
        <f>H164/DAY(B2)</f>
        <v>1.6500000000000909</v>
      </c>
    </row>
    <row r="165" spans="1:14" ht="29.25" x14ac:dyDescent="0.5">
      <c r="A165" s="242" t="s">
        <v>309</v>
      </c>
      <c r="B165" s="243"/>
      <c r="C165" s="243"/>
      <c r="D165" s="244" t="s">
        <v>180</v>
      </c>
      <c r="E165" s="95">
        <f>'1'!F165</f>
        <v>29866.080000000002</v>
      </c>
      <c r="F165" s="235">
        <v>29875.27</v>
      </c>
      <c r="G165" s="238">
        <f t="shared" si="13"/>
        <v>9.1899999999986903</v>
      </c>
      <c r="H165" s="99">
        <f>G165+'1'!H165</f>
        <v>18.020000000000437</v>
      </c>
      <c r="I165" s="236"/>
      <c r="J165" s="239">
        <f>H165/DAY(B2)</f>
        <v>9.0100000000002183</v>
      </c>
    </row>
    <row r="166" spans="1:14" ht="29.25" customHeight="1" x14ac:dyDescent="0.5">
      <c r="A166" s="860"/>
      <c r="B166" s="860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 x14ac:dyDescent="0.5">
      <c r="A167" s="860"/>
      <c r="B167" s="860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 x14ac:dyDescent="0.5">
      <c r="A168" s="860"/>
      <c r="B168" s="860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 x14ac:dyDescent="0.5"/>
    <row r="170" spans="1:14" ht="29.25" x14ac:dyDescent="0.5"/>
    <row r="171" spans="1:14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4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 x14ac:dyDescent="0.5">
      <c r="A173" s="864" t="s">
        <v>209</v>
      </c>
      <c r="B173" s="865"/>
      <c r="C173" s="333"/>
      <c r="D173" s="228" t="s">
        <v>142</v>
      </c>
      <c r="E173" s="95">
        <f>'1'!F173</f>
        <v>8126</v>
      </c>
      <c r="F173" s="155">
        <v>8126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 x14ac:dyDescent="0.5">
      <c r="A174" s="864" t="s">
        <v>75</v>
      </c>
      <c r="B174" s="865"/>
      <c r="C174" s="333"/>
      <c r="D174" s="228" t="s">
        <v>142</v>
      </c>
      <c r="E174" s="95">
        <f>'1'!F174</f>
        <v>38626</v>
      </c>
      <c r="F174" s="157">
        <v>38637</v>
      </c>
      <c r="G174" s="155">
        <f t="shared" ref="G174:G175" si="14">F174-E174</f>
        <v>11</v>
      </c>
      <c r="H174" s="99">
        <f>G174+'1'!H174</f>
        <v>22</v>
      </c>
      <c r="I174" s="155"/>
      <c r="J174" s="178">
        <f>H174/DAY(B2)</f>
        <v>11</v>
      </c>
    </row>
    <row r="175" spans="1:14" ht="27.75" x14ac:dyDescent="0.5">
      <c r="A175" s="864" t="s">
        <v>76</v>
      </c>
      <c r="B175" s="904"/>
      <c r="C175" s="865"/>
      <c r="D175" s="228" t="s">
        <v>142</v>
      </c>
      <c r="E175" s="95">
        <f>'1'!F175</f>
        <v>21823</v>
      </c>
      <c r="F175" s="155">
        <v>21832</v>
      </c>
      <c r="G175" s="155">
        <f t="shared" si="14"/>
        <v>9</v>
      </c>
      <c r="H175" s="99">
        <f>G175+'1'!H175</f>
        <v>19</v>
      </c>
      <c r="I175" s="155"/>
      <c r="J175" s="178">
        <f>H175/DAY(B2)</f>
        <v>9.5</v>
      </c>
      <c r="N175" s="599"/>
    </row>
    <row r="176" spans="1:14" ht="27.75" x14ac:dyDescent="0.5">
      <c r="A176" s="855" t="s">
        <v>196</v>
      </c>
      <c r="B176" s="856"/>
      <c r="C176" s="483"/>
      <c r="D176" s="228"/>
      <c r="E176" s="95"/>
      <c r="F176" s="155"/>
      <c r="G176" s="155">
        <f>SUM(G173:G175)</f>
        <v>20</v>
      </c>
      <c r="H176" s="99">
        <f>G176+'1'!H176</f>
        <v>41</v>
      </c>
      <c r="I176" s="155"/>
      <c r="J176" s="178">
        <f>H176/DAY(B2)</f>
        <v>20.5</v>
      </c>
    </row>
    <row r="177" spans="1:10" ht="27.75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864" t="s">
        <v>210</v>
      </c>
      <c r="B178" s="865"/>
      <c r="C178" s="333"/>
      <c r="D178" s="228" t="s">
        <v>142</v>
      </c>
      <c r="E178" s="95">
        <f>'1'!F178</f>
        <v>81358</v>
      </c>
      <c r="F178" s="157">
        <v>81448</v>
      </c>
      <c r="G178" s="155">
        <f>F178-E178</f>
        <v>90</v>
      </c>
      <c r="H178" s="99">
        <f>G178+'1'!H178</f>
        <v>133</v>
      </c>
      <c r="I178" s="155"/>
      <c r="J178" s="178">
        <f>H178/DAY(B2)</f>
        <v>66.5</v>
      </c>
    </row>
    <row r="179" spans="1:10" ht="27.75" x14ac:dyDescent="0.5">
      <c r="A179" s="864" t="s">
        <v>211</v>
      </c>
      <c r="B179" s="865"/>
      <c r="C179" s="333"/>
      <c r="D179" s="228" t="s">
        <v>142</v>
      </c>
      <c r="E179" s="95">
        <f>'1'!F179</f>
        <v>34832</v>
      </c>
      <c r="F179" s="155">
        <v>34869</v>
      </c>
      <c r="G179" s="155">
        <f t="shared" ref="G179:G180" si="15">F179-E179</f>
        <v>37</v>
      </c>
      <c r="H179" s="99">
        <f>G179+'1'!H179</f>
        <v>66</v>
      </c>
      <c r="I179" s="155"/>
      <c r="J179" s="178">
        <f>H179/DAY(B2)</f>
        <v>33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'1'!F180</f>
        <v>5705</v>
      </c>
      <c r="F180" s="155">
        <v>5710</v>
      </c>
      <c r="G180" s="155">
        <f t="shared" si="15"/>
        <v>5</v>
      </c>
      <c r="H180" s="99">
        <f>G180+'1'!H180</f>
        <v>8</v>
      </c>
      <c r="I180" s="155"/>
      <c r="J180" s="178">
        <f>H180/DAY(B2)</f>
        <v>4</v>
      </c>
    </row>
    <row r="181" spans="1:10" ht="27.75" x14ac:dyDescent="0.5">
      <c r="A181" s="866" t="s">
        <v>108</v>
      </c>
      <c r="B181" s="867"/>
      <c r="C181" s="483"/>
      <c r="D181" s="228"/>
      <c r="E181" s="95"/>
      <c r="F181" s="155"/>
      <c r="G181" s="155">
        <f>SUM(G178:G180)</f>
        <v>132</v>
      </c>
      <c r="H181" s="99">
        <f>G181+'1'!H181</f>
        <v>207</v>
      </c>
      <c r="I181" s="155"/>
      <c r="J181" s="178">
        <f>H181/DAY(B2)</f>
        <v>103.5</v>
      </c>
    </row>
    <row r="182" spans="1:10" ht="31.5" customHeight="1" x14ac:dyDescent="0.5">
      <c r="A182" s="864" t="s">
        <v>213</v>
      </c>
      <c r="B182" s="865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864" t="s">
        <v>214</v>
      </c>
      <c r="B183" s="865"/>
      <c r="C183" s="334"/>
      <c r="D183" s="228" t="s">
        <v>142</v>
      </c>
      <c r="E183" s="95">
        <f>'1'!F183</f>
        <v>15356</v>
      </c>
      <c r="F183" s="157">
        <v>15378</v>
      </c>
      <c r="G183" s="157">
        <f>F183-E183</f>
        <v>22</v>
      </c>
      <c r="H183" s="99">
        <f>G183+'1'!H183</f>
        <v>33</v>
      </c>
      <c r="I183" s="155"/>
      <c r="J183" s="178">
        <f>H183/DAY(B2)</f>
        <v>16.5</v>
      </c>
    </row>
    <row r="184" spans="1:10" ht="27.75" customHeight="1" x14ac:dyDescent="0.5">
      <c r="A184" s="864" t="s">
        <v>215</v>
      </c>
      <c r="B184" s="865"/>
      <c r="C184" s="334"/>
      <c r="D184" s="228" t="s">
        <v>142</v>
      </c>
      <c r="E184" s="95">
        <f>'1'!F184</f>
        <v>10525</v>
      </c>
      <c r="F184" s="157">
        <v>10532</v>
      </c>
      <c r="G184" s="157">
        <f t="shared" ref="G184:G185" si="16">F184-E184</f>
        <v>7</v>
      </c>
      <c r="H184" s="99">
        <f>G184+'1'!H184</f>
        <v>14</v>
      </c>
      <c r="I184" s="155"/>
      <c r="J184" s="178">
        <f>H184/DAY(B2)</f>
        <v>7</v>
      </c>
    </row>
    <row r="185" spans="1:10" ht="24.75" customHeight="1" x14ac:dyDescent="0.5">
      <c r="A185" s="864" t="s">
        <v>216</v>
      </c>
      <c r="B185" s="865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855" t="s">
        <v>196</v>
      </c>
      <c r="B186" s="856"/>
      <c r="C186" s="482"/>
      <c r="D186" s="229"/>
      <c r="E186" s="95"/>
      <c r="F186" s="157"/>
      <c r="G186" s="157">
        <f>SUM(G183:G185)</f>
        <v>29</v>
      </c>
      <c r="H186" s="99">
        <f>G186+'1'!H186</f>
        <v>47</v>
      </c>
      <c r="I186" s="157"/>
      <c r="J186" s="178">
        <f>H186/DAY(B2)</f>
        <v>23.5</v>
      </c>
    </row>
    <row r="187" spans="1:10" ht="28.5" customHeight="1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460">
        <f>G62+G19</f>
        <v>138</v>
      </c>
      <c r="H187" s="99">
        <f>G187+'1'!H187</f>
        <v>256</v>
      </c>
      <c r="I187" s="158"/>
      <c r="J187" s="179">
        <f>H187/DAY(B2)</f>
        <v>128</v>
      </c>
    </row>
    <row r="188" spans="1:10" ht="24" customHeight="1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140</v>
      </c>
      <c r="H188" s="99">
        <f>G188+'1'!H188</f>
        <v>259</v>
      </c>
      <c r="I188" s="158"/>
      <c r="J188" s="179">
        <f>H188/DAY(B2)</f>
        <v>129.5</v>
      </c>
    </row>
    <row r="189" spans="1:10" ht="24.75" customHeight="1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457">
        <f>G181</f>
        <v>132</v>
      </c>
      <c r="H189" s="99">
        <f>G189+'1'!H189</f>
        <v>207</v>
      </c>
      <c r="I189" s="158"/>
      <c r="J189" s="179">
        <f>H189/DAY(B2)</f>
        <v>103.5</v>
      </c>
    </row>
    <row r="190" spans="1:10" ht="27.75" x14ac:dyDescent="0.5">
      <c r="A190" s="778"/>
      <c r="B190" s="779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41" sqref="F4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6" s="57" customFormat="1" ht="27" x14ac:dyDescent="0.5">
      <c r="A2" s="191" t="s">
        <v>350</v>
      </c>
      <c r="B2" s="375">
        <v>44595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19" t="s">
        <v>119</v>
      </c>
      <c r="F3" s="920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686494</v>
      </c>
      <c r="F7" s="95">
        <v>705577</v>
      </c>
      <c r="G7" s="112">
        <f>F7-E7</f>
        <v>19083</v>
      </c>
      <c r="H7" s="99">
        <f>G7+'2'!H7</f>
        <v>54396.770000000019</v>
      </c>
      <c r="I7" s="113">
        <f>'1'!I7</f>
        <v>12000</v>
      </c>
      <c r="J7" s="175">
        <f>H7/DAY(B2)</f>
        <v>18132.256666666672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744345</v>
      </c>
      <c r="F8" s="114">
        <v>763564</v>
      </c>
      <c r="G8" s="115">
        <f>F8-E8</f>
        <v>19219</v>
      </c>
      <c r="H8" s="99">
        <f>G8+'2'!H8</f>
        <v>55015.849999999977</v>
      </c>
      <c r="I8" s="116"/>
      <c r="J8" s="175">
        <f>H8/DAY(B2)</f>
        <v>18338.616666666658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310735.19</v>
      </c>
      <c r="F9" s="117">
        <v>322590.71000000002</v>
      </c>
      <c r="G9" s="112">
        <f>F9-E9</f>
        <v>11855.520000000019</v>
      </c>
      <c r="H9" s="99">
        <f>G9+'2'!H9</f>
        <v>40336.860000000044</v>
      </c>
      <c r="I9" s="124">
        <f>I7-J7</f>
        <v>-6132.2566666666717</v>
      </c>
      <c r="J9" s="175">
        <f>H9/DAY(B2)</f>
        <v>13445.620000000015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111088.19</v>
      </c>
      <c r="F10" s="117">
        <v>117782.93</v>
      </c>
      <c r="G10" s="112">
        <f t="shared" ref="G10:G12" si="0">F10-E10</f>
        <v>6694.7399999999907</v>
      </c>
      <c r="H10" s="99">
        <f>G10+'2'!H10</f>
        <v>12523.959999999992</v>
      </c>
      <c r="I10" s="282"/>
      <c r="J10" s="175">
        <f>H10/DAY(B2)</f>
        <v>4174.6533333333309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37170</v>
      </c>
      <c r="F11" s="95">
        <v>37170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18550.260000000009</v>
      </c>
      <c r="H13" s="99">
        <f>G13+'2'!H13</f>
        <v>36106.39</v>
      </c>
      <c r="I13" s="120">
        <f>G7-G13</f>
        <v>532.73999999999069</v>
      </c>
      <c r="J13" s="175">
        <f>H13/DAY(B2)</f>
        <v>12035.463333333333</v>
      </c>
      <c r="K13" s="79"/>
      <c r="L13" s="66"/>
      <c r="N13" s="87"/>
      <c r="O13" s="71"/>
    </row>
    <row r="14" spans="1:16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'2'!F15</f>
        <v>1908538.47</v>
      </c>
      <c r="F15" s="492">
        <v>1909550.818</v>
      </c>
      <c r="G15" s="112">
        <f>(F15-E15)</f>
        <v>1012.3479999999981</v>
      </c>
      <c r="H15" s="99">
        <f>G15+'2'!H15</f>
        <v>2914.0509999999776</v>
      </c>
      <c r="I15" s="113">
        <f>'1'!I15</f>
        <v>800</v>
      </c>
      <c r="J15" s="175">
        <f>H15/DAY(B2)</f>
        <v>971.35033333332592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-171.35033333332592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'2'!F18</f>
        <v>15</v>
      </c>
      <c r="F18" s="122">
        <v>18</v>
      </c>
      <c r="G18" s="119">
        <f>F18*10</f>
        <v>180</v>
      </c>
      <c r="H18" s="99">
        <f>G18+'2'!H18</f>
        <v>510</v>
      </c>
      <c r="I18" s="113">
        <f>'1'!I18</f>
        <v>65</v>
      </c>
      <c r="J18" s="175">
        <f>H18/DAY(B2)</f>
        <v>170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'2'!F19</f>
        <v>153979</v>
      </c>
      <c r="F19" s="122">
        <v>154032</v>
      </c>
      <c r="G19" s="112">
        <f t="shared" ref="G19" si="1">F19-E19</f>
        <v>53</v>
      </c>
      <c r="H19" s="99">
        <f>G19+'2'!H19</f>
        <v>141</v>
      </c>
      <c r="I19" s="335"/>
      <c r="J19" s="175">
        <f>H19/DAY(B2)</f>
        <v>47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G20+'2'!H20</f>
        <v>651</v>
      </c>
      <c r="I20" s="336">
        <f>I18-J20</f>
        <v>-152</v>
      </c>
      <c r="J20" s="175">
        <f>H20/DAY(B2)</f>
        <v>217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19219</v>
      </c>
      <c r="F27" s="136">
        <v>9</v>
      </c>
      <c r="G27" s="137">
        <f>E27*F27</f>
        <v>172971</v>
      </c>
      <c r="H27" s="99">
        <f>G27+'2'!H27</f>
        <v>495142.64999999979</v>
      </c>
      <c r="I27" s="138"/>
      <c r="J27" s="175">
        <f>H27/DAY(B2)</f>
        <v>165047.54999999993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1012.3479999999981</v>
      </c>
      <c r="F28" s="136">
        <v>52</v>
      </c>
      <c r="G28" s="137">
        <f>E28*F28</f>
        <v>52642.095999999903</v>
      </c>
      <c r="H28" s="99">
        <f>G28+'2'!H28</f>
        <v>151530.65199999884</v>
      </c>
      <c r="I28" s="140"/>
      <c r="J28" s="175">
        <f>H28/DAY(B2)</f>
        <v>50510.217333332948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G30+'2'!H30</f>
        <v>20586</v>
      </c>
      <c r="I30" s="140"/>
      <c r="J30" s="175">
        <f>H30/DAY(B2)</f>
        <v>6862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G31+'2'!H31</f>
        <v>40800</v>
      </c>
      <c r="I31" s="140"/>
      <c r="J31" s="175">
        <f>H31/DAY(B2)</f>
        <v>13600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247751.0959999999</v>
      </c>
      <c r="H32" s="99">
        <f>G32+'2'!H32</f>
        <v>708059.30199999863</v>
      </c>
      <c r="I32" s="144"/>
      <c r="J32" s="175">
        <f>H32/DAY(B2)</f>
        <v>236019.76733333289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34639.31</v>
      </c>
      <c r="F35" s="145">
        <v>36076.93</v>
      </c>
      <c r="G35" s="112">
        <f t="shared" ref="G35:G46" si="3">F35-E35</f>
        <v>1437.6200000000026</v>
      </c>
      <c r="H35" s="99">
        <f>G35+'2'!H35</f>
        <v>4071.9500000000007</v>
      </c>
      <c r="I35" s="95"/>
      <c r="J35" s="175">
        <f>H35/DAY(B2)</f>
        <v>1357.3166666666668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44981</v>
      </c>
      <c r="F36" s="145">
        <v>45916.7</v>
      </c>
      <c r="G36" s="112">
        <f t="shared" si="3"/>
        <v>935.69999999999709</v>
      </c>
      <c r="H36" s="99">
        <f>G36+'2'!H36</f>
        <v>2457.9599999999991</v>
      </c>
      <c r="I36" s="95"/>
      <c r="J36" s="175">
        <f>H36/DAY(B2)</f>
        <v>819.31999999999971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38526.300000000003</v>
      </c>
      <c r="F37" s="145">
        <v>40078.410000000003</v>
      </c>
      <c r="G37" s="112">
        <f t="shared" si="3"/>
        <v>1552.1100000000006</v>
      </c>
      <c r="H37" s="99">
        <f>G37+'2'!H37</f>
        <v>4653.320000000007</v>
      </c>
      <c r="I37" s="95"/>
      <c r="J37" s="175">
        <f>H37/DAY(B2)</f>
        <v>1551.1066666666691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41755.49</v>
      </c>
      <c r="F38" s="108">
        <v>43423.64</v>
      </c>
      <c r="G38" s="112">
        <f t="shared" si="3"/>
        <v>1668.1500000000015</v>
      </c>
      <c r="H38" s="99">
        <f>G38+'2'!H38</f>
        <v>5047.2099999999991</v>
      </c>
      <c r="I38" s="95"/>
      <c r="J38" s="175">
        <f>H38/DAY(B2)</f>
        <v>1682.403333333333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64411.1</v>
      </c>
      <c r="F39" s="145">
        <v>67052.929999999993</v>
      </c>
      <c r="G39" s="112">
        <f t="shared" si="3"/>
        <v>2641.8299999999945</v>
      </c>
      <c r="H39" s="99">
        <f>G39+'2'!H39</f>
        <v>7879.6399999999921</v>
      </c>
      <c r="I39" s="95"/>
      <c r="J39" s="175">
        <f>H39/DAY(B2)</f>
        <v>2626.5466666666639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61</v>
      </c>
      <c r="F40" s="145">
        <v>62.7</v>
      </c>
      <c r="G40" s="112">
        <f t="shared" si="3"/>
        <v>1.7000000000000028</v>
      </c>
      <c r="H40" s="99">
        <f>G40+'2'!H40</f>
        <v>690.43999999999801</v>
      </c>
      <c r="I40" s="95"/>
      <c r="J40" s="175">
        <f>H40/DAY(B2)</f>
        <v>230.14666666666599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62.73</v>
      </c>
      <c r="F41" s="145">
        <v>62.73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106463.85</v>
      </c>
      <c r="F42" s="145">
        <v>106500.98</v>
      </c>
      <c r="G42" s="112">
        <f t="shared" si="3"/>
        <v>37.129999999990105</v>
      </c>
      <c r="H42" s="99">
        <f>G42+'2'!H42</f>
        <v>6371.2399999999907</v>
      </c>
      <c r="I42" s="95"/>
      <c r="J42" s="175">
        <f>H42/DAY(B2)</f>
        <v>2123.7466666666637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118750.69</v>
      </c>
      <c r="F43" s="145">
        <v>120980.36</v>
      </c>
      <c r="G43" s="112">
        <f t="shared" si="3"/>
        <v>2229.6699999999983</v>
      </c>
      <c r="H43" s="99">
        <f>G43+'2'!H43</f>
        <v>6128.7599999999948</v>
      </c>
      <c r="I43" s="95"/>
      <c r="J43" s="175">
        <f>H43/DAY(B2)</f>
        <v>2042.9199999999983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10503.909999999985</v>
      </c>
      <c r="H47" s="99">
        <f>G47+'2'!H47</f>
        <v>37300.519999999982</v>
      </c>
      <c r="I47" s="95"/>
      <c r="J47" s="175">
        <f>H47/DAY(B2)</f>
        <v>12433.506666666661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26982</v>
      </c>
      <c r="F49" s="145">
        <v>28047.55</v>
      </c>
      <c r="G49" s="112">
        <f t="shared" ref="G49:G58" si="4">F49-E49</f>
        <v>1065.5499999999993</v>
      </c>
      <c r="H49" s="99">
        <f>G49+'2'!H49</f>
        <v>3051.3600000000006</v>
      </c>
      <c r="I49" s="95"/>
      <c r="J49" s="175">
        <f>H49/DAY(B2)</f>
        <v>1017.1200000000002</v>
      </c>
      <c r="K49" s="79"/>
      <c r="L49" s="66"/>
      <c r="N49" s="87">
        <f>G35+G49</f>
        <v>2503.1700000000019</v>
      </c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58313.08</v>
      </c>
      <c r="F50" s="145">
        <v>59383.14</v>
      </c>
      <c r="G50" s="112">
        <f t="shared" si="4"/>
        <v>1070.0599999999977</v>
      </c>
      <c r="H50" s="99">
        <f>G50+'2'!H50</f>
        <v>2996.510000000002</v>
      </c>
      <c r="I50" s="95"/>
      <c r="J50" s="175">
        <f>H50/DAY(B2)</f>
        <v>998.83666666666738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5303.73</v>
      </c>
      <c r="F54" s="145">
        <v>5842.67</v>
      </c>
      <c r="G54" s="112">
        <f t="shared" si="4"/>
        <v>538.94000000000051</v>
      </c>
      <c r="H54" s="99">
        <f>G54+'2'!H54</f>
        <v>695.25</v>
      </c>
      <c r="I54" s="95"/>
      <c r="J54" s="175">
        <f>H54/DAY(B2)</f>
        <v>231.75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75489.399999999994</v>
      </c>
      <c r="F55" s="145">
        <v>78823.75</v>
      </c>
      <c r="G55" s="112">
        <f t="shared" si="4"/>
        <v>3334.3500000000058</v>
      </c>
      <c r="H55" s="99">
        <f>G55+'2'!H55</f>
        <v>4457.6399999999994</v>
      </c>
      <c r="I55" s="95"/>
      <c r="J55" s="175">
        <f>H55/DAY(B2)</f>
        <v>1485.8799999999999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8610.5400000000009</v>
      </c>
      <c r="F56" s="145">
        <v>8723.6299999999992</v>
      </c>
      <c r="G56" s="112">
        <f t="shared" si="4"/>
        <v>113.08999999999833</v>
      </c>
      <c r="H56" s="99">
        <f>G56+'2'!H56</f>
        <v>113.08999999999833</v>
      </c>
      <c r="I56" s="95"/>
      <c r="J56" s="175">
        <f>H56/DAY(B2)</f>
        <v>37.696666666666111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5181.79</v>
      </c>
      <c r="F58" s="145">
        <v>5384.23</v>
      </c>
      <c r="G58" s="112">
        <f t="shared" si="4"/>
        <v>202.4399999999996</v>
      </c>
      <c r="H58" s="99">
        <f>G58+'2'!H58</f>
        <v>588.01999999999953</v>
      </c>
      <c r="I58" s="95"/>
      <c r="J58" s="175">
        <f>H58/DAY(B2)</f>
        <v>196.00666666666652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6324.4300000000012</v>
      </c>
      <c r="H59" s="99">
        <f>G59+'2'!H59</f>
        <v>11901.869999999999</v>
      </c>
      <c r="I59" s="95">
        <f>G7-G60</f>
        <v>2254.6600000000144</v>
      </c>
      <c r="J59" s="175">
        <f>H59/DAY(B2)</f>
        <v>3967.2899999999995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16828.339999999986</v>
      </c>
      <c r="H60" s="99">
        <f>G60+'2'!H60</f>
        <v>49202.389999999985</v>
      </c>
      <c r="I60" s="95">
        <f>G13-G60</f>
        <v>1721.9200000000237</v>
      </c>
      <c r="J60" s="175">
        <f>H60/DAY(B2)</f>
        <v>16400.796666666662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'2'!F62</f>
        <v>269684</v>
      </c>
      <c r="F62" s="164">
        <v>269758</v>
      </c>
      <c r="G62" s="112">
        <f t="shared" ref="G62:G63" si="5">F62-E62</f>
        <v>74</v>
      </c>
      <c r="H62" s="99">
        <f>G62+'2'!H62</f>
        <v>242</v>
      </c>
      <c r="I62" s="118"/>
      <c r="J62" s="175">
        <f>H62/DAY(B2)</f>
        <v>80.666666666666671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'2'!F63</f>
        <v>216088</v>
      </c>
      <c r="F63" s="122">
        <v>216220</v>
      </c>
      <c r="G63" s="112">
        <f t="shared" si="5"/>
        <v>132</v>
      </c>
      <c r="H63" s="99">
        <f>G63+'2'!H63</f>
        <v>423</v>
      </c>
      <c r="I63" s="118"/>
      <c r="J63" s="175">
        <f>H63/DAY(B2)</f>
        <v>141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'2'!F64</f>
        <v>0</v>
      </c>
      <c r="F64" s="122"/>
      <c r="G64" s="112">
        <f>G62+G63</f>
        <v>206</v>
      </c>
      <c r="H64" s="99">
        <f>G64+'2'!H64</f>
        <v>665</v>
      </c>
      <c r="I64" s="118"/>
      <c r="J64" s="175">
        <f>H64/DAY(B2)</f>
        <v>221.66666666666666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'2'!F65</f>
        <v>435065</v>
      </c>
      <c r="F65" s="122">
        <v>435159</v>
      </c>
      <c r="G65" s="112">
        <f t="shared" ref="G65:G70" si="6">F65-E65</f>
        <v>94</v>
      </c>
      <c r="H65" s="99">
        <f>G65+'2'!H65</f>
        <v>236</v>
      </c>
      <c r="I65" s="118"/>
      <c r="J65" s="175">
        <f>H65/DAY(B2)</f>
        <v>78.666666666666671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'2'!F66</f>
        <v>107780</v>
      </c>
      <c r="F66" s="122">
        <v>107802</v>
      </c>
      <c r="G66" s="112">
        <f t="shared" si="6"/>
        <v>22</v>
      </c>
      <c r="H66" s="99">
        <f>G66+'2'!H66</f>
        <v>59</v>
      </c>
      <c r="I66" s="118"/>
      <c r="J66" s="175">
        <f>H66/DAY(B2)</f>
        <v>19.666666666666668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'2'!F67</f>
        <v>104682</v>
      </c>
      <c r="F67" s="122">
        <v>104702</v>
      </c>
      <c r="G67" s="112">
        <f t="shared" si="6"/>
        <v>20</v>
      </c>
      <c r="H67" s="99">
        <f>G67+'2'!H67</f>
        <v>54</v>
      </c>
      <c r="I67" s="118"/>
      <c r="J67" s="175">
        <f>H67/DAY(B2)</f>
        <v>18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'2'!F68</f>
        <v>157766</v>
      </c>
      <c r="F68" s="122">
        <v>157794</v>
      </c>
      <c r="G68" s="112">
        <f t="shared" si="6"/>
        <v>28</v>
      </c>
      <c r="H68" s="99">
        <f>G68+'2'!H68</f>
        <v>97</v>
      </c>
      <c r="I68" s="118"/>
      <c r="J68" s="175">
        <f>H68/DAY(B2)</f>
        <v>32.333333333333336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'2'!F69</f>
        <v>10569</v>
      </c>
      <c r="F69" s="122">
        <v>10578</v>
      </c>
      <c r="G69" s="112">
        <f t="shared" si="6"/>
        <v>9</v>
      </c>
      <c r="H69" s="99">
        <f>G69+'2'!H69</f>
        <v>37</v>
      </c>
      <c r="I69" s="118"/>
      <c r="J69" s="175">
        <f>H69/DAY(B2)</f>
        <v>12.333333333333334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'2'!F70</f>
        <v>8138</v>
      </c>
      <c r="F70" s="122">
        <v>8147</v>
      </c>
      <c r="G70" s="112">
        <f t="shared" si="6"/>
        <v>9</v>
      </c>
      <c r="H70" s="99">
        <f>G70+'2'!H70</f>
        <v>27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182</v>
      </c>
      <c r="H71" s="99">
        <f>G71+'2'!H71</f>
        <v>510</v>
      </c>
      <c r="I71" s="154"/>
      <c r="J71" s="175">
        <f>H71/DAY(B2)</f>
        <v>170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'2'!F74</f>
        <v>901931.71600000001</v>
      </c>
      <c r="F74" s="117">
        <v>902242.26</v>
      </c>
      <c r="G74" s="112">
        <f t="shared" ref="G74:G78" si="7">F74-E74</f>
        <v>310.54399999999441</v>
      </c>
      <c r="H74" s="99">
        <f>G74+'2'!H74</f>
        <v>936.11100000003353</v>
      </c>
      <c r="I74" s="154"/>
      <c r="J74" s="175">
        <f>H74/DAY(B2)</f>
        <v>312.03700000001118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'2'!F76</f>
        <v>170181.77</v>
      </c>
      <c r="F76" s="123">
        <v>170304.09</v>
      </c>
      <c r="G76" s="112">
        <f t="shared" si="7"/>
        <v>122.32000000000698</v>
      </c>
      <c r="H76" s="99">
        <f>G76+'2'!H76</f>
        <v>329.08999999999651</v>
      </c>
      <c r="I76" s="154"/>
      <c r="J76" s="175">
        <f>H76/DAY(B2)</f>
        <v>109.69666666666551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'2'!F77</f>
        <v>41381.1</v>
      </c>
      <c r="F77" s="123">
        <v>41427.5</v>
      </c>
      <c r="G77" s="112">
        <f t="shared" si="7"/>
        <v>46.400000000001455</v>
      </c>
      <c r="H77" s="99">
        <f>G77+'2'!H77</f>
        <v>125.30000000000291</v>
      </c>
      <c r="I77" s="154"/>
      <c r="J77" s="175">
        <f>H77/DAY(B2)</f>
        <v>41.766666666667639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'2'!F78</f>
        <v>9517.7000000000007</v>
      </c>
      <c r="F78" s="123">
        <v>9519.2999999999993</v>
      </c>
      <c r="G78" s="112">
        <f t="shared" si="7"/>
        <v>1.5999999999985448</v>
      </c>
      <c r="H78" s="99">
        <f>G78+'2'!H78</f>
        <v>3.2999999999992724</v>
      </c>
      <c r="I78" s="118"/>
      <c r="J78" s="175">
        <f>H78/DAY(B2)</f>
        <v>1.0999999999997574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'2'!F79</f>
        <v>0</v>
      </c>
      <c r="F79" s="117"/>
      <c r="G79" s="112">
        <f>G15-SUM(G74:G78)</f>
        <v>531.48399999999674</v>
      </c>
      <c r="H79" s="99">
        <f>G79+'2'!H79</f>
        <v>1520.2499999999454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1012.3479999999981</v>
      </c>
      <c r="H80" s="99">
        <f>G80+'2'!H80</f>
        <v>1995.4930000000168</v>
      </c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'2'!F85</f>
        <v>2302</v>
      </c>
      <c r="F85" s="164">
        <v>2302</v>
      </c>
      <c r="G85" s="112">
        <f t="shared" si="8"/>
        <v>0</v>
      </c>
      <c r="H85" s="99">
        <f>G85+'2'!H85</f>
        <v>40</v>
      </c>
      <c r="I85" s="118">
        <f>G82+G83+G84+G85</f>
        <v>0</v>
      </c>
      <c r="J85" s="175">
        <f>H85/DAY(B2)</f>
        <v>13.333333333333334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'2'!F86</f>
        <v>43450</v>
      </c>
      <c r="F86" s="164">
        <v>43474</v>
      </c>
      <c r="G86" s="112">
        <f t="shared" si="8"/>
        <v>24</v>
      </c>
      <c r="H86" s="99">
        <f>G86+'2'!H86</f>
        <v>32</v>
      </c>
      <c r="I86" s="118"/>
      <c r="J86" s="175">
        <f>H86/DAY(B2)</f>
        <v>10.666666666666666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'2'!F87</f>
        <v>34598.550000000003</v>
      </c>
      <c r="F87" s="164">
        <v>34598.550000000003</v>
      </c>
      <c r="G87" s="112">
        <f t="shared" si="8"/>
        <v>0</v>
      </c>
      <c r="H87" s="99">
        <f>G87+'2'!H87</f>
        <v>5.0000000002910383E-2</v>
      </c>
      <c r="I87" s="118"/>
      <c r="J87" s="175">
        <f>H87/DAY(B2)</f>
        <v>1.6666666667636793E-2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'2'!F88</f>
        <v>24063.43</v>
      </c>
      <c r="F88" s="164">
        <v>24063.43</v>
      </c>
      <c r="G88" s="112">
        <f t="shared" si="8"/>
        <v>0</v>
      </c>
      <c r="H88" s="99">
        <f>G88+'2'!H88</f>
        <v>0</v>
      </c>
      <c r="I88" s="118">
        <f>G86+G87+G88</f>
        <v>24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'2'!F89</f>
        <v>25910</v>
      </c>
      <c r="F89" s="164">
        <v>25919.8</v>
      </c>
      <c r="G89" s="112">
        <f t="shared" si="8"/>
        <v>9.7999999999992724</v>
      </c>
      <c r="H89" s="99">
        <f>G89+'2'!H89</f>
        <v>28.680000000000291</v>
      </c>
      <c r="I89" s="118"/>
      <c r="J89" s="175">
        <f>H89/DAY(B2)</f>
        <v>9.5600000000000964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'2'!F90</f>
        <v>71165.37</v>
      </c>
      <c r="F90" s="164">
        <v>71167.69</v>
      </c>
      <c r="G90" s="112">
        <f t="shared" si="8"/>
        <v>2.3200000000069849</v>
      </c>
      <c r="H90" s="99">
        <f>G90+'2'!H90</f>
        <v>4.3699999999953434</v>
      </c>
      <c r="I90" s="118">
        <f>G89+G90</f>
        <v>12.120000000006257</v>
      </c>
      <c r="J90" s="175">
        <f>H90/DAY(B2)</f>
        <v>1.4566666666651145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'2'!F91</f>
        <v>3274.32</v>
      </c>
      <c r="F91" s="486">
        <v>3285.32</v>
      </c>
      <c r="G91" s="112">
        <f t="shared" si="8"/>
        <v>11</v>
      </c>
      <c r="H91" s="99">
        <f>G91+'2'!H91</f>
        <v>34.230000000000018</v>
      </c>
      <c r="I91" s="165"/>
      <c r="J91" s="175">
        <f>H91/DAY(B2)</f>
        <v>11.410000000000005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'2'!F92</f>
        <v>5741.07</v>
      </c>
      <c r="F92" s="122">
        <v>5741.07</v>
      </c>
      <c r="G92" s="112">
        <f t="shared" si="8"/>
        <v>0</v>
      </c>
      <c r="H92" s="99">
        <f>G92+'2'!H92</f>
        <v>0</v>
      </c>
      <c r="I92" s="165"/>
      <c r="J92" s="175">
        <f>H92/DAY(B2)</f>
        <v>0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4732.84</v>
      </c>
      <c r="H94" s="99">
        <f>G94+'2'!H94</f>
        <v>13252.069999999996</v>
      </c>
      <c r="I94" s="118"/>
      <c r="J94" s="175">
        <f>H94/DAY(B2)</f>
        <v>4417.3566666666657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0.24801341508148614</v>
      </c>
      <c r="H95" s="99">
        <f>G95+'2'!H95</f>
        <v>0.73030484883434721</v>
      </c>
      <c r="I95" s="167"/>
      <c r="J95" s="175">
        <f>H95/DAY(B2)</f>
        <v>0.24343494961144907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3484.5699999999943</v>
      </c>
      <c r="H96" s="99">
        <f>G96+'2'!H96</f>
        <v>10941.969999999988</v>
      </c>
      <c r="I96" s="118"/>
      <c r="J96" s="175">
        <f>H96/DAY(B2)</f>
        <v>3647.3233333333296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0.18260074411780089</v>
      </c>
      <c r="H97" s="99">
        <f>G97+'2'!H97</f>
        <v>0.60581201556125597</v>
      </c>
      <c r="I97" s="167"/>
      <c r="J97" s="175">
        <f>H97/DAY(B2)</f>
        <v>0.20193733852041865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2641.8299999999945</v>
      </c>
      <c r="H98" s="99">
        <f>G98+'2'!H98</f>
        <v>7879.6399999999921</v>
      </c>
      <c r="I98" s="168"/>
      <c r="J98" s="175">
        <f>H98/DAY(B2)</f>
        <v>2626.5466666666639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0.13843892469737434</v>
      </c>
      <c r="H99" s="99">
        <f>G99+'2'!H99</f>
        <v>0.43520590755697586</v>
      </c>
      <c r="I99" s="168"/>
      <c r="J99" s="175">
        <f>H99/DAY(B2)</f>
        <v>0.1450686358523253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1668.1500000000015</v>
      </c>
      <c r="H100" s="99">
        <f>G100+'2'!H100</f>
        <v>5047.2099999999991</v>
      </c>
      <c r="I100" s="118"/>
      <c r="J100" s="175">
        <f>H100/DAY(B2)</f>
        <v>1682.403333333333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8.741550070743602E-2</v>
      </c>
      <c r="H101" s="99">
        <f>G101+'2'!H101</f>
        <v>0.27870912824646332</v>
      </c>
      <c r="I101" s="168"/>
      <c r="J101" s="175">
        <f>H101/DAY(B2)</f>
        <v>9.2903042748821107E-2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2005.7599999999948</v>
      </c>
      <c r="H102" s="99">
        <f>G102+'2'!H102</f>
        <v>5454.4700000000012</v>
      </c>
      <c r="I102" s="168"/>
      <c r="J102" s="175">
        <f>H102/DAY(B2)</f>
        <v>1818.156666666667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0.10510716344390268</v>
      </c>
      <c r="H103" s="99">
        <f>G103+'2'!H103</f>
        <v>0.30033374635285365</v>
      </c>
      <c r="I103" s="118"/>
      <c r="J103" s="175">
        <f>H103/DAY(B2)</f>
        <v>0.10011124878428455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1552.1100000000006</v>
      </c>
      <c r="H104" s="99">
        <f>G104+'2'!H104</f>
        <v>4653.320000000007</v>
      </c>
      <c r="I104" s="118"/>
      <c r="J104" s="175">
        <f>H104/DAY(B2)</f>
        <v>1551.1066666666691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8.1334695802546805E-2</v>
      </c>
      <c r="H105" s="99">
        <f>G105+'2'!H105</f>
        <v>0.25706761454801386</v>
      </c>
      <c r="I105" s="187"/>
      <c r="J105" s="188">
        <f>H105/DAY(B2)</f>
        <v>8.5689204849337952E-2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'2'!F112</f>
        <v>58208.63</v>
      </c>
      <c r="F112" s="237">
        <v>58284.57</v>
      </c>
      <c r="G112" s="112">
        <f t="shared" ref="G112:G123" si="9">F112-E112</f>
        <v>75.940000000002328</v>
      </c>
      <c r="H112" s="99">
        <f>G112+'2'!H112</f>
        <v>230.56999999999971</v>
      </c>
      <c r="I112" s="165"/>
      <c r="J112" s="328">
        <f>H112/DAY(B2)</f>
        <v>76.85666666666657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'2'!F113</f>
        <v>47363.9</v>
      </c>
      <c r="F113" s="237">
        <v>47816.51</v>
      </c>
      <c r="G113" s="112">
        <f t="shared" si="9"/>
        <v>452.61000000000058</v>
      </c>
      <c r="H113" s="99">
        <f>G113+'2'!H113</f>
        <v>1415.6200000000026</v>
      </c>
      <c r="I113" s="165"/>
      <c r="J113" s="328">
        <f>H113/DAY(B2)</f>
        <v>471.87333333333419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'2'!F114</f>
        <v>33745.300000000003</v>
      </c>
      <c r="F114" s="237">
        <v>34008.199999999997</v>
      </c>
      <c r="G114" s="112">
        <f t="shared" si="9"/>
        <v>262.89999999999418</v>
      </c>
      <c r="H114" s="99">
        <f>G114+'2'!H114</f>
        <v>848.19999999999709</v>
      </c>
      <c r="I114" s="165"/>
      <c r="J114" s="328">
        <f>H114/DAY(B2)</f>
        <v>282.73333333333238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'2'!F115</f>
        <v>9114.76</v>
      </c>
      <c r="F115" s="237">
        <v>9128.2999999999993</v>
      </c>
      <c r="G115" s="112">
        <f t="shared" si="9"/>
        <v>13.539999999999054</v>
      </c>
      <c r="H115" s="99">
        <f>G115+'2'!H115</f>
        <v>33.649999999999636</v>
      </c>
      <c r="I115" s="165"/>
      <c r="J115" s="328">
        <f>H115/DAY(B2)</f>
        <v>11.216666666666546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28">
        <f>H116/DAY(B2)</f>
        <v>0</v>
      </c>
      <c r="Q116" s="871"/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'2'!F117</f>
        <v>3395.23</v>
      </c>
      <c r="F117" s="237">
        <v>3415.74</v>
      </c>
      <c r="G117" s="112">
        <f t="shared" si="9"/>
        <v>20.509999999999764</v>
      </c>
      <c r="H117" s="99">
        <f>G117+'2'!H117</f>
        <v>77.789999999999964</v>
      </c>
      <c r="I117" s="165"/>
      <c r="J117" s="328">
        <f>H117/DAY(B2)</f>
        <v>25.929999999999989</v>
      </c>
      <c r="Q117" s="871"/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'2'!F118</f>
        <v>253080.85</v>
      </c>
      <c r="F118" s="237">
        <v>253412.19</v>
      </c>
      <c r="G118" s="112">
        <f t="shared" si="9"/>
        <v>331.33999999999651</v>
      </c>
      <c r="H118" s="99">
        <f>G118+'2'!H118</f>
        <v>959.88000000000466</v>
      </c>
      <c r="I118" s="165"/>
      <c r="J118" s="328">
        <f>H118/DAY(B2)</f>
        <v>319.96000000000157</v>
      </c>
      <c r="Q118" s="871"/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'2'!F119</f>
        <v>259012.89</v>
      </c>
      <c r="F119" s="237">
        <v>259431.61</v>
      </c>
      <c r="G119" s="112">
        <f t="shared" si="9"/>
        <v>418.71999999997206</v>
      </c>
      <c r="H119" s="99">
        <f>G119+'2'!H119</f>
        <v>1283.0599999999977</v>
      </c>
      <c r="I119" s="165"/>
      <c r="J119" s="328">
        <f>H119/DAY(B2)</f>
        <v>427.68666666666587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'2'!F120</f>
        <v>43790.96</v>
      </c>
      <c r="F120" s="237">
        <v>44224.92</v>
      </c>
      <c r="G120" s="112">
        <f t="shared" si="9"/>
        <v>433.95999999999913</v>
      </c>
      <c r="H120" s="99">
        <f>G120+'2'!H120</f>
        <v>1265.3099999999977</v>
      </c>
      <c r="I120" s="165"/>
      <c r="J120" s="328">
        <f>H120/DAY(B2)</f>
        <v>421.76999999999924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'2'!F121</f>
        <v>399468.55</v>
      </c>
      <c r="F121" s="237">
        <v>400202.75</v>
      </c>
      <c r="G121" s="112">
        <f t="shared" si="9"/>
        <v>734.20000000001164</v>
      </c>
      <c r="H121" s="99">
        <f>G121+'2'!H121</f>
        <v>2168.320000000007</v>
      </c>
      <c r="I121" s="165"/>
      <c r="J121" s="328">
        <f>H121/DAY(B2)</f>
        <v>722.7733333333357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'2'!F122</f>
        <v>126606.82</v>
      </c>
      <c r="F122" s="237">
        <v>126857.4</v>
      </c>
      <c r="G122" s="112">
        <f t="shared" si="9"/>
        <v>250.57999999998719</v>
      </c>
      <c r="H122" s="99">
        <f>G122+'2'!H122</f>
        <v>671.22000000000116</v>
      </c>
      <c r="I122" s="165"/>
      <c r="J122" s="328">
        <f>H122/DAY(B2)</f>
        <v>223.74000000000038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'2'!F123</f>
        <v>154565.59</v>
      </c>
      <c r="F123" s="237">
        <v>154821.26999999999</v>
      </c>
      <c r="G123" s="112">
        <f t="shared" si="9"/>
        <v>255.67999999999302</v>
      </c>
      <c r="H123" s="99">
        <f>G123+'2'!H123</f>
        <v>774.31999999997788</v>
      </c>
      <c r="I123" s="165"/>
      <c r="J123" s="328">
        <f>H123/DAY(B2)</f>
        <v>258.10666666665929</v>
      </c>
    </row>
    <row r="124" spans="1:18" ht="29.25" customHeight="1" x14ac:dyDescent="0.5">
      <c r="A124" s="875"/>
      <c r="B124" s="876"/>
      <c r="C124" s="877"/>
      <c r="D124" s="165"/>
      <c r="E124" s="165"/>
      <c r="F124" s="165"/>
      <c r="G124" s="327"/>
      <c r="H124" s="156"/>
      <c r="I124" s="165"/>
      <c r="J124" s="327"/>
    </row>
    <row r="125" spans="1:18" ht="29.25" x14ac:dyDescent="0.5">
      <c r="A125" s="901" t="s">
        <v>196</v>
      </c>
      <c r="B125" s="902"/>
      <c r="C125" s="903"/>
      <c r="D125" s="307"/>
      <c r="E125" s="308"/>
      <c r="F125" s="308"/>
      <c r="G125" s="309">
        <f>SUM(G112:G124)</f>
        <v>3249.9799999999555</v>
      </c>
      <c r="H125" s="156"/>
      <c r="I125" s="327">
        <f>G125-(G39+G53)</f>
        <v>608.14999999996098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'2'!F128</f>
        <v>48382.55</v>
      </c>
      <c r="F128" s="165">
        <v>48683.7</v>
      </c>
      <c r="G128" s="112">
        <f t="shared" ref="G128:G134" si="10">F128-E128</f>
        <v>301.14999999999418</v>
      </c>
      <c r="H128" s="99">
        <f>G128+'2'!H128</f>
        <v>937.69999999999709</v>
      </c>
      <c r="I128" s="165"/>
      <c r="J128" s="328">
        <f>H128/DAY(B2)</f>
        <v>312.5666666666657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'2'!F129</f>
        <v>27328.1</v>
      </c>
      <c r="F129" s="165">
        <v>27520.54</v>
      </c>
      <c r="G129" s="112">
        <f t="shared" si="10"/>
        <v>192.44000000000233</v>
      </c>
      <c r="H129" s="99">
        <f>G129+'2'!H129</f>
        <v>609.67000000000189</v>
      </c>
      <c r="I129" s="165"/>
      <c r="J129" s="328">
        <f>H129/DAY(B2)</f>
        <v>203.22333333333395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'2'!F130</f>
        <v>36747.9</v>
      </c>
      <c r="F130" s="165">
        <v>37362.01</v>
      </c>
      <c r="G130" s="112">
        <f t="shared" si="10"/>
        <v>614.11000000000058</v>
      </c>
      <c r="H130" s="99">
        <f>G130+'2'!H130</f>
        <v>1668.010000000002</v>
      </c>
      <c r="I130" s="165"/>
      <c r="J130" s="328">
        <f>H130/DAY(B2)</f>
        <v>556.00333333333401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'2'!F131</f>
        <v>15427.4</v>
      </c>
      <c r="F131" s="165">
        <v>15508.01</v>
      </c>
      <c r="G131" s="112">
        <f t="shared" si="10"/>
        <v>80.610000000000582</v>
      </c>
      <c r="H131" s="99">
        <f>G131+'2'!H131</f>
        <v>200.32999999999993</v>
      </c>
      <c r="I131" s="165"/>
      <c r="J131" s="328">
        <f>H131/DAY(B2)</f>
        <v>66.776666666666642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'2'!F132</f>
        <v>52212.32</v>
      </c>
      <c r="F132" s="165">
        <v>52436</v>
      </c>
      <c r="G132" s="112">
        <f t="shared" si="10"/>
        <v>223.68000000000029</v>
      </c>
      <c r="H132" s="99">
        <f>G132+'2'!H132</f>
        <v>587.69999999999709</v>
      </c>
      <c r="I132" s="165"/>
      <c r="J132" s="328">
        <f>H132/DAY(B2)</f>
        <v>195.89999999999904</v>
      </c>
    </row>
    <row r="133" spans="1:15" ht="27.75" x14ac:dyDescent="0.5">
      <c r="A133" s="871" t="s">
        <v>342</v>
      </c>
      <c r="B133" s="872"/>
      <c r="C133" s="873"/>
      <c r="D133" s="151" t="s">
        <v>183</v>
      </c>
      <c r="E133" s="95">
        <f>'2'!F133</f>
        <v>106404.31</v>
      </c>
      <c r="F133" s="165">
        <v>106969.46</v>
      </c>
      <c r="G133" s="112">
        <f t="shared" si="10"/>
        <v>565.15000000000873</v>
      </c>
      <c r="H133" s="99">
        <f>G133+'2'!H133</f>
        <v>1625.7600000000093</v>
      </c>
      <c r="I133" s="165"/>
      <c r="J133" s="328">
        <f>H133/DAY(B2)</f>
        <v>541.92000000000314</v>
      </c>
    </row>
    <row r="134" spans="1:15" ht="27.75" x14ac:dyDescent="0.5">
      <c r="A134" s="933" t="s">
        <v>340</v>
      </c>
      <c r="B134" s="934"/>
      <c r="C134" s="858"/>
      <c r="D134" s="151" t="s">
        <v>183</v>
      </c>
      <c r="E134" s="95">
        <f>'2'!F134</f>
        <v>8906.8799999999992</v>
      </c>
      <c r="F134" s="165">
        <v>9066.3799999999992</v>
      </c>
      <c r="G134" s="112">
        <f t="shared" si="10"/>
        <v>159.5</v>
      </c>
      <c r="H134" s="99">
        <f>G134+'2'!H134</f>
        <v>465.14999999999964</v>
      </c>
      <c r="I134" s="165"/>
      <c r="J134" s="328">
        <f>H134/DAY(B2)</f>
        <v>155.04999999999987</v>
      </c>
    </row>
    <row r="135" spans="1:15" ht="29.25" x14ac:dyDescent="0.5">
      <c r="A135" s="901" t="s">
        <v>196</v>
      </c>
      <c r="B135" s="902"/>
      <c r="C135" s="903"/>
      <c r="D135" s="151"/>
      <c r="E135" s="95"/>
      <c r="F135" s="165"/>
      <c r="G135" s="112">
        <f>SUM(G128:G134)</f>
        <v>2136.6400000000067</v>
      </c>
      <c r="H135" s="99">
        <f>G135+'2'!H135</f>
        <v>6094.320000000007</v>
      </c>
      <c r="I135" s="327">
        <f>G135-(G35+G49)</f>
        <v>-366.5299999999952</v>
      </c>
      <c r="J135" s="328">
        <f>H135/DAY(B2)</f>
        <v>2031.4400000000023</v>
      </c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'2'!F138</f>
        <v>866293</v>
      </c>
      <c r="F138" s="147">
        <v>866371</v>
      </c>
      <c r="G138" s="112">
        <f t="shared" ref="G138:G152" si="11">F138-E138</f>
        <v>78</v>
      </c>
      <c r="H138" s="99">
        <f>G138+'2'!H138</f>
        <v>198</v>
      </c>
      <c r="I138" s="118"/>
      <c r="J138" s="328">
        <f>H138/DAY(B2)</f>
        <v>66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'2'!F139</f>
        <v>886576</v>
      </c>
      <c r="F139" s="148">
        <v>886577</v>
      </c>
      <c r="G139" s="112">
        <f t="shared" si="11"/>
        <v>1</v>
      </c>
      <c r="H139" s="99">
        <f>G139+'2'!H139</f>
        <v>4</v>
      </c>
      <c r="I139" s="118"/>
      <c r="J139" s="328">
        <f>H139/DAY(B2)</f>
        <v>1.3333333333333333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'2'!F140</f>
        <v>88932.6</v>
      </c>
      <c r="F140" s="149">
        <v>88933.8</v>
      </c>
      <c r="G140" s="112">
        <f t="shared" si="11"/>
        <v>1.1999999999970896</v>
      </c>
      <c r="H140" s="99">
        <f>G140+'2'!H140</f>
        <v>11.80000000000291</v>
      </c>
      <c r="I140" s="118"/>
      <c r="J140" s="328">
        <f>H140/DAY(B2)</f>
        <v>3.9333333333343035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'2'!F141</f>
        <v>55027.8</v>
      </c>
      <c r="F141" s="149">
        <v>55187.1</v>
      </c>
      <c r="G141" s="112">
        <f t="shared" si="11"/>
        <v>159.29999999999563</v>
      </c>
      <c r="H141" s="99">
        <f>G141+'2'!H141</f>
        <v>501.5199999999968</v>
      </c>
      <c r="I141" s="118"/>
      <c r="J141" s="328">
        <f>H141/DAY(B2)</f>
        <v>167.17333333333227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'2'!F142</f>
        <v>21429.24</v>
      </c>
      <c r="F142" s="148">
        <v>21492.35</v>
      </c>
      <c r="G142" s="112">
        <f t="shared" si="11"/>
        <v>63.109999999996944</v>
      </c>
      <c r="H142" s="99">
        <f>G142+'2'!H142</f>
        <v>208.25</v>
      </c>
      <c r="I142" s="140"/>
      <c r="J142" s="328">
        <f>H142/DAY(B2)</f>
        <v>69.416666666666671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'2'!F143</f>
        <v>3889.08</v>
      </c>
      <c r="F143" s="149">
        <v>3915.53</v>
      </c>
      <c r="G143" s="112">
        <f t="shared" si="11"/>
        <v>26.450000000000273</v>
      </c>
      <c r="H143" s="99">
        <f>G143+'2'!H143</f>
        <v>80.140000000000327</v>
      </c>
      <c r="I143" s="140"/>
      <c r="J143" s="328">
        <f>H143/DAY(B2)</f>
        <v>26.713333333333441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'2'!F144</f>
        <v>876893</v>
      </c>
      <c r="F144" s="149">
        <v>877103</v>
      </c>
      <c r="G144" s="112">
        <f t="shared" si="11"/>
        <v>210</v>
      </c>
      <c r="H144" s="99">
        <f>G144+'2'!H144</f>
        <v>616</v>
      </c>
      <c r="I144" s="140"/>
      <c r="J144" s="328">
        <f>H144/DAY(B2)</f>
        <v>205.33333333333334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'2'!F145</f>
        <v>4985.33</v>
      </c>
      <c r="F145" s="149">
        <v>5000</v>
      </c>
      <c r="G145" s="112">
        <f t="shared" si="11"/>
        <v>14.670000000000073</v>
      </c>
      <c r="H145" s="99">
        <f>G145+'2'!H145</f>
        <v>41.159999999999854</v>
      </c>
      <c r="I145" s="140"/>
      <c r="J145" s="328">
        <f>H145/DAY(B2)</f>
        <v>13.719999999999951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'2'!F146</f>
        <v>738119</v>
      </c>
      <c r="F146" s="147">
        <v>738536</v>
      </c>
      <c r="G146" s="112">
        <f t="shared" si="11"/>
        <v>417</v>
      </c>
      <c r="H146" s="99">
        <f>G146+'2'!H146</f>
        <v>1203</v>
      </c>
      <c r="I146" s="140"/>
      <c r="J146" s="328">
        <f>H146/DAY(B2)</f>
        <v>401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'2'!F147</f>
        <v>627378.12</v>
      </c>
      <c r="F147" s="148">
        <v>627756</v>
      </c>
      <c r="G147" s="112">
        <f t="shared" si="11"/>
        <v>377.88000000000466</v>
      </c>
      <c r="H147" s="99">
        <f>G147+'2'!H147</f>
        <v>1143.4799999999814</v>
      </c>
      <c r="I147" s="140"/>
      <c r="J147" s="328">
        <f>H147/DAY(B2)</f>
        <v>381.15999999999377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'2'!F148</f>
        <v>689904.24</v>
      </c>
      <c r="F148" s="150">
        <v>690148.88</v>
      </c>
      <c r="G148" s="112">
        <f t="shared" si="11"/>
        <v>244.64000000001397</v>
      </c>
      <c r="H148" s="99">
        <f>G148+'2'!H148</f>
        <v>705.92000000004191</v>
      </c>
      <c r="I148" s="124"/>
      <c r="J148" s="328">
        <f>H148/DAY(B2)</f>
        <v>235.30666666668063</v>
      </c>
    </row>
    <row r="149" spans="1:10" ht="27.75" x14ac:dyDescent="0.5">
      <c r="A149" s="929" t="s">
        <v>336</v>
      </c>
      <c r="B149" s="930"/>
      <c r="C149" s="931"/>
      <c r="D149" s="227" t="s">
        <v>130</v>
      </c>
      <c r="E149" s="95">
        <f>'2'!F149</f>
        <v>25534.7</v>
      </c>
      <c r="F149" s="146">
        <v>25950.48</v>
      </c>
      <c r="G149" s="112">
        <f t="shared" si="11"/>
        <v>415.77999999999884</v>
      </c>
      <c r="H149" s="99">
        <f>G149+'2'!H149</f>
        <v>1272.2799999999988</v>
      </c>
      <c r="I149" s="119"/>
      <c r="J149" s="328">
        <f>H149/DAY(B2)</f>
        <v>424.09333333333296</v>
      </c>
    </row>
    <row r="150" spans="1:10" ht="27.75" x14ac:dyDescent="0.5">
      <c r="A150" s="929" t="s">
        <v>337</v>
      </c>
      <c r="B150" s="930"/>
      <c r="C150" s="931"/>
      <c r="D150" s="117" t="s">
        <v>130</v>
      </c>
      <c r="E150" s="95">
        <f>'2'!F150</f>
        <v>11279.22</v>
      </c>
      <c r="F150" s="233">
        <v>11501.1</v>
      </c>
      <c r="G150" s="112">
        <f t="shared" si="11"/>
        <v>221.88000000000102</v>
      </c>
      <c r="H150" s="99">
        <f>G150+'2'!H150</f>
        <v>650.27000000000044</v>
      </c>
      <c r="I150" s="119"/>
      <c r="J150" s="328">
        <f>H150/DAY(B2)</f>
        <v>216.7566666666668</v>
      </c>
    </row>
    <row r="151" spans="1:10" ht="29.25" customHeight="1" x14ac:dyDescent="0.5">
      <c r="A151" s="929" t="s">
        <v>338</v>
      </c>
      <c r="B151" s="930"/>
      <c r="C151" s="931"/>
      <c r="D151" s="117" t="s">
        <v>130</v>
      </c>
      <c r="E151" s="95">
        <f>'2'!F151</f>
        <v>86023</v>
      </c>
      <c r="F151" s="233">
        <v>86216</v>
      </c>
      <c r="G151" s="112">
        <f t="shared" si="11"/>
        <v>193</v>
      </c>
      <c r="H151" s="99">
        <f>G151+'2'!H151</f>
        <v>736</v>
      </c>
      <c r="I151" s="119"/>
      <c r="J151" s="328">
        <f>H151/DAY(B2)</f>
        <v>245.33333333333334</v>
      </c>
    </row>
    <row r="152" spans="1:10" ht="29.25" customHeight="1" x14ac:dyDescent="0.5">
      <c r="A152" s="929" t="s">
        <v>339</v>
      </c>
      <c r="B152" s="930"/>
      <c r="C152" s="931"/>
      <c r="D152" s="117" t="s">
        <v>130</v>
      </c>
      <c r="E152" s="95">
        <f>'2'!F152</f>
        <v>1706.35</v>
      </c>
      <c r="F152" s="233">
        <v>1777.9</v>
      </c>
      <c r="G152" s="112">
        <f t="shared" si="11"/>
        <v>71.550000000000182</v>
      </c>
      <c r="H152" s="99">
        <f>G152+'2'!H152</f>
        <v>117.90000000000009</v>
      </c>
      <c r="I152" s="119"/>
      <c r="J152" s="328">
        <f>H152/DAY(B2)</f>
        <v>39.300000000000033</v>
      </c>
    </row>
    <row r="153" spans="1:10" ht="29.25" customHeight="1" x14ac:dyDescent="0.5">
      <c r="A153" s="901" t="s">
        <v>196</v>
      </c>
      <c r="B153" s="902"/>
      <c r="C153" s="903"/>
      <c r="D153" s="367"/>
      <c r="E153" s="368"/>
      <c r="F153" s="369"/>
      <c r="G153" s="370">
        <f>SUM(G138:G152)</f>
        <v>2495.4600000000087</v>
      </c>
      <c r="H153" s="371"/>
      <c r="I153" s="119">
        <f>G153-(G38+G52)</f>
        <v>827.31000000000722</v>
      </c>
      <c r="J153" s="372"/>
    </row>
    <row r="154" spans="1:10" ht="29.25" customHeight="1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29.25" customHeight="1" x14ac:dyDescent="0.55000000000000004">
      <c r="A155" s="851" t="s">
        <v>345</v>
      </c>
      <c r="B155" s="851"/>
      <c r="C155" s="851"/>
      <c r="D155" s="117" t="s">
        <v>130</v>
      </c>
      <c r="E155" s="95">
        <f>'2'!F155</f>
        <v>33621.9</v>
      </c>
      <c r="F155" s="471">
        <v>34307.279999999999</v>
      </c>
      <c r="G155" s="112">
        <f t="shared" ref="G155:G158" si="12">F155-E155</f>
        <v>685.37999999999738</v>
      </c>
      <c r="H155" s="99">
        <f>G155+'2'!H155</f>
        <v>1362.2799999999988</v>
      </c>
      <c r="I155" s="364"/>
      <c r="J155" s="328">
        <f>H155/DAY(B2)</f>
        <v>454.09333333333296</v>
      </c>
    </row>
    <row r="156" spans="1:10" ht="29.25" customHeight="1" x14ac:dyDescent="0.5">
      <c r="A156" s="932" t="s">
        <v>346</v>
      </c>
      <c r="B156" s="932"/>
      <c r="C156" s="932"/>
      <c r="D156" s="117" t="s">
        <v>130</v>
      </c>
      <c r="E156" s="95">
        <f>'2'!F156</f>
        <v>2839.76</v>
      </c>
      <c r="F156" s="471">
        <v>2888.8</v>
      </c>
      <c r="G156" s="112">
        <f t="shared" si="12"/>
        <v>49.039999999999964</v>
      </c>
      <c r="H156" s="99">
        <f>G156+'2'!H156</f>
        <v>100.80000000000018</v>
      </c>
      <c r="I156" s="165"/>
      <c r="J156" s="328">
        <f>H156/DAY(B2)</f>
        <v>33.600000000000058</v>
      </c>
    </row>
    <row r="157" spans="1:10" ht="29.25" customHeight="1" x14ac:dyDescent="0.5">
      <c r="A157" s="852" t="s">
        <v>363</v>
      </c>
      <c r="B157" s="853"/>
      <c r="C157" s="854"/>
      <c r="D157" s="117" t="s">
        <v>130</v>
      </c>
      <c r="E157" s="95">
        <f>'2'!F157</f>
        <v>4207</v>
      </c>
      <c r="F157" s="471">
        <v>4282.29</v>
      </c>
      <c r="G157" s="112">
        <f t="shared" si="12"/>
        <v>75.289999999999964</v>
      </c>
      <c r="H157" s="99"/>
      <c r="I157" s="165"/>
      <c r="J157" s="328"/>
    </row>
    <row r="158" spans="1:10" ht="29.25" customHeight="1" x14ac:dyDescent="0.5">
      <c r="A158" s="852" t="s">
        <v>364</v>
      </c>
      <c r="B158" s="853"/>
      <c r="C158" s="854"/>
      <c r="D158" s="117" t="s">
        <v>130</v>
      </c>
      <c r="E158" s="95">
        <f>'2'!F158</f>
        <v>60</v>
      </c>
      <c r="F158" s="471">
        <v>60.9</v>
      </c>
      <c r="G158" s="112">
        <f t="shared" si="12"/>
        <v>0.89999999999999858</v>
      </c>
      <c r="H158" s="99"/>
      <c r="I158" s="165"/>
      <c r="J158" s="328"/>
    </row>
    <row r="159" spans="1:10" ht="29.25" customHeight="1" x14ac:dyDescent="0.5">
      <c r="A159" s="929"/>
      <c r="B159" s="930"/>
      <c r="C159" s="93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472154.68</v>
      </c>
      <c r="F161" s="235">
        <v>472208.24</v>
      </c>
      <c r="G161" s="238">
        <f t="shared" ref="G161:G165" si="13">F161-E161</f>
        <v>53.559999999997672</v>
      </c>
      <c r="H161" s="99">
        <f>G161+'2'!H161</f>
        <v>154.67999999999302</v>
      </c>
      <c r="I161" s="236"/>
      <c r="J161" s="239">
        <f>H161/DAY(B2)</f>
        <v>51.559999999997672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88596.5</v>
      </c>
      <c r="F162" s="235">
        <v>88636.3</v>
      </c>
      <c r="G162" s="238">
        <f t="shared" si="13"/>
        <v>39.80000000000291</v>
      </c>
      <c r="H162" s="99">
        <f>G162+'2'!H162</f>
        <v>119.90000000000873</v>
      </c>
      <c r="I162" s="236"/>
      <c r="J162" s="239">
        <f>H162/DAY(B2)</f>
        <v>39.966666666669575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79285.3</v>
      </c>
      <c r="F163" s="235">
        <v>79318.8</v>
      </c>
      <c r="G163" s="238">
        <f t="shared" si="13"/>
        <v>33.5</v>
      </c>
      <c r="H163" s="99">
        <f>G163+'2'!H163</f>
        <v>98.69999999999709</v>
      </c>
      <c r="I163" s="236"/>
      <c r="J163" s="239">
        <f>H163/DAY(B2)</f>
        <v>32.899999999999032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4323.3</v>
      </c>
      <c r="F164" s="235">
        <v>4323.5</v>
      </c>
      <c r="G164" s="238">
        <f t="shared" si="13"/>
        <v>0.1999999999998181</v>
      </c>
      <c r="H164" s="99">
        <f>G164+'2'!H164</f>
        <v>3.5</v>
      </c>
      <c r="I164" s="236"/>
      <c r="J164" s="239">
        <f>H164/DAY(B2)</f>
        <v>1.1666666666666667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29875.27</v>
      </c>
      <c r="F165" s="235">
        <v>29884.87</v>
      </c>
      <c r="G165" s="238">
        <f t="shared" si="13"/>
        <v>9.5999999999985448</v>
      </c>
      <c r="H165" s="99">
        <f>G165+'2'!H165</f>
        <v>27.619999999998981</v>
      </c>
      <c r="I165" s="236"/>
      <c r="J165" s="239">
        <f>H165/DAY(B2)</f>
        <v>9.2066666666663277</v>
      </c>
    </row>
    <row r="166" spans="1:10" ht="29.25" x14ac:dyDescent="0.5">
      <c r="A166" s="860"/>
      <c r="B166" s="860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 x14ac:dyDescent="0.5">
      <c r="A167" s="860"/>
      <c r="B167" s="860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 x14ac:dyDescent="0.5">
      <c r="A168" s="860"/>
      <c r="B168" s="860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'2'!F173</f>
        <v>8126</v>
      </c>
      <c r="F173" s="551">
        <v>8126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'2'!F174</f>
        <v>38637</v>
      </c>
      <c r="F174" s="157">
        <v>38649</v>
      </c>
      <c r="G174" s="155">
        <f t="shared" ref="G174:G175" si="14">F174-E174</f>
        <v>12</v>
      </c>
      <c r="H174" s="99">
        <f>G174+'2'!H174</f>
        <v>34</v>
      </c>
      <c r="I174" s="155"/>
      <c r="J174" s="178">
        <f>H174/DAY(B2)</f>
        <v>11.333333333333334</v>
      </c>
    </row>
    <row r="175" spans="1:10" ht="21.75" customHeight="1" x14ac:dyDescent="0.5">
      <c r="A175" s="864" t="s">
        <v>76</v>
      </c>
      <c r="B175" s="904"/>
      <c r="C175" s="865"/>
      <c r="D175" s="228" t="s">
        <v>142</v>
      </c>
      <c r="E175" s="95">
        <f>'2'!F175</f>
        <v>21832</v>
      </c>
      <c r="F175" s="155">
        <v>21841</v>
      </c>
      <c r="G175" s="155">
        <f t="shared" si="14"/>
        <v>9</v>
      </c>
      <c r="H175" s="99">
        <f>G175+'2'!H175</f>
        <v>28</v>
      </c>
      <c r="I175" s="155"/>
      <c r="J175" s="178">
        <f>H175/DAY(B2)</f>
        <v>9.3333333333333339</v>
      </c>
    </row>
    <row r="176" spans="1:10" ht="21.75" customHeight="1" x14ac:dyDescent="0.5">
      <c r="A176" s="901" t="s">
        <v>196</v>
      </c>
      <c r="B176" s="902"/>
      <c r="C176" s="903"/>
      <c r="D176" s="228"/>
      <c r="E176" s="95"/>
      <c r="F176" s="155"/>
      <c r="G176" s="155">
        <f>SUM(G173:G175)</f>
        <v>21</v>
      </c>
      <c r="H176" s="99">
        <f>G176+'2'!H176</f>
        <v>62</v>
      </c>
      <c r="I176" s="155"/>
      <c r="J176" s="178">
        <f>H176/DAY(B2)</f>
        <v>20.666666666666668</v>
      </c>
    </row>
    <row r="177" spans="1:10" ht="21.75" customHeight="1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864" t="s">
        <v>210</v>
      </c>
      <c r="B178" s="865"/>
      <c r="C178" s="333"/>
      <c r="D178" s="228" t="s">
        <v>142</v>
      </c>
      <c r="E178" s="95">
        <f>'2'!F178</f>
        <v>81448</v>
      </c>
      <c r="F178" s="155">
        <v>81457</v>
      </c>
      <c r="G178" s="155">
        <f>F178-E178</f>
        <v>9</v>
      </c>
      <c r="H178" s="99">
        <f>G178+'2'!H178</f>
        <v>142</v>
      </c>
      <c r="I178" s="155"/>
      <c r="J178" s="178">
        <f>H178/DAY(B2)</f>
        <v>47.333333333333336</v>
      </c>
    </row>
    <row r="179" spans="1:10" ht="24" customHeight="1" x14ac:dyDescent="0.5">
      <c r="A179" s="864" t="s">
        <v>211</v>
      </c>
      <c r="B179" s="865"/>
      <c r="C179" s="333"/>
      <c r="D179" s="228" t="s">
        <v>142</v>
      </c>
      <c r="E179" s="95">
        <f>'2'!F179</f>
        <v>34869</v>
      </c>
      <c r="F179" s="155">
        <v>34903</v>
      </c>
      <c r="G179" s="155">
        <f t="shared" ref="G179:G180" si="15">F179-E179</f>
        <v>34</v>
      </c>
      <c r="H179" s="99">
        <f>G179+'2'!H179</f>
        <v>100</v>
      </c>
      <c r="I179" s="155"/>
      <c r="J179" s="178">
        <f>H179/DAY(B2)</f>
        <v>33.333333333333336</v>
      </c>
    </row>
    <row r="180" spans="1:10" ht="22.5" customHeight="1" x14ac:dyDescent="0.5">
      <c r="A180" s="864" t="s">
        <v>212</v>
      </c>
      <c r="B180" s="865"/>
      <c r="C180" s="333"/>
      <c r="D180" s="228" t="s">
        <v>142</v>
      </c>
      <c r="E180" s="95">
        <f>'2'!F180</f>
        <v>5710</v>
      </c>
      <c r="F180" s="155">
        <v>5721</v>
      </c>
      <c r="G180" s="155">
        <f t="shared" si="15"/>
        <v>11</v>
      </c>
      <c r="H180" s="99">
        <f>G180+'2'!H180</f>
        <v>19</v>
      </c>
      <c r="I180" s="155"/>
      <c r="J180" s="178">
        <f>H180/DAY(B2)</f>
        <v>6.333333333333333</v>
      </c>
    </row>
    <row r="181" spans="1:10" ht="29.25" x14ac:dyDescent="0.5">
      <c r="A181" s="901" t="s">
        <v>196</v>
      </c>
      <c r="B181" s="902"/>
      <c r="C181" s="903"/>
      <c r="D181" s="228"/>
      <c r="E181" s="95"/>
      <c r="F181" s="155"/>
      <c r="G181" s="155">
        <f>SUM(G178:G180)</f>
        <v>54</v>
      </c>
      <c r="H181" s="99">
        <f>G181+'2'!H181</f>
        <v>261</v>
      </c>
      <c r="I181" s="155"/>
      <c r="J181" s="178">
        <f>H181/DAY(B2)</f>
        <v>87</v>
      </c>
    </row>
    <row r="182" spans="1:10" ht="27" customHeight="1" x14ac:dyDescent="0.5">
      <c r="A182" s="864" t="s">
        <v>213</v>
      </c>
      <c r="B182" s="865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864" t="s">
        <v>214</v>
      </c>
      <c r="B183" s="865"/>
      <c r="C183" s="334"/>
      <c r="D183" s="228" t="s">
        <v>142</v>
      </c>
      <c r="E183" s="95">
        <f>'2'!F183</f>
        <v>15378</v>
      </c>
      <c r="F183" s="157">
        <v>15389</v>
      </c>
      <c r="G183" s="157">
        <f>F183-E183</f>
        <v>11</v>
      </c>
      <c r="H183" s="99">
        <f>G183+'2'!H183</f>
        <v>44</v>
      </c>
      <c r="I183" s="155"/>
      <c r="J183" s="178">
        <f>H183/DAY(B2)</f>
        <v>14.666666666666666</v>
      </c>
    </row>
    <row r="184" spans="1:10" ht="25.5" customHeight="1" x14ac:dyDescent="0.5">
      <c r="A184" s="864" t="s">
        <v>215</v>
      </c>
      <c r="B184" s="865"/>
      <c r="C184" s="334"/>
      <c r="D184" s="228" t="s">
        <v>142</v>
      </c>
      <c r="E184" s="95">
        <f>'2'!F184</f>
        <v>10532</v>
      </c>
      <c r="F184" s="157">
        <v>10539</v>
      </c>
      <c r="G184" s="157">
        <f t="shared" ref="G184:G185" si="16">F184-E184</f>
        <v>7</v>
      </c>
      <c r="H184" s="99">
        <f>G184+'2'!H184</f>
        <v>21</v>
      </c>
      <c r="I184" s="155"/>
      <c r="J184" s="178">
        <f>H184/DAY(B2)</f>
        <v>7</v>
      </c>
    </row>
    <row r="185" spans="1:10" ht="27.75" x14ac:dyDescent="0.5">
      <c r="A185" s="864" t="s">
        <v>216</v>
      </c>
      <c r="B185" s="865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901" t="s">
        <v>196</v>
      </c>
      <c r="B186" s="902"/>
      <c r="C186" s="903"/>
      <c r="D186" s="229"/>
      <c r="E186" s="95"/>
      <c r="F186" s="157"/>
      <c r="G186" s="157">
        <f>SUM(G183:G185)</f>
        <v>18</v>
      </c>
      <c r="H186" s="99">
        <f>G186+'2'!H186</f>
        <v>65</v>
      </c>
      <c r="I186" s="157"/>
      <c r="J186" s="178">
        <f>H186/DAY(B2)</f>
        <v>21.666666666666668</v>
      </c>
    </row>
    <row r="187" spans="1:10" ht="27.75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460">
        <f>G62+G19</f>
        <v>127</v>
      </c>
      <c r="H187" s="99">
        <f>G187+'2'!H187</f>
        <v>383</v>
      </c>
      <c r="I187" s="158"/>
      <c r="J187" s="179">
        <f>H187/DAY(B2)</f>
        <v>127.66666666666667</v>
      </c>
    </row>
    <row r="188" spans="1:10" ht="27.75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154</v>
      </c>
      <c r="H188" s="99">
        <f>G188+'2'!H188</f>
        <v>413</v>
      </c>
      <c r="I188" s="158"/>
      <c r="J188" s="179">
        <f>H188/DAY(B2)</f>
        <v>137.66666666666666</v>
      </c>
    </row>
    <row r="189" spans="1:10" ht="27.75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457">
        <f>G181</f>
        <v>54</v>
      </c>
      <c r="H189" s="99">
        <f>G189+'2'!H189</f>
        <v>261</v>
      </c>
      <c r="I189" s="158"/>
      <c r="J189" s="179">
        <f>H189/DAY(B2)</f>
        <v>87</v>
      </c>
    </row>
    <row r="190" spans="1:10" ht="27.75" x14ac:dyDescent="0.5">
      <c r="A190" s="857"/>
      <c r="B190" s="858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21" zoomScale="55" zoomScaleNormal="48" zoomScaleSheetLayoutView="55" workbookViewId="0">
      <selection activeCell="F165" sqref="F16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356</v>
      </c>
      <c r="B2" s="262">
        <v>44596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9" t="s">
        <v>119</v>
      </c>
      <c r="F3" s="920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705577</v>
      </c>
      <c r="F7" s="95">
        <v>724047.59</v>
      </c>
      <c r="G7" s="112">
        <f>F7-E7</f>
        <v>18470.589999999967</v>
      </c>
      <c r="H7" s="99">
        <f>G7+'3'!H7</f>
        <v>72867.359999999986</v>
      </c>
      <c r="I7" s="113">
        <f>'1'!I7</f>
        <v>12000</v>
      </c>
      <c r="J7" s="175">
        <f>H7/DAY(B2)</f>
        <v>18216.839999999997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763564</v>
      </c>
      <c r="F8" s="114">
        <v>782176.71</v>
      </c>
      <c r="G8" s="115">
        <f>F8-E8</f>
        <v>18612.709999999963</v>
      </c>
      <c r="H8" s="99">
        <f>G8+'3'!H8</f>
        <v>73628.559999999939</v>
      </c>
      <c r="I8" s="116"/>
      <c r="J8" s="175">
        <f>H8/DAY(B2)</f>
        <v>18407.139999999985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322590.71000000002</v>
      </c>
      <c r="F9" s="117">
        <v>334674.45</v>
      </c>
      <c r="G9" s="112">
        <f>F9-E9</f>
        <v>12083.739999999991</v>
      </c>
      <c r="H9" s="99">
        <f>G9+'3'!H9</f>
        <v>52420.600000000035</v>
      </c>
      <c r="I9" s="124">
        <f>I7-J7</f>
        <v>-6216.8399999999965</v>
      </c>
      <c r="J9" s="175">
        <f>H9/DAY(B2)</f>
        <v>13105.150000000009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117782.93</v>
      </c>
      <c r="F10" s="117">
        <v>123643.08</v>
      </c>
      <c r="G10" s="112">
        <f t="shared" ref="G10:G12" si="0">F10-E10</f>
        <v>5860.1500000000087</v>
      </c>
      <c r="H10" s="99">
        <f>G10+'3'!H10</f>
        <v>18384.11</v>
      </c>
      <c r="I10" s="282"/>
      <c r="J10" s="175">
        <f>H10/DAY(B2)</f>
        <v>4596.0275000000001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37170</v>
      </c>
      <c r="F11" s="95">
        <v>37170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17943.89</v>
      </c>
      <c r="H13" s="99">
        <f>G13+'3'!H13</f>
        <v>54050.28</v>
      </c>
      <c r="I13" s="120">
        <f>G7-G13</f>
        <v>526.69999999996799</v>
      </c>
      <c r="J13" s="175">
        <f>H13/DAY(B2)</f>
        <v>13512.57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'3'!F15</f>
        <v>1909550.818</v>
      </c>
      <c r="F15" s="123">
        <v>1910548.77</v>
      </c>
      <c r="G15" s="112">
        <f>(F15-E15)</f>
        <v>997.95200000004843</v>
      </c>
      <c r="H15" s="99">
        <f>G15+'3'!H15</f>
        <v>3912.0030000000261</v>
      </c>
      <c r="I15" s="113">
        <f>'1'!I15</f>
        <v>800</v>
      </c>
      <c r="J15" s="175">
        <f>H15/DAY(B2)</f>
        <v>978.00075000000652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-178.00075000000652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'3'!F18</f>
        <v>18</v>
      </c>
      <c r="F18" s="122">
        <v>21</v>
      </c>
      <c r="G18" s="119">
        <f>F18*10</f>
        <v>210</v>
      </c>
      <c r="H18" s="99">
        <f>G18+'3'!H18</f>
        <v>720</v>
      </c>
      <c r="I18" s="113">
        <f>'1'!I18</f>
        <v>65</v>
      </c>
      <c r="J18" s="175">
        <f>H18/DAY(B2)</f>
        <v>180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'3'!F19</f>
        <v>154032</v>
      </c>
      <c r="F19" s="122">
        <v>154083</v>
      </c>
      <c r="G19" s="112">
        <f t="shared" ref="G19" si="1">F19-E19</f>
        <v>51</v>
      </c>
      <c r="H19" s="99">
        <f>G19+'3'!H19</f>
        <v>192</v>
      </c>
      <c r="I19" s="335"/>
      <c r="J19" s="175">
        <f>H19/DAY(B2)</f>
        <v>48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261</v>
      </c>
      <c r="H20" s="99">
        <f>G20+'3'!H20</f>
        <v>912</v>
      </c>
      <c r="I20" s="336">
        <f>I18-J20</f>
        <v>-163</v>
      </c>
      <c r="J20" s="175">
        <f>H20/DAY(B2)</f>
        <v>228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18612.709999999963</v>
      </c>
      <c r="F27" s="136">
        <v>9</v>
      </c>
      <c r="G27" s="137">
        <f>E27*F27</f>
        <v>167514.38999999966</v>
      </c>
      <c r="H27" s="99">
        <f>G27+'3'!H27</f>
        <v>662657.03999999946</v>
      </c>
      <c r="I27" s="138"/>
      <c r="J27" s="175">
        <f>H27/DAY(B2)</f>
        <v>165664.25999999986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997.95200000004843</v>
      </c>
      <c r="F28" s="136">
        <v>52</v>
      </c>
      <c r="G28" s="137">
        <f>E28*F28</f>
        <v>51893.504000002518</v>
      </c>
      <c r="H28" s="99">
        <f>G28+'3'!H28</f>
        <v>203424.15600000136</v>
      </c>
      <c r="I28" s="140"/>
      <c r="J28" s="175">
        <f>H28/DAY(B2)</f>
        <v>50856.039000000339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G30+'3'!H30</f>
        <v>28032</v>
      </c>
      <c r="I30" s="140"/>
      <c r="J30" s="175">
        <f>H30/DAY(B2)</f>
        <v>7008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G31+'3'!H31</f>
        <v>57600</v>
      </c>
      <c r="I31" s="140"/>
      <c r="J31" s="175">
        <f>H31/DAY(B2)</f>
        <v>14400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243653.89400000218</v>
      </c>
      <c r="H32" s="99">
        <f>G32+'3'!H32</f>
        <v>951713.19600000081</v>
      </c>
      <c r="I32" s="144"/>
      <c r="J32" s="175">
        <f>H32/DAY(B2)</f>
        <v>237928.2990000002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36076.93</v>
      </c>
      <c r="F35" s="145">
        <v>37405.870000000003</v>
      </c>
      <c r="G35" s="112">
        <f t="shared" ref="G35:G46" si="3">F35-E35</f>
        <v>1328.9400000000023</v>
      </c>
      <c r="H35" s="99">
        <f>G35+'3'!H35</f>
        <v>5400.8900000000031</v>
      </c>
      <c r="I35" s="95"/>
      <c r="J35" s="175">
        <f>H35/DAY(B2)</f>
        <v>1350.2225000000008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45916.7</v>
      </c>
      <c r="F36" s="145">
        <v>46778.57</v>
      </c>
      <c r="G36" s="112">
        <f t="shared" si="3"/>
        <v>861.87000000000262</v>
      </c>
      <c r="H36" s="99">
        <f>G36+'3'!H36</f>
        <v>3319.8300000000017</v>
      </c>
      <c r="I36" s="95"/>
      <c r="J36" s="175">
        <f>H36/DAY(B2)</f>
        <v>829.95750000000044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40078.410000000003</v>
      </c>
      <c r="F37" s="145">
        <v>41692.51</v>
      </c>
      <c r="G37" s="112">
        <f t="shared" si="3"/>
        <v>1614.0999999999985</v>
      </c>
      <c r="H37" s="99">
        <f>G37+'3'!H37</f>
        <v>6267.4200000000055</v>
      </c>
      <c r="I37" s="95"/>
      <c r="J37" s="175">
        <f>H37/DAY(B2)</f>
        <v>1566.8550000000014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43423.64</v>
      </c>
      <c r="F38" s="108">
        <v>45282.11</v>
      </c>
      <c r="G38" s="112">
        <f t="shared" si="3"/>
        <v>1858.4700000000012</v>
      </c>
      <c r="H38" s="99">
        <f>G38+'3'!H38</f>
        <v>6905.68</v>
      </c>
      <c r="I38" s="95"/>
      <c r="J38" s="175">
        <f>H38/DAY(B2)</f>
        <v>1726.42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67052.929999999993</v>
      </c>
      <c r="F39" s="145">
        <v>69719.64</v>
      </c>
      <c r="G39" s="112">
        <f t="shared" si="3"/>
        <v>2666.7100000000064</v>
      </c>
      <c r="H39" s="99">
        <f>G39+'3'!H39</f>
        <v>10546.349999999999</v>
      </c>
      <c r="I39" s="95"/>
      <c r="J39" s="175">
        <f>H39/DAY(B2)</f>
        <v>2636.5874999999996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22807.43</v>
      </c>
      <c r="F40" s="145">
        <v>23414.29</v>
      </c>
      <c r="G40" s="112">
        <f t="shared" si="3"/>
        <v>606.86000000000058</v>
      </c>
      <c r="H40" s="99">
        <f>G40+'3'!H40</f>
        <v>1297.2999999999986</v>
      </c>
      <c r="I40" s="95"/>
      <c r="J40" s="175">
        <f>H40/DAY(B2)</f>
        <v>324.32499999999965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62.73</v>
      </c>
      <c r="F41" s="145">
        <v>62.73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106500.98</v>
      </c>
      <c r="F42" s="145">
        <v>106500.89</v>
      </c>
      <c r="G42" s="112">
        <f t="shared" si="3"/>
        <v>-8.999999999650754E-2</v>
      </c>
      <c r="H42" s="99">
        <f>G42+'3'!H42</f>
        <v>6371.1499999999942</v>
      </c>
      <c r="I42" s="95"/>
      <c r="J42" s="175">
        <f>H42/DAY(B2)</f>
        <v>1592.7874999999985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120980.36</v>
      </c>
      <c r="F43" s="145">
        <v>123375.54</v>
      </c>
      <c r="G43" s="112">
        <f t="shared" si="3"/>
        <v>2395.179999999993</v>
      </c>
      <c r="H43" s="99">
        <f>G43+'3'!H43</f>
        <v>8523.9399999999878</v>
      </c>
      <c r="I43" s="95"/>
      <c r="J43" s="175">
        <f>H43/DAY(B2)</f>
        <v>2130.9849999999969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11332.040000000008</v>
      </c>
      <c r="H47" s="99">
        <f>G47+'3'!H47</f>
        <v>48632.55999999999</v>
      </c>
      <c r="I47" s="95"/>
      <c r="J47" s="175">
        <f>H47/DAY(B2)</f>
        <v>12158.139999999998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28047.55</v>
      </c>
      <c r="F49" s="549">
        <v>29401.48</v>
      </c>
      <c r="G49" s="112">
        <f t="shared" ref="G49:G58" si="4">F49-E49</f>
        <v>1353.9300000000003</v>
      </c>
      <c r="H49" s="99">
        <f>G49+'3'!H49</f>
        <v>4405.2900000000009</v>
      </c>
      <c r="I49" s="95"/>
      <c r="J49" s="175">
        <f>H49/DAY(B2)</f>
        <v>1101.3225000000002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59383.14</v>
      </c>
      <c r="F50" s="145">
        <v>60532.89</v>
      </c>
      <c r="G50" s="112">
        <f t="shared" si="4"/>
        <v>1149.75</v>
      </c>
      <c r="H50" s="99">
        <f>G50+'3'!H50</f>
        <v>4146.260000000002</v>
      </c>
      <c r="I50" s="95"/>
      <c r="J50" s="175">
        <f>H50/DAY(B2)</f>
        <v>1036.5650000000005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5842.67</v>
      </c>
      <c r="F54" s="145">
        <v>6389.99</v>
      </c>
      <c r="G54" s="112">
        <f t="shared" si="4"/>
        <v>547.31999999999971</v>
      </c>
      <c r="H54" s="99">
        <f>G54+'3'!H54</f>
        <v>1242.5699999999997</v>
      </c>
      <c r="I54" s="95"/>
      <c r="J54" s="175">
        <f>H54/DAY(B2)</f>
        <v>310.64249999999993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78823.75</v>
      </c>
      <c r="F55" s="145">
        <v>81640.67</v>
      </c>
      <c r="G55" s="112">
        <f t="shared" si="4"/>
        <v>2816.9199999999983</v>
      </c>
      <c r="H55" s="99">
        <f>G55+'3'!H55</f>
        <v>7274.5599999999977</v>
      </c>
      <c r="I55" s="95"/>
      <c r="J55" s="175">
        <f>H55/DAY(B2)</f>
        <v>1818.6399999999994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8723.6299999999992</v>
      </c>
      <c r="F56" s="145">
        <v>8723.6299999999992</v>
      </c>
      <c r="G56" s="112">
        <f t="shared" si="4"/>
        <v>0</v>
      </c>
      <c r="H56" s="99">
        <f>G56+'3'!H56</f>
        <v>113.08999999999833</v>
      </c>
      <c r="I56" s="95"/>
      <c r="J56" s="175">
        <f>H56/DAY(B2)</f>
        <v>28.272499999999582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5384.23</v>
      </c>
      <c r="F58" s="145">
        <v>5585.41</v>
      </c>
      <c r="G58" s="112">
        <f t="shared" si="4"/>
        <v>201.18000000000029</v>
      </c>
      <c r="H58" s="99">
        <f>G58+'3'!H58</f>
        <v>789.19999999999982</v>
      </c>
      <c r="I58" s="95"/>
      <c r="J58" s="175">
        <f>H58/DAY(B2)</f>
        <v>197.29999999999995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6069.0999999999985</v>
      </c>
      <c r="H59" s="99">
        <f>G59+'3'!H59</f>
        <v>17970.969999999998</v>
      </c>
      <c r="I59" s="95">
        <f>G7-G60</f>
        <v>1069.4499999999607</v>
      </c>
      <c r="J59" s="175">
        <f>H59/DAY(B2)</f>
        <v>4492.7424999999994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17401.140000000007</v>
      </c>
      <c r="H60" s="99">
        <f>G60+'3'!H60</f>
        <v>66603.53</v>
      </c>
      <c r="I60" s="95">
        <f>G13-G60</f>
        <v>542.74999999999272</v>
      </c>
      <c r="J60" s="175">
        <f>H60/DAY(B2)</f>
        <v>16650.8825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'3'!F62</f>
        <v>269758</v>
      </c>
      <c r="F62" s="122">
        <v>269867</v>
      </c>
      <c r="G62" s="112">
        <f t="shared" ref="G62:G63" si="5">F62-E62</f>
        <v>109</v>
      </c>
      <c r="H62" s="99">
        <f>G62+'3'!H62</f>
        <v>351</v>
      </c>
      <c r="I62" s="118"/>
      <c r="J62" s="175">
        <f>H62/DAY(B2)</f>
        <v>87.75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'3'!F63</f>
        <v>216220</v>
      </c>
      <c r="F63" s="122">
        <v>216356</v>
      </c>
      <c r="G63" s="112">
        <f t="shared" si="5"/>
        <v>136</v>
      </c>
      <c r="H63" s="99">
        <f>G63+'3'!H63</f>
        <v>559</v>
      </c>
      <c r="I63" s="118"/>
      <c r="J63" s="175">
        <f>H63/DAY(B2)</f>
        <v>139.75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122"/>
      <c r="F64" s="122"/>
      <c r="G64" s="112">
        <f>G62+G63</f>
        <v>245</v>
      </c>
      <c r="H64" s="99">
        <f>G64+'3'!H64</f>
        <v>910</v>
      </c>
      <c r="I64" s="118"/>
      <c r="J64" s="175">
        <f>H64/DAY(B2)</f>
        <v>227.5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'3'!F65</f>
        <v>435159</v>
      </c>
      <c r="F65" s="122">
        <v>435246</v>
      </c>
      <c r="G65" s="112">
        <f t="shared" ref="G65:G70" si="6">F65-E65</f>
        <v>87</v>
      </c>
      <c r="H65" s="99">
        <f>G65+'3'!H65</f>
        <v>323</v>
      </c>
      <c r="I65" s="118"/>
      <c r="J65" s="175">
        <f>H65/DAY(B2)</f>
        <v>80.75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'3'!F66</f>
        <v>107802</v>
      </c>
      <c r="F66" s="122">
        <v>107832</v>
      </c>
      <c r="G66" s="112">
        <f t="shared" si="6"/>
        <v>30</v>
      </c>
      <c r="H66" s="99">
        <f>G66+'3'!H66</f>
        <v>89</v>
      </c>
      <c r="I66" s="118"/>
      <c r="J66" s="175">
        <f>H66/DAY(B2)</f>
        <v>22.25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'3'!F67</f>
        <v>104702</v>
      </c>
      <c r="F67" s="122">
        <v>104727</v>
      </c>
      <c r="G67" s="112">
        <f t="shared" si="6"/>
        <v>25</v>
      </c>
      <c r="H67" s="99">
        <f>G67+'3'!H67</f>
        <v>79</v>
      </c>
      <c r="I67" s="118"/>
      <c r="J67" s="175">
        <f>H67/DAY(B2)</f>
        <v>19.75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'3'!F68</f>
        <v>157794</v>
      </c>
      <c r="F68" s="122">
        <v>157822</v>
      </c>
      <c r="G68" s="112">
        <f t="shared" si="6"/>
        <v>28</v>
      </c>
      <c r="H68" s="99">
        <f>G68+'3'!H68</f>
        <v>125</v>
      </c>
      <c r="I68" s="118"/>
      <c r="J68" s="175">
        <f>H68/DAY(B2)</f>
        <v>31.25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'3'!F69</f>
        <v>10578</v>
      </c>
      <c r="F69" s="164">
        <v>10585</v>
      </c>
      <c r="G69" s="112">
        <f t="shared" si="6"/>
        <v>7</v>
      </c>
      <c r="H69" s="99">
        <f>G69+'3'!H69</f>
        <v>44</v>
      </c>
      <c r="I69" s="118"/>
      <c r="J69" s="175">
        <f>H69/DAY(B2)</f>
        <v>11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'3'!F70</f>
        <v>8147</v>
      </c>
      <c r="F70" s="122">
        <v>8156</v>
      </c>
      <c r="G70" s="112">
        <f t="shared" si="6"/>
        <v>9</v>
      </c>
      <c r="H70" s="99">
        <f>G70+'3'!H70</f>
        <v>36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186</v>
      </c>
      <c r="H71" s="99">
        <f>G71+'3'!H71</f>
        <v>696</v>
      </c>
      <c r="I71" s="154"/>
      <c r="J71" s="175">
        <f>H71/DAY(B2)</f>
        <v>174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'3'!F74</f>
        <v>902242.26</v>
      </c>
      <c r="F74" s="117">
        <v>902539.3</v>
      </c>
      <c r="G74" s="112">
        <f t="shared" ref="G74:G78" si="7">F74-E74</f>
        <v>297.04000000003725</v>
      </c>
      <c r="H74" s="99">
        <f>G74+'3'!H74</f>
        <v>1233.1510000000708</v>
      </c>
      <c r="I74" s="154"/>
      <c r="J74" s="175">
        <f>H74/DAY(B2)</f>
        <v>308.2877500000177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'3'!F76</f>
        <v>170304.09</v>
      </c>
      <c r="F76" s="123">
        <v>170454.1</v>
      </c>
      <c r="G76" s="112">
        <f t="shared" si="7"/>
        <v>150.01000000000931</v>
      </c>
      <c r="H76" s="99">
        <f>G76+'3'!H76</f>
        <v>479.10000000000582</v>
      </c>
      <c r="I76" s="154"/>
      <c r="J76" s="175">
        <f>H76/DAY(B2)</f>
        <v>119.77500000000146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'3'!F77</f>
        <v>41427.5</v>
      </c>
      <c r="F77" s="123">
        <v>41475.4</v>
      </c>
      <c r="G77" s="112">
        <f t="shared" si="7"/>
        <v>47.900000000001455</v>
      </c>
      <c r="H77" s="99">
        <f>G77+'3'!H77</f>
        <v>173.20000000000437</v>
      </c>
      <c r="I77" s="154"/>
      <c r="J77" s="175">
        <f>H77/DAY(B2)</f>
        <v>43.300000000001091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'3'!F78</f>
        <v>9519.2999999999993</v>
      </c>
      <c r="F78" s="123">
        <v>9521.6</v>
      </c>
      <c r="G78" s="112">
        <f t="shared" si="7"/>
        <v>2.3000000000010914</v>
      </c>
      <c r="H78" s="99">
        <f>G78+'3'!H78</f>
        <v>5.6000000000003638</v>
      </c>
      <c r="I78" s="118"/>
      <c r="J78" s="175">
        <f>H78/DAY(B2)</f>
        <v>1.4000000000000909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'3'!F79</f>
        <v>0</v>
      </c>
      <c r="F79" s="117"/>
      <c r="G79" s="112">
        <f>G15-SUM(G74:G78)</f>
        <v>500.70199999999932</v>
      </c>
      <c r="H79" s="99">
        <f>G79+'3'!H79</f>
        <v>2020.9519999999447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997.95200000004843</v>
      </c>
      <c r="H80" s="99">
        <f>G80+'3'!H80</f>
        <v>2993.4450000000652</v>
      </c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0.26000000000203727</v>
      </c>
      <c r="I84" s="118"/>
      <c r="J84" s="175">
        <f>H84/DAY(B2)</f>
        <v>6.5000000000509317E-2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v>2300.42</v>
      </c>
      <c r="F85" s="164">
        <v>2300.42</v>
      </c>
      <c r="G85" s="236">
        <f t="shared" si="8"/>
        <v>0</v>
      </c>
      <c r="H85" s="99">
        <f>G85+'3'!H85</f>
        <v>40</v>
      </c>
      <c r="I85" s="118">
        <f>G82+G83+G84+G85</f>
        <v>0.26000000000203727</v>
      </c>
      <c r="J85" s="175">
        <f>H85/DAY(B2)</f>
        <v>10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'3'!F86</f>
        <v>43474</v>
      </c>
      <c r="F86" s="164">
        <v>43498.25</v>
      </c>
      <c r="G86" s="112">
        <f t="shared" si="8"/>
        <v>24.25</v>
      </c>
      <c r="H86" s="99">
        <f>G86+'3'!H86</f>
        <v>56.25</v>
      </c>
      <c r="I86" s="118"/>
      <c r="J86" s="175">
        <f>H86/DAY(B2)</f>
        <v>14.0625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'3'!F87</f>
        <v>34598.550000000003</v>
      </c>
      <c r="F87" s="164">
        <v>34599.480000000003</v>
      </c>
      <c r="G87" s="112">
        <f t="shared" si="8"/>
        <v>0.93000000000029104</v>
      </c>
      <c r="H87" s="99">
        <f>G87+'3'!H87</f>
        <v>0.98000000000320142</v>
      </c>
      <c r="I87" s="118"/>
      <c r="J87" s="175">
        <f>H87/DAY(B2)</f>
        <v>0.24500000000080036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'3'!F88</f>
        <v>24063.43</v>
      </c>
      <c r="F88" s="164">
        <v>24063.43</v>
      </c>
      <c r="G88" s="112">
        <f t="shared" si="8"/>
        <v>0</v>
      </c>
      <c r="H88" s="99">
        <f>G88+'3'!H88</f>
        <v>0</v>
      </c>
      <c r="I88" s="118">
        <f>G86+G87+G88</f>
        <v>25.180000000000291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'3'!F89</f>
        <v>25919.8</v>
      </c>
      <c r="F89" s="164">
        <v>25929.54</v>
      </c>
      <c r="G89" s="112">
        <f t="shared" si="8"/>
        <v>9.7400000000016007</v>
      </c>
      <c r="H89" s="99">
        <f>G89+'3'!H89</f>
        <v>38.420000000001892</v>
      </c>
      <c r="I89" s="118"/>
      <c r="J89" s="175">
        <f>H89/DAY(B2)</f>
        <v>9.6050000000004729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'3'!F90</f>
        <v>71167.69</v>
      </c>
      <c r="F90" s="164">
        <v>71167.94</v>
      </c>
      <c r="G90" s="112">
        <f t="shared" si="8"/>
        <v>0.25</v>
      </c>
      <c r="H90" s="99">
        <f>G90+'3'!H90</f>
        <v>4.6199999999953434</v>
      </c>
      <c r="I90" s="118">
        <f>G89+G90</f>
        <v>9.9900000000016007</v>
      </c>
      <c r="J90" s="175">
        <f>H90/DAY(B2)</f>
        <v>1.1549999999988358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'3'!F91</f>
        <v>3285.32</v>
      </c>
      <c r="F91" s="122">
        <v>3296.79</v>
      </c>
      <c r="G91" s="112">
        <f t="shared" si="8"/>
        <v>11.4699999999998</v>
      </c>
      <c r="H91" s="99">
        <f>G91+'3'!H91</f>
        <v>45.699999999999818</v>
      </c>
      <c r="I91" s="165"/>
      <c r="J91" s="175">
        <f>H91/DAY(B2)</f>
        <v>11.424999999999955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'3'!F92</f>
        <v>5741.07</v>
      </c>
      <c r="F92" s="122">
        <v>5741.07</v>
      </c>
      <c r="G92" s="112">
        <f t="shared" si="8"/>
        <v>0</v>
      </c>
      <c r="H92" s="99">
        <f>G92+'3'!H92</f>
        <v>0</v>
      </c>
      <c r="I92" s="165"/>
      <c r="J92" s="175">
        <f>H92/DAY(B2)</f>
        <v>0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5078.0499999999956</v>
      </c>
      <c r="H94" s="99">
        <f>G94+'3'!H94</f>
        <v>18330.119999999992</v>
      </c>
      <c r="I94" s="118"/>
      <c r="J94" s="175">
        <f>H94/DAY(B2)</f>
        <v>4582.5299999999979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0.27492624761851164</v>
      </c>
      <c r="H95" s="99">
        <f>G95+'3'!H95</f>
        <v>1.0052310964528588</v>
      </c>
      <c r="I95" s="167"/>
      <c r="J95" s="175">
        <f>H95/DAY(B2)</f>
        <v>0.2513077741132147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2816.8300000000017</v>
      </c>
      <c r="H96" s="99">
        <f>G96+'3'!H96</f>
        <v>13758.79999999999</v>
      </c>
      <c r="I96" s="118"/>
      <c r="J96" s="175">
        <f>H96/DAY(B2)</f>
        <v>3439.6999999999975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0.15250352046144747</v>
      </c>
      <c r="H97" s="99">
        <f>G97+'3'!H97</f>
        <v>0.75831553602270341</v>
      </c>
      <c r="I97" s="167"/>
      <c r="J97" s="175">
        <f>H97/DAY(B2)</f>
        <v>0.18957888400567585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2666.7100000000064</v>
      </c>
      <c r="H98" s="99">
        <f>G98+'3'!H98</f>
        <v>10546.349999999999</v>
      </c>
      <c r="I98" s="168"/>
      <c r="J98" s="175">
        <f>H98/DAY(B2)</f>
        <v>2636.5874999999996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0.14437600531439501</v>
      </c>
      <c r="H99" s="99">
        <f>G99+'3'!H99</f>
        <v>0.57958191287137084</v>
      </c>
      <c r="I99" s="168"/>
      <c r="J99" s="175">
        <f>H99/DAY(B2)</f>
        <v>0.14489547821784271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1858.4700000000012</v>
      </c>
      <c r="H100" s="99">
        <f>G100+'3'!H100</f>
        <v>6905.68</v>
      </c>
      <c r="I100" s="118"/>
      <c r="J100" s="175">
        <f>H100/DAY(B2)</f>
        <v>1726.42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0.10061779293460602</v>
      </c>
      <c r="H101" s="99">
        <f>G101+'3'!H101</f>
        <v>0.37932692118106937</v>
      </c>
      <c r="I101" s="168"/>
      <c r="J101" s="175">
        <f>H101/DAY(B2)</f>
        <v>9.4831730295267341E-2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2011.6200000000026</v>
      </c>
      <c r="H102" s="99">
        <f>G102+'3'!H102</f>
        <v>7466.0900000000038</v>
      </c>
      <c r="I102" s="168"/>
      <c r="J102" s="175">
        <f>H102/DAY(B2)</f>
        <v>1866.5225000000009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0.108909352651973</v>
      </c>
      <c r="H103" s="99">
        <f>G103+'3'!H103</f>
        <v>0.40924309900482664</v>
      </c>
      <c r="I103" s="118"/>
      <c r="J103" s="175">
        <f>H103/DAY(B2)</f>
        <v>0.10231077475120666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1614.0999999999985</v>
      </c>
      <c r="H104" s="99">
        <f>G104+'3'!H104</f>
        <v>6267.4200000000055</v>
      </c>
      <c r="I104" s="118"/>
      <c r="J104" s="175">
        <f>H104/DAY(B2)</f>
        <v>1566.8550000000014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8.7387571268703459E-2</v>
      </c>
      <c r="H105" s="99">
        <f>G105+'3'!H105</f>
        <v>0.3444551858167173</v>
      </c>
      <c r="I105" s="187"/>
      <c r="J105" s="188">
        <f>H105/DAY(B2)</f>
        <v>8.6113796454179325E-2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'3'!F112</f>
        <v>58284.57</v>
      </c>
      <c r="F112" s="237">
        <v>58364.27</v>
      </c>
      <c r="G112" s="112">
        <f t="shared" ref="G112:G123" si="9">F112-E112</f>
        <v>79.69999999999709</v>
      </c>
      <c r="H112" s="99">
        <f>G112+'3'!H112</f>
        <v>310.2699999999968</v>
      </c>
      <c r="I112" s="165"/>
      <c r="J112" s="328">
        <f>H112/DAY(B2)</f>
        <v>77.5674999999992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'3'!F113</f>
        <v>47816.51</v>
      </c>
      <c r="F113" s="237">
        <v>48292.28</v>
      </c>
      <c r="G113" s="112">
        <f t="shared" si="9"/>
        <v>475.7699999999968</v>
      </c>
      <c r="H113" s="99">
        <f>G113+'3'!H113</f>
        <v>1891.3899999999994</v>
      </c>
      <c r="I113" s="165"/>
      <c r="J113" s="328">
        <f>H113/DAY(B2)</f>
        <v>472.84749999999985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'3'!F114</f>
        <v>34008.199999999997</v>
      </c>
      <c r="F114" s="237">
        <v>34275.480000000003</v>
      </c>
      <c r="G114" s="112">
        <f t="shared" si="9"/>
        <v>267.28000000000611</v>
      </c>
      <c r="H114" s="99">
        <f>G114+'3'!H114</f>
        <v>1115.4800000000032</v>
      </c>
      <c r="I114" s="165"/>
      <c r="J114" s="328">
        <f>H114/DAY(B2)</f>
        <v>278.8700000000008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'3'!F115</f>
        <v>9128.2999999999993</v>
      </c>
      <c r="F115" s="237">
        <v>9136.58</v>
      </c>
      <c r="G115" s="112">
        <f t="shared" si="9"/>
        <v>8.2800000000006548</v>
      </c>
      <c r="H115" s="99">
        <f>G115+'3'!H115</f>
        <v>41.930000000000291</v>
      </c>
      <c r="I115" s="165"/>
      <c r="J115" s="328">
        <f>H115/DAY(B2)</f>
        <v>10.482500000000073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'3'!F116</f>
        <v>0</v>
      </c>
      <c r="F116" s="237">
        <v>8.07</v>
      </c>
      <c r="G116" s="112">
        <f t="shared" si="9"/>
        <v>8.07</v>
      </c>
      <c r="H116" s="99">
        <f>G116+'3'!H116</f>
        <v>8.07</v>
      </c>
      <c r="I116" s="165"/>
      <c r="J116" s="328">
        <f>H116/DAY(B2)</f>
        <v>2.0175000000000001</v>
      </c>
      <c r="Q116" s="871" t="s">
        <v>311</v>
      </c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'3'!F117</f>
        <v>3415.74</v>
      </c>
      <c r="F117" s="237">
        <v>3493.03</v>
      </c>
      <c r="G117" s="112">
        <f t="shared" si="9"/>
        <v>77.290000000000418</v>
      </c>
      <c r="H117" s="99">
        <f>G117+'3'!H117</f>
        <v>155.08000000000038</v>
      </c>
      <c r="I117" s="165"/>
      <c r="J117" s="328">
        <f>H117/DAY(B2)</f>
        <v>38.770000000000095</v>
      </c>
      <c r="Q117" s="871" t="s">
        <v>312</v>
      </c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'3'!F118</f>
        <v>253412.19</v>
      </c>
      <c r="F118" s="237">
        <v>253754.53</v>
      </c>
      <c r="G118" s="112">
        <f t="shared" si="9"/>
        <v>342.33999999999651</v>
      </c>
      <c r="H118" s="99">
        <f>G118+'3'!H118</f>
        <v>1302.2200000000012</v>
      </c>
      <c r="I118" s="165"/>
      <c r="J118" s="328">
        <f>H118/DAY(B2)</f>
        <v>325.55500000000029</v>
      </c>
      <c r="Q118" s="871" t="s">
        <v>311</v>
      </c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'3'!F119</f>
        <v>259431.61</v>
      </c>
      <c r="F119" s="237">
        <v>259841.67</v>
      </c>
      <c r="G119" s="112">
        <f t="shared" si="9"/>
        <v>410.06000000002678</v>
      </c>
      <c r="H119" s="99">
        <f>G119+'3'!H119</f>
        <v>1693.1200000000244</v>
      </c>
      <c r="I119" s="165"/>
      <c r="J119" s="328">
        <f>H119/DAY(B2)</f>
        <v>423.28000000000611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'3'!F120</f>
        <v>44224.92</v>
      </c>
      <c r="F120" s="237">
        <v>44652.31</v>
      </c>
      <c r="G120" s="112">
        <f t="shared" si="9"/>
        <v>427.38999999999942</v>
      </c>
      <c r="H120" s="99">
        <f>G120+'3'!H120</f>
        <v>1692.6999999999971</v>
      </c>
      <c r="I120" s="165"/>
      <c r="J120" s="328">
        <f>H120/DAY(B2)</f>
        <v>423.17499999999927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'3'!F121</f>
        <v>400202.75</v>
      </c>
      <c r="F121" s="237">
        <v>400923.31</v>
      </c>
      <c r="G121" s="112">
        <f t="shared" si="9"/>
        <v>720.55999999999767</v>
      </c>
      <c r="H121" s="99">
        <f>G121+'3'!H121</f>
        <v>2888.8800000000047</v>
      </c>
      <c r="I121" s="165"/>
      <c r="J121" s="328">
        <f>H121/DAY(B2)</f>
        <v>722.22000000000116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'3'!F122</f>
        <v>126857.4</v>
      </c>
      <c r="F122" s="237">
        <v>127109.16</v>
      </c>
      <c r="G122" s="112">
        <f t="shared" si="9"/>
        <v>251.76000000000931</v>
      </c>
      <c r="H122" s="99">
        <f>G122+'3'!H122</f>
        <v>922.98000000001048</v>
      </c>
      <c r="I122" s="165"/>
      <c r="J122" s="328">
        <f>H122/DAY(B2)</f>
        <v>230.74500000000262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'3'!F123</f>
        <v>154821.26999999999</v>
      </c>
      <c r="F123" s="237">
        <v>155081.57999999999</v>
      </c>
      <c r="G123" s="112">
        <f t="shared" si="9"/>
        <v>260.30999999999767</v>
      </c>
      <c r="H123" s="99">
        <f>G123+'3'!H123</f>
        <v>1034.6299999999756</v>
      </c>
      <c r="I123" s="165"/>
      <c r="J123" s="328">
        <f>H123/DAY(B2)</f>
        <v>258.65749999999389</v>
      </c>
    </row>
    <row r="124" spans="1:18" ht="29.25" customHeight="1" x14ac:dyDescent="0.5">
      <c r="A124" s="875"/>
      <c r="B124" s="876"/>
      <c r="C124" s="877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 x14ac:dyDescent="0.5">
      <c r="A125" s="586" t="s">
        <v>196</v>
      </c>
      <c r="B125" s="587"/>
      <c r="C125" s="588"/>
      <c r="D125" s="307"/>
      <c r="E125" s="308"/>
      <c r="F125" s="308"/>
      <c r="G125" s="309">
        <f>SUM(G112:G124)</f>
        <v>3328.8100000000286</v>
      </c>
      <c r="H125" s="156"/>
      <c r="I125" s="327">
        <f>G125-(G39+G53)</f>
        <v>662.10000000002219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'3'!F128</f>
        <v>48683.7</v>
      </c>
      <c r="F128" s="165">
        <v>48986.97</v>
      </c>
      <c r="G128" s="112">
        <f t="shared" ref="G128:G134" si="10">F128-E128</f>
        <v>303.27000000000407</v>
      </c>
      <c r="H128" s="99">
        <f>G128+'3'!H128</f>
        <v>1240.9700000000012</v>
      </c>
      <c r="I128" s="165"/>
      <c r="J128" s="328">
        <f>H128/DAY(B2)</f>
        <v>310.24250000000029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'3'!F129</f>
        <v>27520.54</v>
      </c>
      <c r="F129" s="165">
        <v>27721.45</v>
      </c>
      <c r="G129" s="112">
        <f t="shared" si="10"/>
        <v>200.90999999999985</v>
      </c>
      <c r="H129" s="99">
        <f>G129+'3'!H129</f>
        <v>810.58000000000175</v>
      </c>
      <c r="I129" s="165"/>
      <c r="J129" s="328">
        <f>H129/DAY(B2)</f>
        <v>202.64500000000044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'3'!F130</f>
        <v>37362.01</v>
      </c>
      <c r="F130" s="165">
        <v>37892.42</v>
      </c>
      <c r="G130" s="112">
        <f t="shared" si="10"/>
        <v>530.40999999999622</v>
      </c>
      <c r="H130" s="99">
        <f>G130+'3'!H130</f>
        <v>2198.4199999999983</v>
      </c>
      <c r="I130" s="165"/>
      <c r="J130" s="328">
        <f>H130/DAY(B2)</f>
        <v>549.60499999999956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'3'!F131</f>
        <v>15508.01</v>
      </c>
      <c r="F131" s="165">
        <v>15574.9</v>
      </c>
      <c r="G131" s="112">
        <f t="shared" si="10"/>
        <v>66.889999999999418</v>
      </c>
      <c r="H131" s="99">
        <f>G131+'3'!H131</f>
        <v>267.21999999999935</v>
      </c>
      <c r="I131" s="165"/>
      <c r="J131" s="328">
        <f>H131/DAY(B2)</f>
        <v>66.804999999999836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'3'!F132</f>
        <v>52436</v>
      </c>
      <c r="F132" s="165">
        <v>52796.45</v>
      </c>
      <c r="G132" s="112">
        <f t="shared" si="10"/>
        <v>360.44999999999709</v>
      </c>
      <c r="H132" s="99">
        <f>G132+'3'!H132</f>
        <v>948.14999999999418</v>
      </c>
      <c r="I132" s="165"/>
      <c r="J132" s="328">
        <f>H132/DAY(B2)</f>
        <v>237.03749999999854</v>
      </c>
    </row>
    <row r="133" spans="1:15" ht="27.75" x14ac:dyDescent="0.5">
      <c r="A133" s="871" t="s">
        <v>323</v>
      </c>
      <c r="B133" s="872"/>
      <c r="C133" s="873"/>
      <c r="D133" s="151" t="s">
        <v>183</v>
      </c>
      <c r="E133" s="95">
        <f>'3'!F133</f>
        <v>106969.46</v>
      </c>
      <c r="F133" s="165">
        <v>107660.29</v>
      </c>
      <c r="G133" s="112">
        <f t="shared" si="10"/>
        <v>690.82999999998719</v>
      </c>
      <c r="H133" s="99">
        <f>G133+'3'!H133</f>
        <v>2316.5899999999965</v>
      </c>
      <c r="I133" s="165"/>
      <c r="J133" s="328">
        <f>H133/DAY(B2)</f>
        <v>579.14749999999913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'3'!F134</f>
        <v>9066.3799999999992</v>
      </c>
      <c r="F134" s="165">
        <v>9228.06</v>
      </c>
      <c r="G134" s="112">
        <f t="shared" si="10"/>
        <v>161.68000000000029</v>
      </c>
      <c r="H134" s="99">
        <f>G134+'3'!H134</f>
        <v>626.82999999999993</v>
      </c>
      <c r="I134" s="165"/>
      <c r="J134" s="328">
        <f>H134/DAY(B2)</f>
        <v>156.70749999999998</v>
      </c>
    </row>
    <row r="135" spans="1:15" ht="29.25" x14ac:dyDescent="0.5">
      <c r="A135" s="901" t="s">
        <v>196</v>
      </c>
      <c r="B135" s="902"/>
      <c r="C135" s="903"/>
      <c r="D135" s="151"/>
      <c r="E135" s="95"/>
      <c r="F135" s="165"/>
      <c r="G135" s="112">
        <f>SUM(G128:G134)</f>
        <v>2314.4399999999841</v>
      </c>
      <c r="H135" s="99">
        <f>G135+'3'!H135</f>
        <v>8408.7599999999911</v>
      </c>
      <c r="I135" s="327">
        <f>G135-(G35+G49)</f>
        <v>-368.43000000001848</v>
      </c>
      <c r="J135" s="328">
        <f>H135/DAY(B2)</f>
        <v>2102.1899999999978</v>
      </c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'3'!F138</f>
        <v>866371</v>
      </c>
      <c r="F138" s="147">
        <v>866473</v>
      </c>
      <c r="G138" s="112">
        <f t="shared" ref="G138:G152" si="11">F138-E138</f>
        <v>102</v>
      </c>
      <c r="H138" s="99">
        <f>G138+'3'!H138</f>
        <v>300</v>
      </c>
      <c r="I138" s="118"/>
      <c r="J138" s="328">
        <f>H138/DAY(B2)</f>
        <v>75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'3'!F139</f>
        <v>886577</v>
      </c>
      <c r="F139" s="148">
        <v>886580</v>
      </c>
      <c r="G139" s="112">
        <f t="shared" si="11"/>
        <v>3</v>
      </c>
      <c r="H139" s="99">
        <f>G139+'3'!H139</f>
        <v>7</v>
      </c>
      <c r="I139" s="118"/>
      <c r="J139" s="328">
        <f>H139/DAY(B2)</f>
        <v>1.75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'3'!F140</f>
        <v>88933.8</v>
      </c>
      <c r="F140" s="149">
        <v>88935</v>
      </c>
      <c r="G140" s="112">
        <f t="shared" si="11"/>
        <v>1.1999999999970896</v>
      </c>
      <c r="H140" s="99">
        <f>G140+'3'!H140</f>
        <v>13</v>
      </c>
      <c r="I140" s="118"/>
      <c r="J140" s="328">
        <f>H140/DAY(B2)</f>
        <v>3.25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'3'!F141</f>
        <v>55187.1</v>
      </c>
      <c r="F141" s="149">
        <v>55375.06</v>
      </c>
      <c r="G141" s="112">
        <f t="shared" si="11"/>
        <v>187.95999999999913</v>
      </c>
      <c r="H141" s="99">
        <f>G141+'3'!H141</f>
        <v>689.47999999999593</v>
      </c>
      <c r="I141" s="118"/>
      <c r="J141" s="328">
        <f>H141/DAY(B2)</f>
        <v>172.36999999999898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'3'!F142</f>
        <v>21492.35</v>
      </c>
      <c r="F142" s="148">
        <v>21557.87</v>
      </c>
      <c r="G142" s="112">
        <f t="shared" si="11"/>
        <v>65.520000000000437</v>
      </c>
      <c r="H142" s="99">
        <f>G142+'3'!H142</f>
        <v>273.77000000000044</v>
      </c>
      <c r="I142" s="140"/>
      <c r="J142" s="328">
        <f>H142/DAY(B2)</f>
        <v>68.442500000000109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'3'!F143</f>
        <v>3915.53</v>
      </c>
      <c r="F143" s="149">
        <v>3943.49</v>
      </c>
      <c r="G143" s="112">
        <f t="shared" si="11"/>
        <v>27.959999999999582</v>
      </c>
      <c r="H143" s="99">
        <f>G143+'3'!H143</f>
        <v>108.09999999999991</v>
      </c>
      <c r="I143" s="140"/>
      <c r="J143" s="328">
        <f>H143/DAY(B2)</f>
        <v>27.024999999999977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'3'!F144</f>
        <v>877103</v>
      </c>
      <c r="F144" s="149">
        <v>877315</v>
      </c>
      <c r="G144" s="112">
        <f t="shared" si="11"/>
        <v>212</v>
      </c>
      <c r="H144" s="99">
        <f>G144+'3'!H144</f>
        <v>828</v>
      </c>
      <c r="I144" s="140"/>
      <c r="J144" s="328">
        <f>H144/DAY(B2)</f>
        <v>207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'3'!F145</f>
        <v>5000</v>
      </c>
      <c r="F145" s="149">
        <v>5014.8100000000004</v>
      </c>
      <c r="G145" s="112">
        <f t="shared" si="11"/>
        <v>14.8100000000004</v>
      </c>
      <c r="H145" s="99">
        <f>G145+'3'!H145</f>
        <v>55.970000000000255</v>
      </c>
      <c r="I145" s="140"/>
      <c r="J145" s="328">
        <f>H145/DAY(B2)</f>
        <v>13.992500000000064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'3'!F146</f>
        <v>738536</v>
      </c>
      <c r="F146" s="148">
        <v>738917</v>
      </c>
      <c r="G146" s="112">
        <f t="shared" si="11"/>
        <v>381</v>
      </c>
      <c r="H146" s="99">
        <f>G146+'3'!H146</f>
        <v>1584</v>
      </c>
      <c r="I146" s="140"/>
      <c r="J146" s="328">
        <f>H146/DAY(B2)</f>
        <v>396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'3'!F147</f>
        <v>627756</v>
      </c>
      <c r="F147" s="148">
        <v>628152.43999999994</v>
      </c>
      <c r="G147" s="112">
        <f t="shared" si="11"/>
        <v>396.43999999994412</v>
      </c>
      <c r="H147" s="99">
        <f>G147+'3'!H147</f>
        <v>1539.9199999999255</v>
      </c>
      <c r="I147" s="140"/>
      <c r="J147" s="328">
        <f>H147/DAY(B2)</f>
        <v>384.97999999998137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'3'!F148</f>
        <v>690148.88</v>
      </c>
      <c r="F148" s="150">
        <v>690458.32</v>
      </c>
      <c r="G148" s="112">
        <f t="shared" si="11"/>
        <v>309.43999999994412</v>
      </c>
      <c r="H148" s="99">
        <f>G148+'3'!H148</f>
        <v>1015.359999999986</v>
      </c>
      <c r="I148" s="124"/>
      <c r="J148" s="328">
        <f>H148/DAY(B2)</f>
        <v>253.83999999999651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'3'!F149</f>
        <v>25950.48</v>
      </c>
      <c r="F149" s="146">
        <v>26424.38</v>
      </c>
      <c r="G149" s="112">
        <f t="shared" si="11"/>
        <v>473.90000000000146</v>
      </c>
      <c r="H149" s="99">
        <f>G149+'3'!H149</f>
        <v>1746.1800000000003</v>
      </c>
      <c r="I149" s="119"/>
      <c r="J149" s="328">
        <f>H149/DAY(B2)</f>
        <v>436.54500000000007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'3'!F150</f>
        <v>11501.1</v>
      </c>
      <c r="F150" s="233">
        <v>11732.86</v>
      </c>
      <c r="G150" s="112">
        <f t="shared" si="11"/>
        <v>231.76000000000022</v>
      </c>
      <c r="H150" s="99">
        <f>G150+'3'!H150</f>
        <v>882.03000000000065</v>
      </c>
      <c r="I150" s="119"/>
      <c r="J150" s="328">
        <f>H150/DAY(B2)</f>
        <v>220.50750000000016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'3'!F151</f>
        <v>86216</v>
      </c>
      <c r="F151" s="233">
        <v>86473</v>
      </c>
      <c r="G151" s="112">
        <f t="shared" si="11"/>
        <v>257</v>
      </c>
      <c r="H151" s="99">
        <f>G151+'3'!H151</f>
        <v>993</v>
      </c>
      <c r="I151" s="119"/>
      <c r="J151" s="328">
        <f>H151/DAY(B2)</f>
        <v>248.25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'3'!F152</f>
        <v>1777.9</v>
      </c>
      <c r="F152" s="233">
        <v>1838.73</v>
      </c>
      <c r="G152" s="112">
        <f t="shared" si="11"/>
        <v>60.829999999999927</v>
      </c>
      <c r="H152" s="99">
        <f>G152+'3'!H152</f>
        <v>178.73000000000002</v>
      </c>
      <c r="I152" s="119"/>
      <c r="J152" s="328">
        <f>H152/DAY(B2)</f>
        <v>44.682500000000005</v>
      </c>
    </row>
    <row r="153" spans="1:10" ht="29.25" x14ac:dyDescent="0.5">
      <c r="A153" s="901" t="s">
        <v>196</v>
      </c>
      <c r="B153" s="902"/>
      <c r="C153" s="903"/>
      <c r="D153" s="358"/>
      <c r="E153" s="360"/>
      <c r="F153" s="361"/>
      <c r="G153" s="362">
        <f>SUM(G138:G152)</f>
        <v>2724.8199999998865</v>
      </c>
      <c r="H153" s="363"/>
      <c r="I153" s="119">
        <f>G153-(G38+G52)</f>
        <v>866.34999999988531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'3'!F155</f>
        <v>34307.279999999999</v>
      </c>
      <c r="F155" s="374">
        <v>35016.379999999997</v>
      </c>
      <c r="G155" s="112">
        <f t="shared" ref="G155:G158" si="12">F155-E155</f>
        <v>709.09999999999854</v>
      </c>
      <c r="H155" s="99">
        <f>G155+'3'!H155</f>
        <v>2071.3799999999974</v>
      </c>
      <c r="I155" s="364"/>
      <c r="J155" s="328">
        <f>H155/DAY(B2)</f>
        <v>517.84499999999935</v>
      </c>
    </row>
    <row r="156" spans="1:10" ht="27.75" x14ac:dyDescent="0.5">
      <c r="A156" s="851" t="s">
        <v>346</v>
      </c>
      <c r="B156" s="851"/>
      <c r="C156" s="851"/>
      <c r="D156" s="117" t="s">
        <v>130</v>
      </c>
      <c r="E156" s="95">
        <f>'3'!F156</f>
        <v>2888.8</v>
      </c>
      <c r="F156" s="155">
        <v>2940.61</v>
      </c>
      <c r="G156" s="112">
        <f t="shared" si="12"/>
        <v>51.809999999999945</v>
      </c>
      <c r="H156" s="99">
        <f>G156+'3'!H156</f>
        <v>152.61000000000013</v>
      </c>
      <c r="I156" s="165"/>
      <c r="J156" s="328">
        <f>H156/DAY(B2)</f>
        <v>38.152500000000032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>
        <f>'3'!F157</f>
        <v>4282.29</v>
      </c>
      <c r="F157" s="155">
        <v>4365.28</v>
      </c>
      <c r="G157" s="112">
        <f t="shared" si="12"/>
        <v>82.989999999999782</v>
      </c>
      <c r="H157" s="99">
        <f>G157+'3'!H157</f>
        <v>82.989999999999782</v>
      </c>
      <c r="I157" s="165"/>
      <c r="J157" s="328">
        <f>H157/DAY(B2)</f>
        <v>20.747499999999945</v>
      </c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>
        <f>'3'!F158</f>
        <v>60.9</v>
      </c>
      <c r="F158" s="155">
        <v>61.82</v>
      </c>
      <c r="G158" s="112">
        <f t="shared" si="12"/>
        <v>0.92000000000000171</v>
      </c>
      <c r="H158" s="99">
        <f>G158+'3'!H158</f>
        <v>0.92000000000000171</v>
      </c>
      <c r="I158" s="165"/>
      <c r="J158" s="328">
        <f>H158/DAY(B2)</f>
        <v>0.23000000000000043</v>
      </c>
    </row>
    <row r="159" spans="1:10" ht="27.75" x14ac:dyDescent="0.5">
      <c r="A159" s="935"/>
      <c r="B159" s="936"/>
      <c r="C159" s="93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472208.24</v>
      </c>
      <c r="F161" s="235">
        <v>472265.48</v>
      </c>
      <c r="G161" s="238">
        <f t="shared" ref="G161:G168" si="13">F161-E161</f>
        <v>57.239999999990687</v>
      </c>
      <c r="H161" s="99">
        <f>G161+'3'!H161</f>
        <v>211.9199999999837</v>
      </c>
      <c r="I161" s="236"/>
      <c r="J161" s="239">
        <f>H161/DAY(B2)</f>
        <v>52.979999999995925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88636.3</v>
      </c>
      <c r="F162" s="235">
        <v>88670.3</v>
      </c>
      <c r="G162" s="238">
        <f t="shared" si="13"/>
        <v>34</v>
      </c>
      <c r="H162" s="99">
        <f>G162+'3'!H162</f>
        <v>153.90000000000873</v>
      </c>
      <c r="I162" s="236"/>
      <c r="J162" s="239">
        <f>H162/DAY(B2)</f>
        <v>38.475000000002183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79318.8</v>
      </c>
      <c r="F163" s="235">
        <v>79351.7</v>
      </c>
      <c r="G163" s="238">
        <f t="shared" si="13"/>
        <v>32.899999999994179</v>
      </c>
      <c r="H163" s="99">
        <f>G163+'3'!H163</f>
        <v>131.59999999999127</v>
      </c>
      <c r="I163" s="236"/>
      <c r="J163" s="239">
        <f>H163/DAY(B2)</f>
        <v>32.899999999997817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4323.5</v>
      </c>
      <c r="F164" s="235">
        <v>4323.7</v>
      </c>
      <c r="G164" s="238">
        <f t="shared" si="13"/>
        <v>0.1999999999998181</v>
      </c>
      <c r="H164" s="99">
        <f>G164+'3'!H164</f>
        <v>3.6999999999998181</v>
      </c>
      <c r="I164" s="236"/>
      <c r="J164" s="239">
        <f>H164/DAY(B2)</f>
        <v>0.92499999999995453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29884.87</v>
      </c>
      <c r="F165" s="235">
        <v>29893.83</v>
      </c>
      <c r="G165" s="238">
        <f t="shared" si="13"/>
        <v>8.9600000000027649</v>
      </c>
      <c r="H165" s="99">
        <f>G165+'3'!H165</f>
        <v>36.580000000001746</v>
      </c>
      <c r="I165" s="236"/>
      <c r="J165" s="239">
        <f>H165/DAY(B2)</f>
        <v>9.1450000000004366</v>
      </c>
    </row>
    <row r="166" spans="1:10" ht="29.25" x14ac:dyDescent="0.5">
      <c r="A166" s="860"/>
      <c r="B166" s="860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 x14ac:dyDescent="0.5">
      <c r="A167" s="860"/>
      <c r="B167" s="860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 x14ac:dyDescent="0.5">
      <c r="A168" s="860"/>
      <c r="B168" s="860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'3'!F173</f>
        <v>8126</v>
      </c>
      <c r="F173" s="155">
        <v>8126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'3'!F174</f>
        <v>38649</v>
      </c>
      <c r="F174" s="157">
        <v>38661</v>
      </c>
      <c r="G174" s="155">
        <f t="shared" ref="G174:G175" si="14">F174-E174</f>
        <v>12</v>
      </c>
      <c r="H174" s="99">
        <f>G174+'3'!H174</f>
        <v>46</v>
      </c>
      <c r="I174" s="155"/>
      <c r="J174" s="178">
        <f>H174/DAY(B2)</f>
        <v>11.5</v>
      </c>
    </row>
    <row r="175" spans="1:10" ht="25.5" customHeight="1" x14ac:dyDescent="0.5">
      <c r="A175" s="864" t="s">
        <v>76</v>
      </c>
      <c r="B175" s="904"/>
      <c r="C175" s="865"/>
      <c r="D175" s="228" t="s">
        <v>142</v>
      </c>
      <c r="E175" s="95">
        <f>'3'!F175</f>
        <v>21841</v>
      </c>
      <c r="F175" s="155">
        <v>21851</v>
      </c>
      <c r="G175" s="155">
        <f t="shared" si="14"/>
        <v>10</v>
      </c>
      <c r="H175" s="99">
        <f>G175+'3'!H175</f>
        <v>38</v>
      </c>
      <c r="I175" s="155"/>
      <c r="J175" s="178">
        <f>H175/DAY(B2)</f>
        <v>9.5</v>
      </c>
    </row>
    <row r="176" spans="1:10" ht="24.75" customHeight="1" x14ac:dyDescent="0.5">
      <c r="A176" s="901" t="s">
        <v>196</v>
      </c>
      <c r="B176" s="902"/>
      <c r="C176" s="903"/>
      <c r="D176" s="228"/>
      <c r="E176" s="95"/>
      <c r="F176" s="155"/>
      <c r="G176" s="155">
        <f>SUM(G173:G175)</f>
        <v>22</v>
      </c>
      <c r="H176" s="99">
        <f>G176+'3'!H176</f>
        <v>84</v>
      </c>
      <c r="I176" s="155"/>
      <c r="J176" s="178">
        <f>H176/DAY(B2)</f>
        <v>21</v>
      </c>
    </row>
    <row r="177" spans="1:10" ht="28.5" customHeight="1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864" t="s">
        <v>210</v>
      </c>
      <c r="B178" s="865"/>
      <c r="C178" s="333"/>
      <c r="D178" s="228" t="s">
        <v>142</v>
      </c>
      <c r="E178" s="95">
        <f>'3'!F178</f>
        <v>81457</v>
      </c>
      <c r="F178" s="157">
        <v>81544</v>
      </c>
      <c r="G178" s="155">
        <f>F178-E178</f>
        <v>87</v>
      </c>
      <c r="H178" s="99">
        <f>G178+'3'!H178</f>
        <v>229</v>
      </c>
      <c r="I178" s="155"/>
      <c r="J178" s="178">
        <f>H178/DAY(B2)</f>
        <v>57.25</v>
      </c>
    </row>
    <row r="179" spans="1:10" ht="24" customHeight="1" x14ac:dyDescent="0.5">
      <c r="A179" s="864" t="s">
        <v>211</v>
      </c>
      <c r="B179" s="865"/>
      <c r="C179" s="333"/>
      <c r="D179" s="228" t="s">
        <v>142</v>
      </c>
      <c r="E179" s="95">
        <f>'3'!F179</f>
        <v>34903</v>
      </c>
      <c r="F179" s="155">
        <v>34926</v>
      </c>
      <c r="G179" s="155">
        <f t="shared" ref="G179:G180" si="15">F179-E179</f>
        <v>23</v>
      </c>
      <c r="H179" s="99">
        <f>G179+'3'!H179</f>
        <v>123</v>
      </c>
      <c r="I179" s="155"/>
      <c r="J179" s="178">
        <f>H179/DAY(B2)</f>
        <v>30.75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'3'!F180</f>
        <v>5721</v>
      </c>
      <c r="F180" s="155">
        <v>5731</v>
      </c>
      <c r="G180" s="155">
        <f t="shared" si="15"/>
        <v>10</v>
      </c>
      <c r="H180" s="99">
        <f>G180+'3'!H180</f>
        <v>29</v>
      </c>
      <c r="I180" s="155"/>
      <c r="J180" s="178">
        <f>H180/DAY(B2)</f>
        <v>7.25</v>
      </c>
    </row>
    <row r="181" spans="1:10" ht="21.95" customHeight="1" x14ac:dyDescent="0.5">
      <c r="A181" s="901" t="s">
        <v>196</v>
      </c>
      <c r="B181" s="902"/>
      <c r="C181" s="903"/>
      <c r="D181" s="228"/>
      <c r="E181" s="95"/>
      <c r="F181" s="155"/>
      <c r="G181" s="155">
        <f>SUM(G178:G180)</f>
        <v>120</v>
      </c>
      <c r="H181" s="99">
        <f>G181+'3'!H181</f>
        <v>381</v>
      </c>
      <c r="I181" s="155"/>
      <c r="J181" s="178">
        <f>H181/DAY(B2)</f>
        <v>95.25</v>
      </c>
    </row>
    <row r="182" spans="1:10" ht="21.95" customHeight="1" x14ac:dyDescent="0.5">
      <c r="A182" s="864" t="s">
        <v>213</v>
      </c>
      <c r="B182" s="865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'3'!F183</f>
        <v>15389</v>
      </c>
      <c r="F183" s="157">
        <v>15398</v>
      </c>
      <c r="G183" s="157">
        <f>F183-E183</f>
        <v>9</v>
      </c>
      <c r="H183" s="99">
        <f>G183+'3'!H183</f>
        <v>53</v>
      </c>
      <c r="I183" s="155"/>
      <c r="J183" s="178">
        <f>H183/DAY(B2)</f>
        <v>13.25</v>
      </c>
    </row>
    <row r="184" spans="1:10" ht="27.75" x14ac:dyDescent="0.5">
      <c r="A184" s="864" t="s">
        <v>215</v>
      </c>
      <c r="B184" s="865"/>
      <c r="C184" s="334"/>
      <c r="D184" s="228" t="s">
        <v>142</v>
      </c>
      <c r="E184" s="95">
        <f>'3'!F184</f>
        <v>10539</v>
      </c>
      <c r="F184" s="157">
        <v>10545</v>
      </c>
      <c r="G184" s="157">
        <f t="shared" ref="G184:G185" si="16">F184-E184</f>
        <v>6</v>
      </c>
      <c r="H184" s="99">
        <f>G184+'3'!H184</f>
        <v>27</v>
      </c>
      <c r="I184" s="155"/>
      <c r="J184" s="178">
        <f>H184/DAY(B2)</f>
        <v>6.75</v>
      </c>
    </row>
    <row r="185" spans="1:10" ht="27.75" x14ac:dyDescent="0.5">
      <c r="A185" s="864" t="s">
        <v>216</v>
      </c>
      <c r="B185" s="865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901" t="s">
        <v>196</v>
      </c>
      <c r="B186" s="902"/>
      <c r="C186" s="903"/>
      <c r="D186" s="229"/>
      <c r="E186" s="95"/>
      <c r="F186" s="157"/>
      <c r="G186" s="157">
        <f>SUM(G183:G185)</f>
        <v>15</v>
      </c>
      <c r="H186" s="99">
        <f>G186+'3'!H186</f>
        <v>80</v>
      </c>
      <c r="I186" s="157"/>
      <c r="J186" s="178">
        <f>H186/DAY(B2)</f>
        <v>20</v>
      </c>
    </row>
    <row r="187" spans="1:10" ht="25.5" customHeight="1" x14ac:dyDescent="0.5">
      <c r="A187" s="857" t="s">
        <v>217</v>
      </c>
      <c r="B187" s="858"/>
      <c r="C187" s="333"/>
      <c r="D187" s="230" t="s">
        <v>142</v>
      </c>
      <c r="E187" s="95"/>
      <c r="F187" s="99"/>
      <c r="G187" s="460">
        <f>G62+G19</f>
        <v>160</v>
      </c>
      <c r="H187" s="99">
        <f>G187+'3'!H187</f>
        <v>543</v>
      </c>
      <c r="I187" s="158"/>
      <c r="J187" s="179">
        <f>H187/DAY(B2)</f>
        <v>135.75</v>
      </c>
    </row>
    <row r="188" spans="1:10" ht="27.75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158</v>
      </c>
      <c r="H188" s="99">
        <f>G188+'3'!H188</f>
        <v>571</v>
      </c>
      <c r="I188" s="158"/>
      <c r="J188" s="179">
        <f>H188/DAY(B2)</f>
        <v>142.75</v>
      </c>
    </row>
    <row r="189" spans="1:10" ht="27.75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457">
        <f>G181</f>
        <v>120</v>
      </c>
      <c r="H189" s="99">
        <f>G189+'3'!H189</f>
        <v>381</v>
      </c>
      <c r="I189" s="158"/>
      <c r="J189" s="179">
        <f>H189/DAY(B2)</f>
        <v>95.25</v>
      </c>
    </row>
    <row r="190" spans="1:10" ht="27.75" x14ac:dyDescent="0.5">
      <c r="A190" s="857"/>
      <c r="B190" s="858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36" zoomScale="53" zoomScaleNormal="48" zoomScaleSheetLayoutView="53" workbookViewId="0">
      <selection activeCell="F146" sqref="F14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356</v>
      </c>
      <c r="B2" s="262">
        <v>44597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29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724047.59</v>
      </c>
      <c r="F7" s="95">
        <v>744647.67</v>
      </c>
      <c r="G7" s="112">
        <f>F7-E7</f>
        <v>20600.080000000075</v>
      </c>
      <c r="H7" s="99">
        <f>G7+'4'!H7</f>
        <v>93467.440000000061</v>
      </c>
      <c r="I7" s="113">
        <f>'1'!I7</f>
        <v>12000</v>
      </c>
      <c r="J7" s="175">
        <f>H7/DAY(B2)</f>
        <v>18693.488000000012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782176.71</v>
      </c>
      <c r="F8" s="114">
        <v>803007.67</v>
      </c>
      <c r="G8" s="115">
        <f>F8-E8</f>
        <v>20830.960000000079</v>
      </c>
      <c r="H8" s="99">
        <f>G8+'4'!H8</f>
        <v>94459.520000000019</v>
      </c>
      <c r="I8" s="116"/>
      <c r="J8" s="175">
        <f>H8/DAY(B2)</f>
        <v>18891.904000000002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334674.45</v>
      </c>
      <c r="F9" s="117">
        <v>347557.39</v>
      </c>
      <c r="G9" s="112">
        <f>F9-E9</f>
        <v>12882.940000000002</v>
      </c>
      <c r="H9" s="99">
        <f>G9+'4'!H9</f>
        <v>65303.540000000037</v>
      </c>
      <c r="I9" s="124">
        <f>I7-J7</f>
        <v>-6693.4880000000121</v>
      </c>
      <c r="J9" s="175">
        <f>H9/DAY(B2)</f>
        <v>13060.708000000008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123643.08</v>
      </c>
      <c r="F10" s="117">
        <v>130814.89</v>
      </c>
      <c r="G10" s="112">
        <f t="shared" ref="G10:G12" si="0">F10-E10</f>
        <v>7171.8099999999977</v>
      </c>
      <c r="H10" s="99">
        <f>G10+'4'!H10</f>
        <v>25555.919999999998</v>
      </c>
      <c r="I10" s="282"/>
      <c r="J10" s="175">
        <f>H10/DAY(B2)</f>
        <v>5111.1839999999993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37170</v>
      </c>
      <c r="F11" s="95">
        <v>37170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20054.75</v>
      </c>
      <c r="H13" s="99">
        <f>G13+'4'!H13</f>
        <v>74105.03</v>
      </c>
      <c r="I13" s="120">
        <f>G7-G13</f>
        <v>545.33000000007451</v>
      </c>
      <c r="J13" s="175">
        <f>H13/DAY(B2)</f>
        <v>14821.005999999999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'4'!F15</f>
        <v>1910548.77</v>
      </c>
      <c r="F15" s="123">
        <v>1911596.64</v>
      </c>
      <c r="G15" s="112">
        <f>(F15-E15)</f>
        <v>1047.8699999998789</v>
      </c>
      <c r="H15" s="99">
        <f>G15+'4'!H15</f>
        <v>4959.872999999905</v>
      </c>
      <c r="I15" s="113">
        <f>'1'!I15</f>
        <v>800</v>
      </c>
      <c r="J15" s="175">
        <f>H15/DAY(B2)</f>
        <v>991.97459999998102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-191.97459999998102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'4'!F18</f>
        <v>21</v>
      </c>
      <c r="F18" s="122">
        <v>24</v>
      </c>
      <c r="G18" s="119">
        <f>F18*10</f>
        <v>240</v>
      </c>
      <c r="H18" s="99">
        <f>G18+'4'!H18</f>
        <v>960</v>
      </c>
      <c r="I18" s="113">
        <f>'1'!I18</f>
        <v>65</v>
      </c>
      <c r="J18" s="175">
        <f>H18/DAY(B2)</f>
        <v>192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'4'!F19</f>
        <v>154083</v>
      </c>
      <c r="F19" s="122">
        <v>154137</v>
      </c>
      <c r="G19" s="112">
        <f t="shared" ref="G19" si="1">F19-E19</f>
        <v>54</v>
      </c>
      <c r="H19" s="99">
        <f>G19+'4'!H19</f>
        <v>246</v>
      </c>
      <c r="I19" s="335"/>
      <c r="J19" s="175">
        <f>H19/DAY(B2)</f>
        <v>49.2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G20+'4'!H20</f>
        <v>1206</v>
      </c>
      <c r="I20" s="336">
        <f>I18-J20</f>
        <v>-176.2</v>
      </c>
      <c r="J20" s="175">
        <f>H20/DAY(B2)</f>
        <v>241.2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20830.960000000079</v>
      </c>
      <c r="F27" s="136">
        <v>9</v>
      </c>
      <c r="G27" s="137">
        <f>E27*F27</f>
        <v>187478.64000000071</v>
      </c>
      <c r="H27" s="99">
        <f>G27+'4'!H27</f>
        <v>850135.68000000017</v>
      </c>
      <c r="I27" s="138"/>
      <c r="J27" s="175">
        <f>H27/DAY(B2)</f>
        <v>170027.13600000003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1047.8699999998789</v>
      </c>
      <c r="F28" s="136">
        <v>52</v>
      </c>
      <c r="G28" s="137">
        <f>E28*F28</f>
        <v>54489.239999993704</v>
      </c>
      <c r="H28" s="99">
        <f>G28+'4'!H28</f>
        <v>257913.39599999506</v>
      </c>
      <c r="I28" s="140"/>
      <c r="J28" s="175">
        <f>H28/DAY(B2)</f>
        <v>51582.679199999009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G30+'4'!H30</f>
        <v>35916</v>
      </c>
      <c r="I30" s="140"/>
      <c r="J30" s="175">
        <f>H30/DAY(B2)</f>
        <v>7183.2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G31+'4'!H31</f>
        <v>76800</v>
      </c>
      <c r="I31" s="140"/>
      <c r="J31" s="175">
        <f>H31/DAY(B2)</f>
        <v>15360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269051.87999999442</v>
      </c>
      <c r="H32" s="99">
        <f>G32+'4'!H32</f>
        <v>1220765.0759999952</v>
      </c>
      <c r="I32" s="144"/>
      <c r="J32" s="175">
        <f>H32/DAY(B2)</f>
        <v>244153.01519999903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37405.870000000003</v>
      </c>
      <c r="F35" s="145">
        <v>38854.68</v>
      </c>
      <c r="G35" s="112">
        <f t="shared" ref="G35:G46" si="3">F35-E35</f>
        <v>1448.8099999999977</v>
      </c>
      <c r="H35" s="99">
        <f>G35+'4'!H35</f>
        <v>6849.7000000000007</v>
      </c>
      <c r="I35" s="95"/>
      <c r="J35" s="175">
        <f>H35/DAY(B2)</f>
        <v>1369.94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46778.57</v>
      </c>
      <c r="F36" s="145">
        <v>48131.83</v>
      </c>
      <c r="G36" s="112">
        <f t="shared" si="3"/>
        <v>1353.260000000002</v>
      </c>
      <c r="H36" s="99">
        <f>G36+'4'!H36</f>
        <v>4673.0900000000038</v>
      </c>
      <c r="I36" s="95"/>
      <c r="J36" s="175">
        <f>H36/DAY(B2)</f>
        <v>934.61800000000073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41692.51</v>
      </c>
      <c r="F37" s="145">
        <v>43376.43</v>
      </c>
      <c r="G37" s="112">
        <f t="shared" si="3"/>
        <v>1683.9199999999983</v>
      </c>
      <c r="H37" s="99">
        <f>G37+'4'!H37</f>
        <v>7951.3400000000038</v>
      </c>
      <c r="I37" s="95"/>
      <c r="J37" s="175">
        <f>H37/DAY(B2)</f>
        <v>1590.2680000000007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45282.11</v>
      </c>
      <c r="F38" s="108">
        <v>47221.55</v>
      </c>
      <c r="G38" s="112">
        <f t="shared" si="3"/>
        <v>1939.4400000000023</v>
      </c>
      <c r="H38" s="99">
        <f>G38+'4'!H38</f>
        <v>8845.1200000000026</v>
      </c>
      <c r="I38" s="95"/>
      <c r="J38" s="175">
        <f>H38/DAY(B2)</f>
        <v>1769.0240000000006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69719.64</v>
      </c>
      <c r="F39" s="145">
        <v>72477.66</v>
      </c>
      <c r="G39" s="112">
        <f t="shared" si="3"/>
        <v>2758.0200000000041</v>
      </c>
      <c r="H39" s="99">
        <f>G39+'4'!H39</f>
        <v>13304.370000000003</v>
      </c>
      <c r="I39" s="95"/>
      <c r="J39" s="175">
        <f>H39/DAY(B2)</f>
        <v>2660.8740000000007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23414.29</v>
      </c>
      <c r="F40" s="145">
        <v>23520.06</v>
      </c>
      <c r="G40" s="112">
        <f t="shared" si="3"/>
        <v>105.77000000000044</v>
      </c>
      <c r="H40" s="99">
        <f>G40+'4'!H40</f>
        <v>1403.069999999999</v>
      </c>
      <c r="I40" s="95"/>
      <c r="J40" s="175">
        <f>H40/DAY(B2)</f>
        <v>280.61399999999981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62.73</v>
      </c>
      <c r="F41" s="145">
        <v>62.73</v>
      </c>
      <c r="G41" s="112">
        <f t="shared" si="3"/>
        <v>0</v>
      </c>
      <c r="H41" s="99">
        <f>G41+'4'!H41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106500.89</v>
      </c>
      <c r="F42" s="145">
        <v>106500.89</v>
      </c>
      <c r="G42" s="112">
        <f t="shared" si="3"/>
        <v>0</v>
      </c>
      <c r="H42" s="99">
        <f>G42+'4'!H42</f>
        <v>6371.1499999999942</v>
      </c>
      <c r="I42" s="95"/>
      <c r="J42" s="175">
        <f>H42/DAY(B2)</f>
        <v>1274.2299999999989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123375.54</v>
      </c>
      <c r="F43" s="145">
        <v>125613.3</v>
      </c>
      <c r="G43" s="112">
        <f t="shared" si="3"/>
        <v>2237.7600000000093</v>
      </c>
      <c r="H43" s="99">
        <f>G43+'4'!H43</f>
        <v>10761.699999999997</v>
      </c>
      <c r="I43" s="95"/>
      <c r="J43" s="175">
        <f>H43/DAY(B2)</f>
        <v>2152.3399999999992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11526.980000000014</v>
      </c>
      <c r="H47" s="99">
        <f>G47+'4'!H47</f>
        <v>60159.540000000008</v>
      </c>
      <c r="I47" s="95"/>
      <c r="J47" s="175">
        <f>H47/DAY(B2)</f>
        <v>12031.908000000001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29401.48</v>
      </c>
      <c r="F49" s="145">
        <v>30841.67</v>
      </c>
      <c r="G49" s="112">
        <f t="shared" ref="G49:G58" si="4">F49-E49</f>
        <v>1440.1899999999987</v>
      </c>
      <c r="H49" s="99">
        <f>G49+'4'!H49</f>
        <v>5845.48</v>
      </c>
      <c r="I49" s="95"/>
      <c r="J49" s="175">
        <f>H49/DAY(B2)</f>
        <v>1169.096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60532.89</v>
      </c>
      <c r="F50" s="145">
        <v>62059.64</v>
      </c>
      <c r="G50" s="112">
        <f t="shared" si="4"/>
        <v>1526.75</v>
      </c>
      <c r="H50" s="99">
        <f>G50+'4'!H50</f>
        <v>5673.010000000002</v>
      </c>
      <c r="I50" s="95"/>
      <c r="J50" s="175">
        <f>H50/DAY(B2)</f>
        <v>1134.6020000000003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6389.99</v>
      </c>
      <c r="F54" s="145">
        <v>6923.67</v>
      </c>
      <c r="G54" s="112">
        <f t="shared" si="4"/>
        <v>533.68000000000029</v>
      </c>
      <c r="H54" s="99">
        <f>G54+'4'!H54</f>
        <v>1776.25</v>
      </c>
      <c r="I54" s="95"/>
      <c r="J54" s="175">
        <f>H54/DAY(B2)</f>
        <v>355.25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81640.67</v>
      </c>
      <c r="F55" s="145">
        <v>84837.06</v>
      </c>
      <c r="G55" s="112">
        <f t="shared" si="4"/>
        <v>3196.3899999999994</v>
      </c>
      <c r="H55" s="99">
        <f>G55+'4'!H55</f>
        <v>10470.949999999997</v>
      </c>
      <c r="I55" s="95"/>
      <c r="J55" s="175">
        <f>H55/DAY(B2)</f>
        <v>2094.1899999999996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8723.6299999999992</v>
      </c>
      <c r="F56" s="145">
        <v>8723.6299999999992</v>
      </c>
      <c r="G56" s="112">
        <f t="shared" si="4"/>
        <v>0</v>
      </c>
      <c r="H56" s="99">
        <f>G56+'4'!H56</f>
        <v>113.08999999999833</v>
      </c>
      <c r="I56" s="95"/>
      <c r="J56" s="175">
        <f>H56/DAY(B2)</f>
        <v>22.617999999999665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5585.41</v>
      </c>
      <c r="F58" s="145">
        <v>5829.33</v>
      </c>
      <c r="G58" s="112">
        <f t="shared" si="4"/>
        <v>243.92000000000007</v>
      </c>
      <c r="H58" s="99">
        <f>G58+'4'!H58</f>
        <v>1033.1199999999999</v>
      </c>
      <c r="I58" s="95"/>
      <c r="J58" s="175">
        <f>H58/DAY(B2)</f>
        <v>206.62399999999997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6940.9299999999985</v>
      </c>
      <c r="H59" s="99">
        <f>G59+'4'!H59</f>
        <v>24911.899999999994</v>
      </c>
      <c r="I59" s="95">
        <f>G7-G60</f>
        <v>2132.1700000000637</v>
      </c>
      <c r="J59" s="175">
        <f>H59/DAY(B2)</f>
        <v>4982.3799999999992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18467.910000000011</v>
      </c>
      <c r="H60" s="99">
        <f>G60+'4'!H60</f>
        <v>85071.44</v>
      </c>
      <c r="I60" s="95">
        <f>G13-G60</f>
        <v>1586.8399999999892</v>
      </c>
      <c r="J60" s="175">
        <f>H60/DAY(B2)</f>
        <v>17014.288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'4'!F62</f>
        <v>269867</v>
      </c>
      <c r="F62" s="122">
        <v>270003</v>
      </c>
      <c r="G62" s="112">
        <f t="shared" ref="G62:G63" si="5">F62-E62</f>
        <v>136</v>
      </c>
      <c r="H62" s="99">
        <f>G62+'4'!H62</f>
        <v>487</v>
      </c>
      <c r="I62" s="118"/>
      <c r="J62" s="175">
        <f>H62/DAY(B2)</f>
        <v>97.4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'4'!F63</f>
        <v>216356</v>
      </c>
      <c r="F63" s="122">
        <v>216484</v>
      </c>
      <c r="G63" s="112">
        <f t="shared" si="5"/>
        <v>128</v>
      </c>
      <c r="H63" s="99">
        <f>G63+'4'!H63</f>
        <v>687</v>
      </c>
      <c r="I63" s="118"/>
      <c r="J63" s="175">
        <f>H63/DAY(B2)</f>
        <v>137.4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'4'!F64</f>
        <v>0</v>
      </c>
      <c r="F64" s="122"/>
      <c r="G64" s="112">
        <f>G62+G63</f>
        <v>264</v>
      </c>
      <c r="H64" s="99">
        <f>G64+'4'!H64</f>
        <v>1174</v>
      </c>
      <c r="I64" s="118"/>
      <c r="J64" s="175">
        <f>H64/DAY(B2)</f>
        <v>234.8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'4'!F65</f>
        <v>435246</v>
      </c>
      <c r="F65" s="122">
        <v>435346</v>
      </c>
      <c r="G65" s="112">
        <f t="shared" ref="G65:G70" si="6">F65-E65</f>
        <v>100</v>
      </c>
      <c r="H65" s="99">
        <f>G65+'4'!H65</f>
        <v>423</v>
      </c>
      <c r="I65" s="118"/>
      <c r="J65" s="175">
        <f>H65/DAY(B2)</f>
        <v>84.6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'4'!F66</f>
        <v>107832</v>
      </c>
      <c r="F66" s="122">
        <v>107880</v>
      </c>
      <c r="G66" s="112">
        <f t="shared" si="6"/>
        <v>48</v>
      </c>
      <c r="H66" s="99">
        <f>G66+'4'!H66</f>
        <v>137</v>
      </c>
      <c r="I66" s="118"/>
      <c r="J66" s="175">
        <f>H66/DAY(B2)</f>
        <v>27.4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'4'!F67</f>
        <v>104727</v>
      </c>
      <c r="F67" s="122">
        <v>104753</v>
      </c>
      <c r="G67" s="112">
        <f t="shared" si="6"/>
        <v>26</v>
      </c>
      <c r="H67" s="99">
        <f>G67+'4'!H67</f>
        <v>105</v>
      </c>
      <c r="I67" s="118"/>
      <c r="J67" s="175">
        <f>H67/DAY(B2)</f>
        <v>21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'4'!F68</f>
        <v>157822</v>
      </c>
      <c r="F68" s="122">
        <v>157855</v>
      </c>
      <c r="G68" s="112">
        <f t="shared" si="6"/>
        <v>33</v>
      </c>
      <c r="H68" s="99">
        <f>G68+'4'!H68</f>
        <v>158</v>
      </c>
      <c r="I68" s="118"/>
      <c r="J68" s="175">
        <f>H68/DAY(B2)</f>
        <v>31.6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'4'!F69</f>
        <v>10585</v>
      </c>
      <c r="F69" s="122">
        <v>10593</v>
      </c>
      <c r="G69" s="112">
        <f t="shared" si="6"/>
        <v>8</v>
      </c>
      <c r="H69" s="99">
        <f>G69+'4'!H69</f>
        <v>52</v>
      </c>
      <c r="I69" s="118"/>
      <c r="J69" s="175">
        <f>H69/DAY(B2)</f>
        <v>10.4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'4'!F70</f>
        <v>8156</v>
      </c>
      <c r="F70" s="122">
        <v>8165</v>
      </c>
      <c r="G70" s="112">
        <f t="shared" si="6"/>
        <v>9</v>
      </c>
      <c r="H70" s="99">
        <f>G70+'4'!H70</f>
        <v>45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224</v>
      </c>
      <c r="H71" s="99">
        <f>G71+'4'!H71</f>
        <v>920</v>
      </c>
      <c r="I71" s="154"/>
      <c r="J71" s="175">
        <f>H71/DAY(B2)</f>
        <v>184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'4'!F74</f>
        <v>902539.3</v>
      </c>
      <c r="F74" s="123">
        <v>902824.04</v>
      </c>
      <c r="G74" s="112">
        <f t="shared" ref="G74:G78" si="7">F74-E74</f>
        <v>284.73999999999069</v>
      </c>
      <c r="H74" s="99">
        <f>G74+'4'!H74</f>
        <v>1517.8910000000615</v>
      </c>
      <c r="I74" s="154"/>
      <c r="J74" s="175">
        <f>H74/DAY(B2)</f>
        <v>303.57820000001232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'4'!F76</f>
        <v>170454.1</v>
      </c>
      <c r="F76" s="123">
        <v>170588.1</v>
      </c>
      <c r="G76" s="112">
        <f t="shared" si="7"/>
        <v>134</v>
      </c>
      <c r="H76" s="99">
        <f>G76+'4'!H76</f>
        <v>613.10000000000582</v>
      </c>
      <c r="I76" s="154"/>
      <c r="J76" s="175">
        <f>H76/DAY(B2)</f>
        <v>122.62000000000117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'4'!F77</f>
        <v>41475.4</v>
      </c>
      <c r="F77" s="123">
        <v>41535.199999999997</v>
      </c>
      <c r="G77" s="112">
        <f t="shared" si="7"/>
        <v>59.799999999995634</v>
      </c>
      <c r="H77" s="99">
        <f>G77+'4'!H77</f>
        <v>233</v>
      </c>
      <c r="I77" s="154"/>
      <c r="J77" s="175">
        <f>H77/DAY(B2)</f>
        <v>46.6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'4'!F78</f>
        <v>9521.6</v>
      </c>
      <c r="F78" s="123">
        <v>9523.7999999999993</v>
      </c>
      <c r="G78" s="112">
        <f t="shared" si="7"/>
        <v>2.1999999999989086</v>
      </c>
      <c r="H78" s="99">
        <f>G78+'4'!H78</f>
        <v>7.7999999999992724</v>
      </c>
      <c r="I78" s="118"/>
      <c r="J78" s="175">
        <f>H78/DAY(B2)</f>
        <v>1.5599999999998544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117"/>
      <c r="F79" s="117"/>
      <c r="G79" s="112">
        <f>G15-SUM(G74:G78)</f>
        <v>567.1299999998937</v>
      </c>
      <c r="H79" s="99">
        <f>G79+'4'!H79</f>
        <v>2588.0819999998384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1047.8699999998789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v>2300.42</v>
      </c>
      <c r="F85" s="164">
        <v>2300.42</v>
      </c>
      <c r="G85" s="112">
        <f t="shared" si="8"/>
        <v>0</v>
      </c>
      <c r="H85" s="99">
        <f>G85+'4'!H85</f>
        <v>40</v>
      </c>
      <c r="I85" s="118">
        <f>G82+G83+G84+G85</f>
        <v>-0.26000000000203727</v>
      </c>
      <c r="J85" s="175">
        <f>H85/DAY(B2)</f>
        <v>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'4'!F86</f>
        <v>43498.25</v>
      </c>
      <c r="F86" s="164">
        <v>43522.57</v>
      </c>
      <c r="G86" s="112">
        <f t="shared" si="8"/>
        <v>24.319999999999709</v>
      </c>
      <c r="H86" s="99">
        <f>G86+'4'!H86</f>
        <v>80.569999999999709</v>
      </c>
      <c r="I86" s="118"/>
      <c r="J86" s="175">
        <f>H86/DAY(B2)</f>
        <v>16.11399999999994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'4'!F87</f>
        <v>34599.480000000003</v>
      </c>
      <c r="F87" s="164">
        <v>34599.480000000003</v>
      </c>
      <c r="G87" s="112">
        <f t="shared" si="8"/>
        <v>0</v>
      </c>
      <c r="H87" s="99">
        <f>G87+'4'!H87</f>
        <v>0.98000000000320142</v>
      </c>
      <c r="I87" s="118"/>
      <c r="J87" s="175">
        <f>H87/DAY(B2)</f>
        <v>0.19600000000064027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'4'!F88</f>
        <v>24063.43</v>
      </c>
      <c r="F88" s="164">
        <v>24063.43</v>
      </c>
      <c r="G88" s="112">
        <f t="shared" si="8"/>
        <v>0</v>
      </c>
      <c r="H88" s="99">
        <f>G88+'4'!H88</f>
        <v>0</v>
      </c>
      <c r="I88" s="118">
        <f>G86+G87+G88</f>
        <v>24.319999999999709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'4'!F89</f>
        <v>25929.54</v>
      </c>
      <c r="F89" s="164">
        <v>25939.4</v>
      </c>
      <c r="G89" s="112">
        <f t="shared" si="8"/>
        <v>9.8600000000005821</v>
      </c>
      <c r="H89" s="99">
        <f>G89+'4'!H89</f>
        <v>48.280000000002474</v>
      </c>
      <c r="I89" s="118"/>
      <c r="J89" s="175">
        <f>H89/DAY(B2)</f>
        <v>9.6560000000004944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'4'!F90</f>
        <v>71167.94</v>
      </c>
      <c r="F90" s="164">
        <v>71171.600000000006</v>
      </c>
      <c r="G90" s="112">
        <f t="shared" si="8"/>
        <v>3.6600000000034925</v>
      </c>
      <c r="H90" s="99">
        <f>G90+'4'!H90</f>
        <v>8.2799999999988358</v>
      </c>
      <c r="I90" s="118">
        <f>G89+G90</f>
        <v>13.520000000004075</v>
      </c>
      <c r="J90" s="175">
        <f>H90/DAY(B2)</f>
        <v>1.6559999999997672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'4'!F91</f>
        <v>3296.79</v>
      </c>
      <c r="F91" s="122">
        <v>3307.41</v>
      </c>
      <c r="G91" s="112">
        <f t="shared" si="8"/>
        <v>10.619999999999891</v>
      </c>
      <c r="H91" s="99">
        <f>G91+'4'!H91</f>
        <v>56.319999999999709</v>
      </c>
      <c r="I91" s="165"/>
      <c r="J91" s="175">
        <f>H91/DAY(B2)</f>
        <v>11.263999999999943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'4'!F92</f>
        <v>5741.07</v>
      </c>
      <c r="F92" s="122">
        <v>5741.07</v>
      </c>
      <c r="G92" s="112">
        <f t="shared" si="8"/>
        <v>0</v>
      </c>
      <c r="H92" s="99">
        <f>G92+'4'!H92</f>
        <v>0</v>
      </c>
      <c r="I92" s="165"/>
      <c r="J92" s="175">
        <f>H92/DAY(B2)</f>
        <v>0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5126.7600000000057</v>
      </c>
      <c r="H94" s="99">
        <f>G94+'4'!H94</f>
        <v>23456.879999999997</v>
      </c>
      <c r="I94" s="118"/>
      <c r="J94" s="175">
        <f>H94/DAY(B2)</f>
        <v>4691.3759999999993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0.24887087817134629</v>
      </c>
      <c r="H95" s="99">
        <f>G95+'4'!H95</f>
        <v>1.254101974624205</v>
      </c>
      <c r="I95" s="167"/>
      <c r="J95" s="175">
        <f>H95/DAY(B2)</f>
        <v>0.25082039492484098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3196.3899999999994</v>
      </c>
      <c r="H96" s="99">
        <f>G96+'4'!H96</f>
        <v>16955.189999999988</v>
      </c>
      <c r="I96" s="118"/>
      <c r="J96" s="175">
        <f>H96/DAY(B2)</f>
        <v>3391.0379999999977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0.15516396052830803</v>
      </c>
      <c r="H97" s="99">
        <f>G97+'4'!H97</f>
        <v>0.91347949655101146</v>
      </c>
      <c r="I97" s="167"/>
      <c r="J97" s="175">
        <f>H97/DAY(B2)</f>
        <v>0.1826958993102023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2758.0200000000041</v>
      </c>
      <c r="H98" s="99">
        <f>G98+'4'!H98</f>
        <v>13304.370000000003</v>
      </c>
      <c r="I98" s="168"/>
      <c r="J98" s="175">
        <f>H98/DAY(B2)</f>
        <v>2660.8740000000007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0.13388394608176249</v>
      </c>
      <c r="H99" s="99">
        <f>G99+'4'!H99</f>
        <v>0.7134658589531333</v>
      </c>
      <c r="I99" s="168"/>
      <c r="J99" s="175">
        <f>H99/DAY(B2)</f>
        <v>0.14269317179062666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1939.4400000000023</v>
      </c>
      <c r="H100" s="99">
        <f>G100+'4'!H100</f>
        <v>8845.1200000000026</v>
      </c>
      <c r="I100" s="118"/>
      <c r="J100" s="175">
        <f>H100/DAY(B2)</f>
        <v>1769.0240000000006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9.4147207195311639E-2</v>
      </c>
      <c r="H101" s="99">
        <f>G101+'4'!H101</f>
        <v>0.47347412837638103</v>
      </c>
      <c r="I101" s="168"/>
      <c r="J101" s="175">
        <f>H101/DAY(B2)</f>
        <v>9.4694825675276206E-2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2880.010000000002</v>
      </c>
      <c r="H102" s="99">
        <f>G102+'4'!H102</f>
        <v>10346.100000000006</v>
      </c>
      <c r="I102" s="168"/>
      <c r="J102" s="175">
        <f>H102/DAY(B2)</f>
        <v>2069.2200000000012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0.13980576774459089</v>
      </c>
      <c r="H103" s="99">
        <f>G103+'4'!H103</f>
        <v>0.54904886674941755</v>
      </c>
      <c r="I103" s="118"/>
      <c r="J103" s="175">
        <f>H103/DAY(B2)</f>
        <v>0.10980977334988351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1683.9199999999983</v>
      </c>
      <c r="H104" s="99">
        <f>G104+'4'!H104</f>
        <v>7951.3400000000038</v>
      </c>
      <c r="I104" s="118"/>
      <c r="J104" s="175">
        <f>H104/DAY(B2)</f>
        <v>1590.2680000000007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8.1743371870400122E-2</v>
      </c>
      <c r="H105" s="99">
        <f>G105+'4'!H105</f>
        <v>0.42619855768711745</v>
      </c>
      <c r="I105" s="187"/>
      <c r="J105" s="188">
        <f>H105/DAY(B2)</f>
        <v>8.523971153742349E-2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'4'!F112</f>
        <v>58364.27</v>
      </c>
      <c r="F112" s="237">
        <v>58439.43</v>
      </c>
      <c r="G112" s="112">
        <f t="shared" ref="G112:G123" si="9">F112-E112</f>
        <v>75.160000000003492</v>
      </c>
      <c r="H112" s="99">
        <f>G112+'4'!H112</f>
        <v>385.43000000000029</v>
      </c>
      <c r="I112" s="165"/>
      <c r="J112" s="328">
        <f>H112/DAY(B2)</f>
        <v>77.086000000000055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'4'!F113</f>
        <v>48292.28</v>
      </c>
      <c r="F113" s="237">
        <v>48780.38</v>
      </c>
      <c r="G113" s="112">
        <f t="shared" si="9"/>
        <v>488.09999999999854</v>
      </c>
      <c r="H113" s="99">
        <f>G113+'4'!H113</f>
        <v>2379.489999999998</v>
      </c>
      <c r="I113" s="165"/>
      <c r="J113" s="328">
        <f>H113/DAY(B2)</f>
        <v>475.89799999999957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'4'!F114</f>
        <v>34275.480000000003</v>
      </c>
      <c r="F114" s="237">
        <v>34677.629999999997</v>
      </c>
      <c r="G114" s="112">
        <f t="shared" si="9"/>
        <v>402.14999999999418</v>
      </c>
      <c r="H114" s="99">
        <f>G114+'4'!H114</f>
        <v>1517.6299999999974</v>
      </c>
      <c r="I114" s="165"/>
      <c r="J114" s="328">
        <f>H114/DAY(B2)</f>
        <v>303.5259999999995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'4'!F115</f>
        <v>9136.58</v>
      </c>
      <c r="F115" s="237">
        <v>9148.2199999999993</v>
      </c>
      <c r="G115" s="112">
        <f t="shared" si="9"/>
        <v>11.639999999999418</v>
      </c>
      <c r="H115" s="99">
        <f>G115+'4'!H115</f>
        <v>53.569999999999709</v>
      </c>
      <c r="I115" s="165"/>
      <c r="J115" s="328">
        <f>H115/DAY(B2)</f>
        <v>10.713999999999942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'4'!F116</f>
        <v>8.07</v>
      </c>
      <c r="F116" s="237">
        <v>35.35</v>
      </c>
      <c r="G116" s="112">
        <f t="shared" si="9"/>
        <v>27.28</v>
      </c>
      <c r="H116" s="99">
        <f>G116+'4'!H116</f>
        <v>35.35</v>
      </c>
      <c r="I116" s="165"/>
      <c r="J116" s="328">
        <f>H116/DAY(B2)</f>
        <v>7.07</v>
      </c>
      <c r="Q116" s="944"/>
      <c r="R116" s="944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'4'!F117</f>
        <v>3493.03</v>
      </c>
      <c r="F117" s="237">
        <v>3602.21</v>
      </c>
      <c r="G117" s="112">
        <f t="shared" si="9"/>
        <v>109.17999999999984</v>
      </c>
      <c r="H117" s="99">
        <f>G117+'4'!H117</f>
        <v>264.26000000000022</v>
      </c>
      <c r="I117" s="165"/>
      <c r="J117" s="328">
        <f>H117/DAY(B2)</f>
        <v>52.852000000000046</v>
      </c>
      <c r="Q117" s="944"/>
      <c r="R117" s="944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'4'!F118</f>
        <v>253754.53</v>
      </c>
      <c r="F118" s="237">
        <v>254096.07</v>
      </c>
      <c r="G118" s="112">
        <f t="shared" si="9"/>
        <v>341.54000000000815</v>
      </c>
      <c r="H118" s="99">
        <f>G118+'4'!H118</f>
        <v>1643.7600000000093</v>
      </c>
      <c r="I118" s="165"/>
      <c r="J118" s="328">
        <f>H118/DAY(B2)</f>
        <v>328.75200000000189</v>
      </c>
      <c r="Q118" s="944"/>
      <c r="R118" s="944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'4'!F119</f>
        <v>259841.67</v>
      </c>
      <c r="F119" s="237">
        <v>260228.75</v>
      </c>
      <c r="G119" s="112">
        <f t="shared" si="9"/>
        <v>387.07999999998719</v>
      </c>
      <c r="H119" s="99">
        <f>G119+'4'!H119</f>
        <v>2080.2000000000116</v>
      </c>
      <c r="I119" s="165"/>
      <c r="J119" s="328">
        <f>H119/DAY(B2)</f>
        <v>416.04000000000235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'4'!F120</f>
        <v>44652.31</v>
      </c>
      <c r="F120" s="597">
        <v>45062.18</v>
      </c>
      <c r="G120" s="112">
        <f t="shared" si="9"/>
        <v>409.87000000000262</v>
      </c>
      <c r="H120" s="99">
        <f>G120+'4'!H120</f>
        <v>2102.5699999999997</v>
      </c>
      <c r="I120" s="165"/>
      <c r="J120" s="328">
        <f>H120/DAY(B2)</f>
        <v>420.51399999999995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'4'!F121</f>
        <v>400923.31</v>
      </c>
      <c r="F121" s="237">
        <v>401644.07</v>
      </c>
      <c r="G121" s="112">
        <f t="shared" si="9"/>
        <v>720.76000000000931</v>
      </c>
      <c r="H121" s="99">
        <f>G121+'4'!H121</f>
        <v>3609.640000000014</v>
      </c>
      <c r="I121" s="165"/>
      <c r="J121" s="328">
        <f>H121/DAY(B2)</f>
        <v>721.92800000000284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'4'!F122</f>
        <v>127109.16</v>
      </c>
      <c r="F122" s="237">
        <v>127368.49</v>
      </c>
      <c r="G122" s="112">
        <f t="shared" si="9"/>
        <v>259.33000000000175</v>
      </c>
      <c r="H122" s="99">
        <f>G122+'4'!H122</f>
        <v>1182.3100000000122</v>
      </c>
      <c r="I122" s="165"/>
      <c r="J122" s="328">
        <f>H122/DAY(B2)</f>
        <v>236.46200000000243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'4'!F123</f>
        <v>155081.57999999999</v>
      </c>
      <c r="F123" s="237">
        <v>155329.91</v>
      </c>
      <c r="G123" s="112">
        <f t="shared" si="9"/>
        <v>248.3300000000163</v>
      </c>
      <c r="H123" s="99">
        <f>G123+'4'!H123</f>
        <v>1282.9599999999919</v>
      </c>
      <c r="I123" s="165"/>
      <c r="J123" s="328">
        <f>H123/DAY(B2)</f>
        <v>256.59199999999839</v>
      </c>
    </row>
    <row r="124" spans="1:18" ht="29.25" customHeight="1" x14ac:dyDescent="0.5">
      <c r="A124" s="875"/>
      <c r="B124" s="876"/>
      <c r="C124" s="877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39" t="s">
        <v>196</v>
      </c>
      <c r="B125" s="939"/>
      <c r="C125" s="245"/>
      <c r="D125" s="307"/>
      <c r="E125" s="308"/>
      <c r="F125" s="308"/>
      <c r="G125" s="309">
        <f>SUM(G112:G124)</f>
        <v>3480.420000000021</v>
      </c>
      <c r="H125" s="156"/>
      <c r="I125" s="327">
        <f>G125-(G39+G53)</f>
        <v>722.40000000001692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469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'4'!F128</f>
        <v>48986.97</v>
      </c>
      <c r="F128" s="470">
        <v>49284.85</v>
      </c>
      <c r="G128" s="112">
        <f t="shared" ref="G128:G134" si="10">F128-E128</f>
        <v>297.87999999999738</v>
      </c>
      <c r="H128" s="99">
        <f>G128+'4'!H128</f>
        <v>1538.8499999999985</v>
      </c>
      <c r="I128" s="165"/>
      <c r="J128" s="328">
        <f>H128/DAY(B2)</f>
        <v>307.7699999999997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'4'!F129</f>
        <v>27721.45</v>
      </c>
      <c r="F129" s="470">
        <v>27911.360000000001</v>
      </c>
      <c r="G129" s="112">
        <f t="shared" si="10"/>
        <v>189.90999999999985</v>
      </c>
      <c r="H129" s="99">
        <f>G129+'4'!H129</f>
        <v>1000.4900000000016</v>
      </c>
      <c r="I129" s="165"/>
      <c r="J129" s="328">
        <f>H129/DAY(B2)</f>
        <v>200.09800000000033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'4'!F130</f>
        <v>37892.42</v>
      </c>
      <c r="F130" s="470">
        <v>38457.519999999997</v>
      </c>
      <c r="G130" s="112">
        <f t="shared" si="10"/>
        <v>565.09999999999854</v>
      </c>
      <c r="H130" s="99">
        <f>G130+'4'!H130</f>
        <v>2763.5199999999968</v>
      </c>
      <c r="I130" s="165"/>
      <c r="J130" s="328">
        <f>H130/DAY(B2)</f>
        <v>552.70399999999938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'4'!F131</f>
        <v>15574.9</v>
      </c>
      <c r="F131" s="470">
        <v>15640.69</v>
      </c>
      <c r="G131" s="112">
        <f t="shared" si="10"/>
        <v>65.790000000000873</v>
      </c>
      <c r="H131" s="99">
        <f>G131+'4'!H131</f>
        <v>333.01000000000022</v>
      </c>
      <c r="I131" s="165"/>
      <c r="J131" s="328">
        <f>H131/DAY(B2)</f>
        <v>66.602000000000046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'4'!F132</f>
        <v>52796.45</v>
      </c>
      <c r="F132" s="470">
        <v>53236.79</v>
      </c>
      <c r="G132" s="112">
        <f t="shared" si="10"/>
        <v>440.34000000000378</v>
      </c>
      <c r="H132" s="99">
        <f>G132+'4'!H132</f>
        <v>1388.489999999998</v>
      </c>
      <c r="I132" s="165"/>
      <c r="J132" s="328">
        <f>H132/DAY(B2)</f>
        <v>277.69799999999958</v>
      </c>
    </row>
    <row r="133" spans="1:15" ht="27.75" x14ac:dyDescent="0.5">
      <c r="A133" s="871" t="s">
        <v>323</v>
      </c>
      <c r="B133" s="872"/>
      <c r="C133" s="873"/>
      <c r="D133" s="151" t="s">
        <v>183</v>
      </c>
      <c r="E133" s="95">
        <f>'4'!F133</f>
        <v>107660.29</v>
      </c>
      <c r="F133" s="470">
        <v>108353.26</v>
      </c>
      <c r="G133" s="112">
        <f t="shared" si="10"/>
        <v>692.97000000000116</v>
      </c>
      <c r="H133" s="99">
        <f>G133+'4'!H133</f>
        <v>3009.5599999999977</v>
      </c>
      <c r="I133" s="165"/>
      <c r="J133" s="328">
        <f>H133/DAY(B2)</f>
        <v>601.91199999999958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'4'!F134</f>
        <v>9228.06</v>
      </c>
      <c r="F134" s="470">
        <v>9426.16</v>
      </c>
      <c r="G134" s="112">
        <f t="shared" si="10"/>
        <v>198.10000000000036</v>
      </c>
      <c r="H134" s="99">
        <f>G134+'4'!H134</f>
        <v>824.93000000000029</v>
      </c>
      <c r="I134" s="165"/>
      <c r="J134" s="328">
        <f>H134/DAY(B2)</f>
        <v>164.98600000000005</v>
      </c>
    </row>
    <row r="135" spans="1:15" ht="27.75" x14ac:dyDescent="0.5">
      <c r="A135" s="939" t="s">
        <v>196</v>
      </c>
      <c r="B135" s="939"/>
      <c r="C135" s="331"/>
      <c r="D135" s="151"/>
      <c r="E135" s="95"/>
      <c r="F135" s="165"/>
      <c r="G135" s="112">
        <f>SUM(G128:G134)</f>
        <v>2450.090000000002</v>
      </c>
      <c r="H135" s="99">
        <f>G135+'4'!H135</f>
        <v>10858.849999999993</v>
      </c>
      <c r="I135" s="327">
        <f>G135-(G35+G49)</f>
        <v>-438.9099999999944</v>
      </c>
      <c r="J135" s="328">
        <f>H135/DAY(B2)</f>
        <v>2171.7699999999986</v>
      </c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'4'!F138</f>
        <v>866473</v>
      </c>
      <c r="F138" s="147">
        <v>866570</v>
      </c>
      <c r="G138" s="112">
        <f t="shared" ref="G138:G152" si="11">F138-E138</f>
        <v>97</v>
      </c>
      <c r="H138" s="99">
        <f>G138+'4'!H138</f>
        <v>397</v>
      </c>
      <c r="I138" s="118"/>
      <c r="J138" s="328">
        <f>H138/DAY(B2)</f>
        <v>79.400000000000006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'4'!F139</f>
        <v>886580</v>
      </c>
      <c r="F139" s="148">
        <v>886591</v>
      </c>
      <c r="G139" s="112">
        <f t="shared" si="11"/>
        <v>11</v>
      </c>
      <c r="H139" s="99">
        <f>G139+'4'!H139</f>
        <v>18</v>
      </c>
      <c r="I139" s="118"/>
      <c r="J139" s="328">
        <f>H139/DAY(B2)</f>
        <v>3.6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'4'!F140</f>
        <v>88935</v>
      </c>
      <c r="F140" s="149">
        <v>88936.2</v>
      </c>
      <c r="G140" s="112">
        <f t="shared" si="11"/>
        <v>1.1999999999970896</v>
      </c>
      <c r="H140" s="99">
        <f>G140+'4'!H140</f>
        <v>14.19999999999709</v>
      </c>
      <c r="I140" s="118"/>
      <c r="J140" s="328">
        <f>H140/DAY(B2)</f>
        <v>2.8399999999994181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'4'!F141</f>
        <v>55375.06</v>
      </c>
      <c r="F141" s="149">
        <v>55561.56</v>
      </c>
      <c r="G141" s="112">
        <f t="shared" si="11"/>
        <v>186.5</v>
      </c>
      <c r="H141" s="99">
        <f>G141+'4'!H141</f>
        <v>875.97999999999593</v>
      </c>
      <c r="I141" s="118"/>
      <c r="J141" s="328">
        <f>H141/DAY(B2)</f>
        <v>175.19599999999917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'4'!F142</f>
        <v>21557.87</v>
      </c>
      <c r="F142" s="148">
        <v>21626.13</v>
      </c>
      <c r="G142" s="112">
        <f t="shared" si="11"/>
        <v>68.260000000002037</v>
      </c>
      <c r="H142" s="99">
        <f>G142+'4'!H142</f>
        <v>342.03000000000247</v>
      </c>
      <c r="I142" s="140"/>
      <c r="J142" s="328">
        <f>H142/DAY(B2)</f>
        <v>68.406000000000489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'4'!F143</f>
        <v>3943.49</v>
      </c>
      <c r="F143" s="149">
        <v>3971.3</v>
      </c>
      <c r="G143" s="112">
        <f t="shared" si="11"/>
        <v>27.8100000000004</v>
      </c>
      <c r="H143" s="99">
        <f>G143+'4'!H143</f>
        <v>135.91000000000031</v>
      </c>
      <c r="I143" s="140"/>
      <c r="J143" s="328">
        <f>H143/DAY(B2)</f>
        <v>27.182000000000063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'4'!F144</f>
        <v>877315</v>
      </c>
      <c r="F144" s="149">
        <v>877528</v>
      </c>
      <c r="G144" s="112">
        <f t="shared" si="11"/>
        <v>213</v>
      </c>
      <c r="H144" s="99">
        <f>G144+'4'!H144</f>
        <v>1041</v>
      </c>
      <c r="I144" s="140"/>
      <c r="J144" s="328">
        <f>H144/DAY(B2)</f>
        <v>208.2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'4'!F145</f>
        <v>5014.8100000000004</v>
      </c>
      <c r="F145" s="149">
        <v>5023.07</v>
      </c>
      <c r="G145" s="112">
        <f t="shared" si="11"/>
        <v>8.2599999999993088</v>
      </c>
      <c r="H145" s="99">
        <f>G145+'4'!H145</f>
        <v>64.229999999999563</v>
      </c>
      <c r="I145" s="140"/>
      <c r="J145" s="328">
        <f>H145/DAY(B2)</f>
        <v>12.845999999999913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'4'!F146</f>
        <v>738917</v>
      </c>
      <c r="F146" s="148">
        <v>739367</v>
      </c>
      <c r="G146" s="112">
        <f t="shared" si="11"/>
        <v>450</v>
      </c>
      <c r="H146" s="99">
        <f>G146+'4'!H146</f>
        <v>2034</v>
      </c>
      <c r="I146" s="140"/>
      <c r="J146" s="328">
        <f>H146/DAY(B2)</f>
        <v>406.8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'4'!F147</f>
        <v>628152.43999999994</v>
      </c>
      <c r="F147" s="148">
        <v>628567</v>
      </c>
      <c r="G147" s="112">
        <f t="shared" si="11"/>
        <v>414.56000000005588</v>
      </c>
      <c r="H147" s="99">
        <f>G147+'4'!H147</f>
        <v>1954.4799999999814</v>
      </c>
      <c r="I147" s="140"/>
      <c r="J147" s="328">
        <f>H147/DAY(B2)</f>
        <v>390.89599999999626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'4'!F148</f>
        <v>690458.32</v>
      </c>
      <c r="F148" s="150">
        <v>690843.76</v>
      </c>
      <c r="G148" s="112">
        <f t="shared" si="11"/>
        <v>385.44000000006054</v>
      </c>
      <c r="H148" s="99">
        <f>G148+'4'!H148</f>
        <v>1400.8000000000466</v>
      </c>
      <c r="I148" s="124"/>
      <c r="J148" s="328">
        <f>H148/DAY(B2)</f>
        <v>280.16000000000929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'4'!F149</f>
        <v>26424.38</v>
      </c>
      <c r="F149" s="146">
        <v>26992.48</v>
      </c>
      <c r="G149" s="112">
        <f t="shared" si="11"/>
        <v>568.09999999999854</v>
      </c>
      <c r="H149" s="99">
        <f>G149+'4'!H149</f>
        <v>2314.2799999999988</v>
      </c>
      <c r="I149" s="119"/>
      <c r="J149" s="328">
        <f>H149/DAY(B2)</f>
        <v>462.85599999999977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'4'!F150</f>
        <v>11732.86</v>
      </c>
      <c r="F150" s="233">
        <v>11954.23</v>
      </c>
      <c r="G150" s="112">
        <f t="shared" si="11"/>
        <v>221.36999999999898</v>
      </c>
      <c r="H150" s="99">
        <f>G150+'4'!H150</f>
        <v>1103.3999999999996</v>
      </c>
      <c r="I150" s="119"/>
      <c r="J150" s="328">
        <f>H150/DAY(B2)</f>
        <v>220.67999999999992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'4'!F151</f>
        <v>86473</v>
      </c>
      <c r="F151" s="233">
        <v>86728</v>
      </c>
      <c r="G151" s="112">
        <f t="shared" si="11"/>
        <v>255</v>
      </c>
      <c r="H151" s="99">
        <f>G151+'4'!H151</f>
        <v>1248</v>
      </c>
      <c r="I151" s="119"/>
      <c r="J151" s="328">
        <f>H151/DAY(B2)</f>
        <v>249.6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'4'!F152</f>
        <v>1838.73</v>
      </c>
      <c r="F152" s="233">
        <v>1877.92</v>
      </c>
      <c r="G152" s="112">
        <f t="shared" si="11"/>
        <v>39.190000000000055</v>
      </c>
      <c r="H152" s="99">
        <f>G152+'4'!H152</f>
        <v>217.92000000000007</v>
      </c>
      <c r="I152" s="119"/>
      <c r="J152" s="328">
        <f>H152/DAY(B2)</f>
        <v>43.584000000000017</v>
      </c>
    </row>
    <row r="153" spans="1:10" ht="27.75" x14ac:dyDescent="0.5">
      <c r="A153" s="939" t="s">
        <v>196</v>
      </c>
      <c r="B153" s="939"/>
      <c r="C153" s="365"/>
      <c r="D153" s="358"/>
      <c r="E153" s="360"/>
      <c r="F153" s="361"/>
      <c r="G153" s="362">
        <f>SUM(G138:G152)</f>
        <v>2946.6900000001128</v>
      </c>
      <c r="H153" s="363"/>
      <c r="I153" s="119">
        <f>G153-(G38+G52)</f>
        <v>1007.2500000001105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'4'!F155</f>
        <v>35016.379999999997</v>
      </c>
      <c r="F155" s="374">
        <v>35756.65</v>
      </c>
      <c r="G155" s="112">
        <f t="shared" ref="G155:G158" si="12">F155-E155</f>
        <v>740.27000000000407</v>
      </c>
      <c r="H155" s="99">
        <f>G155+'4'!H155</f>
        <v>2811.6500000000015</v>
      </c>
      <c r="I155" s="364"/>
      <c r="J155" s="328">
        <f>H155/DAY(B2)</f>
        <v>562.33000000000027</v>
      </c>
    </row>
    <row r="156" spans="1:10" ht="27.75" x14ac:dyDescent="0.5">
      <c r="A156" s="851" t="s">
        <v>346</v>
      </c>
      <c r="B156" s="851"/>
      <c r="C156" s="851"/>
      <c r="D156" s="117" t="s">
        <v>130</v>
      </c>
      <c r="E156" s="95">
        <f>'4'!F156</f>
        <v>2940.61</v>
      </c>
      <c r="F156" s="155">
        <v>2992.7</v>
      </c>
      <c r="G156" s="112">
        <f t="shared" si="12"/>
        <v>52.089999999999691</v>
      </c>
      <c r="H156" s="99">
        <f>G156+'4'!H156</f>
        <v>204.69999999999982</v>
      </c>
      <c r="I156" s="165"/>
      <c r="J156" s="328">
        <f>H156/DAY(B2)</f>
        <v>40.939999999999962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>
        <f>'4'!F157</f>
        <v>4365.28</v>
      </c>
      <c r="F157" s="155">
        <v>4471.08</v>
      </c>
      <c r="G157" s="112">
        <f t="shared" si="12"/>
        <v>105.80000000000018</v>
      </c>
      <c r="H157" s="99">
        <f>G157+'4'!H157</f>
        <v>188.78999999999996</v>
      </c>
      <c r="I157" s="165"/>
      <c r="J157" s="328">
        <f>H157/DAY(B2)</f>
        <v>37.757999999999996</v>
      </c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>
        <f>'4'!F158</f>
        <v>61.82</v>
      </c>
      <c r="F158" s="155">
        <v>62.17</v>
      </c>
      <c r="G158" s="112">
        <f t="shared" si="12"/>
        <v>0.35000000000000142</v>
      </c>
      <c r="H158" s="99">
        <f>G158+'4'!H158</f>
        <v>1.2700000000000031</v>
      </c>
      <c r="I158" s="165"/>
      <c r="J158" s="328">
        <f>H158/DAY(B2)</f>
        <v>0.25400000000000061</v>
      </c>
    </row>
    <row r="159" spans="1:10" ht="27.75" x14ac:dyDescent="0.5">
      <c r="A159" s="935"/>
      <c r="B159" s="936"/>
      <c r="C159" s="937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472265.48</v>
      </c>
      <c r="F161" s="235">
        <v>472322</v>
      </c>
      <c r="G161" s="238">
        <f t="shared" ref="G161:G165" si="13">F161-E161</f>
        <v>56.520000000018626</v>
      </c>
      <c r="H161" s="99">
        <f>G161+'4'!H161</f>
        <v>268.44000000000233</v>
      </c>
      <c r="I161" s="236"/>
      <c r="J161" s="239">
        <f>H161/DAY(B2)</f>
        <v>53.688000000000464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88670.3</v>
      </c>
      <c r="F162" s="235">
        <v>88704.2</v>
      </c>
      <c r="G162" s="238">
        <f t="shared" si="13"/>
        <v>33.899999999994179</v>
      </c>
      <c r="H162" s="99">
        <f>G162+'4'!H162</f>
        <v>187.80000000000291</v>
      </c>
      <c r="I162" s="236"/>
      <c r="J162" s="239">
        <f>H162/DAY(B2)</f>
        <v>37.560000000000585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79351.7</v>
      </c>
      <c r="F163" s="235">
        <v>79385.2</v>
      </c>
      <c r="G163" s="238">
        <f t="shared" si="13"/>
        <v>33.5</v>
      </c>
      <c r="H163" s="99">
        <f>G163+'4'!H163</f>
        <v>165.09999999999127</v>
      </c>
      <c r="I163" s="236"/>
      <c r="J163" s="239">
        <f>H163/DAY(B2)</f>
        <v>33.019999999998255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4323.7</v>
      </c>
      <c r="F164" s="235">
        <v>4323.7</v>
      </c>
      <c r="G164" s="238">
        <f t="shared" si="13"/>
        <v>0</v>
      </c>
      <c r="H164" s="99">
        <f>G164+'4'!H164</f>
        <v>3.6999999999998181</v>
      </c>
      <c r="I164" s="236"/>
      <c r="J164" s="239">
        <f>H164/DAY(B2)</f>
        <v>0.73999999999996358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29893.83</v>
      </c>
      <c r="F165" s="235">
        <v>29900.66</v>
      </c>
      <c r="G165" s="238">
        <f t="shared" si="13"/>
        <v>6.8299999999981083</v>
      </c>
      <c r="H165" s="99">
        <f>G165+'4'!H165</f>
        <v>43.409999999999854</v>
      </c>
      <c r="I165" s="236"/>
      <c r="J165" s="239">
        <f>H165/DAY(B2)</f>
        <v>8.6819999999999702</v>
      </c>
    </row>
    <row r="166" spans="1:10" ht="29.25" x14ac:dyDescent="0.5">
      <c r="A166" s="860"/>
      <c r="B166" s="860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 x14ac:dyDescent="0.5">
      <c r="A167" s="860"/>
      <c r="B167" s="860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 x14ac:dyDescent="0.5">
      <c r="A168" s="860"/>
      <c r="B168" s="860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940"/>
      <c r="B172" s="940"/>
      <c r="C172" s="472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38" t="s">
        <v>209</v>
      </c>
      <c r="B173" s="938"/>
      <c r="C173" s="333"/>
      <c r="D173" s="155" t="s">
        <v>142</v>
      </c>
      <c r="E173" s="95">
        <f>'4'!F173</f>
        <v>8126</v>
      </c>
      <c r="F173" s="155">
        <v>8126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 x14ac:dyDescent="0.5">
      <c r="A174" s="938" t="s">
        <v>75</v>
      </c>
      <c r="B174" s="938"/>
      <c r="C174" s="333"/>
      <c r="D174" s="155" t="s">
        <v>142</v>
      </c>
      <c r="E174" s="95">
        <f>'4'!F174</f>
        <v>38661</v>
      </c>
      <c r="F174" s="157">
        <v>38676</v>
      </c>
      <c r="G174" s="155">
        <f t="shared" ref="G174:G175" si="14">F174-E174</f>
        <v>15</v>
      </c>
      <c r="H174" s="99">
        <f>G174+'4'!H174</f>
        <v>61</v>
      </c>
      <c r="I174" s="155"/>
      <c r="J174" s="156">
        <f>H174/DAY(B2)</f>
        <v>12.2</v>
      </c>
    </row>
    <row r="175" spans="1:10" ht="27.75" x14ac:dyDescent="0.5">
      <c r="A175" s="938" t="s">
        <v>76</v>
      </c>
      <c r="B175" s="938"/>
      <c r="C175" s="938"/>
      <c r="D175" s="155" t="s">
        <v>142</v>
      </c>
      <c r="E175" s="95">
        <f>'4'!F175</f>
        <v>21851</v>
      </c>
      <c r="F175" s="157">
        <v>21862</v>
      </c>
      <c r="G175" s="155">
        <f t="shared" si="14"/>
        <v>11</v>
      </c>
      <c r="H175" s="99">
        <f>G175+'4'!H175</f>
        <v>49</v>
      </c>
      <c r="I175" s="155"/>
      <c r="J175" s="156">
        <f>H175/DAY(B2)</f>
        <v>9.8000000000000007</v>
      </c>
    </row>
    <row r="176" spans="1:10" ht="27.75" x14ac:dyDescent="0.5">
      <c r="A176" s="939" t="s">
        <v>196</v>
      </c>
      <c r="B176" s="939"/>
      <c r="C176" s="333"/>
      <c r="D176" s="155"/>
      <c r="E176" s="95">
        <f>'4'!F176</f>
        <v>0</v>
      </c>
      <c r="F176" s="155"/>
      <c r="G176" s="155">
        <f>SUM(G173:G175)</f>
        <v>26</v>
      </c>
      <c r="H176" s="99">
        <f>G176+'4'!H176</f>
        <v>110</v>
      </c>
      <c r="I176" s="155"/>
      <c r="J176" s="156">
        <f>H176/DAY(B2)</f>
        <v>22</v>
      </c>
    </row>
    <row r="177" spans="1:10" ht="27.75" x14ac:dyDescent="0.5">
      <c r="A177" s="938" t="s">
        <v>77</v>
      </c>
      <c r="B177" s="938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38" t="s">
        <v>210</v>
      </c>
      <c r="B178" s="938"/>
      <c r="C178" s="333"/>
      <c r="D178" s="155" t="s">
        <v>142</v>
      </c>
      <c r="E178" s="95">
        <f>'4'!F178</f>
        <v>81544</v>
      </c>
      <c r="F178" s="155">
        <v>81608</v>
      </c>
      <c r="G178" s="155">
        <f>F178-E178</f>
        <v>64</v>
      </c>
      <c r="H178" s="99">
        <f>G178+'4'!H178</f>
        <v>293</v>
      </c>
      <c r="I178" s="155"/>
      <c r="J178" s="156">
        <f>H178/DAY(B2)</f>
        <v>58.6</v>
      </c>
    </row>
    <row r="179" spans="1:10" ht="27.75" x14ac:dyDescent="0.5">
      <c r="A179" s="938" t="s">
        <v>211</v>
      </c>
      <c r="B179" s="938"/>
      <c r="C179" s="333"/>
      <c r="D179" s="155" t="s">
        <v>142</v>
      </c>
      <c r="E179" s="95">
        <f>'4'!F179</f>
        <v>34926</v>
      </c>
      <c r="F179" s="155">
        <v>34958</v>
      </c>
      <c r="G179" s="155">
        <f t="shared" ref="G179:G180" si="15">F179-E179</f>
        <v>32</v>
      </c>
      <c r="H179" s="99">
        <f>G179+'4'!H179</f>
        <v>155</v>
      </c>
      <c r="I179" s="155"/>
      <c r="J179" s="156">
        <f>H179/DAY(B2)</f>
        <v>31</v>
      </c>
    </row>
    <row r="180" spans="1:10" ht="27.75" x14ac:dyDescent="0.5">
      <c r="A180" s="938" t="s">
        <v>212</v>
      </c>
      <c r="B180" s="938"/>
      <c r="C180" s="333"/>
      <c r="D180" s="155" t="s">
        <v>142</v>
      </c>
      <c r="E180" s="95">
        <f>'4'!F180</f>
        <v>5731</v>
      </c>
      <c r="F180" s="155">
        <v>5748</v>
      </c>
      <c r="G180" s="155">
        <f t="shared" si="15"/>
        <v>17</v>
      </c>
      <c r="H180" s="99">
        <f>G180+'4'!H180</f>
        <v>46</v>
      </c>
      <c r="I180" s="155"/>
      <c r="J180" s="156">
        <f>H180/DAY(B2)</f>
        <v>9.1999999999999993</v>
      </c>
    </row>
    <row r="181" spans="1:10" ht="27.75" x14ac:dyDescent="0.5">
      <c r="A181" s="943" t="s">
        <v>108</v>
      </c>
      <c r="B181" s="943"/>
      <c r="C181" s="333"/>
      <c r="D181" s="155"/>
      <c r="E181" s="95">
        <f>'4'!F181</f>
        <v>0</v>
      </c>
      <c r="F181" s="155"/>
      <c r="G181" s="155">
        <f>SUM(G178:G180)</f>
        <v>113</v>
      </c>
      <c r="H181" s="99">
        <f>G181+'4'!H181</f>
        <v>494</v>
      </c>
      <c r="I181" s="155"/>
      <c r="J181" s="156">
        <f>H181/DAY(B2)</f>
        <v>98.8</v>
      </c>
    </row>
    <row r="182" spans="1:10" ht="27.75" x14ac:dyDescent="0.5">
      <c r="A182" s="938" t="s">
        <v>213</v>
      </c>
      <c r="B182" s="938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38" t="s">
        <v>214</v>
      </c>
      <c r="B183" s="938"/>
      <c r="C183" s="334"/>
      <c r="D183" s="155" t="s">
        <v>142</v>
      </c>
      <c r="E183" s="95">
        <f>'4'!F183</f>
        <v>15398</v>
      </c>
      <c r="F183" s="157">
        <v>15407</v>
      </c>
      <c r="G183" s="157">
        <f>F183-E183</f>
        <v>9</v>
      </c>
      <c r="H183" s="99">
        <f>G183+'4'!H183</f>
        <v>62</v>
      </c>
      <c r="I183" s="155"/>
      <c r="J183" s="156">
        <f>H183/DAY(B2)</f>
        <v>12.4</v>
      </c>
    </row>
    <row r="184" spans="1:10" ht="27.75" x14ac:dyDescent="0.5">
      <c r="A184" s="938" t="s">
        <v>215</v>
      </c>
      <c r="B184" s="938"/>
      <c r="C184" s="334"/>
      <c r="D184" s="155" t="s">
        <v>142</v>
      </c>
      <c r="E184" s="95">
        <f>'4'!F184</f>
        <v>10545</v>
      </c>
      <c r="F184" s="157">
        <v>10553</v>
      </c>
      <c r="G184" s="157">
        <f t="shared" ref="G184:G185" si="16">F184-E184</f>
        <v>8</v>
      </c>
      <c r="H184" s="99">
        <f>G184+'4'!H184</f>
        <v>35</v>
      </c>
      <c r="I184" s="155"/>
      <c r="J184" s="156">
        <f>H184/DAY(B2)</f>
        <v>7</v>
      </c>
    </row>
    <row r="185" spans="1:10" ht="29.25" customHeight="1" x14ac:dyDescent="0.5">
      <c r="A185" s="938" t="s">
        <v>216</v>
      </c>
      <c r="B185" s="938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39" t="s">
        <v>196</v>
      </c>
      <c r="B186" s="939"/>
      <c r="C186" s="334"/>
      <c r="D186" s="461"/>
      <c r="E186" s="95"/>
      <c r="F186" s="157"/>
      <c r="G186" s="157">
        <f>SUM(G183:G185)</f>
        <v>17</v>
      </c>
      <c r="H186" s="99">
        <f>G186+'4'!H186</f>
        <v>97</v>
      </c>
      <c r="I186" s="157"/>
      <c r="J186" s="156">
        <f>H186/DAY(B2)</f>
        <v>19.399999999999999</v>
      </c>
    </row>
    <row r="187" spans="1:10" ht="27.75" x14ac:dyDescent="0.5">
      <c r="A187" s="942" t="s">
        <v>217</v>
      </c>
      <c r="B187" s="942"/>
      <c r="C187" s="333"/>
      <c r="D187" s="157" t="s">
        <v>142</v>
      </c>
      <c r="E187" s="95"/>
      <c r="F187" s="159"/>
      <c r="G187" s="460">
        <f>G62+G19</f>
        <v>190</v>
      </c>
      <c r="H187" s="99">
        <f>G187+'4'!H187</f>
        <v>733</v>
      </c>
      <c r="I187" s="158"/>
      <c r="J187" s="159">
        <f>H187/DAY(B2)</f>
        <v>146.6</v>
      </c>
    </row>
    <row r="188" spans="1:10" ht="27.75" x14ac:dyDescent="0.5">
      <c r="A188" s="942" t="s">
        <v>218</v>
      </c>
      <c r="B188" s="942"/>
      <c r="C188" s="333"/>
      <c r="D188" s="157" t="s">
        <v>142</v>
      </c>
      <c r="E188" s="95"/>
      <c r="F188" s="159"/>
      <c r="G188" s="460">
        <f>G65+G66+G67+G69+G70</f>
        <v>191</v>
      </c>
      <c r="H188" s="99">
        <f>G188+'4'!H188</f>
        <v>762</v>
      </c>
      <c r="I188" s="158"/>
      <c r="J188" s="159">
        <f>H188/DAY(B2)</f>
        <v>152.4</v>
      </c>
    </row>
    <row r="189" spans="1:10" ht="27.75" x14ac:dyDescent="0.5">
      <c r="A189" s="942" t="s">
        <v>219</v>
      </c>
      <c r="B189" s="942"/>
      <c r="C189" s="333"/>
      <c r="D189" s="157" t="s">
        <v>142</v>
      </c>
      <c r="E189" s="95"/>
      <c r="F189" s="157"/>
      <c r="G189" s="457">
        <f>G181</f>
        <v>113</v>
      </c>
      <c r="H189" s="99">
        <f>G189+'4'!H189</f>
        <v>494</v>
      </c>
      <c r="I189" s="158"/>
      <c r="J189" s="159">
        <f>H189/DAY(B2)</f>
        <v>98.8</v>
      </c>
    </row>
    <row r="190" spans="1:10" ht="27.75" x14ac:dyDescent="0.5">
      <c r="A190" s="941"/>
      <c r="B190" s="941"/>
      <c r="C190" s="473"/>
      <c r="D190" s="474"/>
      <c r="E190" s="475"/>
      <c r="F190" s="474"/>
      <c r="G190" s="474"/>
      <c r="H190" s="476"/>
      <c r="I190" s="474"/>
      <c r="J190" s="477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09" zoomScale="55" zoomScaleSheetLayoutView="55" workbookViewId="0">
      <selection activeCell="D2" sqref="D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356</v>
      </c>
      <c r="B2" s="262">
        <v>44598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744647.67</v>
      </c>
      <c r="F7" s="95">
        <v>765034.55</v>
      </c>
      <c r="G7" s="112">
        <f>F7-E7</f>
        <v>20386.880000000005</v>
      </c>
      <c r="H7" s="99">
        <f>G7+'5'!H7</f>
        <v>113854.32000000007</v>
      </c>
      <c r="I7" s="113">
        <f>'1'!I7</f>
        <v>12000</v>
      </c>
      <c r="J7" s="175">
        <f>H7/DAY(B2)</f>
        <v>18975.720000000012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803007.67</v>
      </c>
      <c r="F8" s="114">
        <v>823619.67</v>
      </c>
      <c r="G8" s="115">
        <f>F8-E8</f>
        <v>20612</v>
      </c>
      <c r="H8" s="99">
        <f>G8+'5'!H8</f>
        <v>115071.52000000002</v>
      </c>
      <c r="I8" s="116"/>
      <c r="J8" s="175">
        <f>H8/DAY(B2)</f>
        <v>19178.58666666667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347557.39</v>
      </c>
      <c r="F9" s="117">
        <v>359986.51</v>
      </c>
      <c r="G9" s="112">
        <f>F9-E9</f>
        <v>12429.119999999995</v>
      </c>
      <c r="H9" s="99">
        <f>G9+'5'!H9</f>
        <v>77732.660000000033</v>
      </c>
      <c r="I9" s="124">
        <f>I7-J7</f>
        <v>-6975.7200000000121</v>
      </c>
      <c r="J9" s="175">
        <f>H9/DAY(B2)</f>
        <v>12955.443333333338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130814.89</v>
      </c>
      <c r="F10" s="117">
        <v>138225.72</v>
      </c>
      <c r="G10" s="112">
        <f t="shared" ref="G10:G12" si="0">F10-E10</f>
        <v>7410.8300000000017</v>
      </c>
      <c r="H10" s="99">
        <f>G10+'5'!H10</f>
        <v>32966.75</v>
      </c>
      <c r="I10" s="282"/>
      <c r="J10" s="175">
        <f>H10/DAY(B2)</f>
        <v>5494.458333333333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37170</v>
      </c>
      <c r="F11" s="95">
        <v>37170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19839.949999999997</v>
      </c>
      <c r="H13" s="99">
        <f>G13+'5'!H13</f>
        <v>93944.98</v>
      </c>
      <c r="I13" s="120">
        <f>G7-G13</f>
        <v>546.93000000000757</v>
      </c>
      <c r="J13" s="175">
        <f>H13/DAY(B2)</f>
        <v>15657.496666666666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'5'!F15</f>
        <v>1911596.64</v>
      </c>
      <c r="F15" s="123">
        <v>1912646.14</v>
      </c>
      <c r="G15" s="112">
        <f>(F15-E15)</f>
        <v>1049.5</v>
      </c>
      <c r="H15" s="99">
        <f>G15+'5'!H15</f>
        <v>6009.372999999905</v>
      </c>
      <c r="I15" s="113">
        <f>'1'!I15</f>
        <v>800</v>
      </c>
      <c r="J15" s="175">
        <f>H15/DAY(B2)</f>
        <v>1001.5621666666508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-201.5621666666508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'5'!F18</f>
        <v>24</v>
      </c>
      <c r="F18" s="122">
        <v>22</v>
      </c>
      <c r="G18" s="119">
        <f>F18*10</f>
        <v>220</v>
      </c>
      <c r="H18" s="99">
        <f>G18+'5'!H18</f>
        <v>1180</v>
      </c>
      <c r="I18" s="113">
        <f>'1'!I18</f>
        <v>65</v>
      </c>
      <c r="J18" s="175">
        <f>H18/DAY(B2)</f>
        <v>196.66666666666666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'5'!F19</f>
        <v>154137</v>
      </c>
      <c r="F19" s="122">
        <v>154192</v>
      </c>
      <c r="G19" s="112">
        <f t="shared" ref="G19" si="1">F19-E19</f>
        <v>55</v>
      </c>
      <c r="H19" s="99">
        <f>G19+'5'!H19</f>
        <v>301</v>
      </c>
      <c r="I19" s="335"/>
      <c r="J19" s="175">
        <f>H19/DAY(B2)</f>
        <v>50.166666666666664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275</v>
      </c>
      <c r="H20" s="99">
        <f>G20+'5'!H20</f>
        <v>1481</v>
      </c>
      <c r="I20" s="336">
        <f>I18-J20</f>
        <v>-181.83333333333334</v>
      </c>
      <c r="J20" s="175">
        <f>H20/DAY(B2)</f>
        <v>246.83333333333334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20612</v>
      </c>
      <c r="F27" s="136">
        <v>9</v>
      </c>
      <c r="G27" s="137">
        <f>E27*F27</f>
        <v>185508</v>
      </c>
      <c r="H27" s="99">
        <f>G27+'5'!H27</f>
        <v>1035643.6800000002</v>
      </c>
      <c r="I27" s="138"/>
      <c r="J27" s="175">
        <f>H27/DAY(B2)</f>
        <v>172607.28000000003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1049.5</v>
      </c>
      <c r="F28" s="136">
        <v>52</v>
      </c>
      <c r="G28" s="137">
        <f>E28*F28</f>
        <v>54574</v>
      </c>
      <c r="H28" s="99">
        <f>G28+'5'!H28</f>
        <v>312487.39599999506</v>
      </c>
      <c r="I28" s="140"/>
      <c r="J28" s="175">
        <f>H28/DAY(B2)</f>
        <v>52081.232666665841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G30+'5'!H30</f>
        <v>43946</v>
      </c>
      <c r="I30" s="140"/>
      <c r="J30" s="175">
        <f>H30/DAY(B2)</f>
        <v>7324.333333333333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G31+'5'!H31</f>
        <v>94400</v>
      </c>
      <c r="I31" s="140"/>
      <c r="J31" s="175">
        <f>H31/DAY(B2)</f>
        <v>15733.333333333334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265712</v>
      </c>
      <c r="H32" s="99">
        <f>G32+'5'!H32</f>
        <v>1486477.0759999952</v>
      </c>
      <c r="I32" s="144"/>
      <c r="J32" s="175">
        <f>H32/DAY(B2)</f>
        <v>247746.17933333255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38854.68</v>
      </c>
      <c r="F35" s="145">
        <v>40508.78</v>
      </c>
      <c r="G35" s="112">
        <f t="shared" ref="G35:G46" si="3">F35-E35</f>
        <v>1654.0999999999985</v>
      </c>
      <c r="H35" s="99">
        <f>G35+'5'!H35</f>
        <v>8503.7999999999993</v>
      </c>
      <c r="I35" s="95"/>
      <c r="J35" s="175">
        <f>H35/DAY(B2)</f>
        <v>1417.3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48131.83</v>
      </c>
      <c r="F36" s="145">
        <v>49033.99</v>
      </c>
      <c r="G36" s="112">
        <f t="shared" si="3"/>
        <v>902.15999999999622</v>
      </c>
      <c r="H36" s="99">
        <f>G36+'5'!H36</f>
        <v>5575.25</v>
      </c>
      <c r="I36" s="95"/>
      <c r="J36" s="175">
        <f>H36/DAY(B2)</f>
        <v>929.20833333333337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43376.43</v>
      </c>
      <c r="F37" s="145">
        <v>45022.09</v>
      </c>
      <c r="G37" s="112">
        <f t="shared" si="3"/>
        <v>1645.6599999999962</v>
      </c>
      <c r="H37" s="99">
        <f>G37+'5'!H37</f>
        <v>9597</v>
      </c>
      <c r="I37" s="95"/>
      <c r="J37" s="175">
        <f>H37/DAY(B2)</f>
        <v>1599.5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47221.55</v>
      </c>
      <c r="F38" s="108">
        <v>49136.58</v>
      </c>
      <c r="G38" s="112">
        <f t="shared" si="3"/>
        <v>1915.0299999999988</v>
      </c>
      <c r="H38" s="99">
        <f>G38+'5'!H38</f>
        <v>10760.150000000001</v>
      </c>
      <c r="I38" s="95"/>
      <c r="J38" s="175">
        <f>H38/DAY(B2)</f>
        <v>1793.3583333333336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72477.66</v>
      </c>
      <c r="F39" s="145">
        <v>75254.22</v>
      </c>
      <c r="G39" s="112">
        <f t="shared" si="3"/>
        <v>2776.5599999999977</v>
      </c>
      <c r="H39" s="99">
        <f>G39+'5'!H39</f>
        <v>16080.93</v>
      </c>
      <c r="I39" s="95"/>
      <c r="J39" s="175">
        <f>H39/DAY(B2)</f>
        <v>2680.1550000000002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23520.06</v>
      </c>
      <c r="F40" s="145">
        <v>23922.09</v>
      </c>
      <c r="G40" s="112">
        <f t="shared" si="3"/>
        <v>402.02999999999884</v>
      </c>
      <c r="H40" s="99">
        <f>G40+'5'!H40</f>
        <v>1805.0999999999979</v>
      </c>
      <c r="I40" s="95"/>
      <c r="J40" s="175">
        <f>H40/DAY(B2)</f>
        <v>300.84999999999962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62.73</v>
      </c>
      <c r="F41" s="145">
        <v>62.73</v>
      </c>
      <c r="G41" s="112">
        <f t="shared" si="3"/>
        <v>0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106500.89</v>
      </c>
      <c r="F42" s="145">
        <v>106500.89</v>
      </c>
      <c r="G42" s="112">
        <f t="shared" si="3"/>
        <v>0</v>
      </c>
      <c r="H42" s="99">
        <f>G42+'5'!H42</f>
        <v>6371.1499999999942</v>
      </c>
      <c r="I42" s="95"/>
      <c r="J42" s="175">
        <f>H42/DAY(B2)</f>
        <v>1061.8583333333324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125613.3</v>
      </c>
      <c r="F43" s="145">
        <v>127758.65</v>
      </c>
      <c r="G43" s="112">
        <f t="shared" si="3"/>
        <v>2145.3499999999913</v>
      </c>
      <c r="H43" s="99">
        <f>G43+'5'!H43</f>
        <v>12907.049999999988</v>
      </c>
      <c r="I43" s="95"/>
      <c r="J43" s="175">
        <f>H43/DAY(B2)</f>
        <v>2151.1749999999979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11440.889999999978</v>
      </c>
      <c r="H47" s="99">
        <f>G47+'5'!H47</f>
        <v>71600.429999999993</v>
      </c>
      <c r="I47" s="95"/>
      <c r="J47" s="175">
        <f>H47/DAY(B2)</f>
        <v>11933.404999999999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30841.67</v>
      </c>
      <c r="F49" s="145">
        <v>32206.86</v>
      </c>
      <c r="G49" s="112">
        <f t="shared" ref="G49:G58" si="4">F49-E49</f>
        <v>1365.1900000000023</v>
      </c>
      <c r="H49" s="99">
        <f>G49+'5'!H49</f>
        <v>7210.6700000000019</v>
      </c>
      <c r="I49" s="95"/>
      <c r="J49" s="175">
        <f>H49/DAY(B2)</f>
        <v>1201.7783333333336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62059.64</v>
      </c>
      <c r="F50" s="145">
        <v>63332.24</v>
      </c>
      <c r="G50" s="112">
        <f t="shared" si="4"/>
        <v>1272.5999999999985</v>
      </c>
      <c r="H50" s="99">
        <f>G50+'5'!H50</f>
        <v>6945.6100000000006</v>
      </c>
      <c r="I50" s="95"/>
      <c r="J50" s="175">
        <f>H50/DAY(B2)</f>
        <v>1157.6016666666667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6923.67</v>
      </c>
      <c r="F54" s="145">
        <v>7454.88</v>
      </c>
      <c r="G54" s="112">
        <f t="shared" si="4"/>
        <v>531.21</v>
      </c>
      <c r="H54" s="99">
        <f>G54+'5'!H54</f>
        <v>2307.46</v>
      </c>
      <c r="I54" s="95"/>
      <c r="J54" s="175">
        <f>H54/DAY(B2)</f>
        <v>384.57666666666665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84837.06</v>
      </c>
      <c r="F55" s="145">
        <v>88263.98</v>
      </c>
      <c r="G55" s="112">
        <f t="shared" si="4"/>
        <v>3426.9199999999983</v>
      </c>
      <c r="H55" s="99">
        <f>G55+'5'!H55</f>
        <v>13897.869999999995</v>
      </c>
      <c r="I55" s="95"/>
      <c r="J55" s="175">
        <f>H55/DAY(B2)</f>
        <v>2316.311666666666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8723.6299999999992</v>
      </c>
      <c r="F56" s="145">
        <v>8723.6299999999992</v>
      </c>
      <c r="G56" s="112">
        <f t="shared" si="4"/>
        <v>0</v>
      </c>
      <c r="H56" s="99">
        <f>G56+'5'!H56</f>
        <v>113.08999999999833</v>
      </c>
      <c r="I56" s="95"/>
      <c r="J56" s="175">
        <f>H56/DAY(B2)</f>
        <v>18.848333333333056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5829.33</v>
      </c>
      <c r="F58" s="145">
        <v>6056.61</v>
      </c>
      <c r="G58" s="112">
        <f t="shared" si="4"/>
        <v>227.27999999999975</v>
      </c>
      <c r="H58" s="99">
        <f>G58+'5'!H58</f>
        <v>1260.3999999999996</v>
      </c>
      <c r="I58" s="95"/>
      <c r="J58" s="175">
        <f>H58/DAY(B2)</f>
        <v>210.06666666666661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6823.1999999999989</v>
      </c>
      <c r="H59" s="99">
        <f>G59+'5'!H59</f>
        <v>31735.099999999991</v>
      </c>
      <c r="I59" s="95">
        <f>G7-G60</f>
        <v>2122.79000000003</v>
      </c>
      <c r="J59" s="175">
        <f>H59/DAY(B2)</f>
        <v>5289.1833333333316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18264.089999999975</v>
      </c>
      <c r="H60" s="99">
        <f>G60+'5'!H60</f>
        <v>103335.52999999997</v>
      </c>
      <c r="I60" s="95">
        <f>G13-G60</f>
        <v>1575.8600000000224</v>
      </c>
      <c r="J60" s="175">
        <f>H60/DAY(B2)</f>
        <v>17222.58833333333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'5'!F62</f>
        <v>270003</v>
      </c>
      <c r="F62" s="122">
        <v>270146</v>
      </c>
      <c r="G62" s="112">
        <f t="shared" ref="G62:G63" si="5">F62-E62</f>
        <v>143</v>
      </c>
      <c r="H62" s="99">
        <f>G62+'5'!H62</f>
        <v>630</v>
      </c>
      <c r="I62" s="118"/>
      <c r="J62" s="175">
        <f>H62/DAY(B2)</f>
        <v>105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'5'!F63</f>
        <v>216484</v>
      </c>
      <c r="F63" s="122">
        <v>216616</v>
      </c>
      <c r="G63" s="112">
        <f t="shared" si="5"/>
        <v>132</v>
      </c>
      <c r="H63" s="99">
        <f>G63+'5'!H63</f>
        <v>819</v>
      </c>
      <c r="I63" s="118"/>
      <c r="J63" s="175">
        <f>H63/DAY(B2)</f>
        <v>136.5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'5'!F64</f>
        <v>0</v>
      </c>
      <c r="F64" s="122"/>
      <c r="G64" s="112">
        <f>G62+G63</f>
        <v>275</v>
      </c>
      <c r="H64" s="99">
        <f>G64+'5'!H64</f>
        <v>1449</v>
      </c>
      <c r="I64" s="118"/>
      <c r="J64" s="175">
        <f>H64/DAY(B2)</f>
        <v>241.5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'5'!F65</f>
        <v>435346</v>
      </c>
      <c r="F65" s="122">
        <v>435456</v>
      </c>
      <c r="G65" s="112">
        <f t="shared" ref="G65:G70" si="6">F65-E65</f>
        <v>110</v>
      </c>
      <c r="H65" s="99">
        <f>G65+'5'!H65</f>
        <v>533</v>
      </c>
      <c r="I65" s="118"/>
      <c r="J65" s="175">
        <f>H65/DAY(B2)</f>
        <v>88.833333333333329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'5'!F66</f>
        <v>107880</v>
      </c>
      <c r="F66" s="122">
        <v>107906</v>
      </c>
      <c r="G66" s="112">
        <f t="shared" si="6"/>
        <v>26</v>
      </c>
      <c r="H66" s="99">
        <f>G66+'5'!H66</f>
        <v>163</v>
      </c>
      <c r="I66" s="118"/>
      <c r="J66" s="175">
        <f>H66/DAY(B2)</f>
        <v>27.166666666666668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'5'!F67</f>
        <v>104753</v>
      </c>
      <c r="F67" s="122">
        <v>104784</v>
      </c>
      <c r="G67" s="112">
        <f t="shared" si="6"/>
        <v>31</v>
      </c>
      <c r="H67" s="99">
        <f>G67+'5'!H67</f>
        <v>136</v>
      </c>
      <c r="I67" s="118"/>
      <c r="J67" s="175">
        <f>H67/DAY(B2)</f>
        <v>22.666666666666668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'5'!F68</f>
        <v>157855</v>
      </c>
      <c r="F68" s="122">
        <v>157911</v>
      </c>
      <c r="G68" s="112">
        <f t="shared" si="6"/>
        <v>56</v>
      </c>
      <c r="H68" s="99">
        <f>G68+'5'!H68</f>
        <v>214</v>
      </c>
      <c r="I68" s="118"/>
      <c r="J68" s="175">
        <f>H68/DAY(B2)</f>
        <v>35.666666666666664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'5'!F69</f>
        <v>10593</v>
      </c>
      <c r="F69" s="122">
        <v>10604</v>
      </c>
      <c r="G69" s="112">
        <f t="shared" si="6"/>
        <v>11</v>
      </c>
      <c r="H69" s="99">
        <f>G69+'5'!H69</f>
        <v>63</v>
      </c>
      <c r="I69" s="118"/>
      <c r="J69" s="175">
        <f>H69/DAY(B2)</f>
        <v>10.5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'5'!F70</f>
        <v>8165</v>
      </c>
      <c r="F70" s="122">
        <v>8174</v>
      </c>
      <c r="G70" s="112">
        <f t="shared" si="6"/>
        <v>9</v>
      </c>
      <c r="H70" s="99">
        <f>G70+'5'!H70</f>
        <v>54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243</v>
      </c>
      <c r="H71" s="99">
        <f>G71+'5'!H71</f>
        <v>1163</v>
      </c>
      <c r="I71" s="154"/>
      <c r="J71" s="175">
        <f>H71/DAY(B2)</f>
        <v>193.83333333333334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'5'!F74</f>
        <v>902824.04</v>
      </c>
      <c r="F74" s="123">
        <v>903127.82</v>
      </c>
      <c r="G74" s="112">
        <f t="shared" ref="G74:G78" si="7">F74-E74</f>
        <v>303.77999999991152</v>
      </c>
      <c r="H74" s="99">
        <f>G74+'5'!H74</f>
        <v>1821.670999999973</v>
      </c>
      <c r="I74" s="154"/>
      <c r="J74" s="175">
        <f>H74/DAY(B2)</f>
        <v>303.61183333332883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'5'!F76</f>
        <v>170588.1</v>
      </c>
      <c r="F76" s="123">
        <v>170697.91</v>
      </c>
      <c r="G76" s="112">
        <f t="shared" si="7"/>
        <v>109.80999999999767</v>
      </c>
      <c r="H76" s="99">
        <f>G76+'5'!H76</f>
        <v>722.91000000000349</v>
      </c>
      <c r="I76" s="154"/>
      <c r="J76" s="175">
        <f>H76/DAY(B2)</f>
        <v>120.48500000000058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'5'!F77</f>
        <v>41535.199999999997</v>
      </c>
      <c r="F77" s="123">
        <v>41580.699999999997</v>
      </c>
      <c r="G77" s="112">
        <f t="shared" si="7"/>
        <v>45.5</v>
      </c>
      <c r="H77" s="99">
        <f>G77+'5'!H77</f>
        <v>278.5</v>
      </c>
      <c r="I77" s="154"/>
      <c r="J77" s="175">
        <f>H77/DAY(B2)</f>
        <v>46.416666666666664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'5'!F78</f>
        <v>9523.7999999999993</v>
      </c>
      <c r="F78" s="123">
        <v>9525.1</v>
      </c>
      <c r="G78" s="112">
        <f t="shared" si="7"/>
        <v>1.3000000000010914</v>
      </c>
      <c r="H78" s="99">
        <f>G78+'5'!H78</f>
        <v>9.1000000000003638</v>
      </c>
      <c r="I78" s="118"/>
      <c r="J78" s="175">
        <f>H78/DAY(B2)</f>
        <v>1.5166666666667272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117"/>
      <c r="F79" s="117"/>
      <c r="G79" s="112">
        <f>G15-SUM(G74:G78)</f>
        <v>589.11000000008971</v>
      </c>
      <c r="H79" s="99">
        <f>G79+'5'!H79</f>
        <v>3177.1919999999282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1049.5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'5'!F85</f>
        <v>2300.42</v>
      </c>
      <c r="F85" s="164">
        <v>2300.42</v>
      </c>
      <c r="G85" s="112">
        <f t="shared" si="8"/>
        <v>0</v>
      </c>
      <c r="H85" s="99">
        <f>G85+'5'!H85</f>
        <v>40</v>
      </c>
      <c r="I85" s="118">
        <f>G82+G83+G84+G85</f>
        <v>0</v>
      </c>
      <c r="J85" s="175">
        <f>H85/DAY(B2)</f>
        <v>6.666666666666667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'5'!F86</f>
        <v>43522.57</v>
      </c>
      <c r="F86" s="164">
        <v>43547</v>
      </c>
      <c r="G86" s="112">
        <f t="shared" si="8"/>
        <v>24.430000000000291</v>
      </c>
      <c r="H86" s="99">
        <f>G86+'5'!H86</f>
        <v>105</v>
      </c>
      <c r="I86" s="118"/>
      <c r="J86" s="175">
        <f>H86/DAY(B2)</f>
        <v>17.5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'5'!F87</f>
        <v>34599.480000000003</v>
      </c>
      <c r="F87" s="164">
        <v>34599.480000000003</v>
      </c>
      <c r="G87" s="112">
        <f t="shared" si="8"/>
        <v>0</v>
      </c>
      <c r="H87" s="99">
        <f>G87+'5'!H87</f>
        <v>0.98000000000320142</v>
      </c>
      <c r="I87" s="118"/>
      <c r="J87" s="175">
        <f>H87/DAY(B2)</f>
        <v>0.1633333333338669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'5'!F88</f>
        <v>24063.43</v>
      </c>
      <c r="F88" s="164">
        <v>24063.43</v>
      </c>
      <c r="G88" s="112">
        <f t="shared" si="8"/>
        <v>0</v>
      </c>
      <c r="H88" s="99">
        <f>G88+'5'!H88</f>
        <v>0</v>
      </c>
      <c r="I88" s="118">
        <f>G86+G87+G88</f>
        <v>24.430000000000291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'5'!F89</f>
        <v>25939.4</v>
      </c>
      <c r="F89" s="164">
        <v>25949.58</v>
      </c>
      <c r="G89" s="112">
        <f t="shared" si="8"/>
        <v>10.180000000000291</v>
      </c>
      <c r="H89" s="99">
        <f>G89+'5'!H89</f>
        <v>58.460000000002765</v>
      </c>
      <c r="I89" s="118"/>
      <c r="J89" s="175">
        <f>H89/DAY(B2)</f>
        <v>9.7433333333337941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'5'!F90</f>
        <v>71171.600000000006</v>
      </c>
      <c r="F90" s="164">
        <v>71175.759999999995</v>
      </c>
      <c r="G90" s="112">
        <f t="shared" si="8"/>
        <v>4.1599999999889405</v>
      </c>
      <c r="H90" s="99">
        <f>G90+'5'!H90</f>
        <v>12.439999999987776</v>
      </c>
      <c r="I90" s="118">
        <f>G89+G90</f>
        <v>14.339999999989232</v>
      </c>
      <c r="J90" s="175">
        <f>H90/DAY(B2)</f>
        <v>2.0733333333312962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'5'!F91</f>
        <v>3307.41</v>
      </c>
      <c r="F91" s="122">
        <v>3318.58</v>
      </c>
      <c r="G91" s="112">
        <f t="shared" si="8"/>
        <v>11.170000000000073</v>
      </c>
      <c r="H91" s="99">
        <f>G91+'5'!H91</f>
        <v>67.489999999999782</v>
      </c>
      <c r="I91" s="165"/>
      <c r="J91" s="175">
        <f>H91/DAY(B2)</f>
        <v>11.248333333333298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'5'!F92</f>
        <v>5741.07</v>
      </c>
      <c r="F92" s="122">
        <v>5741.07</v>
      </c>
      <c r="G92" s="112">
        <f t="shared" si="8"/>
        <v>0</v>
      </c>
      <c r="H92" s="99">
        <f>G92+'5'!H92</f>
        <v>0</v>
      </c>
      <c r="I92" s="165"/>
      <c r="J92" s="175">
        <f>H92/DAY(B2)</f>
        <v>0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5164.6399999999921</v>
      </c>
      <c r="H94" s="99">
        <f>G94+'5'!H94</f>
        <v>28621.51999999999</v>
      </c>
      <c r="I94" s="118"/>
      <c r="J94" s="175">
        <f>H94/DAY(B2)</f>
        <v>4770.2533333333313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0.25333155441146421</v>
      </c>
      <c r="H95" s="99">
        <f>G95+'5'!H95</f>
        <v>1.5074335290356693</v>
      </c>
      <c r="I95" s="167"/>
      <c r="J95" s="175">
        <f>H95/DAY(B2)</f>
        <v>0.2512389215059449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3426.9199999999983</v>
      </c>
      <c r="H96" s="99">
        <f>G96+'5'!H96</f>
        <v>20382.109999999986</v>
      </c>
      <c r="I96" s="118"/>
      <c r="J96" s="175">
        <f>H96/DAY(B2)</f>
        <v>3397.0183333333312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0.16809438226938098</v>
      </c>
      <c r="H97" s="99">
        <f>G97+'5'!H97</f>
        <v>1.0815738788203924</v>
      </c>
      <c r="I97" s="167"/>
      <c r="J97" s="175">
        <f>H97/DAY(B2)</f>
        <v>0.18026231313673205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2776.5599999999977</v>
      </c>
      <c r="H98" s="99">
        <f>G98+'5'!H98</f>
        <v>16080.93</v>
      </c>
      <c r="I98" s="168"/>
      <c r="J98" s="175">
        <f>H98/DAY(B2)</f>
        <v>2680.1550000000002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0.13619347344959096</v>
      </c>
      <c r="H99" s="99">
        <f>G99+'5'!H99</f>
        <v>0.84965933240272429</v>
      </c>
      <c r="I99" s="168"/>
      <c r="J99" s="175">
        <f>H99/DAY(B2)</f>
        <v>0.14160988873378738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1915.0299999999988</v>
      </c>
      <c r="H100" s="99">
        <f>G100+'5'!H100</f>
        <v>10760.150000000001</v>
      </c>
      <c r="I100" s="118"/>
      <c r="J100" s="175">
        <f>H100/DAY(B2)</f>
        <v>1793.3583333333336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9.3934432340799498E-2</v>
      </c>
      <c r="H101" s="99">
        <f>G101+'5'!H101</f>
        <v>0.56740856071718049</v>
      </c>
      <c r="I101" s="168"/>
      <c r="J101" s="175">
        <f>H101/DAY(B2)</f>
        <v>9.4568093452863419E-2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2174.7599999999948</v>
      </c>
      <c r="H102" s="99">
        <f>G102+'5'!H102</f>
        <v>12520.86</v>
      </c>
      <c r="I102" s="168"/>
      <c r="J102" s="175">
        <f>H102/DAY(B2)</f>
        <v>2086.81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0.10667448869076554</v>
      </c>
      <c r="H103" s="99">
        <f>G103+'5'!H103</f>
        <v>0.65572335544018312</v>
      </c>
      <c r="I103" s="118"/>
      <c r="J103" s="175">
        <f>H103/DAY(B2)</f>
        <v>0.10928722590669719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1645.6599999999962</v>
      </c>
      <c r="H104" s="99">
        <f>G104+'5'!H104</f>
        <v>9597</v>
      </c>
      <c r="I104" s="118"/>
      <c r="J104" s="175">
        <f>H104/DAY(B2)</f>
        <v>1599.5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8.0721522861761874E-2</v>
      </c>
      <c r="H105" s="99">
        <f>G105+'5'!H105</f>
        <v>0.50692008054887938</v>
      </c>
      <c r="I105" s="187"/>
      <c r="J105" s="188">
        <f>H105/DAY(B2)</f>
        <v>8.4486680091479902E-2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'5'!F112</f>
        <v>58439.43</v>
      </c>
      <c r="F112" s="237">
        <v>58512.91</v>
      </c>
      <c r="G112" s="112">
        <f t="shared" ref="G112:G123" si="9">F112-E112</f>
        <v>73.480000000003201</v>
      </c>
      <c r="H112" s="99">
        <f>G112+'5'!H112</f>
        <v>458.91000000000349</v>
      </c>
      <c r="I112" s="165"/>
      <c r="J112" s="328">
        <f>H112/DAY(B2)</f>
        <v>76.485000000000582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'5'!F113</f>
        <v>48780.38</v>
      </c>
      <c r="F113" s="237">
        <v>49229.25</v>
      </c>
      <c r="G113" s="112">
        <f t="shared" si="9"/>
        <v>448.87000000000262</v>
      </c>
      <c r="H113" s="99">
        <f>G113+'5'!H113</f>
        <v>2828.3600000000006</v>
      </c>
      <c r="I113" s="165"/>
      <c r="J113" s="328">
        <f>H113/DAY(B2)</f>
        <v>471.39333333333343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'5'!F114</f>
        <v>34677.629999999997</v>
      </c>
      <c r="F114" s="237">
        <v>34949.370000000003</v>
      </c>
      <c r="G114" s="112">
        <f t="shared" si="9"/>
        <v>271.74000000000524</v>
      </c>
      <c r="H114" s="99">
        <f>G114+'5'!H114</f>
        <v>1789.3700000000026</v>
      </c>
      <c r="I114" s="165"/>
      <c r="J114" s="328">
        <f>H114/DAY(B2)</f>
        <v>298.22833333333375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'5'!F115</f>
        <v>9148.2199999999993</v>
      </c>
      <c r="F115" s="237">
        <v>9159.51</v>
      </c>
      <c r="G115" s="112">
        <f t="shared" si="9"/>
        <v>11.290000000000873</v>
      </c>
      <c r="H115" s="99">
        <f>G115+'5'!H115</f>
        <v>64.860000000000582</v>
      </c>
      <c r="I115" s="165"/>
      <c r="J115" s="328">
        <f>H115/DAY(B2)</f>
        <v>10.810000000000096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'5'!F116</f>
        <v>35.35</v>
      </c>
      <c r="F116" s="237">
        <v>271.7</v>
      </c>
      <c r="G116" s="112">
        <f t="shared" si="9"/>
        <v>236.35</v>
      </c>
      <c r="H116" s="99">
        <f>G116+'5'!H116</f>
        <v>271.7</v>
      </c>
      <c r="I116" s="165"/>
      <c r="J116" s="328">
        <f>H116/DAY(B2)</f>
        <v>45.283333333333331</v>
      </c>
      <c r="Q116" s="871"/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'5'!F117</f>
        <v>3602.21</v>
      </c>
      <c r="F117" s="237">
        <v>3720.53</v>
      </c>
      <c r="G117" s="112">
        <f t="shared" si="9"/>
        <v>118.32000000000016</v>
      </c>
      <c r="H117" s="99">
        <f>G117+'5'!H117</f>
        <v>382.58000000000038</v>
      </c>
      <c r="I117" s="165"/>
      <c r="J117" s="328">
        <f>H117/DAY(B2)</f>
        <v>63.763333333333399</v>
      </c>
      <c r="Q117" s="871"/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'5'!F118</f>
        <v>254096.07</v>
      </c>
      <c r="F118" s="237">
        <v>254422.41</v>
      </c>
      <c r="G118" s="112">
        <f t="shared" si="9"/>
        <v>326.33999999999651</v>
      </c>
      <c r="H118" s="99">
        <f>G118+'5'!H118</f>
        <v>1970.1000000000058</v>
      </c>
      <c r="I118" s="165"/>
      <c r="J118" s="328">
        <f>H118/DAY(B2)</f>
        <v>328.35000000000099</v>
      </c>
      <c r="Q118" s="871"/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'5'!F119</f>
        <v>260228.75</v>
      </c>
      <c r="F119" s="237">
        <v>260615.69</v>
      </c>
      <c r="G119" s="112">
        <f t="shared" si="9"/>
        <v>386.94000000000233</v>
      </c>
      <c r="H119" s="99">
        <f>G119+'5'!H119</f>
        <v>2467.140000000014</v>
      </c>
      <c r="I119" s="165"/>
      <c r="J119" s="328">
        <f>H119/DAY(B2)</f>
        <v>411.19000000000233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'5'!F120</f>
        <v>45062.18</v>
      </c>
      <c r="F120" s="237">
        <v>45456.18</v>
      </c>
      <c r="G120" s="112">
        <f t="shared" si="9"/>
        <v>394</v>
      </c>
      <c r="H120" s="99">
        <f>G120+'5'!H120</f>
        <v>2496.5699999999997</v>
      </c>
      <c r="I120" s="165"/>
      <c r="J120" s="328">
        <f>H120/DAY(B2)</f>
        <v>416.09499999999997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'5'!F121</f>
        <v>401644.07</v>
      </c>
      <c r="F121" s="237">
        <v>402376.51</v>
      </c>
      <c r="G121" s="112">
        <f t="shared" si="9"/>
        <v>732.44000000000233</v>
      </c>
      <c r="H121" s="99">
        <f>G121+'5'!H121</f>
        <v>4342.0800000000163</v>
      </c>
      <c r="I121" s="165"/>
      <c r="J121" s="328">
        <f>H121/DAY(B2)</f>
        <v>723.68000000000268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'5'!F122</f>
        <v>127368.49</v>
      </c>
      <c r="F122" s="237">
        <v>127590.82</v>
      </c>
      <c r="G122" s="112">
        <f t="shared" si="9"/>
        <v>222.33000000000175</v>
      </c>
      <c r="H122" s="99">
        <f>G122+'5'!H122</f>
        <v>1404.640000000014</v>
      </c>
      <c r="I122" s="165"/>
      <c r="J122" s="328">
        <f>H122/DAY(B2)</f>
        <v>234.10666666666899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'5'!F123</f>
        <v>155329.91</v>
      </c>
      <c r="F123" s="237">
        <v>155580.37</v>
      </c>
      <c r="G123" s="112">
        <f t="shared" si="9"/>
        <v>250.45999999999185</v>
      </c>
      <c r="H123" s="99">
        <f>G123+'5'!H123</f>
        <v>1533.4199999999837</v>
      </c>
      <c r="I123" s="165"/>
      <c r="J123" s="328">
        <f>H123/DAY(B2)</f>
        <v>255.56999999999729</v>
      </c>
    </row>
    <row r="124" spans="1:18" ht="29.25" customHeight="1" x14ac:dyDescent="0.5">
      <c r="A124" s="875"/>
      <c r="B124" s="876"/>
      <c r="C124" s="877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3472.5600000000068</v>
      </c>
      <c r="H125" s="156"/>
      <c r="I125" s="327">
        <f>G125-(G39+G53)</f>
        <v>696.00000000000909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'5'!F128</f>
        <v>49284.85</v>
      </c>
      <c r="F128" s="165">
        <v>49562.01</v>
      </c>
      <c r="G128" s="112">
        <f t="shared" ref="G128:G134" si="10">F128-E128</f>
        <v>277.16000000000349</v>
      </c>
      <c r="H128" s="99">
        <f>G128+'5'!H128</f>
        <v>1816.010000000002</v>
      </c>
      <c r="I128" s="165"/>
      <c r="J128" s="328">
        <f>H128/DAY(B2)</f>
        <v>302.66833333333369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'5'!F129</f>
        <v>27911.360000000001</v>
      </c>
      <c r="F129" s="165">
        <v>28096.99</v>
      </c>
      <c r="G129" s="112">
        <f t="shared" si="10"/>
        <v>185.63000000000102</v>
      </c>
      <c r="H129" s="99">
        <f>G129+'5'!H129</f>
        <v>1186.1200000000026</v>
      </c>
      <c r="I129" s="165"/>
      <c r="J129" s="328">
        <f>H129/DAY(B2)</f>
        <v>197.68666666666709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'5'!F130</f>
        <v>38457.519999999997</v>
      </c>
      <c r="F130" s="165">
        <v>39082.31</v>
      </c>
      <c r="G130" s="112">
        <f t="shared" si="10"/>
        <v>624.79000000000087</v>
      </c>
      <c r="H130" s="99">
        <f>G130+'5'!H130</f>
        <v>3388.3099999999977</v>
      </c>
      <c r="I130" s="165"/>
      <c r="J130" s="328">
        <f>H130/DAY(B2)</f>
        <v>564.71833333333291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'5'!F131</f>
        <v>15640.69</v>
      </c>
      <c r="F131" s="165">
        <v>15721.73</v>
      </c>
      <c r="G131" s="112">
        <f t="shared" si="10"/>
        <v>81.039999999999054</v>
      </c>
      <c r="H131" s="99">
        <f>G131+'5'!H131</f>
        <v>414.04999999999927</v>
      </c>
      <c r="I131" s="165"/>
      <c r="J131" s="328">
        <f>H131/DAY(B2)</f>
        <v>69.008333333333212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'5'!F132</f>
        <v>53236.79</v>
      </c>
      <c r="F132" s="165">
        <v>53675.95</v>
      </c>
      <c r="G132" s="112">
        <f t="shared" si="10"/>
        <v>439.15999999999622</v>
      </c>
      <c r="H132" s="99">
        <f>G132+'5'!H132</f>
        <v>1827.6499999999942</v>
      </c>
      <c r="I132" s="165"/>
      <c r="J132" s="328">
        <f>H132/DAY(B2)</f>
        <v>304.60833333333238</v>
      </c>
    </row>
    <row r="133" spans="1:15" ht="27.75" x14ac:dyDescent="0.5">
      <c r="A133" s="871" t="s">
        <v>323</v>
      </c>
      <c r="B133" s="872"/>
      <c r="C133" s="873"/>
      <c r="D133" s="151" t="s">
        <v>183</v>
      </c>
      <c r="E133" s="95">
        <f>'5'!F133</f>
        <v>108353.26</v>
      </c>
      <c r="F133" s="165">
        <v>108975.65</v>
      </c>
      <c r="G133" s="112">
        <f t="shared" si="10"/>
        <v>622.38999999999942</v>
      </c>
      <c r="H133" s="99">
        <f>G133+'5'!H133</f>
        <v>3631.9499999999971</v>
      </c>
      <c r="I133" s="165"/>
      <c r="J133" s="328">
        <f>H133/DAY(B2)</f>
        <v>605.32499999999948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'5'!F134</f>
        <v>9426.16</v>
      </c>
      <c r="F134" s="165">
        <v>9673.0499999999993</v>
      </c>
      <c r="G134" s="112">
        <f t="shared" si="10"/>
        <v>246.88999999999942</v>
      </c>
      <c r="H134" s="99">
        <f>G134+'5'!H134</f>
        <v>1071.8199999999997</v>
      </c>
      <c r="I134" s="165"/>
      <c r="J134" s="328">
        <f>H134/DAY(B2)</f>
        <v>178.63666666666663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12"/>
      <c r="G135" s="112">
        <f>SUM(G128:G134)</f>
        <v>2477.0599999999995</v>
      </c>
      <c r="H135" s="99">
        <f>G135+'5'!H135</f>
        <v>13335.909999999993</v>
      </c>
      <c r="I135" s="327">
        <f>G135-(G35+G49)</f>
        <v>-542.23000000000138</v>
      </c>
      <c r="J135" s="328">
        <f>H135/DAY(B2)</f>
        <v>2222.6516666666653</v>
      </c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'5'!F138</f>
        <v>866570</v>
      </c>
      <c r="F138" s="147">
        <v>866659</v>
      </c>
      <c r="G138" s="112">
        <f t="shared" ref="G138:G152" si="11">F138-E138</f>
        <v>89</v>
      </c>
      <c r="H138" s="99">
        <f>G138+'5'!H138</f>
        <v>486</v>
      </c>
      <c r="I138" s="118"/>
      <c r="J138" s="328">
        <f>H138/DAY(B2)</f>
        <v>81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'5'!F139</f>
        <v>886591</v>
      </c>
      <c r="F139" s="148">
        <v>886596</v>
      </c>
      <c r="G139" s="112">
        <f t="shared" si="11"/>
        <v>5</v>
      </c>
      <c r="H139" s="99">
        <f>G139+'5'!H139</f>
        <v>23</v>
      </c>
      <c r="I139" s="118"/>
      <c r="J139" s="328">
        <f>H139/DAY(B2)</f>
        <v>3.8333333333333335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'5'!F140</f>
        <v>88936.2</v>
      </c>
      <c r="F140" s="149">
        <v>88937</v>
      </c>
      <c r="G140" s="112">
        <f t="shared" si="11"/>
        <v>0.80000000000291038</v>
      </c>
      <c r="H140" s="99">
        <f>G140+'5'!H140</f>
        <v>15</v>
      </c>
      <c r="I140" s="118"/>
      <c r="J140" s="328">
        <f>H140/DAY(B2)</f>
        <v>2.5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'5'!F141</f>
        <v>55561.56</v>
      </c>
      <c r="F141" s="149">
        <v>55727.57</v>
      </c>
      <c r="G141" s="112">
        <f t="shared" si="11"/>
        <v>166.01000000000204</v>
      </c>
      <c r="H141" s="99">
        <f>G141+'5'!H141</f>
        <v>1041.989999999998</v>
      </c>
      <c r="I141" s="118"/>
      <c r="J141" s="328">
        <f>H141/DAY(B2)</f>
        <v>173.66499999999965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'5'!F142</f>
        <v>21626.13</v>
      </c>
      <c r="F142" s="148">
        <v>21693</v>
      </c>
      <c r="G142" s="112">
        <f t="shared" si="11"/>
        <v>66.869999999998981</v>
      </c>
      <c r="H142" s="99">
        <f>G142+'5'!H142</f>
        <v>408.90000000000146</v>
      </c>
      <c r="I142" s="140"/>
      <c r="J142" s="328">
        <f>H142/DAY(B2)</f>
        <v>68.150000000000247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'5'!F143</f>
        <v>3971.3</v>
      </c>
      <c r="F143" s="149">
        <v>4000.64</v>
      </c>
      <c r="G143" s="112">
        <f t="shared" si="11"/>
        <v>29.339999999999691</v>
      </c>
      <c r="H143" s="99">
        <f>G143+'5'!H143</f>
        <v>165.25</v>
      </c>
      <c r="I143" s="140"/>
      <c r="J143" s="328">
        <f>H143/DAY(B2)</f>
        <v>27.541666666666668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'5'!F144</f>
        <v>877528</v>
      </c>
      <c r="F144" s="149">
        <v>877740</v>
      </c>
      <c r="G144" s="112">
        <f t="shared" si="11"/>
        <v>212</v>
      </c>
      <c r="H144" s="99">
        <f>G144+'5'!H144</f>
        <v>1253</v>
      </c>
      <c r="I144" s="140"/>
      <c r="J144" s="328">
        <f>H144/DAY(B2)</f>
        <v>208.83333333333334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'5'!F145</f>
        <v>5023.07</v>
      </c>
      <c r="F145" s="149">
        <v>5030.25</v>
      </c>
      <c r="G145" s="112">
        <f t="shared" si="11"/>
        <v>7.180000000000291</v>
      </c>
      <c r="H145" s="99">
        <f>G145+'5'!H145</f>
        <v>71.409999999999854</v>
      </c>
      <c r="I145" s="140"/>
      <c r="J145" s="328">
        <f>H145/DAY(B2)</f>
        <v>11.901666666666642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'5'!F146</f>
        <v>739367</v>
      </c>
      <c r="F146" s="148">
        <v>739823</v>
      </c>
      <c r="G146" s="112">
        <f t="shared" si="11"/>
        <v>456</v>
      </c>
      <c r="H146" s="99">
        <f>G146+'5'!H146</f>
        <v>2490</v>
      </c>
      <c r="I146" s="140"/>
      <c r="J146" s="328">
        <f>H146/DAY(B2)</f>
        <v>415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'5'!F147</f>
        <v>628567</v>
      </c>
      <c r="F147" s="148">
        <v>628961.16</v>
      </c>
      <c r="G147" s="112">
        <f t="shared" si="11"/>
        <v>394.1600000000326</v>
      </c>
      <c r="H147" s="99">
        <f>G147+'5'!H147</f>
        <v>2348.640000000014</v>
      </c>
      <c r="I147" s="140"/>
      <c r="J147" s="328">
        <f>H147/DAY(B2)</f>
        <v>391.44000000000233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'5'!F148</f>
        <v>690843.76</v>
      </c>
      <c r="F148" s="150">
        <v>691199.28</v>
      </c>
      <c r="G148" s="112">
        <f t="shared" si="11"/>
        <v>355.52000000001863</v>
      </c>
      <c r="H148" s="99">
        <f>G148+'5'!H148</f>
        <v>1756.3200000000652</v>
      </c>
      <c r="I148" s="124"/>
      <c r="J148" s="328">
        <f>H148/DAY(B2)</f>
        <v>292.72000000001088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'5'!F149</f>
        <v>26992.48</v>
      </c>
      <c r="F149" s="146">
        <v>27603.7</v>
      </c>
      <c r="G149" s="112">
        <f t="shared" si="11"/>
        <v>611.22000000000116</v>
      </c>
      <c r="H149" s="99">
        <f>G149+'5'!H149</f>
        <v>2925.5</v>
      </c>
      <c r="I149" s="119"/>
      <c r="J149" s="328">
        <f>H149/DAY(B2)</f>
        <v>487.58333333333331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'5'!F150</f>
        <v>11954.23</v>
      </c>
      <c r="F150" s="233">
        <v>12187.24</v>
      </c>
      <c r="G150" s="112">
        <f t="shared" si="11"/>
        <v>233.01000000000022</v>
      </c>
      <c r="H150" s="99">
        <f>G150+'5'!H150</f>
        <v>1336.4099999999999</v>
      </c>
      <c r="I150" s="119"/>
      <c r="J150" s="328">
        <f>H150/DAY(B2)</f>
        <v>222.73499999999999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'5'!F151</f>
        <v>86728</v>
      </c>
      <c r="F151" s="233">
        <v>86969</v>
      </c>
      <c r="G151" s="112">
        <f t="shared" si="11"/>
        <v>241</v>
      </c>
      <c r="H151" s="99">
        <f>G151+'5'!H151</f>
        <v>1489</v>
      </c>
      <c r="I151" s="119"/>
      <c r="J151" s="328">
        <f>H151/DAY(B2)</f>
        <v>248.16666666666666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'5'!F152</f>
        <v>1877.92</v>
      </c>
      <c r="F152" s="233">
        <v>1937.24</v>
      </c>
      <c r="G152" s="112">
        <f t="shared" si="11"/>
        <v>59.319999999999936</v>
      </c>
      <c r="H152" s="99">
        <f>G152+'5'!H152</f>
        <v>277.24</v>
      </c>
      <c r="I152" s="119"/>
      <c r="J152" s="328">
        <f>H152/DAY(B2)</f>
        <v>46.206666666666671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2926.4300000000567</v>
      </c>
      <c r="H153" s="363"/>
      <c r="I153" s="119">
        <f>G153-(G38+G52)</f>
        <v>1011.4000000000578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'5'!F155</f>
        <v>35756.65</v>
      </c>
      <c r="F155" s="374">
        <v>36477.51</v>
      </c>
      <c r="G155" s="112">
        <f t="shared" ref="G155:G156" si="12">F155-E155</f>
        <v>720.86000000000058</v>
      </c>
      <c r="H155" s="99">
        <f>G155+'5'!H155</f>
        <v>3532.510000000002</v>
      </c>
      <c r="I155" s="364"/>
      <c r="J155" s="328">
        <f>H155/DAY(B2)</f>
        <v>588.75166666666701</v>
      </c>
    </row>
    <row r="156" spans="1:10" ht="27.75" x14ac:dyDescent="0.5">
      <c r="A156" s="851" t="s">
        <v>346</v>
      </c>
      <c r="B156" s="851"/>
      <c r="C156" s="851"/>
      <c r="D156" s="117" t="s">
        <v>130</v>
      </c>
      <c r="E156" s="95">
        <f>'5'!F156</f>
        <v>2992.7</v>
      </c>
      <c r="F156" s="155">
        <v>3047.12</v>
      </c>
      <c r="G156" s="112">
        <f t="shared" si="12"/>
        <v>54.420000000000073</v>
      </c>
      <c r="H156" s="99">
        <f>G156+'5'!H156</f>
        <v>259.11999999999989</v>
      </c>
      <c r="I156" s="165"/>
      <c r="J156" s="328">
        <f>H156/DAY(B2)</f>
        <v>43.186666666666646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35"/>
      <c r="B159" s="936"/>
      <c r="C159" s="93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472322</v>
      </c>
      <c r="F161" s="235">
        <v>472353.84</v>
      </c>
      <c r="G161" s="238">
        <f t="shared" ref="G161:G165" si="13">F161-E161</f>
        <v>31.840000000025611</v>
      </c>
      <c r="H161" s="99">
        <f>G161+'5'!H161</f>
        <v>300.28000000002794</v>
      </c>
      <c r="I161" s="236"/>
      <c r="J161" s="239">
        <f>H161/DAY(B2)</f>
        <v>50.046666666671321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88704.2</v>
      </c>
      <c r="F162" s="235">
        <v>88722.3</v>
      </c>
      <c r="G162" s="238">
        <f t="shared" si="13"/>
        <v>18.100000000005821</v>
      </c>
      <c r="H162" s="99">
        <f>G162+'5'!H162</f>
        <v>205.90000000000873</v>
      </c>
      <c r="I162" s="236"/>
      <c r="J162" s="239">
        <f>H162/DAY(B2)</f>
        <v>34.316666666668119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79385.2</v>
      </c>
      <c r="F163" s="235">
        <v>79418.8</v>
      </c>
      <c r="G163" s="238">
        <f t="shared" si="13"/>
        <v>33.600000000005821</v>
      </c>
      <c r="H163" s="99">
        <f>G163+'5'!H163</f>
        <v>198.69999999999709</v>
      </c>
      <c r="I163" s="236"/>
      <c r="J163" s="239">
        <f>H163/DAY(B2)</f>
        <v>33.116666666666184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4323.7</v>
      </c>
      <c r="F164" s="235">
        <v>4324.7</v>
      </c>
      <c r="G164" s="238">
        <f t="shared" si="13"/>
        <v>1</v>
      </c>
      <c r="H164" s="99">
        <f>G164+'5'!H164</f>
        <v>4.6999999999998181</v>
      </c>
      <c r="I164" s="236"/>
      <c r="J164" s="239">
        <f>H164/DAY(B2)</f>
        <v>0.78333333333330302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29900.66</v>
      </c>
      <c r="F165" s="235">
        <v>29906.28</v>
      </c>
      <c r="G165" s="238">
        <f t="shared" si="13"/>
        <v>5.6199999999989814</v>
      </c>
      <c r="H165" s="99">
        <f>G165+'5'!H165</f>
        <v>49.029999999998836</v>
      </c>
      <c r="I165" s="236"/>
      <c r="J165" s="239">
        <f>H165/DAY(B2)</f>
        <v>8.1716666666664732</v>
      </c>
    </row>
    <row r="166" spans="1:10" ht="29.25" x14ac:dyDescent="0.5">
      <c r="A166" s="860"/>
      <c r="B166" s="860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'5'!F173</f>
        <v>8126</v>
      </c>
      <c r="F173" s="155">
        <v>8126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'5'!F174</f>
        <v>38676</v>
      </c>
      <c r="F174" s="157">
        <v>38692</v>
      </c>
      <c r="G174" s="155">
        <f t="shared" ref="G174:G175" si="14">F174-E174</f>
        <v>16</v>
      </c>
      <c r="H174" s="99">
        <f>G174+'5'!H174</f>
        <v>77</v>
      </c>
      <c r="I174" s="155"/>
      <c r="J174" s="178">
        <f>H174/DAY(B2)</f>
        <v>12.833333333333334</v>
      </c>
    </row>
    <row r="175" spans="1:10" ht="27.75" x14ac:dyDescent="0.5">
      <c r="A175" s="864" t="s">
        <v>76</v>
      </c>
      <c r="B175" s="904"/>
      <c r="C175" s="865"/>
      <c r="D175" s="228" t="s">
        <v>142</v>
      </c>
      <c r="E175" s="95">
        <f>'5'!F175</f>
        <v>21862</v>
      </c>
      <c r="F175" s="155">
        <v>21873</v>
      </c>
      <c r="G175" s="155">
        <f t="shared" si="14"/>
        <v>11</v>
      </c>
      <c r="H175" s="99">
        <f>G175+'5'!H175</f>
        <v>60</v>
      </c>
      <c r="I175" s="155"/>
      <c r="J175" s="178">
        <f>H175/DAY(B2)</f>
        <v>10</v>
      </c>
    </row>
    <row r="176" spans="1:10" ht="27.75" x14ac:dyDescent="0.5">
      <c r="A176" s="589" t="s">
        <v>196</v>
      </c>
      <c r="B176" s="590"/>
      <c r="C176" s="333"/>
      <c r="D176" s="228"/>
      <c r="E176" s="95">
        <f>'5'!F176</f>
        <v>0</v>
      </c>
      <c r="F176" s="155"/>
      <c r="G176" s="155">
        <f>SUM(G173:G175)</f>
        <v>27</v>
      </c>
      <c r="H176" s="99">
        <f>G176+'5'!H176</f>
        <v>137</v>
      </c>
      <c r="I176" s="155"/>
      <c r="J176" s="178">
        <f>H176/DAY(B2)</f>
        <v>22.833333333333332</v>
      </c>
    </row>
    <row r="177" spans="1:10" ht="27.75" x14ac:dyDescent="0.5">
      <c r="A177" s="864" t="s">
        <v>77</v>
      </c>
      <c r="B177" s="865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864" t="s">
        <v>210</v>
      </c>
      <c r="B178" s="865"/>
      <c r="C178" s="333"/>
      <c r="D178" s="228" t="s">
        <v>142</v>
      </c>
      <c r="E178" s="95">
        <f>'5'!F178</f>
        <v>81608</v>
      </c>
      <c r="F178" s="155">
        <v>81649</v>
      </c>
      <c r="G178" s="155">
        <f>F178-E178</f>
        <v>41</v>
      </c>
      <c r="H178" s="99">
        <f>G178+'5'!H178</f>
        <v>334</v>
      </c>
      <c r="I178" s="155"/>
      <c r="J178" s="178">
        <f>H178/DAY(B2)</f>
        <v>55.666666666666664</v>
      </c>
    </row>
    <row r="179" spans="1:10" ht="27.75" x14ac:dyDescent="0.5">
      <c r="A179" s="864" t="s">
        <v>211</v>
      </c>
      <c r="B179" s="865"/>
      <c r="C179" s="333"/>
      <c r="D179" s="228" t="s">
        <v>142</v>
      </c>
      <c r="E179" s="95">
        <f>'5'!F179</f>
        <v>34958</v>
      </c>
      <c r="F179" s="155">
        <v>35028</v>
      </c>
      <c r="G179" s="155">
        <f t="shared" ref="G179:G180" si="15">F179-E179</f>
        <v>70</v>
      </c>
      <c r="H179" s="99">
        <f>G179+'5'!H179</f>
        <v>225</v>
      </c>
      <c r="I179" s="155"/>
      <c r="J179" s="178">
        <f>H179/DAY(B2)</f>
        <v>37.5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'5'!F180</f>
        <v>5748</v>
      </c>
      <c r="F180" s="155">
        <v>5748</v>
      </c>
      <c r="G180" s="155">
        <f t="shared" si="15"/>
        <v>0</v>
      </c>
      <c r="H180" s="99">
        <f>G180+'5'!H180</f>
        <v>46</v>
      </c>
      <c r="I180" s="155"/>
      <c r="J180" s="178">
        <f>H180/DAY(B2)</f>
        <v>7.666666666666667</v>
      </c>
    </row>
    <row r="181" spans="1:10" ht="27.75" x14ac:dyDescent="0.5">
      <c r="A181" s="866" t="s">
        <v>108</v>
      </c>
      <c r="B181" s="867"/>
      <c r="C181" s="333"/>
      <c r="D181" s="228"/>
      <c r="E181" s="95">
        <f>'5'!F181</f>
        <v>0</v>
      </c>
      <c r="F181" s="155"/>
      <c r="G181" s="155">
        <f>SUM(G178:G180)</f>
        <v>111</v>
      </c>
      <c r="H181" s="99">
        <f>G181+'5'!H181</f>
        <v>605</v>
      </c>
      <c r="I181" s="155"/>
      <c r="J181" s="178">
        <f>H181/DAY(B2)</f>
        <v>100.83333333333333</v>
      </c>
    </row>
    <row r="182" spans="1:10" ht="27.75" x14ac:dyDescent="0.5">
      <c r="A182" s="864" t="s">
        <v>213</v>
      </c>
      <c r="B182" s="865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'5'!F183</f>
        <v>15407</v>
      </c>
      <c r="F183" s="157">
        <v>15421</v>
      </c>
      <c r="G183" s="157">
        <f>F183-E183</f>
        <v>14</v>
      </c>
      <c r="H183" s="99">
        <f>G183+'5'!H183</f>
        <v>76</v>
      </c>
      <c r="I183" s="155"/>
      <c r="J183" s="178">
        <f>H183/DAY(B2)</f>
        <v>12.666666666666666</v>
      </c>
    </row>
    <row r="184" spans="1:10" ht="27.75" x14ac:dyDescent="0.5">
      <c r="A184" s="864" t="s">
        <v>215</v>
      </c>
      <c r="B184" s="865"/>
      <c r="C184" s="334"/>
      <c r="D184" s="228" t="s">
        <v>142</v>
      </c>
      <c r="E184" s="95">
        <f>'5'!F184</f>
        <v>10553</v>
      </c>
      <c r="F184" s="157">
        <v>10561</v>
      </c>
      <c r="G184" s="157">
        <f t="shared" ref="G184:G185" si="16">F184-E184</f>
        <v>8</v>
      </c>
      <c r="H184" s="99">
        <f>G184+'5'!H184</f>
        <v>43</v>
      </c>
      <c r="I184" s="155"/>
      <c r="J184" s="178">
        <f>H184/DAY(B2)</f>
        <v>7.166666666666667</v>
      </c>
    </row>
    <row r="185" spans="1:10" ht="27.75" x14ac:dyDescent="0.5">
      <c r="A185" s="864" t="s">
        <v>216</v>
      </c>
      <c r="B185" s="865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855" t="s">
        <v>196</v>
      </c>
      <c r="B186" s="856"/>
      <c r="C186" s="334"/>
      <c r="D186" s="229"/>
      <c r="E186" s="95"/>
      <c r="F186" s="157"/>
      <c r="G186" s="157">
        <f>SUM(G183:G185)</f>
        <v>22</v>
      </c>
      <c r="H186" s="99">
        <f>G186+'5'!H186</f>
        <v>119</v>
      </c>
      <c r="I186" s="157"/>
      <c r="J186" s="178">
        <f>H186/DAY(B2)</f>
        <v>19.833333333333332</v>
      </c>
    </row>
    <row r="187" spans="1:10" ht="27.75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460">
        <f>G62+G19</f>
        <v>198</v>
      </c>
      <c r="H187" s="99">
        <f>G187+'5'!H187</f>
        <v>931</v>
      </c>
      <c r="I187" s="158"/>
      <c r="J187" s="179">
        <f>H187/DAY(B2)</f>
        <v>155.16666666666666</v>
      </c>
    </row>
    <row r="188" spans="1:10" ht="27.75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187</v>
      </c>
      <c r="H188" s="99">
        <f>G188+'5'!H188</f>
        <v>949</v>
      </c>
      <c r="I188" s="158"/>
      <c r="J188" s="179">
        <f>H188/DAY(B2)</f>
        <v>158.16666666666666</v>
      </c>
    </row>
    <row r="189" spans="1:10" ht="27.75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457">
        <f>G181</f>
        <v>111</v>
      </c>
      <c r="H189" s="99">
        <f>G189+'5'!H189</f>
        <v>605</v>
      </c>
      <c r="I189" s="158"/>
      <c r="J189" s="179">
        <f>H189/DAY(B2)</f>
        <v>100.83333333333333</v>
      </c>
    </row>
    <row r="190" spans="1:10" ht="27.75" x14ac:dyDescent="0.5">
      <c r="A190" s="778"/>
      <c r="B190" s="779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115" zoomScale="60" zoomScaleNormal="77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356</v>
      </c>
      <c r="B2" s="262">
        <v>44599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765034.55</v>
      </c>
      <c r="F7" s="95">
        <v>786589.27</v>
      </c>
      <c r="G7" s="112">
        <f>F7-E7</f>
        <v>21554.719999999972</v>
      </c>
      <c r="H7" s="99">
        <f>G7+'6'!H7</f>
        <v>135409.04000000004</v>
      </c>
      <c r="I7" s="113">
        <f>'1'!I7</f>
        <v>12000</v>
      </c>
      <c r="J7" s="175">
        <f>H7/DAY(B2)</f>
        <v>19344.148571428577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823619.67</v>
      </c>
      <c r="F8" s="114">
        <v>845323.91</v>
      </c>
      <c r="G8" s="115">
        <f>F8-E8</f>
        <v>21704.239999999991</v>
      </c>
      <c r="H8" s="99">
        <f>G8+'6'!H8</f>
        <v>136775.76</v>
      </c>
      <c r="I8" s="116"/>
      <c r="J8" s="175">
        <f>H8/DAY(B2)</f>
        <v>19539.394285714287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359986.51</v>
      </c>
      <c r="F9" s="117">
        <v>375444.15</v>
      </c>
      <c r="G9" s="112">
        <f>F9-E9</f>
        <v>15457.640000000014</v>
      </c>
      <c r="H9" s="99">
        <f>G9+'6'!H9</f>
        <v>93190.300000000047</v>
      </c>
      <c r="I9" s="124">
        <f>I7-J7</f>
        <v>-7344.1485714285773</v>
      </c>
      <c r="J9" s="175">
        <f>H9/DAY(B2)</f>
        <v>13312.900000000007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138225.72</v>
      </c>
      <c r="F10" s="117">
        <v>143734.95000000001</v>
      </c>
      <c r="G10" s="112">
        <f t="shared" ref="G10:G12" si="0">F10-E10</f>
        <v>5509.2300000000105</v>
      </c>
      <c r="H10" s="99">
        <f>G10+'6'!H10</f>
        <v>38475.98000000001</v>
      </c>
      <c r="I10" s="282"/>
      <c r="J10" s="175">
        <f>H10/DAY(B2)</f>
        <v>5496.5685714285728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37170</v>
      </c>
      <c r="F11" s="95">
        <v>37170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20966.870000000024</v>
      </c>
      <c r="H13" s="99">
        <f>G13+'6'!H13</f>
        <v>114911.85000000002</v>
      </c>
      <c r="I13" s="120">
        <f>G7-G13</f>
        <v>587.84999999994761</v>
      </c>
      <c r="J13" s="175">
        <f>H13/DAY(B2)</f>
        <v>16415.978571428575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'6'!F15</f>
        <v>1912646.14</v>
      </c>
      <c r="F15" s="123">
        <v>1913676.82</v>
      </c>
      <c r="G15" s="112">
        <f>(F15-E15)</f>
        <v>1030.6800000001676</v>
      </c>
      <c r="H15" s="99">
        <f>G15+'6'!H15</f>
        <v>7040.0530000000726</v>
      </c>
      <c r="I15" s="113">
        <f>'1'!I15</f>
        <v>800</v>
      </c>
      <c r="J15" s="175">
        <f>H15/DAY(B2)</f>
        <v>1005.7218571428675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-205.72185714286752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'6'!F18</f>
        <v>22</v>
      </c>
      <c r="F18" s="122">
        <v>19</v>
      </c>
      <c r="G18" s="119">
        <f>F18*10</f>
        <v>190</v>
      </c>
      <c r="H18" s="99">
        <f>G18+'6'!H18</f>
        <v>1370</v>
      </c>
      <c r="I18" s="113">
        <f>'1'!I18</f>
        <v>65</v>
      </c>
      <c r="J18" s="175">
        <f>H18/DAY(B2)</f>
        <v>195.71428571428572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'6'!F19</f>
        <v>154192</v>
      </c>
      <c r="F19" s="122">
        <v>154244</v>
      </c>
      <c r="G19" s="112">
        <f t="shared" ref="G19" si="1">F19-E19</f>
        <v>52</v>
      </c>
      <c r="H19" s="99">
        <f>G19+'6'!H19</f>
        <v>353</v>
      </c>
      <c r="I19" s="335"/>
      <c r="J19" s="175">
        <f>H19/DAY(B2)</f>
        <v>50.428571428571431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242</v>
      </c>
      <c r="H20" s="99">
        <f>G20+'6'!H20</f>
        <v>1723</v>
      </c>
      <c r="I20" s="336">
        <f>I18-J20</f>
        <v>-181.14285714285714</v>
      </c>
      <c r="J20" s="175">
        <f>H20/DAY(B2)</f>
        <v>246.14285714285714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21704.239999999991</v>
      </c>
      <c r="F27" s="136">
        <v>9</v>
      </c>
      <c r="G27" s="137">
        <f>E27*F27</f>
        <v>195338.15999999992</v>
      </c>
      <c r="H27" s="99">
        <f>G27+'6'!H27</f>
        <v>1230981.8400000001</v>
      </c>
      <c r="I27" s="138"/>
      <c r="J27" s="175">
        <f>H27/DAY(B2)</f>
        <v>175854.54857142858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1030.6800000001676</v>
      </c>
      <c r="F28" s="136">
        <v>52</v>
      </c>
      <c r="G28" s="137">
        <f>E28*F28</f>
        <v>53595.360000008717</v>
      </c>
      <c r="H28" s="99">
        <f>G28+'6'!H28</f>
        <v>366082.75600000378</v>
      </c>
      <c r="I28" s="140"/>
      <c r="J28" s="175">
        <f>H28/DAY(B2)</f>
        <v>52297.536571429111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G30+'6'!H30</f>
        <v>51538</v>
      </c>
      <c r="I30" s="140"/>
      <c r="J30" s="175">
        <f>H30/DAY(B2)</f>
        <v>7362.5714285714284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G31+'6'!H31</f>
        <v>109600</v>
      </c>
      <c r="I31" s="140"/>
      <c r="J31" s="175">
        <f>H31/DAY(B2)</f>
        <v>15657.142857142857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271725.52000000863</v>
      </c>
      <c r="H32" s="99">
        <f>G32+'6'!H32</f>
        <v>1758202.5960000039</v>
      </c>
      <c r="I32" s="144"/>
      <c r="J32" s="175">
        <f>H32/DAY(B2)</f>
        <v>251171.79942857198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40508.78</v>
      </c>
      <c r="F35" s="145">
        <v>42175.199999999997</v>
      </c>
      <c r="G35" s="112">
        <f t="shared" ref="G35:G46" si="3">F35-E35</f>
        <v>1666.4199999999983</v>
      </c>
      <c r="H35" s="99">
        <f>G35+'6'!H35</f>
        <v>10170.219999999998</v>
      </c>
      <c r="I35" s="95"/>
      <c r="J35" s="175">
        <f>H35/DAY(B2)</f>
        <v>1452.8885714285711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49033.99</v>
      </c>
      <c r="F36" s="145">
        <v>49874.559999999998</v>
      </c>
      <c r="G36" s="112">
        <f t="shared" si="3"/>
        <v>840.56999999999971</v>
      </c>
      <c r="H36" s="99">
        <f>G36+'6'!H36</f>
        <v>6415.82</v>
      </c>
      <c r="I36" s="95"/>
      <c r="J36" s="175">
        <f>H36/DAY(B2)</f>
        <v>916.54571428571421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45022.09</v>
      </c>
      <c r="F37" s="145">
        <v>46680.93</v>
      </c>
      <c r="G37" s="112">
        <f t="shared" si="3"/>
        <v>1658.8400000000038</v>
      </c>
      <c r="H37" s="99">
        <f>G37+'6'!H37</f>
        <v>11255.840000000004</v>
      </c>
      <c r="I37" s="95"/>
      <c r="J37" s="175">
        <f>H37/DAY(B2)</f>
        <v>1607.9771428571435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49136.58</v>
      </c>
      <c r="F38" s="108">
        <v>51154.32</v>
      </c>
      <c r="G38" s="112">
        <f t="shared" si="3"/>
        <v>2017.739999999998</v>
      </c>
      <c r="H38" s="99">
        <f>G38+'6'!H38</f>
        <v>12777.89</v>
      </c>
      <c r="I38" s="95"/>
      <c r="J38" s="175">
        <f>H38/DAY(B2)</f>
        <v>1825.4128571428571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75254.22</v>
      </c>
      <c r="F39" s="145">
        <v>78320.710000000006</v>
      </c>
      <c r="G39" s="112">
        <f t="shared" si="3"/>
        <v>3066.4900000000052</v>
      </c>
      <c r="H39" s="99">
        <f>G39+'6'!H39</f>
        <v>19147.420000000006</v>
      </c>
      <c r="I39" s="95"/>
      <c r="J39" s="175">
        <f>H39/DAY(B2)</f>
        <v>2735.3457142857151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23922.09</v>
      </c>
      <c r="F40" s="145">
        <v>24204.77</v>
      </c>
      <c r="G40" s="112">
        <f t="shared" si="3"/>
        <v>282.68000000000029</v>
      </c>
      <c r="H40" s="99">
        <f>G40+'6'!H40</f>
        <v>2087.7799999999979</v>
      </c>
      <c r="I40" s="95"/>
      <c r="J40" s="175">
        <f>H40/DAY(B2)</f>
        <v>298.2542857142854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62.73</v>
      </c>
      <c r="F41" s="145">
        <v>62.73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106500.89</v>
      </c>
      <c r="F42" s="145">
        <v>109069.15</v>
      </c>
      <c r="G42" s="112">
        <f t="shared" si="3"/>
        <v>2568.2599999999948</v>
      </c>
      <c r="H42" s="99">
        <f>G42+'6'!H42</f>
        <v>8939.4099999999889</v>
      </c>
      <c r="I42" s="95"/>
      <c r="J42" s="175">
        <f>H42/DAY(B2)</f>
        <v>1277.0585714285698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127758.65</v>
      </c>
      <c r="F43" s="145">
        <v>129967.33</v>
      </c>
      <c r="G43" s="112">
        <f t="shared" si="3"/>
        <v>2208.6800000000076</v>
      </c>
      <c r="H43" s="99">
        <f>G43+'6'!H43</f>
        <v>15115.729999999996</v>
      </c>
      <c r="I43" s="95"/>
      <c r="J43" s="175">
        <f>H43/DAY(B2)</f>
        <v>2159.3899999999994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14309.680000000008</v>
      </c>
      <c r="H47" s="99">
        <f>G47+'6'!H47</f>
        <v>85910.11</v>
      </c>
      <c r="I47" s="95"/>
      <c r="J47" s="175">
        <f>H47/DAY(B2)</f>
        <v>12272.872857142856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32206.86</v>
      </c>
      <c r="F49" s="145">
        <v>33640.78</v>
      </c>
      <c r="G49" s="112">
        <f t="shared" ref="G49:G58" si="4">F49-E49</f>
        <v>1433.9199999999983</v>
      </c>
      <c r="H49" s="99">
        <f>G49+'6'!H49</f>
        <v>8644.59</v>
      </c>
      <c r="I49" s="95"/>
      <c r="J49" s="175">
        <f>H49/DAY(B2)</f>
        <v>1234.9414285714286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63332.24</v>
      </c>
      <c r="F50" s="145">
        <v>64747.86</v>
      </c>
      <c r="G50" s="112">
        <f t="shared" si="4"/>
        <v>1415.6200000000026</v>
      </c>
      <c r="H50" s="99">
        <f>G50+'6'!H50</f>
        <v>8361.2300000000032</v>
      </c>
      <c r="I50" s="95"/>
      <c r="J50" s="175">
        <f>H50/DAY(B2)</f>
        <v>1194.461428571429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7454.88</v>
      </c>
      <c r="F54" s="145">
        <v>7989.84</v>
      </c>
      <c r="G54" s="112">
        <f t="shared" si="4"/>
        <v>534.96</v>
      </c>
      <c r="H54" s="99">
        <f>G54+'6'!H54</f>
        <v>2842.42</v>
      </c>
      <c r="I54" s="95"/>
      <c r="J54" s="175">
        <f>H54/DAY(B2)</f>
        <v>406.06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88263.98</v>
      </c>
      <c r="F55" s="145">
        <v>90154.47</v>
      </c>
      <c r="G55" s="112">
        <f t="shared" si="4"/>
        <v>1890.4900000000052</v>
      </c>
      <c r="H55" s="99">
        <f>G55+'6'!H55</f>
        <v>15788.36</v>
      </c>
      <c r="I55" s="95"/>
      <c r="J55" s="175">
        <f>H55/DAY(B2)</f>
        <v>2255.48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8723.6299999999992</v>
      </c>
      <c r="F56" s="145">
        <v>8723.6299999999992</v>
      </c>
      <c r="G56" s="112">
        <f t="shared" si="4"/>
        <v>0</v>
      </c>
      <c r="H56" s="99">
        <f>G56+'6'!H56</f>
        <v>113.08999999999833</v>
      </c>
      <c r="I56" s="95"/>
      <c r="J56" s="175">
        <f>H56/DAY(B2)</f>
        <v>16.155714285714048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6056.61</v>
      </c>
      <c r="F58" s="145">
        <v>6251.99</v>
      </c>
      <c r="G58" s="112">
        <f t="shared" si="4"/>
        <v>195.38000000000011</v>
      </c>
      <c r="H58" s="99">
        <f>G58+'6'!H58</f>
        <v>1455.7799999999997</v>
      </c>
      <c r="I58" s="95"/>
      <c r="J58" s="175">
        <f>H58/DAY(B2)</f>
        <v>207.96857142857138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5470.3700000000063</v>
      </c>
      <c r="H59" s="99">
        <f>G59+'6'!H59</f>
        <v>37205.47</v>
      </c>
      <c r="I59" s="95">
        <f>G7-G60</f>
        <v>1774.6699999999582</v>
      </c>
      <c r="J59" s="175">
        <f>H59/DAY(B2)</f>
        <v>5315.0671428571432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19780.050000000014</v>
      </c>
      <c r="H60" s="99">
        <f>G60+'6'!H60</f>
        <v>123115.57999999999</v>
      </c>
      <c r="I60" s="95">
        <f>G13-G60</f>
        <v>1186.8200000000106</v>
      </c>
      <c r="J60" s="175">
        <f>H60/DAY(B2)</f>
        <v>17587.939999999999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'6'!F62</f>
        <v>270146</v>
      </c>
      <c r="F62" s="122">
        <v>270288</v>
      </c>
      <c r="G62" s="112">
        <f t="shared" ref="G62:G63" si="5">F62-E62</f>
        <v>142</v>
      </c>
      <c r="H62" s="99">
        <f>G62+'6'!H62</f>
        <v>772</v>
      </c>
      <c r="I62" s="118"/>
      <c r="J62" s="175">
        <f>H62/DAY(B2)</f>
        <v>110.28571428571429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'6'!F63</f>
        <v>216616</v>
      </c>
      <c r="F63" s="122">
        <v>216740</v>
      </c>
      <c r="G63" s="112">
        <f t="shared" si="5"/>
        <v>124</v>
      </c>
      <c r="H63" s="99">
        <f>G63+'6'!H63</f>
        <v>943</v>
      </c>
      <c r="I63" s="118"/>
      <c r="J63" s="175">
        <f>H63/DAY(B2)</f>
        <v>134.71428571428572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'6'!F64</f>
        <v>0</v>
      </c>
      <c r="F64" s="122"/>
      <c r="G64" s="112">
        <f>G62+G63</f>
        <v>266</v>
      </c>
      <c r="H64" s="99">
        <f>G64+'6'!H64</f>
        <v>1715</v>
      </c>
      <c r="I64" s="118"/>
      <c r="J64" s="175">
        <f>H64/DAY(B2)</f>
        <v>245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'6'!F65</f>
        <v>435456</v>
      </c>
      <c r="F65" s="122">
        <v>435552</v>
      </c>
      <c r="G65" s="112">
        <f t="shared" ref="G65:G70" si="6">F65-E65</f>
        <v>96</v>
      </c>
      <c r="H65" s="99">
        <f>G65+'6'!H65</f>
        <v>629</v>
      </c>
      <c r="I65" s="118"/>
      <c r="J65" s="175">
        <f>H65/DAY(B2)</f>
        <v>89.857142857142861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'6'!F66</f>
        <v>107906</v>
      </c>
      <c r="F66" s="122">
        <v>107927</v>
      </c>
      <c r="G66" s="112">
        <f t="shared" si="6"/>
        <v>21</v>
      </c>
      <c r="H66" s="99">
        <f>G66+'6'!H66</f>
        <v>184</v>
      </c>
      <c r="I66" s="118"/>
      <c r="J66" s="175">
        <f>H66/DAY(B2)</f>
        <v>26.285714285714285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'6'!F67</f>
        <v>104784</v>
      </c>
      <c r="F67" s="150">
        <v>104814</v>
      </c>
      <c r="G67" s="112">
        <f t="shared" si="6"/>
        <v>30</v>
      </c>
      <c r="H67" s="99">
        <f>G67+'6'!H67</f>
        <v>166</v>
      </c>
      <c r="I67" s="118"/>
      <c r="J67" s="175">
        <f>H67/DAY(B2)</f>
        <v>23.714285714285715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'6'!F68</f>
        <v>157911</v>
      </c>
      <c r="F68" s="122">
        <v>157954</v>
      </c>
      <c r="G68" s="112">
        <f t="shared" si="6"/>
        <v>43</v>
      </c>
      <c r="H68" s="99">
        <f>G68+'6'!H68</f>
        <v>257</v>
      </c>
      <c r="I68" s="118"/>
      <c r="J68" s="175">
        <f>H68/DAY(B2)</f>
        <v>36.714285714285715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'6'!F69</f>
        <v>10604</v>
      </c>
      <c r="F69" s="122">
        <v>10619</v>
      </c>
      <c r="G69" s="112">
        <f t="shared" si="6"/>
        <v>15</v>
      </c>
      <c r="H69" s="99">
        <f>G69+'6'!H69</f>
        <v>78</v>
      </c>
      <c r="I69" s="118"/>
      <c r="J69" s="175">
        <f>H69/DAY(B2)</f>
        <v>11.142857142857142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'6'!F70</f>
        <v>8174</v>
      </c>
      <c r="F70" s="150">
        <v>8197</v>
      </c>
      <c r="G70" s="112">
        <f t="shared" si="6"/>
        <v>23</v>
      </c>
      <c r="H70" s="99">
        <f>G70+'6'!H70</f>
        <v>77</v>
      </c>
      <c r="I70" s="118"/>
      <c r="J70" s="175">
        <f>H70/DAY(B2)</f>
        <v>11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228</v>
      </c>
      <c r="H71" s="99">
        <f>G71+'6'!H71</f>
        <v>1391</v>
      </c>
      <c r="I71" s="154"/>
      <c r="J71" s="175">
        <f>H71/DAY(B2)</f>
        <v>198.71428571428572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'6'!F74</f>
        <v>903127.82</v>
      </c>
      <c r="F74" s="123">
        <v>903429.48</v>
      </c>
      <c r="G74" s="112">
        <f t="shared" ref="G74:G78" si="7">F74-E74</f>
        <v>301.6600000000326</v>
      </c>
      <c r="H74" s="99">
        <f>G74+'6'!H74</f>
        <v>2123.3310000000056</v>
      </c>
      <c r="I74" s="154"/>
      <c r="J74" s="175">
        <f>H74/DAY(B2)</f>
        <v>303.33300000000082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'6'!F76</f>
        <v>170697.91</v>
      </c>
      <c r="F76" s="123">
        <v>170796.4</v>
      </c>
      <c r="G76" s="112">
        <f t="shared" si="7"/>
        <v>98.489999999990687</v>
      </c>
      <c r="H76" s="99">
        <f>G76+'6'!H76</f>
        <v>821.39999999999418</v>
      </c>
      <c r="I76" s="154"/>
      <c r="J76" s="175">
        <f>H76/DAY(B2)</f>
        <v>117.34285714285632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'6'!F77</f>
        <v>41580.699999999997</v>
      </c>
      <c r="F77" s="123">
        <v>41636.6</v>
      </c>
      <c r="G77" s="112">
        <f t="shared" si="7"/>
        <v>55.900000000001455</v>
      </c>
      <c r="H77" s="99">
        <f>G77+'6'!H77</f>
        <v>334.40000000000146</v>
      </c>
      <c r="I77" s="154"/>
      <c r="J77" s="175">
        <f>H77/DAY(B2)</f>
        <v>47.771428571428778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'6'!F78</f>
        <v>9525.1</v>
      </c>
      <c r="F78" s="123">
        <v>9526</v>
      </c>
      <c r="G78" s="112">
        <f t="shared" si="7"/>
        <v>0.8999999999996362</v>
      </c>
      <c r="H78" s="99">
        <f>G78+'6'!H78</f>
        <v>10</v>
      </c>
      <c r="I78" s="118"/>
      <c r="J78" s="175">
        <f>H78/DAY(B2)</f>
        <v>1.4285714285714286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'6'!F79</f>
        <v>0</v>
      </c>
      <c r="F79" s="123"/>
      <c r="G79" s="112">
        <f>G15-SUM(G74:G78)</f>
        <v>573.73000000014326</v>
      </c>
      <c r="H79" s="99">
        <f>G79+'6'!H79</f>
        <v>3750.9220000000714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1030.6800000001676</v>
      </c>
      <c r="H80" s="99">
        <f>G80+'6'!H80</f>
        <v>1030.6800000001676</v>
      </c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'6'!F85</f>
        <v>2300.42</v>
      </c>
      <c r="F85" s="164">
        <v>2312.4899999999998</v>
      </c>
      <c r="G85" s="112">
        <f t="shared" si="8"/>
        <v>12.069999999999709</v>
      </c>
      <c r="H85" s="99">
        <f>G85+'6'!H85</f>
        <v>52.069999999999709</v>
      </c>
      <c r="I85" s="118">
        <f>G82+G83+G84+G85</f>
        <v>12.069999999999709</v>
      </c>
      <c r="J85" s="175">
        <f>H85/DAY(B2)</f>
        <v>7.4385714285713869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'6'!F86</f>
        <v>43547</v>
      </c>
      <c r="F86" s="164">
        <v>43560.3</v>
      </c>
      <c r="G86" s="112">
        <f t="shared" si="8"/>
        <v>13.30000000000291</v>
      </c>
      <c r="H86" s="99">
        <f>G86+'6'!H86</f>
        <v>118.30000000000291</v>
      </c>
      <c r="I86" s="118"/>
      <c r="J86" s="175">
        <f>H86/DAY(B2)</f>
        <v>16.900000000000414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'6'!F87</f>
        <v>34599.480000000003</v>
      </c>
      <c r="F87" s="164">
        <v>34599.480000000003</v>
      </c>
      <c r="G87" s="112">
        <f t="shared" si="8"/>
        <v>0</v>
      </c>
      <c r="H87" s="99">
        <f>G87+'6'!H87</f>
        <v>0.98000000000320142</v>
      </c>
      <c r="I87" s="118"/>
      <c r="J87" s="175">
        <f>H87/DAY(B2)</f>
        <v>0.14000000000045734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'6'!F88</f>
        <v>24063.43</v>
      </c>
      <c r="F88" s="164">
        <v>24063.43</v>
      </c>
      <c r="G88" s="112">
        <f t="shared" si="8"/>
        <v>0</v>
      </c>
      <c r="H88" s="99">
        <f>G88+'6'!H88</f>
        <v>0</v>
      </c>
      <c r="I88" s="118">
        <f>G86+G87+G88</f>
        <v>13.30000000000291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'6'!F89</f>
        <v>25949.58</v>
      </c>
      <c r="F89" s="164">
        <v>25959.37</v>
      </c>
      <c r="G89" s="112">
        <f t="shared" si="8"/>
        <v>9.7899999999972351</v>
      </c>
      <c r="H89" s="99">
        <f>G89+'6'!H89</f>
        <v>68.25</v>
      </c>
      <c r="I89" s="118"/>
      <c r="J89" s="175">
        <f>H89/DAY(B2)</f>
        <v>9.75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'6'!F90</f>
        <v>71175.759999999995</v>
      </c>
      <c r="F90" s="164">
        <v>71179.92</v>
      </c>
      <c r="G90" s="112">
        <f t="shared" si="8"/>
        <v>4.1600000000034925</v>
      </c>
      <c r="H90" s="99">
        <f>G90+'6'!H90</f>
        <v>16.599999999991269</v>
      </c>
      <c r="I90" s="118">
        <f>G89+G90</f>
        <v>13.950000000000728</v>
      </c>
      <c r="J90" s="175">
        <f>H90/DAY(B2)</f>
        <v>2.371428571427324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'6'!F91</f>
        <v>3318.58</v>
      </c>
      <c r="F91" s="122">
        <v>3329.68</v>
      </c>
      <c r="G91" s="112">
        <f t="shared" si="8"/>
        <v>11.099999999999909</v>
      </c>
      <c r="H91" s="99">
        <f>G91+'6'!H91</f>
        <v>78.589999999999691</v>
      </c>
      <c r="I91" s="165"/>
      <c r="J91" s="175">
        <f>H91/DAY(B2)</f>
        <v>11.227142857142812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'6'!F92</f>
        <v>5741.07</v>
      </c>
      <c r="F92" s="122">
        <v>5741.07</v>
      </c>
      <c r="G92" s="112">
        <f t="shared" si="8"/>
        <v>0</v>
      </c>
      <c r="H92" s="99">
        <f>G92+'6'!H92</f>
        <v>0</v>
      </c>
      <c r="I92" s="165"/>
      <c r="J92" s="175">
        <f>H92/DAY(B2)</f>
        <v>0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5309.0200000000041</v>
      </c>
      <c r="H94" s="99">
        <f>G94+'6'!H94</f>
        <v>33930.539999999994</v>
      </c>
      <c r="I94" s="118"/>
      <c r="J94" s="175">
        <f>H94/DAY(B2)</f>
        <v>4847.2199999999993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0.24630428973329327</v>
      </c>
      <c r="H95" s="99">
        <f>G95+'6'!H95</f>
        <v>1.7537378187689625</v>
      </c>
      <c r="I95" s="167"/>
      <c r="J95" s="175">
        <f>H95/DAY(B2)</f>
        <v>0.25053397410985179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4458.75</v>
      </c>
      <c r="H96" s="99">
        <f>G96+'6'!H96</f>
        <v>24840.859999999986</v>
      </c>
      <c r="I96" s="118"/>
      <c r="J96" s="175">
        <f>H96/DAY(B2)</f>
        <v>3548.6942857142835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0.20685724518806117</v>
      </c>
      <c r="H97" s="99">
        <f>G97+'6'!H97</f>
        <v>1.2884311240084536</v>
      </c>
      <c r="I97" s="167"/>
      <c r="J97" s="175">
        <f>H97/DAY(B2)</f>
        <v>0.18406158914406481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3066.4900000000052</v>
      </c>
      <c r="H98" s="99">
        <f>G98+'6'!H98</f>
        <v>19147.420000000006</v>
      </c>
      <c r="I98" s="168"/>
      <c r="J98" s="175">
        <f>H98/DAY(B2)</f>
        <v>2735.3457142857151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0.14226535997684076</v>
      </c>
      <c r="H99" s="99">
        <f>G99+'6'!H99</f>
        <v>0.99192469237956504</v>
      </c>
      <c r="I99" s="168"/>
      <c r="J99" s="175">
        <f>H99/DAY(B2)</f>
        <v>0.14170352748279499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2017.739999999998</v>
      </c>
      <c r="H100" s="99">
        <f>G100+'6'!H100</f>
        <v>12777.89</v>
      </c>
      <c r="I100" s="118"/>
      <c r="J100" s="175">
        <f>H100/DAY(B2)</f>
        <v>1825.4128571428571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9.361012344396033E-2</v>
      </c>
      <c r="H101" s="99">
        <f>G101+'6'!H101</f>
        <v>0.66101868416114085</v>
      </c>
      <c r="I101" s="168"/>
      <c r="J101" s="175">
        <f>H101/DAY(B2)</f>
        <v>9.4431240594448698E-2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2256.1900000000023</v>
      </c>
      <c r="H102" s="99">
        <f>G102+'6'!H102</f>
        <v>14777.050000000003</v>
      </c>
      <c r="I102" s="168"/>
      <c r="J102" s="175">
        <f>H102/DAY(B2)</f>
        <v>2111.0071428571432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0.10467266566209189</v>
      </c>
      <c r="H103" s="99">
        <f>G103+'6'!H103</f>
        <v>0.760396021102275</v>
      </c>
      <c r="I103" s="118"/>
      <c r="J103" s="175">
        <f>H103/DAY(B2)</f>
        <v>0.10862800301461072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1658.8400000000038</v>
      </c>
      <c r="H104" s="99">
        <f>G104+'6'!H104</f>
        <v>11255.840000000004</v>
      </c>
      <c r="I104" s="118"/>
      <c r="J104" s="175">
        <f>H104/DAY(B2)</f>
        <v>1607.9771428571435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7.6959478016880106E-2</v>
      </c>
      <c r="H105" s="99">
        <f>G105+'6'!H105</f>
        <v>0.58387955856575946</v>
      </c>
      <c r="I105" s="187"/>
      <c r="J105" s="188">
        <f>H105/DAY(B2)</f>
        <v>8.3411365509394209E-2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'6'!F112</f>
        <v>58512.91</v>
      </c>
      <c r="F112" s="237">
        <v>58586.720000000001</v>
      </c>
      <c r="G112" s="112">
        <f t="shared" ref="G112:G123" si="9">F112-E112</f>
        <v>73.809999999997672</v>
      </c>
      <c r="H112" s="99">
        <f>G112+'6'!H112</f>
        <v>532.72000000000116</v>
      </c>
      <c r="I112" s="165"/>
      <c r="J112" s="328">
        <f>H112/DAY(B2)</f>
        <v>76.102857142857303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'6'!F113</f>
        <v>49229.25</v>
      </c>
      <c r="F113" s="237">
        <v>49699.03</v>
      </c>
      <c r="G113" s="112">
        <f t="shared" si="9"/>
        <v>469.77999999999884</v>
      </c>
      <c r="H113" s="99">
        <f>G113+'6'!H113</f>
        <v>3298.1399999999994</v>
      </c>
      <c r="I113" s="165"/>
      <c r="J113" s="328">
        <f>H113/DAY(B2)</f>
        <v>471.16285714285704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'6'!F114</f>
        <v>34949.370000000003</v>
      </c>
      <c r="F114" s="237">
        <v>35418.1</v>
      </c>
      <c r="G114" s="112">
        <f t="shared" si="9"/>
        <v>468.72999999999593</v>
      </c>
      <c r="H114" s="99">
        <f>G114+'6'!H114</f>
        <v>2258.0999999999985</v>
      </c>
      <c r="I114" s="165"/>
      <c r="J114" s="328">
        <f>H114/DAY(B2)</f>
        <v>322.58571428571406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'6'!F115</f>
        <v>9159.51</v>
      </c>
      <c r="F115" s="237">
        <v>9168.2199999999993</v>
      </c>
      <c r="G115" s="112">
        <f t="shared" si="9"/>
        <v>8.7099999999991269</v>
      </c>
      <c r="H115" s="99">
        <f>G115+'6'!H115</f>
        <v>73.569999999999709</v>
      </c>
      <c r="I115" s="165"/>
      <c r="J115" s="328">
        <f>H115/DAY(B2)</f>
        <v>10.509999999999959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'6'!F116</f>
        <v>271.7</v>
      </c>
      <c r="F116" s="237">
        <v>642.16999999999996</v>
      </c>
      <c r="G116" s="112">
        <f t="shared" si="9"/>
        <v>370.46999999999997</v>
      </c>
      <c r="H116" s="99">
        <f>G116+'6'!H116</f>
        <v>642.16999999999996</v>
      </c>
      <c r="I116" s="165"/>
      <c r="J116" s="328">
        <f>H116/DAY(B2)</f>
        <v>91.738571428571419</v>
      </c>
      <c r="Q116" s="871" t="s">
        <v>311</v>
      </c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'6'!F117</f>
        <v>3720.53</v>
      </c>
      <c r="F117" s="237">
        <v>3869.46</v>
      </c>
      <c r="G117" s="112">
        <f t="shared" si="9"/>
        <v>148.92999999999984</v>
      </c>
      <c r="H117" s="99">
        <f>G117+'6'!H117</f>
        <v>531.51000000000022</v>
      </c>
      <c r="I117" s="165"/>
      <c r="J117" s="328">
        <f>H117/DAY(B2)</f>
        <v>75.930000000000035</v>
      </c>
      <c r="Q117" s="871" t="s">
        <v>312</v>
      </c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'6'!F118</f>
        <v>254422.41</v>
      </c>
      <c r="F118" s="237">
        <v>254777.55</v>
      </c>
      <c r="G118" s="112">
        <f t="shared" si="9"/>
        <v>355.13999999998487</v>
      </c>
      <c r="H118" s="99">
        <f>G118+'6'!H118</f>
        <v>2325.2399999999907</v>
      </c>
      <c r="I118" s="165"/>
      <c r="J118" s="328">
        <f>H118/DAY(B2)</f>
        <v>332.17714285714152</v>
      </c>
      <c r="Q118" s="871" t="s">
        <v>311</v>
      </c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'6'!F119</f>
        <v>260615.69</v>
      </c>
      <c r="F119" s="237">
        <v>261010.07</v>
      </c>
      <c r="G119" s="112">
        <f t="shared" si="9"/>
        <v>394.38000000000466</v>
      </c>
      <c r="H119" s="99">
        <f>G119+'6'!H119</f>
        <v>2861.5200000000186</v>
      </c>
      <c r="I119" s="165"/>
      <c r="J119" s="328">
        <f>H119/DAY(B2)</f>
        <v>408.78857142857407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'6'!F120</f>
        <v>45456.18</v>
      </c>
      <c r="F120" s="237">
        <v>45877.760000000002</v>
      </c>
      <c r="G120" s="112">
        <f t="shared" si="9"/>
        <v>421.58000000000175</v>
      </c>
      <c r="H120" s="99">
        <f>G120+'6'!H120</f>
        <v>2918.1500000000015</v>
      </c>
      <c r="I120" s="165"/>
      <c r="J120" s="328">
        <f>H120/DAY(B2)</f>
        <v>416.87857142857166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'6'!F121</f>
        <v>402376.51</v>
      </c>
      <c r="F121" s="237">
        <v>403126.07</v>
      </c>
      <c r="G121" s="112">
        <f t="shared" si="9"/>
        <v>749.55999999999767</v>
      </c>
      <c r="H121" s="99">
        <f>G121+'6'!H121</f>
        <v>5091.640000000014</v>
      </c>
      <c r="I121" s="165"/>
      <c r="J121" s="328">
        <f>H121/DAY(B2)</f>
        <v>727.3771428571448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'6'!F122</f>
        <v>127590.82</v>
      </c>
      <c r="F122" s="237">
        <v>127796.37</v>
      </c>
      <c r="G122" s="112">
        <f t="shared" si="9"/>
        <v>205.54999999998836</v>
      </c>
      <c r="H122" s="99">
        <f>G122+'6'!H122</f>
        <v>1610.1900000000023</v>
      </c>
      <c r="I122" s="165"/>
      <c r="J122" s="328">
        <f>H122/DAY(B2)</f>
        <v>230.02714285714319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'6'!F123</f>
        <v>155580.37</v>
      </c>
      <c r="F123" s="237">
        <v>155830.76999999999</v>
      </c>
      <c r="G123" s="112">
        <f t="shared" si="9"/>
        <v>250.39999999999418</v>
      </c>
      <c r="H123" s="99">
        <f>G123+'6'!H123</f>
        <v>1783.8199999999779</v>
      </c>
      <c r="I123" s="165"/>
      <c r="J123" s="328">
        <f>H123/DAY(B2)</f>
        <v>254.83142857142542</v>
      </c>
    </row>
    <row r="124" spans="1:18" ht="29.25" customHeight="1" x14ac:dyDescent="0.5">
      <c r="A124" s="875"/>
      <c r="B124" s="876"/>
      <c r="C124" s="877"/>
      <c r="D124" s="165"/>
      <c r="E124" s="165"/>
      <c r="F124" s="165"/>
      <c r="G124" s="327"/>
      <c r="H124" s="156"/>
      <c r="I124" s="165"/>
      <c r="J124" s="328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3917.0399999999627</v>
      </c>
      <c r="H125" s="156"/>
      <c r="I125" s="327">
        <f>G125-(G39+G53)</f>
        <v>850.54999999995744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'6'!F128</f>
        <v>49562.01</v>
      </c>
      <c r="F128" s="165">
        <v>49874.35</v>
      </c>
      <c r="G128" s="112">
        <f t="shared" ref="G128:G134" si="10">F128-E128</f>
        <v>312.33999999999651</v>
      </c>
      <c r="H128" s="99">
        <f>G128+'6'!H128</f>
        <v>2128.3499999999985</v>
      </c>
      <c r="I128" s="165"/>
      <c r="J128" s="328">
        <f>H128/DAY(B2)</f>
        <v>304.04999999999978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'6'!F129</f>
        <v>28096.99</v>
      </c>
      <c r="F129" s="165">
        <v>28324.45</v>
      </c>
      <c r="G129" s="112">
        <f t="shared" si="10"/>
        <v>227.45999999999913</v>
      </c>
      <c r="H129" s="99">
        <f>G129+'6'!H129</f>
        <v>1413.5800000000017</v>
      </c>
      <c r="I129" s="165"/>
      <c r="J129" s="328">
        <f>H129/DAY(B2)</f>
        <v>201.94000000000025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'6'!F130</f>
        <v>39082.31</v>
      </c>
      <c r="F130" s="165">
        <v>39667.769999999997</v>
      </c>
      <c r="G130" s="112">
        <f t="shared" si="10"/>
        <v>585.45999999999913</v>
      </c>
      <c r="H130" s="99">
        <f>G130+'6'!H130</f>
        <v>3973.7699999999968</v>
      </c>
      <c r="I130" s="165"/>
      <c r="J130" s="328">
        <f>H130/DAY(B2)</f>
        <v>567.68142857142811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'6'!F131</f>
        <v>15721.73</v>
      </c>
      <c r="F131" s="165">
        <v>15813.91</v>
      </c>
      <c r="G131" s="112">
        <f t="shared" si="10"/>
        <v>92.180000000000291</v>
      </c>
      <c r="H131" s="99">
        <f>G131+'6'!H131</f>
        <v>506.22999999999956</v>
      </c>
      <c r="I131" s="165"/>
      <c r="J131" s="328">
        <f>H131/DAY(B2)</f>
        <v>72.31857142857136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'6'!F132</f>
        <v>53675.95</v>
      </c>
      <c r="F132" s="165">
        <v>54117.24</v>
      </c>
      <c r="G132" s="112">
        <f t="shared" si="10"/>
        <v>441.29000000000087</v>
      </c>
      <c r="H132" s="99">
        <f>G132+'6'!H132</f>
        <v>2268.9399999999951</v>
      </c>
      <c r="I132" s="165"/>
      <c r="J132" s="328">
        <f>H132/DAY(B2)</f>
        <v>324.134285714285</v>
      </c>
    </row>
    <row r="133" spans="1:15" ht="27.75" x14ac:dyDescent="0.5">
      <c r="A133" s="871" t="s">
        <v>323</v>
      </c>
      <c r="B133" s="872"/>
      <c r="C133" s="873"/>
      <c r="D133" s="151" t="s">
        <v>183</v>
      </c>
      <c r="E133" s="95">
        <f>'6'!F133</f>
        <v>108975.65</v>
      </c>
      <c r="F133" s="165">
        <v>109652.68</v>
      </c>
      <c r="G133" s="112">
        <f t="shared" si="10"/>
        <v>677.02999999999884</v>
      </c>
      <c r="H133" s="99">
        <f>G133+'6'!H133</f>
        <v>4308.9799999999959</v>
      </c>
      <c r="I133" s="165"/>
      <c r="J133" s="328">
        <f>H133/DAY(B2)</f>
        <v>615.56857142857086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'6'!F134</f>
        <v>9673.0499999999993</v>
      </c>
      <c r="F134" s="165">
        <v>9919.08</v>
      </c>
      <c r="G134" s="112">
        <f t="shared" si="10"/>
        <v>246.03000000000065</v>
      </c>
      <c r="H134" s="99">
        <f>G134+'6'!H134</f>
        <v>1317.8500000000004</v>
      </c>
      <c r="I134" s="165"/>
      <c r="J134" s="328">
        <f>H134/DAY(B2)</f>
        <v>188.26428571428576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2581.7899999999954</v>
      </c>
      <c r="H135" s="99">
        <f>G135+'6'!H135</f>
        <v>15917.699999999988</v>
      </c>
      <c r="I135" s="327">
        <f>G135-(G35+G49)</f>
        <v>-518.55000000000109</v>
      </c>
      <c r="J135" s="328" t="e">
        <f t="shared" ref="J135" si="11">H135/DAY(B54)</f>
        <v>#DIV/0!</v>
      </c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'6'!F138</f>
        <v>866659</v>
      </c>
      <c r="F138" s="147">
        <v>866739</v>
      </c>
      <c r="G138" s="112">
        <f t="shared" ref="G138:G152" si="12">F138-E138</f>
        <v>80</v>
      </c>
      <c r="H138" s="99">
        <f>G138+'6'!H138</f>
        <v>566</v>
      </c>
      <c r="I138" s="118"/>
      <c r="J138" s="328">
        <f>H138/DAY(B2)</f>
        <v>80.857142857142861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'6'!F139</f>
        <v>886596</v>
      </c>
      <c r="F139" s="148">
        <v>886629</v>
      </c>
      <c r="G139" s="112">
        <f t="shared" si="12"/>
        <v>33</v>
      </c>
      <c r="H139" s="99">
        <f>G139+'6'!H139</f>
        <v>56</v>
      </c>
      <c r="I139" s="118"/>
      <c r="J139" s="328">
        <f>H139/DAY(B2)</f>
        <v>8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'6'!F140</f>
        <v>88937</v>
      </c>
      <c r="F140" s="149">
        <v>88938</v>
      </c>
      <c r="G140" s="112">
        <f t="shared" si="12"/>
        <v>1</v>
      </c>
      <c r="H140" s="99">
        <f>G140+'6'!H140</f>
        <v>16</v>
      </c>
      <c r="I140" s="118"/>
      <c r="J140" s="328">
        <f>H140/DAY(B2)</f>
        <v>2.2857142857142856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'6'!F141</f>
        <v>55727.57</v>
      </c>
      <c r="F141" s="149">
        <v>55907.86</v>
      </c>
      <c r="G141" s="112">
        <f t="shared" si="12"/>
        <v>180.29000000000087</v>
      </c>
      <c r="H141" s="99">
        <f>G141+'6'!H141</f>
        <v>1222.2799999999988</v>
      </c>
      <c r="I141" s="118"/>
      <c r="J141" s="328">
        <f>H141/DAY(B2)</f>
        <v>174.61142857142841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'6'!F142</f>
        <v>21693</v>
      </c>
      <c r="F142" s="148">
        <v>21767.8</v>
      </c>
      <c r="G142" s="112">
        <f t="shared" si="12"/>
        <v>74.799999999999272</v>
      </c>
      <c r="H142" s="99">
        <f>G142+'6'!H142</f>
        <v>483.70000000000073</v>
      </c>
      <c r="I142" s="140"/>
      <c r="J142" s="328">
        <f>H142/DAY(B2)</f>
        <v>69.100000000000108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'6'!F143</f>
        <v>4000.64</v>
      </c>
      <c r="F143" s="149">
        <v>4027</v>
      </c>
      <c r="G143" s="112">
        <f t="shared" si="12"/>
        <v>26.360000000000127</v>
      </c>
      <c r="H143" s="99">
        <f>G143+'6'!H143</f>
        <v>191.61000000000013</v>
      </c>
      <c r="I143" s="140"/>
      <c r="J143" s="328">
        <f>H143/DAY(B2)</f>
        <v>27.372857142857161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'6'!F144</f>
        <v>877740</v>
      </c>
      <c r="F144" s="149">
        <v>877957</v>
      </c>
      <c r="G144" s="112">
        <f t="shared" si="12"/>
        <v>217</v>
      </c>
      <c r="H144" s="99">
        <f>G144+'6'!H144</f>
        <v>1470</v>
      </c>
      <c r="I144" s="140"/>
      <c r="J144" s="328">
        <f>H144/DAY(B2)</f>
        <v>210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'6'!F145</f>
        <v>5030.25</v>
      </c>
      <c r="F145" s="149">
        <v>5042.8500000000004</v>
      </c>
      <c r="G145" s="112">
        <f t="shared" si="12"/>
        <v>12.600000000000364</v>
      </c>
      <c r="H145" s="99">
        <f>G145+'6'!H145</f>
        <v>84.010000000000218</v>
      </c>
      <c r="I145" s="140"/>
      <c r="J145" s="328">
        <f>H145/DAY(B2)</f>
        <v>12.001428571428603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'6'!F146</f>
        <v>739823</v>
      </c>
      <c r="F146" s="148">
        <v>740287</v>
      </c>
      <c r="G146" s="112">
        <f t="shared" si="12"/>
        <v>464</v>
      </c>
      <c r="H146" s="99">
        <f>G146+'6'!H146</f>
        <v>2954</v>
      </c>
      <c r="I146" s="140"/>
      <c r="J146" s="328">
        <f>H146/DAY(B2)</f>
        <v>422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'6'!F147</f>
        <v>628961.16</v>
      </c>
      <c r="F147" s="148">
        <v>629374.43999999994</v>
      </c>
      <c r="G147" s="112">
        <f t="shared" si="12"/>
        <v>413.27999999991152</v>
      </c>
      <c r="H147" s="99">
        <f>G147+'6'!H147</f>
        <v>2761.9199999999255</v>
      </c>
      <c r="I147" s="140"/>
      <c r="J147" s="328">
        <f>H147/DAY(B2)</f>
        <v>394.55999999998937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'6'!F148</f>
        <v>691199.28</v>
      </c>
      <c r="F148" s="150">
        <v>691527.76</v>
      </c>
      <c r="G148" s="112">
        <f t="shared" si="12"/>
        <v>328.47999999998137</v>
      </c>
      <c r="H148" s="99">
        <f>G148+'6'!H148</f>
        <v>2084.8000000000466</v>
      </c>
      <c r="I148" s="124"/>
      <c r="J148" s="328">
        <f>H148/DAY(B2)</f>
        <v>297.82857142857807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'6'!F149</f>
        <v>27603.7</v>
      </c>
      <c r="F149" s="146">
        <v>28230.75</v>
      </c>
      <c r="G149" s="112">
        <f t="shared" si="12"/>
        <v>627.04999999999927</v>
      </c>
      <c r="H149" s="99">
        <f>G149+'6'!H149</f>
        <v>3552.5499999999993</v>
      </c>
      <c r="I149" s="119"/>
      <c r="J149" s="328">
        <f>H149/DAY(B2)</f>
        <v>507.50714285714275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'6'!F150</f>
        <v>12187.24</v>
      </c>
      <c r="F150" s="233">
        <v>12423.9</v>
      </c>
      <c r="G150" s="112">
        <f t="shared" si="12"/>
        <v>236.65999999999985</v>
      </c>
      <c r="H150" s="99">
        <f>G150+'6'!H150</f>
        <v>1573.0699999999997</v>
      </c>
      <c r="I150" s="119"/>
      <c r="J150" s="328">
        <f>H150/DAY(B2)</f>
        <v>224.72428571428568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'6'!F151</f>
        <v>86969</v>
      </c>
      <c r="F151" s="233">
        <v>87220</v>
      </c>
      <c r="G151" s="112">
        <f t="shared" si="12"/>
        <v>251</v>
      </c>
      <c r="H151" s="99">
        <f>G151+'6'!H151</f>
        <v>1740</v>
      </c>
      <c r="I151" s="119"/>
      <c r="J151" s="328">
        <f>H151/DAY(B2)</f>
        <v>248.57142857142858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'6'!F152</f>
        <v>1937.24</v>
      </c>
      <c r="F152" s="233">
        <v>1999.73</v>
      </c>
      <c r="G152" s="112">
        <f t="shared" si="12"/>
        <v>62.490000000000009</v>
      </c>
      <c r="H152" s="99">
        <f>G152+'6'!H152</f>
        <v>339.73</v>
      </c>
      <c r="I152" s="119"/>
      <c r="J152" s="328">
        <f>H152/DAY(B2)</f>
        <v>48.532857142857146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3008.0099999998929</v>
      </c>
      <c r="H153" s="363"/>
      <c r="I153" s="119" t="s">
        <v>207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'6'!F155</f>
        <v>36477.51</v>
      </c>
      <c r="F155" s="374">
        <v>37208.25</v>
      </c>
      <c r="G155" s="112">
        <f t="shared" ref="G155:G156" si="13">F155-E155</f>
        <v>730.73999999999796</v>
      </c>
      <c r="H155" s="99">
        <f>G155+'6'!H155</f>
        <v>4263.25</v>
      </c>
      <c r="I155" s="364"/>
      <c r="J155" s="328">
        <f>H155/DAY(B2)</f>
        <v>609.03571428571433</v>
      </c>
    </row>
    <row r="156" spans="1:10" ht="27.75" x14ac:dyDescent="0.5">
      <c r="A156" s="851" t="s">
        <v>346</v>
      </c>
      <c r="B156" s="851"/>
      <c r="C156" s="851"/>
      <c r="D156" s="117" t="s">
        <v>130</v>
      </c>
      <c r="E156" s="95">
        <f>'6'!F156</f>
        <v>3047.12</v>
      </c>
      <c r="F156" s="155">
        <v>3101.97</v>
      </c>
      <c r="G156" s="112">
        <f t="shared" si="13"/>
        <v>54.849999999999909</v>
      </c>
      <c r="H156" s="99">
        <f>G156+'6'!H156</f>
        <v>313.9699999999998</v>
      </c>
      <c r="I156" s="165"/>
      <c r="J156" s="328">
        <f>H156/DAY(B2)</f>
        <v>44.852857142857111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 x14ac:dyDescent="0.5">
      <c r="A159" s="935"/>
      <c r="B159" s="936"/>
      <c r="C159" s="93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472353.84</v>
      </c>
      <c r="F161" s="235">
        <v>472392.44</v>
      </c>
      <c r="G161" s="238">
        <f t="shared" ref="G161:G165" si="14">F161-E161</f>
        <v>38.599999999976717</v>
      </c>
      <c r="H161" s="99">
        <f>G161+'6'!H161</f>
        <v>338.88000000000466</v>
      </c>
      <c r="I161" s="236"/>
      <c r="J161" s="239">
        <f>H161/DAY(B2)</f>
        <v>48.411428571429234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88722.3</v>
      </c>
      <c r="F162" s="235">
        <v>88761.7</v>
      </c>
      <c r="G162" s="238">
        <f t="shared" si="14"/>
        <v>39.399999999994179</v>
      </c>
      <c r="H162" s="99">
        <f>G162+'6'!H162</f>
        <v>245.30000000000291</v>
      </c>
      <c r="I162" s="236"/>
      <c r="J162" s="239">
        <f>H162/DAY(B2)</f>
        <v>35.042857142857557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79418.8</v>
      </c>
      <c r="F163" s="235">
        <v>79454.600000000006</v>
      </c>
      <c r="G163" s="238">
        <f t="shared" si="14"/>
        <v>35.80000000000291</v>
      </c>
      <c r="H163" s="99">
        <f>G163+'6'!H163</f>
        <v>234.5</v>
      </c>
      <c r="I163" s="236"/>
      <c r="J163" s="239">
        <f>H163/DAY(B2)</f>
        <v>33.5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4324.7</v>
      </c>
      <c r="F164" s="235">
        <v>4326.1000000000004</v>
      </c>
      <c r="G164" s="238">
        <f t="shared" si="14"/>
        <v>1.4000000000005457</v>
      </c>
      <c r="H164" s="99">
        <f>G164+'6'!H164</f>
        <v>6.1000000000003638</v>
      </c>
      <c r="I164" s="236"/>
      <c r="J164" s="239">
        <f>H164/DAY(B2)</f>
        <v>0.8714285714286234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29906.28</v>
      </c>
      <c r="F165" s="235">
        <v>29916.62</v>
      </c>
      <c r="G165" s="238">
        <f t="shared" si="14"/>
        <v>10.340000000000146</v>
      </c>
      <c r="H165" s="99">
        <f>G165+'6'!H165</f>
        <v>59.369999999998981</v>
      </c>
      <c r="I165" s="236"/>
      <c r="J165" s="239">
        <f>H165/DAY(B2)</f>
        <v>8.4814285714284257</v>
      </c>
    </row>
    <row r="166" spans="1:10" ht="25.5" customHeight="1" x14ac:dyDescent="0.5">
      <c r="A166" s="860"/>
      <c r="B166" s="860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'6'!F173</f>
        <v>8126</v>
      </c>
      <c r="F173" s="155">
        <v>8126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'6'!F174</f>
        <v>38692</v>
      </c>
      <c r="F174" s="157">
        <v>38706</v>
      </c>
      <c r="G174" s="155">
        <f t="shared" ref="G174:G175" si="15">F174-E174</f>
        <v>14</v>
      </c>
      <c r="H174" s="99">
        <f>G174+'6'!H174</f>
        <v>91</v>
      </c>
      <c r="I174" s="155"/>
      <c r="J174" s="178">
        <f>H174/DAY(B2)</f>
        <v>13</v>
      </c>
    </row>
    <row r="175" spans="1:10" ht="27.75" x14ac:dyDescent="0.5">
      <c r="A175" s="864" t="s">
        <v>76</v>
      </c>
      <c r="B175" s="904"/>
      <c r="C175" s="865"/>
      <c r="D175" s="228" t="s">
        <v>142</v>
      </c>
      <c r="E175" s="95">
        <f>'6'!F175</f>
        <v>21873</v>
      </c>
      <c r="F175" s="155">
        <v>21883</v>
      </c>
      <c r="G175" s="155">
        <f t="shared" si="15"/>
        <v>10</v>
      </c>
      <c r="H175" s="99">
        <f>G175+'6'!H175</f>
        <v>70</v>
      </c>
      <c r="I175" s="155"/>
      <c r="J175" s="178">
        <f>H175/DAY(B2)</f>
        <v>10</v>
      </c>
    </row>
    <row r="176" spans="1:10" ht="27.75" x14ac:dyDescent="0.5">
      <c r="A176" s="589" t="s">
        <v>196</v>
      </c>
      <c r="B176" s="590"/>
      <c r="C176" s="333"/>
      <c r="D176" s="228" t="s">
        <v>142</v>
      </c>
      <c r="E176" s="95"/>
      <c r="F176" s="155"/>
      <c r="G176" s="155">
        <f>SUM(G173:G175)</f>
        <v>24</v>
      </c>
      <c r="H176" s="99">
        <f>G176+'6'!H176</f>
        <v>161</v>
      </c>
      <c r="I176" s="155"/>
      <c r="J176" s="178">
        <f>H176/DAY(B2)</f>
        <v>23</v>
      </c>
    </row>
    <row r="177" spans="1:10" ht="27.75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864" t="s">
        <v>210</v>
      </c>
      <c r="B178" s="865"/>
      <c r="C178" s="333"/>
      <c r="D178" s="228" t="s">
        <v>142</v>
      </c>
      <c r="E178" s="95">
        <f>'6'!F178</f>
        <v>81649</v>
      </c>
      <c r="F178" s="155">
        <v>81717</v>
      </c>
      <c r="G178" s="155">
        <f>F178-E178</f>
        <v>68</v>
      </c>
      <c r="H178" s="99">
        <f>G178+'6'!H178</f>
        <v>402</v>
      </c>
      <c r="I178" s="155"/>
      <c r="J178" s="178">
        <f>H178/DAY(B2)</f>
        <v>57.428571428571431</v>
      </c>
    </row>
    <row r="179" spans="1:10" ht="27.75" x14ac:dyDescent="0.5">
      <c r="A179" s="864" t="s">
        <v>211</v>
      </c>
      <c r="B179" s="865"/>
      <c r="C179" s="333"/>
      <c r="D179" s="228" t="s">
        <v>142</v>
      </c>
      <c r="E179" s="95">
        <f>'6'!F179</f>
        <v>35028</v>
      </c>
      <c r="F179" s="155">
        <v>35073</v>
      </c>
      <c r="G179" s="155">
        <f t="shared" ref="G179:G180" si="16">F179-E179</f>
        <v>45</v>
      </c>
      <c r="H179" s="99">
        <f>G179+'6'!H179</f>
        <v>270</v>
      </c>
      <c r="I179" s="155"/>
      <c r="J179" s="178">
        <f>H179/DAY(B2)</f>
        <v>38.571428571428569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'6'!F180</f>
        <v>5748</v>
      </c>
      <c r="F180" s="155">
        <v>5748</v>
      </c>
      <c r="G180" s="155">
        <f t="shared" si="16"/>
        <v>0</v>
      </c>
      <c r="H180" s="99">
        <f>G180+'6'!H180</f>
        <v>46</v>
      </c>
      <c r="I180" s="155"/>
      <c r="J180" s="178">
        <f>H180/DAY(B2)</f>
        <v>6.5714285714285712</v>
      </c>
    </row>
    <row r="181" spans="1:10" ht="27.75" x14ac:dyDescent="0.5">
      <c r="A181" s="866" t="s">
        <v>108</v>
      </c>
      <c r="B181" s="867"/>
      <c r="C181" s="333"/>
      <c r="D181" s="228" t="s">
        <v>142</v>
      </c>
      <c r="E181" s="95"/>
      <c r="F181" s="155"/>
      <c r="G181" s="155">
        <f>SUM(G178:G180)</f>
        <v>113</v>
      </c>
      <c r="H181" s="99">
        <f>G181+'6'!H181</f>
        <v>718</v>
      </c>
      <c r="I181" s="155"/>
      <c r="J181" s="178">
        <f>H181/DAY(B2)</f>
        <v>102.57142857142857</v>
      </c>
    </row>
    <row r="182" spans="1:10" ht="27.75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'6'!F183</f>
        <v>15421</v>
      </c>
      <c r="F183" s="157">
        <v>15439</v>
      </c>
      <c r="G183" s="157">
        <f>F183-E183</f>
        <v>18</v>
      </c>
      <c r="H183" s="99">
        <f>G183+'6'!H183</f>
        <v>94</v>
      </c>
      <c r="I183" s="155"/>
      <c r="J183" s="178">
        <f>H183/DAY(B2)</f>
        <v>13.428571428571429</v>
      </c>
    </row>
    <row r="184" spans="1:10" ht="27.75" x14ac:dyDescent="0.5">
      <c r="A184" s="864" t="s">
        <v>215</v>
      </c>
      <c r="B184" s="865"/>
      <c r="C184" s="334"/>
      <c r="D184" s="228" t="s">
        <v>142</v>
      </c>
      <c r="E184" s="95">
        <f>'6'!F184</f>
        <v>10561</v>
      </c>
      <c r="F184" s="157">
        <v>10575</v>
      </c>
      <c r="G184" s="157">
        <f t="shared" ref="G184:G185" si="17">F184-E184</f>
        <v>14</v>
      </c>
      <c r="H184" s="99">
        <f>G184+'6'!H184</f>
        <v>57</v>
      </c>
      <c r="I184" s="155"/>
      <c r="J184" s="178">
        <f>H184/DAY(B2)</f>
        <v>8.1428571428571423</v>
      </c>
    </row>
    <row r="185" spans="1:10" ht="27.75" x14ac:dyDescent="0.5">
      <c r="A185" s="864" t="s">
        <v>216</v>
      </c>
      <c r="B185" s="865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855" t="s">
        <v>196</v>
      </c>
      <c r="B186" s="856"/>
      <c r="C186" s="334"/>
      <c r="D186" s="228" t="s">
        <v>142</v>
      </c>
      <c r="E186" s="95"/>
      <c r="F186" s="157"/>
      <c r="G186" s="157">
        <f>SUM(G183:G185)</f>
        <v>32</v>
      </c>
      <c r="H186" s="99">
        <f>G186+'6'!H186</f>
        <v>151</v>
      </c>
      <c r="I186" s="157"/>
      <c r="J186" s="178">
        <f>H186/DAY(B2)</f>
        <v>21.571428571428573</v>
      </c>
    </row>
    <row r="187" spans="1:10" ht="27.75" x14ac:dyDescent="0.5">
      <c r="A187" s="857" t="s">
        <v>217</v>
      </c>
      <c r="B187" s="858"/>
      <c r="C187" s="333"/>
      <c r="D187" s="228" t="s">
        <v>142</v>
      </c>
      <c r="E187" s="95"/>
      <c r="F187" s="159"/>
      <c r="G187" s="460">
        <f>G62+G19</f>
        <v>194</v>
      </c>
      <c r="H187" s="99">
        <f>G187+'6'!H187</f>
        <v>1125</v>
      </c>
      <c r="I187" s="158"/>
      <c r="J187" s="179">
        <f>H187/DAY(B2)</f>
        <v>160.71428571428572</v>
      </c>
    </row>
    <row r="188" spans="1:10" ht="27.75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185</v>
      </c>
      <c r="H188" s="99">
        <f>G188+'6'!H188</f>
        <v>1134</v>
      </c>
      <c r="I188" s="158"/>
      <c r="J188" s="179">
        <f>H188/DAY(B2)</f>
        <v>162</v>
      </c>
    </row>
    <row r="189" spans="1:10" ht="27.75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457">
        <f>G181</f>
        <v>113</v>
      </c>
      <c r="H189" s="99">
        <f>G189+'6'!H189</f>
        <v>718</v>
      </c>
      <c r="I189" s="158"/>
      <c r="J189" s="179">
        <f>H189/DAY(B2)</f>
        <v>102.57142857142857</v>
      </c>
    </row>
    <row r="190" spans="1:10" ht="27.75" x14ac:dyDescent="0.5">
      <c r="A190" s="778"/>
      <c r="B190" s="779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106" zoomScale="55" zoomScaleSheetLayoutView="55" workbookViewId="0">
      <selection activeCell="E159" sqref="E15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357</v>
      </c>
      <c r="B2" s="262">
        <v>44600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786589.27</v>
      </c>
      <c r="F7" s="95">
        <v>806257</v>
      </c>
      <c r="G7" s="112">
        <f>F7-E7</f>
        <v>19667.729999999981</v>
      </c>
      <c r="H7" s="99">
        <f>G7+'7'!H7</f>
        <v>155076.77000000002</v>
      </c>
      <c r="I7" s="113">
        <f>'1'!I7</f>
        <v>12000</v>
      </c>
      <c r="J7" s="175">
        <f>H7/DAY(B2)</f>
        <v>19384.596250000002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845323.91</v>
      </c>
      <c r="F8" s="114">
        <v>865054</v>
      </c>
      <c r="G8" s="115">
        <f>F8-E8</f>
        <v>19730.089999999967</v>
      </c>
      <c r="H8" s="99">
        <f>G8+'7'!H8</f>
        <v>156505.84999999998</v>
      </c>
      <c r="I8" s="116"/>
      <c r="J8" s="175">
        <f>H8/DAY(B2)</f>
        <v>19563.231249999997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375444.15</v>
      </c>
      <c r="F9" s="117">
        <v>391914</v>
      </c>
      <c r="G9" s="112">
        <f>F9-E9</f>
        <v>16469.849999999977</v>
      </c>
      <c r="H9" s="99">
        <f>G9+'7'!H9</f>
        <v>109660.15000000002</v>
      </c>
      <c r="I9" s="124">
        <f>I7-J7</f>
        <v>-7384.5962500000023</v>
      </c>
      <c r="J9" s="175">
        <f>H9/DAY(B2)</f>
        <v>13707.518750000003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143734.95000000001</v>
      </c>
      <c r="F10" s="117">
        <v>146363</v>
      </c>
      <c r="G10" s="112">
        <f t="shared" ref="G10:G12" si="0">F10-E10</f>
        <v>2628.0499999999884</v>
      </c>
      <c r="H10" s="99">
        <f>G10+'7'!H10</f>
        <v>41104.03</v>
      </c>
      <c r="I10" s="282"/>
      <c r="J10" s="175">
        <f>H10/DAY(B2)</f>
        <v>5138.0037499999999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37170</v>
      </c>
      <c r="F11" s="95">
        <v>37170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19097.899999999965</v>
      </c>
      <c r="H13" s="99">
        <f>G13+'7'!H13</f>
        <v>134009.75</v>
      </c>
      <c r="I13" s="120">
        <f>G7-G13</f>
        <v>569.8300000000163</v>
      </c>
      <c r="J13" s="175">
        <f>H13/DAY(B2)</f>
        <v>16751.21875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'7'!F15</f>
        <v>1913676.82</v>
      </c>
      <c r="F15" s="123">
        <v>1914729</v>
      </c>
      <c r="G15" s="112">
        <f>(F15-E15)</f>
        <v>1052.1799999999348</v>
      </c>
      <c r="H15" s="99">
        <f>G15+'7'!H15</f>
        <v>8092.2330000000075</v>
      </c>
      <c r="I15" s="113">
        <f>'1'!I15</f>
        <v>800</v>
      </c>
      <c r="J15" s="175">
        <f>H15/DAY(B2)</f>
        <v>1011.5291250000009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-211.52912500000093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'7'!F18</f>
        <v>19</v>
      </c>
      <c r="F18" s="122">
        <v>18</v>
      </c>
      <c r="G18" s="119">
        <f>F18*10</f>
        <v>180</v>
      </c>
      <c r="H18" s="99">
        <f>G18+'7'!H18</f>
        <v>1550</v>
      </c>
      <c r="I18" s="113">
        <f>'1'!I18</f>
        <v>65</v>
      </c>
      <c r="J18" s="175">
        <f>H18/DAY(B2)</f>
        <v>193.75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'7'!F19</f>
        <v>154244</v>
      </c>
      <c r="F19" s="122">
        <v>154296</v>
      </c>
      <c r="G19" s="112">
        <f t="shared" ref="G19" si="1">F19-E19</f>
        <v>52</v>
      </c>
      <c r="H19" s="99">
        <f>G19+'7'!H19</f>
        <v>405</v>
      </c>
      <c r="I19" s="335"/>
      <c r="J19" s="175">
        <f>H19/DAY(B2)</f>
        <v>50.625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232</v>
      </c>
      <c r="H20" s="99">
        <f>G20+'7'!H20</f>
        <v>1955</v>
      </c>
      <c r="I20" s="336">
        <f>I18-J20</f>
        <v>-179.375</v>
      </c>
      <c r="J20" s="175">
        <f>H20/DAY(B2)</f>
        <v>244.375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19730.089999999967</v>
      </c>
      <c r="F27" s="136">
        <v>9</v>
      </c>
      <c r="G27" s="137">
        <f>E27*F27</f>
        <v>177570.80999999971</v>
      </c>
      <c r="H27" s="99">
        <f>G27+'7'!H27</f>
        <v>1408552.65</v>
      </c>
      <c r="I27" s="138"/>
      <c r="J27" s="175">
        <f>H27/DAY(B2)</f>
        <v>176069.08124999999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1052.1799999999348</v>
      </c>
      <c r="F28" s="136">
        <v>52</v>
      </c>
      <c r="G28" s="137">
        <f>E28*F28</f>
        <v>54713.35999999661</v>
      </c>
      <c r="H28" s="99">
        <f>G28+'7'!H28</f>
        <v>420796.11600000039</v>
      </c>
      <c r="I28" s="140"/>
      <c r="J28" s="175">
        <f>H28/DAY(B2)</f>
        <v>52599.514500000048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G30+'7'!H30</f>
        <v>59130</v>
      </c>
      <c r="I30" s="140"/>
      <c r="J30" s="175">
        <f>H30/DAY(B2)</f>
        <v>7391.25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G31+'7'!H31</f>
        <v>124000</v>
      </c>
      <c r="I31" s="140"/>
      <c r="J31" s="175">
        <f>H31/DAY(B2)</f>
        <v>15500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254276.16999999632</v>
      </c>
      <c r="H32" s="99">
        <f>G32+'7'!H32</f>
        <v>2012478.7660000003</v>
      </c>
      <c r="I32" s="144"/>
      <c r="J32" s="175">
        <f>H32/DAY(B2)</f>
        <v>251559.84575000004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42175.199999999997</v>
      </c>
      <c r="F35" s="145">
        <v>43930</v>
      </c>
      <c r="G35" s="112">
        <f t="shared" ref="G35:G46" si="3">F35-E35</f>
        <v>1754.8000000000029</v>
      </c>
      <c r="H35" s="99">
        <f>G35+'7'!H35</f>
        <v>11925.02</v>
      </c>
      <c r="I35" s="95"/>
      <c r="J35" s="175">
        <f>H35/DAY(B2)</f>
        <v>1490.6275000000001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49874.559999999998</v>
      </c>
      <c r="F36" s="145">
        <v>50674</v>
      </c>
      <c r="G36" s="112">
        <f t="shared" si="3"/>
        <v>799.44000000000233</v>
      </c>
      <c r="H36" s="99">
        <f>G36+'7'!H36</f>
        <v>7215.260000000002</v>
      </c>
      <c r="I36" s="95"/>
      <c r="J36" s="175">
        <f>H36/DAY(B2)</f>
        <v>901.90750000000025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46680.93</v>
      </c>
      <c r="F37" s="145">
        <v>48290</v>
      </c>
      <c r="G37" s="112">
        <f t="shared" si="3"/>
        <v>1609.0699999999997</v>
      </c>
      <c r="H37" s="99">
        <f>G37+'7'!H37</f>
        <v>12864.910000000003</v>
      </c>
      <c r="I37" s="95"/>
      <c r="J37" s="175">
        <f>H37/DAY(B2)</f>
        <v>1608.1137500000004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51154.32</v>
      </c>
      <c r="F38" s="108">
        <v>53069</v>
      </c>
      <c r="G38" s="112">
        <f t="shared" si="3"/>
        <v>1914.6800000000003</v>
      </c>
      <c r="H38" s="99">
        <f>G38+'7'!H38</f>
        <v>14692.57</v>
      </c>
      <c r="I38" s="95"/>
      <c r="J38" s="175">
        <f>H38/DAY(B2)</f>
        <v>1836.57125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78320.710000000006</v>
      </c>
      <c r="F39" s="145">
        <v>81244</v>
      </c>
      <c r="G39" s="112">
        <f t="shared" si="3"/>
        <v>2923.2899999999936</v>
      </c>
      <c r="H39" s="99">
        <f>G39+'7'!H39</f>
        <v>22070.71</v>
      </c>
      <c r="I39" s="95"/>
      <c r="J39" s="175">
        <f>H39/DAY(B2)</f>
        <v>2758.8387499999999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24204.77</v>
      </c>
      <c r="F40" s="145">
        <v>24519</v>
      </c>
      <c r="G40" s="112">
        <f t="shared" si="3"/>
        <v>314.22999999999956</v>
      </c>
      <c r="H40" s="99">
        <f>G40+'7'!H40</f>
        <v>2402.0099999999975</v>
      </c>
      <c r="I40" s="95"/>
      <c r="J40" s="175">
        <f>H40/DAY(B2)</f>
        <v>300.25124999999969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62.73</v>
      </c>
      <c r="F41" s="145">
        <v>63</v>
      </c>
      <c r="G41" s="112">
        <f t="shared" si="3"/>
        <v>0.27000000000000313</v>
      </c>
      <c r="H41" s="99">
        <f>G41+'7'!H41</f>
        <v>0.27000000000000313</v>
      </c>
      <c r="I41" s="95"/>
      <c r="J41" s="175">
        <f>H41/DAY(B2)</f>
        <v>3.3750000000000391E-2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109069.15</v>
      </c>
      <c r="F42" s="145">
        <v>113151</v>
      </c>
      <c r="G42" s="112">
        <f t="shared" si="3"/>
        <v>4081.8500000000058</v>
      </c>
      <c r="H42" s="99">
        <f>G42+'7'!H42</f>
        <v>13021.259999999995</v>
      </c>
      <c r="I42" s="95"/>
      <c r="J42" s="175">
        <f>H42/DAY(B2)</f>
        <v>1627.6574999999993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129967.33</v>
      </c>
      <c r="F43" s="145">
        <v>132091</v>
      </c>
      <c r="G43" s="112">
        <f t="shared" si="3"/>
        <v>2123.6699999999983</v>
      </c>
      <c r="H43" s="99">
        <f>G43+'7'!H43</f>
        <v>17239.399999999994</v>
      </c>
      <c r="I43" s="95"/>
      <c r="J43" s="175">
        <f>H43/DAY(B2)</f>
        <v>2154.9249999999993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15521.300000000003</v>
      </c>
      <c r="H47" s="99">
        <f>G47+'7'!H47</f>
        <v>101431.41</v>
      </c>
      <c r="I47" s="95"/>
      <c r="J47" s="175">
        <f>H47/DAY(B2)</f>
        <v>12678.92625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33640.78</v>
      </c>
      <c r="F49" s="145">
        <v>34907</v>
      </c>
      <c r="G49" s="112">
        <f t="shared" ref="G49:G58" si="4">F49-E49</f>
        <v>1266.2200000000012</v>
      </c>
      <c r="H49" s="99">
        <f>G49+'7'!H49</f>
        <v>9910.8100000000013</v>
      </c>
      <c r="I49" s="95"/>
      <c r="J49" s="175">
        <f>H49/DAY(B2)</f>
        <v>1238.8512500000002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64747.86</v>
      </c>
      <c r="F50" s="145">
        <v>65879</v>
      </c>
      <c r="G50" s="112">
        <f t="shared" si="4"/>
        <v>1131.1399999999994</v>
      </c>
      <c r="H50" s="99">
        <f>G50+'7'!H50</f>
        <v>9492.3700000000026</v>
      </c>
      <c r="I50" s="95"/>
      <c r="J50" s="175">
        <f>H50/DAY(B2)</f>
        <v>1186.5462500000003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7989.84</v>
      </c>
      <c r="F54" s="145">
        <v>8527</v>
      </c>
      <c r="G54" s="112">
        <f t="shared" si="4"/>
        <v>537.15999999999985</v>
      </c>
      <c r="H54" s="99">
        <f>G54+'7'!H54</f>
        <v>3379.58</v>
      </c>
      <c r="I54" s="95"/>
      <c r="J54" s="175">
        <f>H54/DAY(B2)</f>
        <v>422.44749999999999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90154.47</v>
      </c>
      <c r="F55" s="145">
        <v>90154.47</v>
      </c>
      <c r="G55" s="112">
        <f t="shared" si="4"/>
        <v>0</v>
      </c>
      <c r="H55" s="99">
        <f>G55+'7'!H55</f>
        <v>15788.36</v>
      </c>
      <c r="I55" s="95"/>
      <c r="J55" s="175">
        <f>H55/DAY(B2)</f>
        <v>1973.5450000000001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8723.6299999999992</v>
      </c>
      <c r="F56" s="145">
        <v>8724</v>
      </c>
      <c r="G56" s="112">
        <f t="shared" si="4"/>
        <v>0.37000000000080036</v>
      </c>
      <c r="H56" s="99">
        <f>G56+'7'!H56</f>
        <v>113.45999999999913</v>
      </c>
      <c r="I56" s="95"/>
      <c r="J56" s="175">
        <f>H56/DAY(B2)</f>
        <v>14.182499999999891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6251.99</v>
      </c>
      <c r="F58" s="145">
        <v>6454</v>
      </c>
      <c r="G58" s="112">
        <f t="shared" si="4"/>
        <v>202.01000000000022</v>
      </c>
      <c r="H58" s="99">
        <f>G58+'7'!H58</f>
        <v>1657.79</v>
      </c>
      <c r="I58" s="95"/>
      <c r="J58" s="175">
        <f>H58/DAY(B2)</f>
        <v>207.22375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3136.9000000000015</v>
      </c>
      <c r="H59" s="99">
        <f>G59+'7'!H59</f>
        <v>40342.370000000003</v>
      </c>
      <c r="I59" s="95">
        <f>G7-G60</f>
        <v>1009.529999999977</v>
      </c>
      <c r="J59" s="175">
        <f>H59/DAY(B2)</f>
        <v>5042.7962500000003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18658.200000000004</v>
      </c>
      <c r="H60" s="99">
        <f>G60+'7'!H60</f>
        <v>141773.78</v>
      </c>
      <c r="I60" s="95">
        <f>G13-G60</f>
        <v>439.69999999996071</v>
      </c>
      <c r="J60" s="175">
        <f>H60/DAY(B2)</f>
        <v>17721.7225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'7'!F62</f>
        <v>270288</v>
      </c>
      <c r="F62" s="122">
        <v>270416</v>
      </c>
      <c r="G62" s="112">
        <f t="shared" ref="G62:G63" si="5">F62-E62</f>
        <v>128</v>
      </c>
      <c r="H62" s="99">
        <f>G62+'7'!H62</f>
        <v>900</v>
      </c>
      <c r="I62" s="118"/>
      <c r="J62" s="175">
        <f>H62/DAY(B2)</f>
        <v>112.5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'7'!F63</f>
        <v>216740</v>
      </c>
      <c r="F63" s="122">
        <v>216843</v>
      </c>
      <c r="G63" s="112">
        <f t="shared" si="5"/>
        <v>103</v>
      </c>
      <c r="H63" s="99">
        <f>G63+'7'!H63</f>
        <v>1046</v>
      </c>
      <c r="I63" s="118"/>
      <c r="J63" s="175">
        <f>H63/DAY(B2)</f>
        <v>130.75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'7'!F64</f>
        <v>0</v>
      </c>
      <c r="F64" s="122"/>
      <c r="G64" s="112">
        <f>G62+G63</f>
        <v>231</v>
      </c>
      <c r="H64" s="99">
        <f>G64+'7'!H64</f>
        <v>1946</v>
      </c>
      <c r="I64" s="118"/>
      <c r="J64" s="175">
        <f>H64/DAY(B2)</f>
        <v>243.25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'7'!F65</f>
        <v>435552</v>
      </c>
      <c r="F65" s="122">
        <v>435658</v>
      </c>
      <c r="G65" s="112">
        <f t="shared" ref="G65:G70" si="6">F65-E65</f>
        <v>106</v>
      </c>
      <c r="H65" s="99">
        <f>G65+'7'!H65</f>
        <v>735</v>
      </c>
      <c r="I65" s="118"/>
      <c r="J65" s="175">
        <f>H65/DAY(B2)</f>
        <v>91.875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'7'!F66</f>
        <v>107927</v>
      </c>
      <c r="F66" s="122">
        <v>107946</v>
      </c>
      <c r="G66" s="112">
        <f t="shared" si="6"/>
        <v>19</v>
      </c>
      <c r="H66" s="99">
        <f>G66+'7'!H66</f>
        <v>203</v>
      </c>
      <c r="I66" s="118"/>
      <c r="J66" s="175">
        <f>H66/DAY(B2)</f>
        <v>25.375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'7'!F67</f>
        <v>104814</v>
      </c>
      <c r="F67" s="122">
        <v>104830</v>
      </c>
      <c r="G67" s="112">
        <f t="shared" si="6"/>
        <v>16</v>
      </c>
      <c r="H67" s="99">
        <f>G67+'7'!H67</f>
        <v>182</v>
      </c>
      <c r="I67" s="118"/>
      <c r="J67" s="175">
        <f>H67/DAY(B2)</f>
        <v>22.75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'7'!F68</f>
        <v>157954</v>
      </c>
      <c r="F68" s="122">
        <v>157984</v>
      </c>
      <c r="G68" s="112">
        <f t="shared" si="6"/>
        <v>30</v>
      </c>
      <c r="H68" s="99">
        <f>G68+'7'!H68</f>
        <v>287</v>
      </c>
      <c r="I68" s="118"/>
      <c r="J68" s="175">
        <f>H68/DAY(B2)</f>
        <v>35.875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'7'!F69</f>
        <v>10619</v>
      </c>
      <c r="F69" s="122">
        <v>10629</v>
      </c>
      <c r="G69" s="112">
        <f t="shared" si="6"/>
        <v>10</v>
      </c>
      <c r="H69" s="99">
        <f>G69+'7'!H69</f>
        <v>88</v>
      </c>
      <c r="I69" s="118"/>
      <c r="J69" s="175">
        <f>H69/DAY(B2)</f>
        <v>11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'7'!F70</f>
        <v>8197</v>
      </c>
      <c r="F70" s="122">
        <v>8230</v>
      </c>
      <c r="G70" s="112">
        <f t="shared" si="6"/>
        <v>33</v>
      </c>
      <c r="H70" s="99">
        <f>G70+'7'!H70</f>
        <v>110</v>
      </c>
      <c r="I70" s="118"/>
      <c r="J70" s="175">
        <f>H70/DAY(B2)</f>
        <v>13.75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214</v>
      </c>
      <c r="H71" s="99">
        <f>G71+'7'!H71</f>
        <v>1605</v>
      </c>
      <c r="I71" s="154"/>
      <c r="J71" s="175">
        <f>H71/DAY(B2)</f>
        <v>200.625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'7'!F74</f>
        <v>903429.48</v>
      </c>
      <c r="F74" s="123">
        <v>903732</v>
      </c>
      <c r="G74" s="112">
        <f t="shared" ref="G74:G78" si="7">F74-E74</f>
        <v>302.52000000001863</v>
      </c>
      <c r="H74" s="99">
        <f>G74+'7'!H74</f>
        <v>2425.8510000000242</v>
      </c>
      <c r="I74" s="154"/>
      <c r="J74" s="175">
        <f>H74/DAY(B2)</f>
        <v>303.23137500000303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'7'!F76</f>
        <v>170796.4</v>
      </c>
      <c r="F76" s="123">
        <v>170907</v>
      </c>
      <c r="G76" s="112">
        <f t="shared" si="7"/>
        <v>110.60000000000582</v>
      </c>
      <c r="H76" s="99">
        <f>G76+'7'!H76</f>
        <v>932</v>
      </c>
      <c r="I76" s="154"/>
      <c r="J76" s="175">
        <f>H76/DAY(B2)</f>
        <v>116.5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'7'!F77</f>
        <v>41636.6</v>
      </c>
      <c r="F77" s="123">
        <v>41687</v>
      </c>
      <c r="G77" s="112">
        <f t="shared" si="7"/>
        <v>50.400000000001455</v>
      </c>
      <c r="H77" s="99">
        <f>G77+'7'!H77</f>
        <v>384.80000000000291</v>
      </c>
      <c r="I77" s="154"/>
      <c r="J77" s="175">
        <f>H77/DAY(B2)</f>
        <v>48.100000000000364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'7'!F78</f>
        <v>9526</v>
      </c>
      <c r="F78" s="123">
        <v>9527</v>
      </c>
      <c r="G78" s="112">
        <f t="shared" si="7"/>
        <v>1</v>
      </c>
      <c r="H78" s="99">
        <f>G78+'7'!H78</f>
        <v>11</v>
      </c>
      <c r="I78" s="118"/>
      <c r="J78" s="175">
        <f>H78/DAY(B2)</f>
        <v>1.375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'7'!F79</f>
        <v>0</v>
      </c>
      <c r="F79" s="117"/>
      <c r="G79" s="112">
        <f>G15-SUM(G74:G78)</f>
        <v>587.65999999990891</v>
      </c>
      <c r="H79" s="99">
        <f>G79+'7'!H79</f>
        <v>4338.5819999999803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1052.1799999999348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'7'!F85</f>
        <v>2312.4899999999998</v>
      </c>
      <c r="F85" s="164">
        <v>2336.4</v>
      </c>
      <c r="G85" s="112">
        <f t="shared" si="8"/>
        <v>23.910000000000309</v>
      </c>
      <c r="H85" s="99">
        <f>G85+'7'!H85</f>
        <v>75.980000000000018</v>
      </c>
      <c r="I85" s="118">
        <f>G82+G83+G84+G85</f>
        <v>23.910000000000309</v>
      </c>
      <c r="J85" s="175">
        <f>H85/DAY(B2)</f>
        <v>9.4975000000000023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'7'!F86</f>
        <v>43560.3</v>
      </c>
      <c r="F86" s="164">
        <v>43560</v>
      </c>
      <c r="G86" s="112">
        <f t="shared" si="8"/>
        <v>-0.30000000000291038</v>
      </c>
      <c r="H86" s="99">
        <f>G86+'7'!H86</f>
        <v>118</v>
      </c>
      <c r="I86" s="118"/>
      <c r="J86" s="175">
        <f>H86/DAY(B2)</f>
        <v>14.75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'7'!F87</f>
        <v>34599.480000000003</v>
      </c>
      <c r="F87" s="164">
        <v>34599</v>
      </c>
      <c r="G87" s="112">
        <f t="shared" si="8"/>
        <v>-0.48000000000320142</v>
      </c>
      <c r="H87" s="99">
        <f>G87+'7'!H87</f>
        <v>0.5</v>
      </c>
      <c r="I87" s="118"/>
      <c r="J87" s="175">
        <f>H87/DAY(B2)</f>
        <v>6.25E-2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'7'!F88</f>
        <v>24063.43</v>
      </c>
      <c r="F88" s="164">
        <v>24063</v>
      </c>
      <c r="G88" s="112">
        <f t="shared" si="8"/>
        <v>-0.43000000000029104</v>
      </c>
      <c r="H88" s="99">
        <f>G88+'7'!H88</f>
        <v>-0.43000000000029104</v>
      </c>
      <c r="I88" s="118">
        <f>G86+G87+G88</f>
        <v>-1.2100000000064028</v>
      </c>
      <c r="J88" s="175">
        <f>H88/DAY(B2)</f>
        <v>-5.375000000003638E-2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'7'!F89</f>
        <v>25959.37</v>
      </c>
      <c r="F89" s="164">
        <v>25970</v>
      </c>
      <c r="G89" s="112">
        <f t="shared" si="8"/>
        <v>10.630000000001019</v>
      </c>
      <c r="H89" s="99">
        <f>G89+'7'!H89</f>
        <v>78.880000000001019</v>
      </c>
      <c r="I89" s="118"/>
      <c r="J89" s="175">
        <f>H89/DAY(B2)</f>
        <v>9.8600000000001273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'7'!F90</f>
        <v>71179.92</v>
      </c>
      <c r="F90" s="164">
        <v>71183</v>
      </c>
      <c r="G90" s="112">
        <f t="shared" si="8"/>
        <v>3.0800000000017462</v>
      </c>
      <c r="H90" s="99">
        <f>G90+'7'!H90</f>
        <v>19.679999999993015</v>
      </c>
      <c r="I90" s="118">
        <f>G89+G90</f>
        <v>13.710000000002765</v>
      </c>
      <c r="J90" s="175">
        <f>H90/DAY(B2)</f>
        <v>2.4599999999991269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'7'!F91</f>
        <v>3329.68</v>
      </c>
      <c r="F91" s="122">
        <v>3340.85</v>
      </c>
      <c r="G91" s="112">
        <f t="shared" si="8"/>
        <v>11.170000000000073</v>
      </c>
      <c r="H91" s="99">
        <f>G91+'7'!H91</f>
        <v>89.759999999999764</v>
      </c>
      <c r="I91" s="165"/>
      <c r="J91" s="175">
        <f>H91/DAY(B2)</f>
        <v>11.21999999999997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'7'!F92</f>
        <v>5741.07</v>
      </c>
      <c r="F92" s="122">
        <v>5741</v>
      </c>
      <c r="G92" s="112">
        <f t="shared" si="8"/>
        <v>-6.9999999999708962E-2</v>
      </c>
      <c r="H92" s="99">
        <f>G92+'7'!H92</f>
        <v>-6.9999999999708962E-2</v>
      </c>
      <c r="I92" s="165"/>
      <c r="J92" s="175">
        <f>H92/DAY(B2)</f>
        <v>-8.7499999999636202E-3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5144.6900000000023</v>
      </c>
      <c r="H94" s="99">
        <f>G94+'7'!H94</f>
        <v>39075.229999999996</v>
      </c>
      <c r="I94" s="118"/>
      <c r="J94" s="175">
        <f>H94/DAY(B2)</f>
        <v>4884.4037499999995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0.26158026371116583</v>
      </c>
      <c r="H95" s="99">
        <f>G95+'7'!H95</f>
        <v>2.0153180824801282</v>
      </c>
      <c r="I95" s="167"/>
      <c r="J95" s="175">
        <f>H95/DAY(B2)</f>
        <v>0.25191476031001603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4082.4900000000066</v>
      </c>
      <c r="H96" s="99">
        <f>G96+'7'!H96</f>
        <v>28923.349999999991</v>
      </c>
      <c r="I96" s="118"/>
      <c r="J96" s="175">
        <f>H96/DAY(B2)</f>
        <v>3615.4187499999989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0.20757301427261868</v>
      </c>
      <c r="H97" s="99">
        <f>G97+'7'!H97</f>
        <v>1.4960041382810723</v>
      </c>
      <c r="I97" s="167"/>
      <c r="J97" s="175">
        <f>H97/DAY(B2)</f>
        <v>0.18700051728513403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2923.2899999999936</v>
      </c>
      <c r="H98" s="99">
        <f>G98+'7'!H98</f>
        <v>22070.71</v>
      </c>
      <c r="I98" s="168"/>
      <c r="J98" s="175">
        <f>H98/DAY(B2)</f>
        <v>2758.8387499999999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0.1486338281031922</v>
      </c>
      <c r="H99" s="99">
        <f>G99+'7'!H99</f>
        <v>1.1405585204827573</v>
      </c>
      <c r="I99" s="168"/>
      <c r="J99" s="175">
        <f>H99/DAY(B2)</f>
        <v>0.14256981506034466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1914.6800000000003</v>
      </c>
      <c r="H100" s="99">
        <f>G100+'7'!H100</f>
        <v>14692.57</v>
      </c>
      <c r="I100" s="118"/>
      <c r="J100" s="175">
        <f>H100/DAY(B2)</f>
        <v>1836.57125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9.735134659668411E-2</v>
      </c>
      <c r="H101" s="99">
        <f>G101+'7'!H101</f>
        <v>0.75837003075782494</v>
      </c>
      <c r="I101" s="168"/>
      <c r="J101" s="175">
        <f>H101/DAY(B2)</f>
        <v>9.4796253844728118E-2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1930.5800000000017</v>
      </c>
      <c r="H102" s="99">
        <f>G102+'7'!H102</f>
        <v>16707.630000000005</v>
      </c>
      <c r="I102" s="168"/>
      <c r="J102" s="175">
        <f>H102/DAY(B2)</f>
        <v>2088.4537500000006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9.8159777462879724E-2</v>
      </c>
      <c r="H103" s="99">
        <f>G103+'7'!H103</f>
        <v>0.85855579856515474</v>
      </c>
      <c r="I103" s="118"/>
      <c r="J103" s="175">
        <f>H103/DAY(B2)</f>
        <v>0.10731947482064434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1609.0699999999997</v>
      </c>
      <c r="H104" s="99">
        <f>G104+'7'!H104</f>
        <v>12864.910000000003</v>
      </c>
      <c r="I104" s="118"/>
      <c r="J104" s="175">
        <f>H104/DAY(B2)</f>
        <v>1608.1137500000004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8.1812695211903014E-2</v>
      </c>
      <c r="H105" s="99">
        <f>G105+'7'!H105</f>
        <v>0.6656922537776625</v>
      </c>
      <c r="I105" s="187"/>
      <c r="J105" s="188">
        <f>H105/DAY(B2)</f>
        <v>8.3211531722207813E-2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'7'!F112</f>
        <v>58586.720000000001</v>
      </c>
      <c r="F112" s="237">
        <v>58659</v>
      </c>
      <c r="G112" s="112">
        <f t="shared" ref="G112:G123" si="9">F112-E112</f>
        <v>72.279999999998836</v>
      </c>
      <c r="H112" s="99">
        <f>G112+'7'!H112</f>
        <v>605</v>
      </c>
      <c r="I112" s="165"/>
      <c r="J112" s="328">
        <f>H112/DAY(B2)</f>
        <v>75.625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'7'!F113</f>
        <v>49699.03</v>
      </c>
      <c r="F113" s="237">
        <v>50163</v>
      </c>
      <c r="G113" s="112">
        <f t="shared" si="9"/>
        <v>463.97000000000116</v>
      </c>
      <c r="H113" s="99">
        <f>G113+'7'!H113</f>
        <v>3762.1100000000006</v>
      </c>
      <c r="I113" s="165"/>
      <c r="J113" s="328">
        <f>H113/DAY(B2)</f>
        <v>470.26375000000007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'7'!F114</f>
        <v>35418.1</v>
      </c>
      <c r="F114" s="237">
        <v>35685</v>
      </c>
      <c r="G114" s="112">
        <f t="shared" si="9"/>
        <v>266.90000000000146</v>
      </c>
      <c r="H114" s="99">
        <f>G114+'7'!H114</f>
        <v>2525</v>
      </c>
      <c r="I114" s="165"/>
      <c r="J114" s="328">
        <f>H114/DAY(B2)</f>
        <v>315.625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'7'!F115</f>
        <v>9168.2199999999993</v>
      </c>
      <c r="F115" s="237">
        <v>9179</v>
      </c>
      <c r="G115" s="112">
        <f t="shared" si="9"/>
        <v>10.780000000000655</v>
      </c>
      <c r="H115" s="99">
        <f>G115+'7'!H115</f>
        <v>84.350000000000364</v>
      </c>
      <c r="I115" s="165"/>
      <c r="J115" s="328">
        <f>H115/DAY(B2)</f>
        <v>10.543750000000045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'7'!F116</f>
        <v>642.16999999999996</v>
      </c>
      <c r="F116" s="237">
        <v>933</v>
      </c>
      <c r="G116" s="112">
        <f t="shared" si="9"/>
        <v>290.83000000000004</v>
      </c>
      <c r="H116" s="99">
        <f>G116+'7'!H116</f>
        <v>933</v>
      </c>
      <c r="I116" s="165"/>
      <c r="J116" s="328">
        <f>H116/DAY(B2)</f>
        <v>116.625</v>
      </c>
      <c r="Q116" s="871" t="s">
        <v>311</v>
      </c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'7'!F117</f>
        <v>3869.46</v>
      </c>
      <c r="F117" s="237">
        <v>4047</v>
      </c>
      <c r="G117" s="112">
        <f t="shared" si="9"/>
        <v>177.53999999999996</v>
      </c>
      <c r="H117" s="99">
        <f>G117+'7'!H117</f>
        <v>709.05000000000018</v>
      </c>
      <c r="I117" s="165"/>
      <c r="J117" s="328">
        <f>H117/DAY(B2)</f>
        <v>88.631250000000023</v>
      </c>
      <c r="Q117" s="871" t="s">
        <v>312</v>
      </c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'7'!F118</f>
        <v>254777.55</v>
      </c>
      <c r="F118" s="237">
        <v>255150</v>
      </c>
      <c r="G118" s="112">
        <f t="shared" si="9"/>
        <v>372.45000000001164</v>
      </c>
      <c r="H118" s="99">
        <f>G118+'7'!H118</f>
        <v>2697.6900000000023</v>
      </c>
      <c r="I118" s="165"/>
      <c r="J118" s="328">
        <f>H118/DAY(B2)</f>
        <v>337.21125000000029</v>
      </c>
      <c r="Q118" s="871" t="s">
        <v>311</v>
      </c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'7'!F119</f>
        <v>261010.07</v>
      </c>
      <c r="F119" s="237">
        <v>261412</v>
      </c>
      <c r="G119" s="112">
        <f t="shared" si="9"/>
        <v>401.92999999999302</v>
      </c>
      <c r="H119" s="99">
        <f>G119+'7'!H119</f>
        <v>3263.4500000000116</v>
      </c>
      <c r="I119" s="165"/>
      <c r="J119" s="328">
        <f>H119/DAY(B2)</f>
        <v>407.93125000000146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'7'!F120</f>
        <v>45877.760000000002</v>
      </c>
      <c r="F120" s="237">
        <v>46302</v>
      </c>
      <c r="G120" s="112">
        <f t="shared" si="9"/>
        <v>424.23999999999796</v>
      </c>
      <c r="H120" s="99">
        <f>G120+'7'!H120</f>
        <v>3342.3899999999994</v>
      </c>
      <c r="I120" s="165"/>
      <c r="J120" s="328">
        <f>H120/DAY(B2)</f>
        <v>417.79874999999993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'7'!F121</f>
        <v>403126.07</v>
      </c>
      <c r="F121" s="237">
        <v>403832</v>
      </c>
      <c r="G121" s="112">
        <f t="shared" si="9"/>
        <v>705.92999999999302</v>
      </c>
      <c r="H121" s="99">
        <f>G121+'7'!H121</f>
        <v>5797.570000000007</v>
      </c>
      <c r="I121" s="165"/>
      <c r="J121" s="328">
        <f>H121/DAY(B2)</f>
        <v>724.69625000000087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'7'!F122</f>
        <v>127796.37</v>
      </c>
      <c r="F122" s="237">
        <v>128003</v>
      </c>
      <c r="G122" s="112">
        <f t="shared" si="9"/>
        <v>206.63000000000466</v>
      </c>
      <c r="H122" s="99">
        <f>G122+'7'!H122</f>
        <v>1816.820000000007</v>
      </c>
      <c r="I122" s="165"/>
      <c r="J122" s="328">
        <f>H122/DAY(B2)</f>
        <v>227.10250000000087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'7'!F123</f>
        <v>155830.76999999999</v>
      </c>
      <c r="F123" s="237">
        <v>156083</v>
      </c>
      <c r="G123" s="112">
        <f t="shared" si="9"/>
        <v>252.23000000001048</v>
      </c>
      <c r="H123" s="99">
        <f>G123+'7'!H123</f>
        <v>2036.0499999999884</v>
      </c>
      <c r="I123" s="165"/>
      <c r="J123" s="328">
        <f>H123/DAY(B2)</f>
        <v>254.50624999999854</v>
      </c>
    </row>
    <row r="124" spans="1:18" ht="29.25" customHeight="1" x14ac:dyDescent="0.5">
      <c r="A124" s="875"/>
      <c r="B124" s="876"/>
      <c r="C124" s="877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3645.7100000000128</v>
      </c>
      <c r="H125" s="156"/>
      <c r="I125" s="327">
        <f>G125-(G39+G53)</f>
        <v>722.42000000001917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'7'!F128</f>
        <v>49874.35</v>
      </c>
      <c r="F128" s="165">
        <v>50155</v>
      </c>
      <c r="G128" s="112">
        <f t="shared" ref="G128:G134" si="10">F128-E128</f>
        <v>280.65000000000146</v>
      </c>
      <c r="H128" s="99">
        <f>G128+'7'!H128</f>
        <v>2409</v>
      </c>
      <c r="I128" s="165"/>
      <c r="J128" s="328">
        <f>H128/DAY(B2)</f>
        <v>301.125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'7'!F129</f>
        <v>28324.45</v>
      </c>
      <c r="F129" s="165">
        <v>28501</v>
      </c>
      <c r="G129" s="112">
        <f t="shared" si="10"/>
        <v>176.54999999999927</v>
      </c>
      <c r="H129" s="99">
        <f>G129+'7'!H129</f>
        <v>1590.130000000001</v>
      </c>
      <c r="I129" s="165"/>
      <c r="J129" s="328">
        <f>H129/DAY(B2)</f>
        <v>198.76625000000013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'7'!F130</f>
        <v>39667.769999999997</v>
      </c>
      <c r="F130" s="165">
        <v>40315</v>
      </c>
      <c r="G130" s="112">
        <f t="shared" si="10"/>
        <v>647.2300000000032</v>
      </c>
      <c r="H130" s="99">
        <f>G130+'7'!H130</f>
        <v>4621</v>
      </c>
      <c r="I130" s="165"/>
      <c r="J130" s="328">
        <f>H130/DAY(B2)</f>
        <v>577.625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'7'!F131</f>
        <v>15813.91</v>
      </c>
      <c r="F131" s="165">
        <v>15930</v>
      </c>
      <c r="G131" s="112">
        <f t="shared" si="10"/>
        <v>116.09000000000015</v>
      </c>
      <c r="H131" s="99">
        <f>G131+'7'!H131</f>
        <v>622.31999999999971</v>
      </c>
      <c r="I131" s="165"/>
      <c r="J131" s="328">
        <f>H131/DAY(B2)</f>
        <v>77.789999999999964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'7'!F132</f>
        <v>54117.24</v>
      </c>
      <c r="F132" s="165">
        <v>54553</v>
      </c>
      <c r="G132" s="112">
        <f t="shared" si="10"/>
        <v>435.76000000000204</v>
      </c>
      <c r="H132" s="99">
        <f>G132+'7'!H132</f>
        <v>2704.6999999999971</v>
      </c>
      <c r="I132" s="165"/>
      <c r="J132" s="328">
        <f>H132/DAY(B2)</f>
        <v>338.08749999999964</v>
      </c>
    </row>
    <row r="133" spans="1:15" ht="27.75" x14ac:dyDescent="0.5">
      <c r="A133" s="871" t="s">
        <v>323</v>
      </c>
      <c r="B133" s="872"/>
      <c r="C133" s="873"/>
      <c r="D133" s="151" t="s">
        <v>183</v>
      </c>
      <c r="E133" s="95">
        <f>'7'!F133</f>
        <v>109652.68</v>
      </c>
      <c r="F133" s="165">
        <v>110300</v>
      </c>
      <c r="G133" s="112">
        <f t="shared" si="10"/>
        <v>647.32000000000698</v>
      </c>
      <c r="H133" s="99">
        <f>G133+'7'!H133</f>
        <v>4956.3000000000029</v>
      </c>
      <c r="I133" s="165"/>
      <c r="J133" s="328">
        <f>H133/DAY(B2)</f>
        <v>619.53750000000036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'7'!F134</f>
        <v>9919.08</v>
      </c>
      <c r="F134" s="165">
        <v>10166.85</v>
      </c>
      <c r="G134" s="112">
        <f t="shared" si="10"/>
        <v>247.77000000000044</v>
      </c>
      <c r="H134" s="99">
        <f>G134+'7'!H134</f>
        <v>1565.6200000000008</v>
      </c>
      <c r="I134" s="165"/>
      <c r="J134" s="328">
        <f>H134/DAY(B2)</f>
        <v>195.7025000000001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2551.3700000000135</v>
      </c>
      <c r="H135" s="99">
        <f>G135+'7'!H135</f>
        <v>18469.07</v>
      </c>
      <c r="I135" s="327">
        <f>G135-(G35+G49)</f>
        <v>-469.64999999999054</v>
      </c>
      <c r="J135" s="328" t="e">
        <f t="shared" ref="J135" si="11">H135/DAY(B54)</f>
        <v>#DIV/0!</v>
      </c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'7'!F138</f>
        <v>866739</v>
      </c>
      <c r="F138" s="147">
        <v>866809</v>
      </c>
      <c r="G138" s="112">
        <f t="shared" ref="G138:G152" si="12">F138-E138</f>
        <v>70</v>
      </c>
      <c r="H138" s="99">
        <f>G138+'7'!H138</f>
        <v>636</v>
      </c>
      <c r="I138" s="118"/>
      <c r="J138" s="328">
        <f>H138/DAY(B2)</f>
        <v>79.5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'7'!F139</f>
        <v>886629</v>
      </c>
      <c r="F139" s="148">
        <v>886630</v>
      </c>
      <c r="G139" s="112">
        <f t="shared" si="12"/>
        <v>1</v>
      </c>
      <c r="H139" s="99">
        <f>G139+'7'!H139</f>
        <v>57</v>
      </c>
      <c r="I139" s="118"/>
      <c r="J139" s="328">
        <f>H139/DAY(B2)</f>
        <v>7.125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'7'!F140</f>
        <v>88938</v>
      </c>
      <c r="F140" s="149">
        <v>88940</v>
      </c>
      <c r="G140" s="112">
        <f t="shared" si="12"/>
        <v>2</v>
      </c>
      <c r="H140" s="99">
        <f>G140+'7'!H140</f>
        <v>18</v>
      </c>
      <c r="I140" s="118"/>
      <c r="J140" s="328">
        <f>H140/DAY(B2)</f>
        <v>2.25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'7'!F141</f>
        <v>55907.86</v>
      </c>
      <c r="F141" s="149">
        <v>56077</v>
      </c>
      <c r="G141" s="112">
        <f t="shared" si="12"/>
        <v>169.13999999999942</v>
      </c>
      <c r="H141" s="99">
        <f>G141+'7'!H141</f>
        <v>1391.4199999999983</v>
      </c>
      <c r="I141" s="118"/>
      <c r="J141" s="328">
        <f>H141/DAY(B2)</f>
        <v>173.92749999999978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'7'!F142</f>
        <v>21767.8</v>
      </c>
      <c r="F142" s="679">
        <v>21834</v>
      </c>
      <c r="G142" s="112">
        <f t="shared" si="12"/>
        <v>66.200000000000728</v>
      </c>
      <c r="H142" s="99">
        <f>G142+'7'!H142</f>
        <v>549.90000000000146</v>
      </c>
      <c r="I142" s="140"/>
      <c r="J142" s="328">
        <f>H142/DAY(B2)</f>
        <v>68.737500000000182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'7'!F143</f>
        <v>4027</v>
      </c>
      <c r="F143" s="149">
        <v>4058</v>
      </c>
      <c r="G143" s="112">
        <f t="shared" si="12"/>
        <v>31</v>
      </c>
      <c r="H143" s="99">
        <f>G143+'7'!H143</f>
        <v>222.61000000000013</v>
      </c>
      <c r="I143" s="140"/>
      <c r="J143" s="328">
        <f>H143/DAY(B2)</f>
        <v>27.826250000000016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'7'!F144</f>
        <v>877957</v>
      </c>
      <c r="F144" s="149">
        <v>878165</v>
      </c>
      <c r="G144" s="112">
        <f t="shared" si="12"/>
        <v>208</v>
      </c>
      <c r="H144" s="99">
        <f>G144+'7'!H144</f>
        <v>1678</v>
      </c>
      <c r="I144" s="140"/>
      <c r="J144" s="328">
        <f>H144/DAY(B2)</f>
        <v>209.75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'7'!F145</f>
        <v>5042.8500000000004</v>
      </c>
      <c r="F145" s="149">
        <v>5057</v>
      </c>
      <c r="G145" s="112">
        <f t="shared" si="12"/>
        <v>14.149999999999636</v>
      </c>
      <c r="H145" s="99">
        <f>G145+'7'!H145</f>
        <v>98.159999999999854</v>
      </c>
      <c r="I145" s="140"/>
      <c r="J145" s="328">
        <f>H145/DAY(B2)</f>
        <v>12.269999999999982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'7'!F146</f>
        <v>740287</v>
      </c>
      <c r="F146" s="148">
        <v>740692</v>
      </c>
      <c r="G146" s="112">
        <f t="shared" si="12"/>
        <v>405</v>
      </c>
      <c r="H146" s="99">
        <f>G146+'7'!H146</f>
        <v>3359</v>
      </c>
      <c r="I146" s="140"/>
      <c r="J146" s="328">
        <f>H146/DAY(B2)</f>
        <v>419.875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'7'!F147</f>
        <v>629374.43999999994</v>
      </c>
      <c r="F147" s="148">
        <v>629801</v>
      </c>
      <c r="G147" s="112">
        <f t="shared" si="12"/>
        <v>426.56000000005588</v>
      </c>
      <c r="H147" s="99">
        <f>G147+'7'!H147</f>
        <v>3188.4799999999814</v>
      </c>
      <c r="I147" s="140"/>
      <c r="J147" s="328">
        <f>H147/DAY(B2)</f>
        <v>398.55999999999767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'7'!F148</f>
        <v>691527.76</v>
      </c>
      <c r="F148" s="150">
        <v>691828</v>
      </c>
      <c r="G148" s="112">
        <f t="shared" si="12"/>
        <v>300.23999999999069</v>
      </c>
      <c r="H148" s="99">
        <f>G148+'7'!H148</f>
        <v>2385.0400000000373</v>
      </c>
      <c r="I148" s="124"/>
      <c r="J148" s="328">
        <f>H148/DAY(B2)</f>
        <v>298.13000000000466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'7'!F149</f>
        <v>28230.75</v>
      </c>
      <c r="F149" s="146">
        <v>28830</v>
      </c>
      <c r="G149" s="112">
        <f t="shared" si="12"/>
        <v>599.25</v>
      </c>
      <c r="H149" s="99">
        <f>G149+'7'!H149</f>
        <v>4151.7999999999993</v>
      </c>
      <c r="I149" s="119"/>
      <c r="J149" s="328">
        <f>H149/DAY(B2)</f>
        <v>518.97499999999991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'7'!F150</f>
        <v>12423.9</v>
      </c>
      <c r="F150" s="233">
        <v>12658</v>
      </c>
      <c r="G150" s="112">
        <f t="shared" si="12"/>
        <v>234.10000000000036</v>
      </c>
      <c r="H150" s="99">
        <f>G150+'7'!H150</f>
        <v>1807.17</v>
      </c>
      <c r="I150" s="119"/>
      <c r="J150" s="328">
        <f>H150/DAY(B2)</f>
        <v>225.89625000000001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'7'!F151</f>
        <v>87220</v>
      </c>
      <c r="F151" s="233">
        <v>87453</v>
      </c>
      <c r="G151" s="112">
        <f t="shared" si="12"/>
        <v>233</v>
      </c>
      <c r="H151" s="99">
        <f>G151+'7'!H151</f>
        <v>1973</v>
      </c>
      <c r="I151" s="119"/>
      <c r="J151" s="328">
        <f>H151/DAY(B2)</f>
        <v>246.625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'7'!F152</f>
        <v>1999.73</v>
      </c>
      <c r="F152" s="233">
        <v>2039</v>
      </c>
      <c r="G152" s="112">
        <f t="shared" si="12"/>
        <v>39.269999999999982</v>
      </c>
      <c r="H152" s="99">
        <f>G152+'7'!H152</f>
        <v>379</v>
      </c>
      <c r="I152" s="119"/>
      <c r="J152" s="328">
        <f>H152/DAY(B2)</f>
        <v>47.375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2798.9100000000467</v>
      </c>
      <c r="H153" s="363"/>
      <c r="I153" s="119">
        <f>G153-(G38+G52)</f>
        <v>884.2300000000464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'7'!F155</f>
        <v>37208.25</v>
      </c>
      <c r="F155" s="374">
        <v>37876</v>
      </c>
      <c r="G155" s="112">
        <f t="shared" ref="G155:G156" si="13">F155-E155</f>
        <v>667.75</v>
      </c>
      <c r="H155" s="99">
        <f>G155+'7'!H155</f>
        <v>4931</v>
      </c>
      <c r="I155" s="364"/>
      <c r="J155" s="328">
        <f>H155/DAY(B2)</f>
        <v>616.375</v>
      </c>
    </row>
    <row r="156" spans="1:10" ht="27.75" x14ac:dyDescent="0.5">
      <c r="A156" s="851" t="s">
        <v>346</v>
      </c>
      <c r="B156" s="851"/>
      <c r="C156" s="851"/>
      <c r="D156" s="117" t="s">
        <v>130</v>
      </c>
      <c r="E156" s="95">
        <f>'7'!F156</f>
        <v>3101.97</v>
      </c>
      <c r="F156" s="155">
        <v>3151</v>
      </c>
      <c r="G156" s="112">
        <f t="shared" si="13"/>
        <v>49.0300000000002</v>
      </c>
      <c r="H156" s="99">
        <f>G156+'7'!H156</f>
        <v>363</v>
      </c>
      <c r="I156" s="165"/>
      <c r="J156" s="328">
        <f>H156/DAY(B2)</f>
        <v>45.375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>
        <v>0</v>
      </c>
      <c r="F157" s="155">
        <v>4801</v>
      </c>
      <c r="G157" s="112"/>
      <c r="H157" s="99"/>
      <c r="I157" s="165"/>
      <c r="J157" s="328"/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>
        <v>0</v>
      </c>
      <c r="F158" s="155">
        <v>69</v>
      </c>
      <c r="G158" s="112"/>
      <c r="H158" s="99"/>
      <c r="I158" s="165"/>
      <c r="J158" s="328"/>
    </row>
    <row r="159" spans="1:10" ht="27.75" x14ac:dyDescent="0.5">
      <c r="A159" s="935"/>
      <c r="B159" s="936"/>
      <c r="C159" s="93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472392.44</v>
      </c>
      <c r="F161" s="235">
        <v>472437</v>
      </c>
      <c r="G161" s="238">
        <f t="shared" ref="G161:G165" si="14">F161-E161</f>
        <v>44.559999999997672</v>
      </c>
      <c r="H161" s="99">
        <f>G161+'7'!H161</f>
        <v>383.44000000000233</v>
      </c>
      <c r="I161" s="236"/>
      <c r="J161" s="239">
        <f>H161/DAY(B2)</f>
        <v>47.930000000000291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88761.7</v>
      </c>
      <c r="F162" s="235">
        <v>88804</v>
      </c>
      <c r="G162" s="238">
        <f t="shared" si="14"/>
        <v>42.30000000000291</v>
      </c>
      <c r="H162" s="99">
        <f>G162+'7'!H162</f>
        <v>287.60000000000582</v>
      </c>
      <c r="I162" s="236"/>
      <c r="J162" s="239">
        <f>H162/DAY(B2)</f>
        <v>35.950000000000728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79454.600000000006</v>
      </c>
      <c r="F163" s="235">
        <v>79499</v>
      </c>
      <c r="G163" s="238">
        <f t="shared" si="14"/>
        <v>44.399999999994179</v>
      </c>
      <c r="H163" s="99">
        <f>G163+'7'!H163</f>
        <v>278.89999999999418</v>
      </c>
      <c r="I163" s="236"/>
      <c r="J163" s="239">
        <f>H163/DAY(B2)</f>
        <v>34.862499999999272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4326.1000000000004</v>
      </c>
      <c r="F164" s="235">
        <v>4328</v>
      </c>
      <c r="G164" s="238">
        <f t="shared" si="14"/>
        <v>1.8999999999996362</v>
      </c>
      <c r="H164" s="99">
        <f>G164+'7'!H164</f>
        <v>8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29916.62</v>
      </c>
      <c r="F165" s="501">
        <v>29925</v>
      </c>
      <c r="G165" s="238">
        <f t="shared" si="14"/>
        <v>8.3800000000010186</v>
      </c>
      <c r="H165" s="99">
        <f>G165+'7'!H165</f>
        <v>67.75</v>
      </c>
      <c r="I165" s="236"/>
      <c r="J165" s="239">
        <f>H165/DAY(B2)</f>
        <v>8.46875</v>
      </c>
    </row>
    <row r="166" spans="1:10" ht="29.25" x14ac:dyDescent="0.5">
      <c r="A166" s="860"/>
      <c r="B166" s="860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'7'!F173</f>
        <v>8126</v>
      </c>
      <c r="F173" s="155">
        <v>8126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'7'!F174</f>
        <v>38706</v>
      </c>
      <c r="F174" s="157">
        <v>38723</v>
      </c>
      <c r="G174" s="155">
        <f t="shared" ref="G174:G175" si="15">F174-E174</f>
        <v>17</v>
      </c>
      <c r="H174" s="99">
        <f>G174+'7'!H174</f>
        <v>108</v>
      </c>
      <c r="I174" s="155"/>
      <c r="J174" s="178">
        <f>H174/DAY(B2)</f>
        <v>13.5</v>
      </c>
    </row>
    <row r="175" spans="1:10" ht="27.75" x14ac:dyDescent="0.5">
      <c r="A175" s="864" t="s">
        <v>76</v>
      </c>
      <c r="B175" s="904"/>
      <c r="C175" s="865"/>
      <c r="D175" s="228" t="s">
        <v>142</v>
      </c>
      <c r="E175" s="95">
        <f>'7'!F175</f>
        <v>21883</v>
      </c>
      <c r="F175" s="155">
        <v>21895</v>
      </c>
      <c r="G175" s="155">
        <f t="shared" si="15"/>
        <v>12</v>
      </c>
      <c r="H175" s="99">
        <f>G175+'7'!H175</f>
        <v>82</v>
      </c>
      <c r="I175" s="155"/>
      <c r="J175" s="178">
        <f>H175/DAY(B2)</f>
        <v>10.25</v>
      </c>
    </row>
    <row r="176" spans="1:10" ht="27.75" x14ac:dyDescent="0.5">
      <c r="A176" s="855" t="s">
        <v>196</v>
      </c>
      <c r="B176" s="856"/>
      <c r="C176" s="333"/>
      <c r="D176" s="228" t="s">
        <v>142</v>
      </c>
      <c r="E176" s="95"/>
      <c r="F176" s="155"/>
      <c r="G176" s="155">
        <f>SUM(G173:G175)</f>
        <v>29</v>
      </c>
      <c r="H176" s="99">
        <f>G176+'7'!H176</f>
        <v>190</v>
      </c>
      <c r="I176" s="155"/>
      <c r="J176" s="178">
        <f>H176/DAY(B2)</f>
        <v>23.75</v>
      </c>
    </row>
    <row r="177" spans="1:10" ht="27.75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864" t="s">
        <v>210</v>
      </c>
      <c r="B178" s="865"/>
      <c r="C178" s="333"/>
      <c r="D178" s="228" t="s">
        <v>142</v>
      </c>
      <c r="E178" s="95">
        <f>'7'!F178</f>
        <v>81717</v>
      </c>
      <c r="F178" s="155">
        <v>81763</v>
      </c>
      <c r="G178" s="155">
        <f>F178-E178</f>
        <v>46</v>
      </c>
      <c r="H178" s="99">
        <f>G178+'7'!H178</f>
        <v>448</v>
      </c>
      <c r="I178" s="155"/>
      <c r="J178" s="178">
        <f>H178/DAY(B2)</f>
        <v>56</v>
      </c>
    </row>
    <row r="179" spans="1:10" ht="27.75" x14ac:dyDescent="0.5">
      <c r="A179" s="864" t="s">
        <v>211</v>
      </c>
      <c r="B179" s="865"/>
      <c r="C179" s="333"/>
      <c r="D179" s="228" t="s">
        <v>142</v>
      </c>
      <c r="E179" s="95">
        <f>'7'!F179</f>
        <v>35073</v>
      </c>
      <c r="F179" s="155">
        <v>35098</v>
      </c>
      <c r="G179" s="155">
        <f t="shared" ref="G179:G180" si="16">F179-E179</f>
        <v>25</v>
      </c>
      <c r="H179" s="99">
        <f>G179+'7'!H179</f>
        <v>295</v>
      </c>
      <c r="I179" s="155"/>
      <c r="J179" s="178">
        <f>H179/DAY(B2)</f>
        <v>36.875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'7'!F180</f>
        <v>5748</v>
      </c>
      <c r="F180" s="155">
        <v>5765</v>
      </c>
      <c r="G180" s="155">
        <f t="shared" si="16"/>
        <v>17</v>
      </c>
      <c r="H180" s="99">
        <f>G180+'7'!H180</f>
        <v>63</v>
      </c>
      <c r="I180" s="155"/>
      <c r="J180" s="178">
        <f>H180/DAY(B2)</f>
        <v>7.875</v>
      </c>
    </row>
    <row r="181" spans="1:10" ht="27.75" x14ac:dyDescent="0.5">
      <c r="A181" s="866" t="s">
        <v>108</v>
      </c>
      <c r="B181" s="867"/>
      <c r="C181" s="333"/>
      <c r="D181" s="228" t="s">
        <v>142</v>
      </c>
      <c r="E181" s="95"/>
      <c r="F181" s="155"/>
      <c r="G181" s="155">
        <f>SUM(G178:G180)</f>
        <v>88</v>
      </c>
      <c r="H181" s="99">
        <f>G181+'7'!H181</f>
        <v>806</v>
      </c>
      <c r="I181" s="155"/>
      <c r="J181" s="178">
        <f>H181/DAY(B2)</f>
        <v>100.75</v>
      </c>
    </row>
    <row r="182" spans="1:10" ht="27.75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'7'!F183</f>
        <v>15439</v>
      </c>
      <c r="F183" s="157">
        <v>15451</v>
      </c>
      <c r="G183" s="157">
        <f>F183-E183</f>
        <v>12</v>
      </c>
      <c r="H183" s="99">
        <f>G183+'7'!H183</f>
        <v>106</v>
      </c>
      <c r="I183" s="155"/>
      <c r="J183" s="178">
        <f>H183/DAY(B2)</f>
        <v>13.25</v>
      </c>
    </row>
    <row r="184" spans="1:10" ht="27.75" x14ac:dyDescent="0.5">
      <c r="A184" s="864" t="s">
        <v>215</v>
      </c>
      <c r="B184" s="865"/>
      <c r="C184" s="334"/>
      <c r="D184" s="228" t="s">
        <v>142</v>
      </c>
      <c r="E184" s="95">
        <f>'7'!F184</f>
        <v>10575</v>
      </c>
      <c r="F184" s="157">
        <v>10599</v>
      </c>
      <c r="G184" s="157">
        <f t="shared" ref="G184:G185" si="17">F184-E184</f>
        <v>24</v>
      </c>
      <c r="H184" s="99">
        <f>G184+'7'!H184</f>
        <v>81</v>
      </c>
      <c r="I184" s="155"/>
      <c r="J184" s="178">
        <f>H184/DAY(B2)</f>
        <v>10.125</v>
      </c>
    </row>
    <row r="185" spans="1:10" ht="27.75" x14ac:dyDescent="0.5">
      <c r="A185" s="864" t="s">
        <v>216</v>
      </c>
      <c r="B185" s="865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855" t="s">
        <v>196</v>
      </c>
      <c r="B186" s="856"/>
      <c r="C186" s="334"/>
      <c r="D186" s="228" t="s">
        <v>142</v>
      </c>
      <c r="E186" s="95"/>
      <c r="F186" s="157"/>
      <c r="G186" s="157">
        <f>SUM(G183:G185)</f>
        <v>36</v>
      </c>
      <c r="H186" s="99">
        <f>G186+'7'!H186</f>
        <v>187</v>
      </c>
      <c r="I186" s="157"/>
      <c r="J186" s="178">
        <f>H186/DAY(B2)</f>
        <v>23.375</v>
      </c>
    </row>
    <row r="187" spans="1:10" ht="27.75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460">
        <f>G62+G19</f>
        <v>180</v>
      </c>
      <c r="H187" s="99">
        <f>G187+'7'!H187</f>
        <v>1305</v>
      </c>
      <c r="I187" s="158"/>
      <c r="J187" s="179">
        <f>H187/DAY(B2)</f>
        <v>163.125</v>
      </c>
    </row>
    <row r="188" spans="1:10" ht="27.75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184</v>
      </c>
      <c r="H188" s="99">
        <f>G188+'7'!H188</f>
        <v>1318</v>
      </c>
      <c r="I188" s="158"/>
      <c r="J188" s="179">
        <f>H188/DAY(B2)</f>
        <v>164.75</v>
      </c>
    </row>
    <row r="189" spans="1:10" ht="27.75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457">
        <f>G181</f>
        <v>88</v>
      </c>
      <c r="H189" s="99">
        <f>G189+'7'!H189</f>
        <v>806</v>
      </c>
      <c r="I189" s="158"/>
      <c r="J189" s="179">
        <f>H189/DAY(B2)</f>
        <v>100.75</v>
      </c>
    </row>
    <row r="190" spans="1:10" ht="27.75" x14ac:dyDescent="0.5">
      <c r="A190" s="778"/>
      <c r="B190" s="779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15" zoomScale="55" zoomScaleNormal="80" zoomScaleSheetLayoutView="55" workbookViewId="0">
      <selection activeCell="D5" sqref="D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361</v>
      </c>
      <c r="B2" s="262">
        <v>44601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806257</v>
      </c>
      <c r="F7" s="95">
        <v>825639</v>
      </c>
      <c r="G7" s="112">
        <f>F7-E7</f>
        <v>19382</v>
      </c>
      <c r="H7" s="99">
        <f>G7+'8'!H7</f>
        <v>174458.77000000002</v>
      </c>
      <c r="I7" s="113">
        <f>'1'!I7</f>
        <v>12000</v>
      </c>
      <c r="J7" s="175">
        <f>H7/DAY(B2)</f>
        <v>19384.30777777778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865054</v>
      </c>
      <c r="F8" s="95">
        <v>884521</v>
      </c>
      <c r="G8" s="115">
        <f>F8-E8</f>
        <v>19467</v>
      </c>
      <c r="H8" s="99">
        <f>G8+'8'!H8</f>
        <v>175972.84999999998</v>
      </c>
      <c r="I8" s="116"/>
      <c r="J8" s="175">
        <f>H8/DAY(B2)</f>
        <v>19552.538888888885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391914</v>
      </c>
      <c r="F9" s="353">
        <v>408069</v>
      </c>
      <c r="G9" s="112">
        <f>F9-E9</f>
        <v>16155</v>
      </c>
      <c r="H9" s="99">
        <f>G9+'8'!H9</f>
        <v>125815.15000000002</v>
      </c>
      <c r="I9" s="124">
        <f>I7-J7</f>
        <v>-7384.3077777777798</v>
      </c>
      <c r="J9" s="175">
        <f>H9/DAY(B2)</f>
        <v>13979.461111111113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146363</v>
      </c>
      <c r="F10" s="117">
        <v>149027</v>
      </c>
      <c r="G10" s="112">
        <f t="shared" ref="G10:G12" si="0">F10-E10</f>
        <v>2664</v>
      </c>
      <c r="H10" s="99">
        <f>G10+'8'!H10</f>
        <v>43768.03</v>
      </c>
      <c r="I10" s="282"/>
      <c r="J10" s="175">
        <f>H10/DAY(B2)</f>
        <v>4863.1144444444444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37170</v>
      </c>
      <c r="F11" s="95">
        <v>37170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18819</v>
      </c>
      <c r="H13" s="99">
        <f>G13+'8'!H13</f>
        <v>152828.75</v>
      </c>
      <c r="I13" s="120">
        <f>G7-G13</f>
        <v>563</v>
      </c>
      <c r="J13" s="175">
        <f>H13/DAY(B2)</f>
        <v>16980.972222222223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'8'!F15</f>
        <v>1914729</v>
      </c>
      <c r="F15" s="598">
        <v>1915799</v>
      </c>
      <c r="G15" s="112">
        <f>(F15-E15)</f>
        <v>1070</v>
      </c>
      <c r="H15" s="99">
        <f>G15+'8'!H15</f>
        <v>9162.2330000000075</v>
      </c>
      <c r="I15" s="113">
        <f>'1'!I15</f>
        <v>800</v>
      </c>
      <c r="J15" s="175">
        <f>H15/DAY(B2)</f>
        <v>1018.0258888888898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-218.02588888888977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'8'!F18</f>
        <v>18</v>
      </c>
      <c r="F18" s="122">
        <v>20</v>
      </c>
      <c r="G18" s="119">
        <f>F18*10</f>
        <v>200</v>
      </c>
      <c r="H18" s="99">
        <f>G18+'8'!H18</f>
        <v>1750</v>
      </c>
      <c r="I18" s="113">
        <f>'1'!I18</f>
        <v>65</v>
      </c>
      <c r="J18" s="175">
        <f>H18/DAY(B2)</f>
        <v>194.44444444444446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'8'!F19</f>
        <v>154296</v>
      </c>
      <c r="F19" s="122">
        <v>154352</v>
      </c>
      <c r="G19" s="112">
        <f t="shared" ref="G19" si="1">F19-E19</f>
        <v>56</v>
      </c>
      <c r="H19" s="99">
        <f>G19+'8'!H19</f>
        <v>461</v>
      </c>
      <c r="I19" s="335"/>
      <c r="J19" s="175">
        <f>H19/DAY(B2)</f>
        <v>51.222222222222221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256</v>
      </c>
      <c r="H20" s="99">
        <f>G20+'8'!H20</f>
        <v>2211</v>
      </c>
      <c r="I20" s="336">
        <f>I18-J20</f>
        <v>-180.66666666666666</v>
      </c>
      <c r="J20" s="175">
        <f>H20/DAY(B2)</f>
        <v>245.66666666666666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4470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19467</v>
      </c>
      <c r="F27" s="136">
        <v>9</v>
      </c>
      <c r="G27" s="137">
        <f>E27*F27</f>
        <v>175203</v>
      </c>
      <c r="H27" s="99">
        <f>G27+'8'!H27</f>
        <v>1583755.65</v>
      </c>
      <c r="I27" s="138"/>
      <c r="J27" s="175">
        <f>H27/DAY(B2)</f>
        <v>175972.84999999998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1070</v>
      </c>
      <c r="F28" s="136">
        <v>52</v>
      </c>
      <c r="G28" s="137">
        <f>E28*F28</f>
        <v>55640</v>
      </c>
      <c r="H28" s="99">
        <f>G28+'8'!H28</f>
        <v>476436.11600000039</v>
      </c>
      <c r="I28" s="140"/>
      <c r="J28" s="175">
        <f>H28/DAY(B2)</f>
        <v>52937.346222222266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G30+'8'!H30</f>
        <v>67306</v>
      </c>
      <c r="I30" s="140"/>
      <c r="J30" s="175">
        <f>H30/DAY(B2)</f>
        <v>7478.4444444444443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G31+'8'!H31</f>
        <v>140000</v>
      </c>
      <c r="I31" s="140"/>
      <c r="J31" s="175">
        <f>H31/DAY(B2)</f>
        <v>15555.555555555555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255019</v>
      </c>
      <c r="H32" s="99">
        <f>G32+'8'!H32</f>
        <v>2267497.7660000003</v>
      </c>
      <c r="I32" s="144"/>
      <c r="J32" s="175">
        <f>H32/DAY(B2)</f>
        <v>251944.19622222226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43930</v>
      </c>
      <c r="F35" s="145">
        <v>45444</v>
      </c>
      <c r="G35" s="112">
        <f t="shared" ref="G35:G46" si="3">F35-E35</f>
        <v>1514</v>
      </c>
      <c r="H35" s="99">
        <f>G35+'8'!H35</f>
        <v>13439.02</v>
      </c>
      <c r="I35" s="95"/>
      <c r="J35" s="175">
        <f>H35/DAY(B2)</f>
        <v>1493.2244444444445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50674</v>
      </c>
      <c r="F36" s="145">
        <v>51453</v>
      </c>
      <c r="G36" s="112">
        <f t="shared" si="3"/>
        <v>779</v>
      </c>
      <c r="H36" s="99">
        <f>G36+'8'!H36</f>
        <v>7994.260000000002</v>
      </c>
      <c r="I36" s="95"/>
      <c r="J36" s="175">
        <f>H36/DAY(B2)</f>
        <v>888.2511111111113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48290</v>
      </c>
      <c r="F37" s="145">
        <v>49928</v>
      </c>
      <c r="G37" s="112">
        <f t="shared" si="3"/>
        <v>1638</v>
      </c>
      <c r="H37" s="99">
        <f>G37+'8'!H37</f>
        <v>14502.910000000003</v>
      </c>
      <c r="I37" s="95"/>
      <c r="J37" s="175">
        <f>H37/DAY(B2)</f>
        <v>1611.4344444444448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53069</v>
      </c>
      <c r="F38" s="108">
        <v>54992</v>
      </c>
      <c r="G38" s="112">
        <f t="shared" si="3"/>
        <v>1923</v>
      </c>
      <c r="H38" s="99">
        <f>G38+'8'!H38</f>
        <v>16615.57</v>
      </c>
      <c r="I38" s="95"/>
      <c r="J38" s="175">
        <f>H38/DAY(B2)</f>
        <v>1846.1744444444444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81244</v>
      </c>
      <c r="F39" s="145">
        <v>84245</v>
      </c>
      <c r="G39" s="112">
        <f t="shared" si="3"/>
        <v>3001</v>
      </c>
      <c r="H39" s="99">
        <f>G39+'8'!H39</f>
        <v>25071.71</v>
      </c>
      <c r="I39" s="95"/>
      <c r="J39" s="175">
        <f>H39/DAY(B2)</f>
        <v>2785.7455555555553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24519</v>
      </c>
      <c r="F40" s="145">
        <v>24711</v>
      </c>
      <c r="G40" s="112">
        <f t="shared" si="3"/>
        <v>192</v>
      </c>
      <c r="H40" s="99">
        <f>G40+'8'!H40</f>
        <v>2594.0099999999975</v>
      </c>
      <c r="I40" s="95"/>
      <c r="J40" s="175">
        <f>H40/DAY(B2)</f>
        <v>288.22333333333307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63</v>
      </c>
      <c r="F41" s="145">
        <v>63</v>
      </c>
      <c r="G41" s="112">
        <f t="shared" si="3"/>
        <v>0</v>
      </c>
      <c r="H41" s="99">
        <f>G41+'8'!H41</f>
        <v>0.27000000000000313</v>
      </c>
      <c r="I41" s="95"/>
      <c r="J41" s="175">
        <f>H41/DAY(B2)</f>
        <v>3.0000000000000346E-2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113151</v>
      </c>
      <c r="F42" s="145">
        <v>117046</v>
      </c>
      <c r="G42" s="112">
        <f t="shared" si="3"/>
        <v>3895</v>
      </c>
      <c r="H42" s="99">
        <f>G42+'8'!H42</f>
        <v>16916.259999999995</v>
      </c>
      <c r="I42" s="95"/>
      <c r="J42" s="175">
        <f>H42/DAY(B2)</f>
        <v>1879.5844444444438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132091</v>
      </c>
      <c r="F43" s="145">
        <v>134178</v>
      </c>
      <c r="G43" s="112">
        <f t="shared" si="3"/>
        <v>2087</v>
      </c>
      <c r="H43" s="99">
        <f>G43+'8'!H43</f>
        <v>19326.399999999994</v>
      </c>
      <c r="I43" s="95"/>
      <c r="J43" s="175">
        <f>H43/DAY(B2)</f>
        <v>2147.3777777777773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15029</v>
      </c>
      <c r="H47" s="99">
        <f>G47+'8'!H47</f>
        <v>116460.41</v>
      </c>
      <c r="I47" s="95"/>
      <c r="J47" s="175">
        <f>H47/DAY(B2)</f>
        <v>12940.045555555556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145">
        <v>34907</v>
      </c>
      <c r="F49" s="145">
        <v>36299</v>
      </c>
      <c r="G49" s="112">
        <f t="shared" ref="G49:G58" si="4">F49-E49</f>
        <v>1392</v>
      </c>
      <c r="H49" s="99">
        <f>G49+'8'!H49</f>
        <v>11302.810000000001</v>
      </c>
      <c r="I49" s="95"/>
      <c r="J49" s="175">
        <f>H49/DAY(B2)</f>
        <v>1255.867777777778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145">
        <v>65879</v>
      </c>
      <c r="F50" s="145">
        <v>66997</v>
      </c>
      <c r="G50" s="112">
        <f t="shared" si="4"/>
        <v>1118</v>
      </c>
      <c r="H50" s="99">
        <f>G50+'8'!H50</f>
        <v>10610.370000000003</v>
      </c>
      <c r="I50" s="95"/>
      <c r="J50" s="175">
        <f>H50/DAY(B2)</f>
        <v>1178.9300000000003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145"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145"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145"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145">
        <v>8527</v>
      </c>
      <c r="F54" s="145">
        <v>9067</v>
      </c>
      <c r="G54" s="112">
        <f t="shared" si="4"/>
        <v>540</v>
      </c>
      <c r="H54" s="99">
        <f>G54+'8'!H54</f>
        <v>3919.58</v>
      </c>
      <c r="I54" s="95"/>
      <c r="J54" s="175">
        <f>H54/DAY(B2)</f>
        <v>435.50888888888886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145">
        <v>90154.47</v>
      </c>
      <c r="F55" s="145">
        <v>90154</v>
      </c>
      <c r="G55" s="112">
        <f t="shared" si="4"/>
        <v>-0.47000000000116415</v>
      </c>
      <c r="H55" s="99">
        <f>G55+'8'!H55</f>
        <v>15787.89</v>
      </c>
      <c r="I55" s="95"/>
      <c r="J55" s="175">
        <f>H55/DAY(B2)</f>
        <v>1754.21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145">
        <v>8724</v>
      </c>
      <c r="F56" s="145">
        <v>8724</v>
      </c>
      <c r="G56" s="112">
        <f t="shared" si="4"/>
        <v>0</v>
      </c>
      <c r="H56" s="99">
        <f>G56+'8'!H56</f>
        <v>113.45999999999913</v>
      </c>
      <c r="I56" s="95"/>
      <c r="J56" s="175">
        <f>H56/DAY(B2)</f>
        <v>12.60666666666657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145"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145">
        <v>6454</v>
      </c>
      <c r="F58" s="145">
        <v>6739</v>
      </c>
      <c r="G58" s="112">
        <f t="shared" si="4"/>
        <v>285</v>
      </c>
      <c r="H58" s="99">
        <f>G58+'8'!H58</f>
        <v>1942.79</v>
      </c>
      <c r="I58" s="95"/>
      <c r="J58" s="175">
        <f>H58/DAY(B2)</f>
        <v>215.86555555555555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3334.5299999999988</v>
      </c>
      <c r="H59" s="99">
        <f>G59+'8'!H59</f>
        <v>43676.9</v>
      </c>
      <c r="I59" s="95">
        <f>G7-G60</f>
        <v>1018.4700000000012</v>
      </c>
      <c r="J59" s="175">
        <f>H59/DAY(B2)</f>
        <v>4852.9888888888891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18363.53</v>
      </c>
      <c r="H60" s="99">
        <f>G60+'8'!H60</f>
        <v>160137.31</v>
      </c>
      <c r="I60" s="95">
        <f>G13-G60</f>
        <v>455.47000000000116</v>
      </c>
      <c r="J60" s="175">
        <f>H60/DAY(B2)</f>
        <v>17793.034444444445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'8'!F62</f>
        <v>270416</v>
      </c>
      <c r="F62" s="122">
        <v>270558</v>
      </c>
      <c r="G62" s="112">
        <f t="shared" ref="G62:G63" si="5">F62-E62</f>
        <v>142</v>
      </c>
      <c r="H62" s="99">
        <f>G62+'8'!H62</f>
        <v>1042</v>
      </c>
      <c r="I62" s="118"/>
      <c r="J62" s="175">
        <f>H62/DAY(B2)</f>
        <v>115.77777777777777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'8'!F63</f>
        <v>216843</v>
      </c>
      <c r="F63" s="122">
        <v>216933</v>
      </c>
      <c r="G63" s="112">
        <f t="shared" si="5"/>
        <v>90</v>
      </c>
      <c r="H63" s="99">
        <f>G63+'8'!H63</f>
        <v>1136</v>
      </c>
      <c r="I63" s="118"/>
      <c r="J63" s="175">
        <f>H63/DAY(B2)</f>
        <v>126.22222222222223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'8'!F64</f>
        <v>0</v>
      </c>
      <c r="F64" s="122">
        <v>0</v>
      </c>
      <c r="G64" s="112">
        <f>G62+G63</f>
        <v>232</v>
      </c>
      <c r="H64" s="99">
        <f>G64+'8'!H64</f>
        <v>2178</v>
      </c>
      <c r="I64" s="118"/>
      <c r="J64" s="175">
        <f>H64/DAY(B2)</f>
        <v>242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'8'!F65</f>
        <v>435658</v>
      </c>
      <c r="F65" s="122">
        <v>435761</v>
      </c>
      <c r="G65" s="112">
        <f t="shared" ref="G65:G70" si="6">F65-E65</f>
        <v>103</v>
      </c>
      <c r="H65" s="99">
        <f>G65+'8'!H65</f>
        <v>838</v>
      </c>
      <c r="I65" s="118"/>
      <c r="J65" s="175">
        <f>H65/DAY(B2)</f>
        <v>93.111111111111114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'8'!F66</f>
        <v>107946</v>
      </c>
      <c r="F66" s="122">
        <v>107966</v>
      </c>
      <c r="G66" s="112">
        <f t="shared" si="6"/>
        <v>20</v>
      </c>
      <c r="H66" s="99">
        <f>G66+'8'!H66</f>
        <v>223</v>
      </c>
      <c r="I66" s="118"/>
      <c r="J66" s="175">
        <f>H66/DAY(B2)</f>
        <v>24.777777777777779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'8'!F67</f>
        <v>104830</v>
      </c>
      <c r="F67" s="122">
        <v>104885</v>
      </c>
      <c r="G67" s="112">
        <f t="shared" si="6"/>
        <v>55</v>
      </c>
      <c r="H67" s="99">
        <f>G67+'8'!H67</f>
        <v>237</v>
      </c>
      <c r="I67" s="118"/>
      <c r="J67" s="175">
        <f>H67/DAY(B2)</f>
        <v>26.333333333333332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'8'!F68</f>
        <v>157984</v>
      </c>
      <c r="F68" s="122">
        <v>158021</v>
      </c>
      <c r="G68" s="112">
        <f t="shared" si="6"/>
        <v>37</v>
      </c>
      <c r="H68" s="99">
        <f>G68+'8'!H68</f>
        <v>324</v>
      </c>
      <c r="I68" s="118"/>
      <c r="J68" s="175">
        <f>H68/DAY(B2)</f>
        <v>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'8'!F69</f>
        <v>10629</v>
      </c>
      <c r="F69" s="122">
        <v>10638</v>
      </c>
      <c r="G69" s="112">
        <f t="shared" si="6"/>
        <v>9</v>
      </c>
      <c r="H69" s="99">
        <f>G69+'8'!H69</f>
        <v>97</v>
      </c>
      <c r="I69" s="118"/>
      <c r="J69" s="175">
        <f>H69/DAY(B2)</f>
        <v>10.777777777777779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'8'!F70</f>
        <v>8230</v>
      </c>
      <c r="F70" s="122">
        <v>8244</v>
      </c>
      <c r="G70" s="112">
        <f t="shared" si="6"/>
        <v>14</v>
      </c>
      <c r="H70" s="99">
        <f>G70+'8'!H70</f>
        <v>124</v>
      </c>
      <c r="I70" s="118"/>
      <c r="J70" s="175">
        <f>H70/DAY(B2)</f>
        <v>13.777777777777779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238</v>
      </c>
      <c r="H71" s="99">
        <f>G71+'8'!H71</f>
        <v>1843</v>
      </c>
      <c r="I71" s="154"/>
      <c r="J71" s="175">
        <f>H71/DAY(B2)</f>
        <v>204.77777777777777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'8'!F74</f>
        <v>903732</v>
      </c>
      <c r="F74" s="117">
        <v>904033</v>
      </c>
      <c r="G74" s="112">
        <f t="shared" ref="G74:G78" si="7">F74-E74</f>
        <v>301</v>
      </c>
      <c r="H74" s="99">
        <f>G74+'8'!H74</f>
        <v>2726.8510000000242</v>
      </c>
      <c r="I74" s="154"/>
      <c r="J74" s="175">
        <f>H74/DAY(B2)</f>
        <v>302.98344444444712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'8'!F76</f>
        <v>170907</v>
      </c>
      <c r="F76" s="123">
        <v>171014</v>
      </c>
      <c r="G76" s="112">
        <f t="shared" si="7"/>
        <v>107</v>
      </c>
      <c r="H76" s="99">
        <f>G76+'8'!H76</f>
        <v>1039</v>
      </c>
      <c r="I76" s="154"/>
      <c r="J76" s="175">
        <f>H76/DAY(B2)</f>
        <v>115.44444444444444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'8'!F77</f>
        <v>41687</v>
      </c>
      <c r="F77" s="123">
        <v>41730</v>
      </c>
      <c r="G77" s="112">
        <f t="shared" si="7"/>
        <v>43</v>
      </c>
      <c r="H77" s="99">
        <f>G77+'8'!H77</f>
        <v>427.80000000000291</v>
      </c>
      <c r="I77" s="154"/>
      <c r="J77" s="175">
        <f>H77/DAY(B2)</f>
        <v>47.533333333333658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'8'!F78</f>
        <v>9527</v>
      </c>
      <c r="F78" s="123">
        <v>9528</v>
      </c>
      <c r="G78" s="112">
        <f t="shared" si="7"/>
        <v>1</v>
      </c>
      <c r="H78" s="99">
        <f>G78+'8'!H78</f>
        <v>12</v>
      </c>
      <c r="I78" s="118"/>
      <c r="J78" s="175">
        <f>H78/DAY(B2)</f>
        <v>1.3333333333333333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'8'!F79</f>
        <v>0</v>
      </c>
      <c r="F79" s="117"/>
      <c r="G79" s="112">
        <f>G15-SUM(G74:G78)</f>
        <v>617.80000000000291</v>
      </c>
      <c r="H79" s="99">
        <f>G79+'8'!H79</f>
        <v>4956.3819999999832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1070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'8'!F85</f>
        <v>2336.4</v>
      </c>
      <c r="F85" s="164">
        <v>2360</v>
      </c>
      <c r="G85" s="112">
        <f t="shared" si="8"/>
        <v>23.599999999999909</v>
      </c>
      <c r="H85" s="99">
        <f>G85+'8'!H85</f>
        <v>99.579999999999927</v>
      </c>
      <c r="I85" s="118">
        <f>G82+G83+G84+G85</f>
        <v>23.599999999999909</v>
      </c>
      <c r="J85" s="175">
        <f>H85/DAY(B2)</f>
        <v>11.064444444444437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'8'!F86</f>
        <v>43560</v>
      </c>
      <c r="F86" s="164">
        <v>43560</v>
      </c>
      <c r="G86" s="112">
        <f t="shared" si="8"/>
        <v>0</v>
      </c>
      <c r="H86" s="99">
        <f>G86+'8'!H86</f>
        <v>118</v>
      </c>
      <c r="I86" s="118"/>
      <c r="J86" s="175">
        <f>H86/DAY(B2)</f>
        <v>13.111111111111111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'8'!F87</f>
        <v>34599</v>
      </c>
      <c r="F87" s="164">
        <v>34598.550000000003</v>
      </c>
      <c r="G87" s="112">
        <f t="shared" si="8"/>
        <v>-0.44999999999708962</v>
      </c>
      <c r="H87" s="99">
        <f>G87+'8'!H87</f>
        <v>5.0000000002910383E-2</v>
      </c>
      <c r="I87" s="118"/>
      <c r="J87" s="175">
        <f>H87/DAY(B2)</f>
        <v>5.5555555558789316E-3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'8'!F88</f>
        <v>24063</v>
      </c>
      <c r="F88" s="164">
        <v>24063</v>
      </c>
      <c r="G88" s="112">
        <f t="shared" si="8"/>
        <v>0</v>
      </c>
      <c r="H88" s="99">
        <f>G88+'8'!H88</f>
        <v>-0.43000000000029104</v>
      </c>
      <c r="I88" s="118">
        <f>G86+G87+G88</f>
        <v>-0.44999999999708962</v>
      </c>
      <c r="J88" s="175">
        <f>H88/DAY(B2)</f>
        <v>-4.7777777777810115E-2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'8'!F89</f>
        <v>25970</v>
      </c>
      <c r="F89" s="164">
        <v>25981.43</v>
      </c>
      <c r="G89" s="112">
        <f t="shared" si="8"/>
        <v>11.430000000000291</v>
      </c>
      <c r="H89" s="99">
        <f>G89+'8'!H89</f>
        <v>90.31000000000131</v>
      </c>
      <c r="I89" s="118"/>
      <c r="J89" s="175">
        <f>H89/DAY(B2)</f>
        <v>10.03444444444459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'8'!F90</f>
        <v>71183</v>
      </c>
      <c r="F90" s="164">
        <v>71186</v>
      </c>
      <c r="G90" s="112">
        <f t="shared" si="8"/>
        <v>3</v>
      </c>
      <c r="H90" s="99">
        <f>G90+'8'!H90</f>
        <v>22.679999999993015</v>
      </c>
      <c r="I90" s="118">
        <f>G89+G90</f>
        <v>14.430000000000291</v>
      </c>
      <c r="J90" s="175">
        <f>H90/DAY(B2)</f>
        <v>2.5199999999992237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'8'!F91</f>
        <v>3340.85</v>
      </c>
      <c r="F91" s="122">
        <v>3352</v>
      </c>
      <c r="G91" s="112">
        <f t="shared" si="8"/>
        <v>11.150000000000091</v>
      </c>
      <c r="H91" s="99">
        <f>G91+'8'!H91</f>
        <v>100.90999999999985</v>
      </c>
      <c r="I91" s="165"/>
      <c r="J91" s="175">
        <f>H91/DAY(B2)</f>
        <v>11.212222222222206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'8'!F92</f>
        <v>5741</v>
      </c>
      <c r="F92" s="122">
        <v>5741</v>
      </c>
      <c r="G92" s="112">
        <f t="shared" si="8"/>
        <v>0</v>
      </c>
      <c r="H92" s="99">
        <f>G92+'8'!H92</f>
        <v>-6.9999999999708962E-2</v>
      </c>
      <c r="I92" s="165"/>
      <c r="J92" s="175">
        <f>H92/DAY(B2)</f>
        <v>-7.7777777777454406E-3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4993</v>
      </c>
      <c r="H94" s="99">
        <f>G94+'8'!H94</f>
        <v>44068.229999999996</v>
      </c>
      <c r="I94" s="118"/>
      <c r="J94" s="175">
        <f>H94/DAY(B2)</f>
        <v>4896.4699999999993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0.2576101537509029</v>
      </c>
      <c r="H95" s="99">
        <f>G95+'8'!H95</f>
        <v>2.272928236231031</v>
      </c>
      <c r="I95" s="167"/>
      <c r="J95" s="175">
        <f>H95/DAY(B2)</f>
        <v>0.25254758180344788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3894.5299999999988</v>
      </c>
      <c r="H96" s="99">
        <f>G96+'8'!H96</f>
        <v>32817.87999999999</v>
      </c>
      <c r="I96" s="118"/>
      <c r="J96" s="175">
        <f>H96/DAY(B2)</f>
        <v>3646.4311111111101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0.20093540398307702</v>
      </c>
      <c r="H97" s="99">
        <f>G97+'8'!H97</f>
        <v>1.6969395422641493</v>
      </c>
      <c r="I97" s="167"/>
      <c r="J97" s="175">
        <f>H97/DAY(B2)</f>
        <v>0.18854883802934994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3001</v>
      </c>
      <c r="H98" s="99">
        <f>G98+'8'!H98</f>
        <v>25071.71</v>
      </c>
      <c r="I98" s="168"/>
      <c r="J98" s="175">
        <f>H98/DAY(B2)</f>
        <v>2785.7455555555553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0.15483438241667527</v>
      </c>
      <c r="H99" s="99">
        <f>G99+'8'!H99</f>
        <v>1.2953929028994327</v>
      </c>
      <c r="I99" s="168"/>
      <c r="J99" s="175">
        <f>H99/DAY(B2)</f>
        <v>0.14393254476660364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1923</v>
      </c>
      <c r="H100" s="99">
        <f>G100+'8'!H100</f>
        <v>16615.57</v>
      </c>
      <c r="I100" s="118"/>
      <c r="J100" s="175">
        <f>H100/DAY(B2)</f>
        <v>1846.1744444444444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9.9215767206686623E-2</v>
      </c>
      <c r="H101" s="99">
        <f>G101+'8'!H101</f>
        <v>0.85758579796451162</v>
      </c>
      <c r="I101" s="168"/>
      <c r="J101" s="175">
        <f>H101/DAY(B2)</f>
        <v>9.5287310884945742E-2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1897</v>
      </c>
      <c r="H102" s="99">
        <f>G102+'8'!H102</f>
        <v>18604.630000000005</v>
      </c>
      <c r="I102" s="168"/>
      <c r="J102" s="175">
        <f>H102/DAY(B2)</f>
        <v>2067.1811111111115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9.7874316376018983E-2</v>
      </c>
      <c r="H103" s="99">
        <f>G103+'8'!H103</f>
        <v>0.95643011494117369</v>
      </c>
      <c r="I103" s="118"/>
      <c r="J103" s="175">
        <f>H103/DAY(B2)</f>
        <v>0.10627001277124153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1638</v>
      </c>
      <c r="H104" s="99">
        <f>G104+'8'!H104</f>
        <v>14502.910000000003</v>
      </c>
      <c r="I104" s="118"/>
      <c r="J104" s="175">
        <f>H104/DAY(B2)</f>
        <v>1611.4344444444448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8.451140233206067E-2</v>
      </c>
      <c r="H105" s="99">
        <f>G105+'8'!H105</f>
        <v>0.75020365610972317</v>
      </c>
      <c r="I105" s="187"/>
      <c r="J105" s="188">
        <f>H105/DAY(B2)</f>
        <v>8.3355961789969235E-2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'8'!F112</f>
        <v>58659</v>
      </c>
      <c r="F112" s="237">
        <v>58734</v>
      </c>
      <c r="G112" s="112">
        <f t="shared" ref="G112:G123" si="9">F112-E112</f>
        <v>75</v>
      </c>
      <c r="H112" s="99">
        <f>G112+'8'!H112</f>
        <v>680</v>
      </c>
      <c r="I112" s="165"/>
      <c r="J112" s="328">
        <f>H112/DAY(B2)</f>
        <v>75.555555555555557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'8'!F113</f>
        <v>50163</v>
      </c>
      <c r="F113" s="237">
        <v>50610</v>
      </c>
      <c r="G113" s="112">
        <f t="shared" si="9"/>
        <v>447</v>
      </c>
      <c r="H113" s="99">
        <f>G113+'8'!H113</f>
        <v>4209.1100000000006</v>
      </c>
      <c r="I113" s="165"/>
      <c r="J113" s="328">
        <f>H113/DAY(B2)</f>
        <v>467.67888888888893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'8'!F114</f>
        <v>35685</v>
      </c>
      <c r="F114" s="237">
        <v>35947</v>
      </c>
      <c r="G114" s="112">
        <f t="shared" si="9"/>
        <v>262</v>
      </c>
      <c r="H114" s="99">
        <f>G114+'8'!H114</f>
        <v>2787</v>
      </c>
      <c r="I114" s="165"/>
      <c r="J114" s="328">
        <f>H114/DAY(B2)</f>
        <v>309.66666666666669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'8'!F115</f>
        <v>9179</v>
      </c>
      <c r="F115" s="237">
        <v>9190</v>
      </c>
      <c r="G115" s="112">
        <f t="shared" si="9"/>
        <v>11</v>
      </c>
      <c r="H115" s="99">
        <f>G115+'8'!H115</f>
        <v>95.350000000000364</v>
      </c>
      <c r="I115" s="165"/>
      <c r="J115" s="328">
        <f>H115/DAY(B2)</f>
        <v>10.594444444444484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'8'!F116</f>
        <v>933</v>
      </c>
      <c r="F116" s="237">
        <v>1223</v>
      </c>
      <c r="G116" s="112">
        <f t="shared" si="9"/>
        <v>290</v>
      </c>
      <c r="H116" s="99">
        <f>G116+'8'!H116</f>
        <v>1223</v>
      </c>
      <c r="I116" s="165"/>
      <c r="J116" s="328">
        <f>H116/DAY(B2)</f>
        <v>135.88888888888889</v>
      </c>
      <c r="Q116" s="871"/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'8'!F117</f>
        <v>4047</v>
      </c>
      <c r="F117" s="237">
        <v>4263</v>
      </c>
      <c r="G117" s="112">
        <f t="shared" si="9"/>
        <v>216</v>
      </c>
      <c r="H117" s="99">
        <f>G117+'8'!H117</f>
        <v>925.05000000000018</v>
      </c>
      <c r="I117" s="165"/>
      <c r="J117" s="328">
        <f>H117/DAY(B2)</f>
        <v>102.78333333333336</v>
      </c>
      <c r="Q117" s="871"/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'8'!F118</f>
        <v>255150</v>
      </c>
      <c r="F118" s="237">
        <v>255533</v>
      </c>
      <c r="G118" s="112">
        <f t="shared" si="9"/>
        <v>383</v>
      </c>
      <c r="H118" s="99">
        <f>G118+'8'!H118</f>
        <v>3080.6900000000023</v>
      </c>
      <c r="I118" s="165"/>
      <c r="J118" s="328">
        <f>H118/DAY(B2)</f>
        <v>342.29888888888917</v>
      </c>
      <c r="Q118" s="871"/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'8'!F119</f>
        <v>261412</v>
      </c>
      <c r="F119" s="237">
        <v>261847</v>
      </c>
      <c r="G119" s="112">
        <f t="shared" si="9"/>
        <v>435</v>
      </c>
      <c r="H119" s="99">
        <f>G119+'8'!H119</f>
        <v>3698.4500000000116</v>
      </c>
      <c r="I119" s="165"/>
      <c r="J119" s="328">
        <f>H119/DAY(B2)</f>
        <v>410.93888888889018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'8'!F120</f>
        <v>46302</v>
      </c>
      <c r="F120" s="237">
        <v>46745</v>
      </c>
      <c r="G120" s="112">
        <f t="shared" si="9"/>
        <v>443</v>
      </c>
      <c r="H120" s="99">
        <f>G120+'8'!H120</f>
        <v>3785.3899999999994</v>
      </c>
      <c r="I120" s="165"/>
      <c r="J120" s="328">
        <f>H120/DAY(B2)</f>
        <v>420.59888888888884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'8'!F121</f>
        <v>403832</v>
      </c>
      <c r="F121" s="237">
        <v>404573</v>
      </c>
      <c r="G121" s="112">
        <f t="shared" si="9"/>
        <v>741</v>
      </c>
      <c r="H121" s="99">
        <f>G121+'8'!H121</f>
        <v>6538.570000000007</v>
      </c>
      <c r="I121" s="165"/>
      <c r="J121" s="328">
        <f>H121/DAY(B2)</f>
        <v>726.50777777777853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'8'!F122</f>
        <v>128003</v>
      </c>
      <c r="F122" s="237">
        <v>128266</v>
      </c>
      <c r="G122" s="112">
        <f t="shared" si="9"/>
        <v>263</v>
      </c>
      <c r="H122" s="99">
        <f>G122+'8'!H122</f>
        <v>2079.820000000007</v>
      </c>
      <c r="I122" s="165"/>
      <c r="J122" s="328">
        <f>H122/DAY(B2)</f>
        <v>231.0911111111119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'8'!F123</f>
        <v>156083</v>
      </c>
      <c r="F123" s="237">
        <v>156337</v>
      </c>
      <c r="G123" s="112">
        <f t="shared" si="9"/>
        <v>254</v>
      </c>
      <c r="H123" s="99">
        <f>G123+'8'!H123</f>
        <v>2290.0499999999884</v>
      </c>
      <c r="I123" s="165"/>
      <c r="J123" s="328">
        <f>H123/DAY(B2)</f>
        <v>254.44999999999871</v>
      </c>
    </row>
    <row r="124" spans="1:18" ht="29.25" customHeight="1" x14ac:dyDescent="0.5">
      <c r="A124" s="875"/>
      <c r="B124" s="876"/>
      <c r="C124" s="877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3820</v>
      </c>
      <c r="H125" s="156"/>
      <c r="I125" s="327">
        <f>G125-(G39+G53)</f>
        <v>819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'8'!F128</f>
        <v>50155</v>
      </c>
      <c r="F128" s="155">
        <v>50522</v>
      </c>
      <c r="G128" s="112">
        <f t="shared" ref="G128:G134" si="10">F128-E128</f>
        <v>367</v>
      </c>
      <c r="H128" s="99">
        <f>G128+'8'!H128</f>
        <v>2776</v>
      </c>
      <c r="I128" s="165"/>
      <c r="J128" s="328">
        <f>H128/DAY(B2)</f>
        <v>308.44444444444446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'8'!F129</f>
        <v>28501</v>
      </c>
      <c r="F129" s="155">
        <v>28699</v>
      </c>
      <c r="G129" s="112">
        <f t="shared" si="10"/>
        <v>198</v>
      </c>
      <c r="H129" s="99">
        <f>G129+'8'!H129</f>
        <v>1788.130000000001</v>
      </c>
      <c r="I129" s="165"/>
      <c r="J129" s="328">
        <f>H129/DAY(B2)</f>
        <v>198.68111111111122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'8'!F130</f>
        <v>40315</v>
      </c>
      <c r="F130" s="155">
        <v>40844</v>
      </c>
      <c r="G130" s="112">
        <f t="shared" si="10"/>
        <v>529</v>
      </c>
      <c r="H130" s="99">
        <f>G130+'8'!H130</f>
        <v>5150</v>
      </c>
      <c r="I130" s="165"/>
      <c r="J130" s="328">
        <f>H130/DAY(B2)</f>
        <v>572.22222222222217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'8'!F131</f>
        <v>15930</v>
      </c>
      <c r="F131" s="155">
        <v>16070</v>
      </c>
      <c r="G131" s="112">
        <f t="shared" si="10"/>
        <v>140</v>
      </c>
      <c r="H131" s="99">
        <f>G131+'8'!H131</f>
        <v>762.31999999999971</v>
      </c>
      <c r="I131" s="165"/>
      <c r="J131" s="328">
        <f>H131/DAY(B2)</f>
        <v>84.70222222222219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'8'!F132</f>
        <v>54553</v>
      </c>
      <c r="F132" s="155">
        <v>54991</v>
      </c>
      <c r="G132" s="112">
        <f t="shared" si="10"/>
        <v>438</v>
      </c>
      <c r="H132" s="99">
        <f>G132+'8'!H132</f>
        <v>3142.6999999999971</v>
      </c>
      <c r="I132" s="165"/>
      <c r="J132" s="328">
        <f>H132/DAY(B2)</f>
        <v>349.18888888888858</v>
      </c>
    </row>
    <row r="133" spans="1:15" ht="27.75" x14ac:dyDescent="0.5">
      <c r="A133" s="871" t="s">
        <v>323</v>
      </c>
      <c r="B133" s="872"/>
      <c r="C133" s="873"/>
      <c r="D133" s="151" t="s">
        <v>183</v>
      </c>
      <c r="E133" s="95">
        <f>'8'!F133</f>
        <v>110300</v>
      </c>
      <c r="F133" s="155">
        <v>110958</v>
      </c>
      <c r="G133" s="112">
        <f t="shared" si="10"/>
        <v>658</v>
      </c>
      <c r="H133" s="99">
        <f>G133+'8'!H133</f>
        <v>5614.3000000000029</v>
      </c>
      <c r="I133" s="165"/>
      <c r="J133" s="328">
        <f>H133/DAY(B2)</f>
        <v>623.81111111111147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'8'!F134</f>
        <v>10166.85</v>
      </c>
      <c r="F134" s="155">
        <v>10365</v>
      </c>
      <c r="G134" s="112">
        <f t="shared" si="10"/>
        <v>198.14999999999964</v>
      </c>
      <c r="H134" s="99">
        <f>G134+'8'!H134</f>
        <v>1763.7700000000004</v>
      </c>
      <c r="I134" s="165"/>
      <c r="J134" s="328">
        <f>H134/DAY(B2)</f>
        <v>195.97444444444449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2528.1499999999996</v>
      </c>
      <c r="H135" s="99">
        <f>G135+'8'!H135</f>
        <v>20997.22</v>
      </c>
      <c r="I135" s="327">
        <f>G135-(G35+G49)</f>
        <v>-377.85000000000036</v>
      </c>
      <c r="J135" s="328">
        <f>H135/DAY(B2)</f>
        <v>2333.0244444444447</v>
      </c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'8'!F138</f>
        <v>866809</v>
      </c>
      <c r="F138" s="147">
        <v>866888</v>
      </c>
      <c r="G138" s="112">
        <f t="shared" ref="G138:G152" si="11">F138-E138</f>
        <v>79</v>
      </c>
      <c r="H138" s="99">
        <f>G138+'8'!H138</f>
        <v>715</v>
      </c>
      <c r="I138" s="118"/>
      <c r="J138" s="328">
        <f>H138/DAY(B2)</f>
        <v>79.444444444444443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'8'!F139</f>
        <v>886630</v>
      </c>
      <c r="F139" s="148">
        <v>886632</v>
      </c>
      <c r="G139" s="112">
        <f t="shared" si="11"/>
        <v>2</v>
      </c>
      <c r="H139" s="99">
        <f>G139+'8'!H139</f>
        <v>59</v>
      </c>
      <c r="I139" s="118"/>
      <c r="J139" s="328">
        <f>H139/DAY(B2)</f>
        <v>6.5555555555555554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'8'!F140</f>
        <v>88940</v>
      </c>
      <c r="F140" s="149">
        <v>88941</v>
      </c>
      <c r="G140" s="112">
        <f t="shared" si="11"/>
        <v>1</v>
      </c>
      <c r="H140" s="99">
        <f>G140+'8'!H140</f>
        <v>19</v>
      </c>
      <c r="I140" s="118"/>
      <c r="J140" s="328">
        <f>H140/DAY(B2)</f>
        <v>2.1111111111111112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'8'!F141</f>
        <v>56077</v>
      </c>
      <c r="F141" s="149">
        <v>56257</v>
      </c>
      <c r="G141" s="112">
        <f t="shared" si="11"/>
        <v>180</v>
      </c>
      <c r="H141" s="99">
        <f>G141+'8'!H141</f>
        <v>1571.4199999999983</v>
      </c>
      <c r="I141" s="118"/>
      <c r="J141" s="328">
        <f>H141/DAY(B2)</f>
        <v>174.60222222222203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'8'!F142</f>
        <v>21834</v>
      </c>
      <c r="F142" s="148">
        <v>21905</v>
      </c>
      <c r="G142" s="112">
        <f t="shared" si="11"/>
        <v>71</v>
      </c>
      <c r="H142" s="99">
        <f>G142+'8'!H142</f>
        <v>620.90000000000146</v>
      </c>
      <c r="I142" s="140"/>
      <c r="J142" s="328">
        <f>H142/DAY(B2)</f>
        <v>68.988888888889051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'8'!F143</f>
        <v>4058</v>
      </c>
      <c r="F143" s="149">
        <v>4084</v>
      </c>
      <c r="G143" s="112">
        <f t="shared" si="11"/>
        <v>26</v>
      </c>
      <c r="H143" s="99">
        <f>G143+'8'!H143</f>
        <v>248.61000000000013</v>
      </c>
      <c r="I143" s="140"/>
      <c r="J143" s="328">
        <f>H143/DAY(B2)</f>
        <v>27.623333333333349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'8'!F144</f>
        <v>878165</v>
      </c>
      <c r="F144" s="149">
        <v>878378</v>
      </c>
      <c r="G144" s="112">
        <f t="shared" si="11"/>
        <v>213</v>
      </c>
      <c r="H144" s="99">
        <f>G144+'8'!H144</f>
        <v>1891</v>
      </c>
      <c r="I144" s="140"/>
      <c r="J144" s="328">
        <f>H144/DAY(B2)</f>
        <v>210.11111111111111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'8'!F145</f>
        <v>5057</v>
      </c>
      <c r="F145" s="149">
        <v>5071</v>
      </c>
      <c r="G145" s="112">
        <f t="shared" si="11"/>
        <v>14</v>
      </c>
      <c r="H145" s="99">
        <f>G145+'8'!H145</f>
        <v>112.15999999999985</v>
      </c>
      <c r="I145" s="140"/>
      <c r="J145" s="328">
        <f>H145/DAY(B2)</f>
        <v>12.462222222222206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'8'!F146</f>
        <v>740692</v>
      </c>
      <c r="F146" s="148">
        <v>741100</v>
      </c>
      <c r="G146" s="112">
        <f t="shared" si="11"/>
        <v>408</v>
      </c>
      <c r="H146" s="99">
        <f>G146+'8'!H146</f>
        <v>3767</v>
      </c>
      <c r="I146" s="140"/>
      <c r="J146" s="328">
        <f>H146/DAY(B2)</f>
        <v>418.55555555555554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'8'!F147</f>
        <v>629801</v>
      </c>
      <c r="F147" s="148">
        <v>630189</v>
      </c>
      <c r="G147" s="112">
        <f t="shared" si="11"/>
        <v>388</v>
      </c>
      <c r="H147" s="99">
        <f>G147+'8'!H147</f>
        <v>3576.4799999999814</v>
      </c>
      <c r="I147" s="140"/>
      <c r="J147" s="328">
        <f>H147/DAY(B2)</f>
        <v>397.38666666666461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'8'!F148</f>
        <v>691828</v>
      </c>
      <c r="F148" s="486">
        <v>692072</v>
      </c>
      <c r="G148" s="112">
        <f t="shared" si="11"/>
        <v>244</v>
      </c>
      <c r="H148" s="99">
        <f>G148+'8'!H148</f>
        <v>2629.0400000000373</v>
      </c>
      <c r="I148" s="124"/>
      <c r="J148" s="328">
        <f>H148/DAY(B2)</f>
        <v>292.11555555555969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'8'!F149</f>
        <v>28830</v>
      </c>
      <c r="F149" s="146">
        <v>29435</v>
      </c>
      <c r="G149" s="112">
        <f t="shared" si="11"/>
        <v>605</v>
      </c>
      <c r="H149" s="99">
        <f>G149+'8'!H149</f>
        <v>4756.7999999999993</v>
      </c>
      <c r="I149" s="119"/>
      <c r="J149" s="328">
        <f>H149/DAY(B2)</f>
        <v>528.5333333333333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'8'!F150</f>
        <v>12658</v>
      </c>
      <c r="F150" s="233">
        <v>12888</v>
      </c>
      <c r="G150" s="112">
        <f t="shared" si="11"/>
        <v>230</v>
      </c>
      <c r="H150" s="99">
        <f>G150+'8'!H150</f>
        <v>2037.17</v>
      </c>
      <c r="I150" s="119"/>
      <c r="J150" s="328">
        <f>H150/DAY(B2)</f>
        <v>226.35222222222222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'8'!F151</f>
        <v>87453</v>
      </c>
      <c r="F151" s="233">
        <v>87671</v>
      </c>
      <c r="G151" s="112">
        <f t="shared" si="11"/>
        <v>218</v>
      </c>
      <c r="H151" s="99">
        <f>G151+'8'!H151</f>
        <v>2191</v>
      </c>
      <c r="I151" s="119"/>
      <c r="J151" s="328">
        <f>H151/DAY(B2)</f>
        <v>243.44444444444446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'8'!F152</f>
        <v>2039</v>
      </c>
      <c r="F152" s="233">
        <v>2120</v>
      </c>
      <c r="G152" s="112">
        <f t="shared" si="11"/>
        <v>81</v>
      </c>
      <c r="H152" s="99">
        <f>G152+'8'!H152</f>
        <v>460</v>
      </c>
      <c r="I152" s="119"/>
      <c r="J152" s="328">
        <f>H152/DAY(B2)</f>
        <v>51.111111111111114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2760</v>
      </c>
      <c r="H153" s="363"/>
      <c r="I153" s="119">
        <f>G153-(G38+G52)</f>
        <v>837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'8'!F155</f>
        <v>37876</v>
      </c>
      <c r="F155" s="374">
        <v>38549</v>
      </c>
      <c r="G155" s="112">
        <f t="shared" ref="G155:G158" si="12">F155-E155</f>
        <v>673</v>
      </c>
      <c r="H155" s="99">
        <f>G155+'8'!H155</f>
        <v>5604</v>
      </c>
      <c r="I155" s="364"/>
      <c r="J155" s="328">
        <f>H155/DAY(B2)</f>
        <v>622.66666666666663</v>
      </c>
    </row>
    <row r="156" spans="1:10" ht="27.75" x14ac:dyDescent="0.5">
      <c r="A156" s="851" t="s">
        <v>346</v>
      </c>
      <c r="B156" s="851"/>
      <c r="C156" s="851"/>
      <c r="D156" s="117" t="s">
        <v>130</v>
      </c>
      <c r="E156" s="95">
        <f>'8'!F156</f>
        <v>3151</v>
      </c>
      <c r="F156" s="155">
        <v>3199</v>
      </c>
      <c r="G156" s="112">
        <f t="shared" si="12"/>
        <v>48</v>
      </c>
      <c r="H156" s="99">
        <f>G156+'8'!H156</f>
        <v>411</v>
      </c>
      <c r="I156" s="165"/>
      <c r="J156" s="328">
        <f>H156/DAY(B2)</f>
        <v>45.666666666666664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>
        <f>'8'!F157</f>
        <v>4801</v>
      </c>
      <c r="F157" s="155">
        <v>4932</v>
      </c>
      <c r="G157" s="112">
        <f t="shared" si="12"/>
        <v>131</v>
      </c>
      <c r="H157" s="99"/>
      <c r="I157" s="165"/>
      <c r="J157" s="328"/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>
        <f>'8'!F158</f>
        <v>69</v>
      </c>
      <c r="F158" s="155">
        <v>69</v>
      </c>
      <c r="G158" s="112">
        <f t="shared" si="12"/>
        <v>0</v>
      </c>
      <c r="H158" s="99"/>
      <c r="I158" s="165"/>
      <c r="J158" s="328"/>
    </row>
    <row r="159" spans="1:10" ht="27.75" x14ac:dyDescent="0.5">
      <c r="A159" s="935"/>
      <c r="B159" s="936"/>
      <c r="C159" s="93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472437</v>
      </c>
      <c r="F161" s="501">
        <v>472455</v>
      </c>
      <c r="G161" s="238">
        <f t="shared" ref="G161:G166" si="13">F161-E161</f>
        <v>18</v>
      </c>
      <c r="H161" s="99">
        <f>G161+'8'!H161</f>
        <v>401.44000000000233</v>
      </c>
      <c r="I161" s="236"/>
      <c r="J161" s="239">
        <f>H161/DAY(B2)</f>
        <v>44.604444444444702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88804</v>
      </c>
      <c r="F162" s="235">
        <v>88842</v>
      </c>
      <c r="G162" s="238">
        <f t="shared" si="13"/>
        <v>38</v>
      </c>
      <c r="H162" s="99">
        <f>G162+'8'!H162</f>
        <v>325.60000000000582</v>
      </c>
      <c r="I162" s="236"/>
      <c r="J162" s="239">
        <f>H162/DAY(B2)</f>
        <v>36.177777777778424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79499</v>
      </c>
      <c r="F163" s="235">
        <v>79570</v>
      </c>
      <c r="G163" s="238">
        <f t="shared" si="13"/>
        <v>71</v>
      </c>
      <c r="H163" s="99">
        <f>G163+'8'!H163</f>
        <v>349.89999999999418</v>
      </c>
      <c r="I163" s="236"/>
      <c r="J163" s="239">
        <f>H163/DAY(B2)</f>
        <v>38.877777777777133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4328</v>
      </c>
      <c r="F164" s="235">
        <v>4329</v>
      </c>
      <c r="G164" s="238">
        <f t="shared" si="13"/>
        <v>1</v>
      </c>
      <c r="H164" s="99">
        <f>G164+'8'!H164</f>
        <v>9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29925</v>
      </c>
      <c r="F165" s="235">
        <v>29935</v>
      </c>
      <c r="G165" s="238">
        <f t="shared" si="13"/>
        <v>10</v>
      </c>
      <c r="H165" s="99">
        <f>G165+'8'!H165</f>
        <v>77.75</v>
      </c>
      <c r="I165" s="236"/>
      <c r="J165" s="239">
        <f>H165/DAY(B2)</f>
        <v>8.6388888888888893</v>
      </c>
    </row>
    <row r="166" spans="1:10" ht="29.25" x14ac:dyDescent="0.5">
      <c r="A166" s="860"/>
      <c r="B166" s="860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'8'!F173</f>
        <v>8126</v>
      </c>
      <c r="F173" s="155">
        <v>8131</v>
      </c>
      <c r="G173" s="155">
        <f>F173-E173</f>
        <v>5</v>
      </c>
      <c r="H173" s="99">
        <f>G173+'8'!H173</f>
        <v>5</v>
      </c>
      <c r="I173" s="155"/>
      <c r="J173" s="178">
        <f>H173/DAY(B2)</f>
        <v>0.55555555555555558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'8'!F174</f>
        <v>38723</v>
      </c>
      <c r="F174" s="157">
        <v>38735</v>
      </c>
      <c r="G174" s="155">
        <f t="shared" ref="G174:G175" si="14">F174-E174</f>
        <v>12</v>
      </c>
      <c r="H174" s="99">
        <f>G174+'8'!H174</f>
        <v>120</v>
      </c>
      <c r="I174" s="155"/>
      <c r="J174" s="178">
        <f>H174/DAY(B2)</f>
        <v>13.333333333333334</v>
      </c>
    </row>
    <row r="175" spans="1:10" ht="27.75" x14ac:dyDescent="0.5">
      <c r="A175" s="864" t="s">
        <v>76</v>
      </c>
      <c r="B175" s="904"/>
      <c r="C175" s="865"/>
      <c r="D175" s="228" t="s">
        <v>142</v>
      </c>
      <c r="E175" s="95">
        <f>'8'!F175</f>
        <v>21895</v>
      </c>
      <c r="F175" s="155">
        <v>21907</v>
      </c>
      <c r="G175" s="155">
        <f t="shared" si="14"/>
        <v>12</v>
      </c>
      <c r="H175" s="99">
        <f>G175+'8'!H175</f>
        <v>94</v>
      </c>
      <c r="I175" s="155"/>
      <c r="J175" s="178">
        <f>H175/DAY(B2)</f>
        <v>10.444444444444445</v>
      </c>
    </row>
    <row r="176" spans="1:10" ht="27.75" x14ac:dyDescent="0.5">
      <c r="A176" s="855" t="s">
        <v>196</v>
      </c>
      <c r="B176" s="856"/>
      <c r="C176" s="333"/>
      <c r="D176" s="228" t="s">
        <v>142</v>
      </c>
      <c r="E176" s="95"/>
      <c r="F176" s="155"/>
      <c r="G176" s="155">
        <f>SUM(G173:G175)</f>
        <v>29</v>
      </c>
      <c r="H176" s="99">
        <f>G176+'8'!H176</f>
        <v>219</v>
      </c>
      <c r="I176" s="155"/>
      <c r="J176" s="178">
        <f>H176/DAY(B2)</f>
        <v>24.333333333333332</v>
      </c>
    </row>
    <row r="177" spans="1:10" ht="27.75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864" t="s">
        <v>210</v>
      </c>
      <c r="B178" s="865"/>
      <c r="C178" s="333"/>
      <c r="D178" s="228" t="s">
        <v>142</v>
      </c>
      <c r="E178" s="95">
        <f>'8'!F178</f>
        <v>81763</v>
      </c>
      <c r="F178" s="155">
        <v>81801</v>
      </c>
      <c r="G178" s="155">
        <f>F178-E178</f>
        <v>38</v>
      </c>
      <c r="H178" s="99">
        <f>G178+'8'!H178</f>
        <v>486</v>
      </c>
      <c r="I178" s="155"/>
      <c r="J178" s="178">
        <f>H178/DAY(B2)</f>
        <v>54</v>
      </c>
    </row>
    <row r="179" spans="1:10" ht="27.75" x14ac:dyDescent="0.5">
      <c r="A179" s="864" t="s">
        <v>211</v>
      </c>
      <c r="B179" s="865"/>
      <c r="C179" s="333"/>
      <c r="D179" s="228" t="s">
        <v>142</v>
      </c>
      <c r="E179" s="95">
        <f>'8'!F179</f>
        <v>35098</v>
      </c>
      <c r="F179" s="155">
        <v>35133</v>
      </c>
      <c r="G179" s="155">
        <f t="shared" ref="G179:G180" si="15">F179-E179</f>
        <v>35</v>
      </c>
      <c r="H179" s="99">
        <f>G179+'8'!H179</f>
        <v>330</v>
      </c>
      <c r="I179" s="155"/>
      <c r="J179" s="178">
        <f>H179/DAY(B2)</f>
        <v>36.666666666666664</v>
      </c>
    </row>
    <row r="180" spans="1:10" ht="31.5" customHeight="1" x14ac:dyDescent="0.5">
      <c r="A180" s="864" t="s">
        <v>212</v>
      </c>
      <c r="B180" s="865"/>
      <c r="C180" s="333"/>
      <c r="D180" s="228" t="s">
        <v>142</v>
      </c>
      <c r="E180" s="95">
        <f>'8'!F180</f>
        <v>5765</v>
      </c>
      <c r="F180" s="155">
        <v>5770</v>
      </c>
      <c r="G180" s="155">
        <f t="shared" si="15"/>
        <v>5</v>
      </c>
      <c r="H180" s="99">
        <f>G180+'8'!H180</f>
        <v>68</v>
      </c>
      <c r="I180" s="155"/>
      <c r="J180" s="178">
        <f>H180/DAY(B2)</f>
        <v>7.5555555555555554</v>
      </c>
    </row>
    <row r="181" spans="1:10" ht="27.75" x14ac:dyDescent="0.5">
      <c r="A181" s="866" t="s">
        <v>108</v>
      </c>
      <c r="B181" s="867"/>
      <c r="C181" s="333"/>
      <c r="D181" s="228" t="s">
        <v>142</v>
      </c>
      <c r="E181" s="95"/>
      <c r="F181" s="155"/>
      <c r="G181" s="155">
        <f>SUM(G178:G180)</f>
        <v>78</v>
      </c>
      <c r="H181" s="99">
        <f>G181+'8'!H181</f>
        <v>884</v>
      </c>
      <c r="I181" s="155"/>
      <c r="J181" s="178">
        <f>H181/DAY(B2)</f>
        <v>98.222222222222229</v>
      </c>
    </row>
    <row r="182" spans="1:10" ht="27.75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'8'!F183</f>
        <v>15451</v>
      </c>
      <c r="F183" s="157">
        <v>15462</v>
      </c>
      <c r="G183" s="157">
        <f>F183-E183</f>
        <v>11</v>
      </c>
      <c r="H183" s="99">
        <f>G183+'8'!H183</f>
        <v>117</v>
      </c>
      <c r="I183" s="155"/>
      <c r="J183" s="178">
        <f>H183/DAY(B2)</f>
        <v>13</v>
      </c>
    </row>
    <row r="184" spans="1:10" ht="27.75" x14ac:dyDescent="0.5">
      <c r="A184" s="864" t="s">
        <v>215</v>
      </c>
      <c r="B184" s="865"/>
      <c r="C184" s="334"/>
      <c r="D184" s="228" t="s">
        <v>142</v>
      </c>
      <c r="E184" s="95">
        <f>'8'!F184</f>
        <v>10599</v>
      </c>
      <c r="F184" s="157">
        <v>10647</v>
      </c>
      <c r="G184" s="157">
        <f t="shared" ref="G184:G185" si="16">F184-E184</f>
        <v>48</v>
      </c>
      <c r="H184" s="99">
        <f>G184+'8'!H184</f>
        <v>129</v>
      </c>
      <c r="I184" s="155"/>
      <c r="J184" s="178">
        <f>H184/DAY(B2)</f>
        <v>14.333333333333334</v>
      </c>
    </row>
    <row r="185" spans="1:10" ht="35.25" customHeight="1" x14ac:dyDescent="0.5">
      <c r="A185" s="864" t="s">
        <v>216</v>
      </c>
      <c r="B185" s="865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855" t="s">
        <v>196</v>
      </c>
      <c r="B186" s="856"/>
      <c r="C186" s="334"/>
      <c r="D186" s="228" t="s">
        <v>142</v>
      </c>
      <c r="E186" s="95"/>
      <c r="F186" s="157"/>
      <c r="G186" s="157">
        <f>SUM(G183:G185)</f>
        <v>59</v>
      </c>
      <c r="H186" s="99">
        <f>G186+'8'!H186</f>
        <v>246</v>
      </c>
      <c r="I186" s="157"/>
      <c r="J186" s="178">
        <f>H186/DAY(B2)</f>
        <v>27.333333333333332</v>
      </c>
    </row>
    <row r="187" spans="1:10" ht="27.75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460">
        <f>G62+G19</f>
        <v>198</v>
      </c>
      <c r="H187" s="99">
        <f>G187+'8'!H187</f>
        <v>1503</v>
      </c>
      <c r="I187" s="158"/>
      <c r="J187" s="179">
        <f>H187/DAY(B2)</f>
        <v>167</v>
      </c>
    </row>
    <row r="188" spans="1:10" ht="27.75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201</v>
      </c>
      <c r="H188" s="99">
        <f>G188+'8'!H188</f>
        <v>1519</v>
      </c>
      <c r="I188" s="158"/>
      <c r="J188" s="179">
        <f>H188/DAY(B2)</f>
        <v>168.77777777777777</v>
      </c>
    </row>
    <row r="189" spans="1:10" ht="27.75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457">
        <f>G181</f>
        <v>78</v>
      </c>
      <c r="H189" s="99">
        <f>G189+'8'!H189</f>
        <v>884</v>
      </c>
      <c r="I189" s="158"/>
      <c r="J189" s="179">
        <f>H189/DAY(B2)</f>
        <v>98.222222222222229</v>
      </c>
    </row>
    <row r="190" spans="1:10" ht="29.25" customHeight="1" x14ac:dyDescent="0.5">
      <c r="A190" s="778"/>
      <c r="B190" s="779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06" zoomScale="50" zoomScaleNormal="55" zoomScaleSheetLayoutView="50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357</v>
      </c>
      <c r="B2" s="262">
        <v>44602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825639</v>
      </c>
      <c r="F7" s="95">
        <v>845927</v>
      </c>
      <c r="G7" s="112">
        <f>F7-E7</f>
        <v>20288</v>
      </c>
      <c r="H7" s="99">
        <f>G7+'9'!H7</f>
        <v>194746.77000000002</v>
      </c>
      <c r="I7" s="113">
        <f>'1'!I7</f>
        <v>12000</v>
      </c>
      <c r="J7" s="175">
        <f>H7/DAY(B2)</f>
        <v>19474.677000000003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884521</v>
      </c>
      <c r="F8" s="95">
        <v>904894</v>
      </c>
      <c r="G8" s="115">
        <f>F8-E8</f>
        <v>20373</v>
      </c>
      <c r="H8" s="99">
        <f>G8+'9'!H8</f>
        <v>196345.84999999998</v>
      </c>
      <c r="I8" s="116"/>
      <c r="J8" s="175">
        <f>H8/DAY(B2)</f>
        <v>19634.584999999999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408069</v>
      </c>
      <c r="F9" s="598">
        <v>425272</v>
      </c>
      <c r="G9" s="112">
        <f>F9-E9</f>
        <v>17203</v>
      </c>
      <c r="H9" s="99">
        <f>G9+'9'!H9</f>
        <v>143018.15000000002</v>
      </c>
      <c r="I9" s="124">
        <f>I7-J7</f>
        <v>-7474.6770000000033</v>
      </c>
      <c r="J9" s="175">
        <f>H9/DAY(B2)</f>
        <v>14301.815000000002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149027</v>
      </c>
      <c r="F10" s="117">
        <v>151529</v>
      </c>
      <c r="G10" s="112">
        <f t="shared" ref="G10:G12" si="0">F10-E10</f>
        <v>2502</v>
      </c>
      <c r="H10" s="99">
        <f>G10+'9'!H10</f>
        <v>46270.03</v>
      </c>
      <c r="I10" s="282"/>
      <c r="J10" s="175">
        <f>H10/DAY(B2)</f>
        <v>4627.0029999999997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37170</v>
      </c>
      <c r="F11" s="95">
        <v>37170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19705</v>
      </c>
      <c r="H13" s="99">
        <f>G13+'9'!H13</f>
        <v>172533.75</v>
      </c>
      <c r="I13" s="120">
        <f>G7-G13</f>
        <v>583</v>
      </c>
      <c r="J13" s="175">
        <f>H13/DAY(B2)</f>
        <v>17253.375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'9'!F15</f>
        <v>1915799</v>
      </c>
      <c r="F15" s="232">
        <v>1916951</v>
      </c>
      <c r="G15" s="112">
        <f>(F15-E15)</f>
        <v>1152</v>
      </c>
      <c r="H15" s="99">
        <f>G15+'9'!H15</f>
        <v>10314.233000000007</v>
      </c>
      <c r="I15" s="113">
        <f>'1'!I15</f>
        <v>800</v>
      </c>
      <c r="J15" s="175">
        <f>H15/DAY(B2)</f>
        <v>1031.4233000000008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-231.42330000000084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'9'!F18</f>
        <v>20</v>
      </c>
      <c r="F18" s="122">
        <v>26</v>
      </c>
      <c r="G18" s="119">
        <f>F18*10</f>
        <v>260</v>
      </c>
      <c r="H18" s="99">
        <f>G18+'9'!H18</f>
        <v>2010</v>
      </c>
      <c r="I18" s="113">
        <f>'1'!I18</f>
        <v>65</v>
      </c>
      <c r="J18" s="175">
        <f>H18/DAY(B2)</f>
        <v>201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'9'!F19</f>
        <v>154352</v>
      </c>
      <c r="F19" s="122">
        <v>154409</v>
      </c>
      <c r="G19" s="112">
        <f t="shared" ref="G19" si="1">F19-E19</f>
        <v>57</v>
      </c>
      <c r="H19" s="99">
        <f>G19+'9'!H19</f>
        <v>518</v>
      </c>
      <c r="I19" s="335"/>
      <c r="J19" s="175">
        <f>H19/DAY(B2)</f>
        <v>51.8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317</v>
      </c>
      <c r="H20" s="99">
        <f>G20+'9'!H20</f>
        <v>2528</v>
      </c>
      <c r="I20" s="336">
        <f>I18-J20</f>
        <v>-187.8</v>
      </c>
      <c r="J20" s="175">
        <f>H20/DAY(B2)</f>
        <v>252.8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20373</v>
      </c>
      <c r="F27" s="136">
        <v>9</v>
      </c>
      <c r="G27" s="137">
        <f>E27*F27</f>
        <v>183357</v>
      </c>
      <c r="H27" s="99">
        <f>G27+'9'!H27</f>
        <v>1767112.65</v>
      </c>
      <c r="I27" s="138"/>
      <c r="J27" s="175">
        <f>H27/DAY(B2)</f>
        <v>176711.26499999998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1152</v>
      </c>
      <c r="F28" s="136">
        <v>52</v>
      </c>
      <c r="G28" s="137">
        <f>E28*F28</f>
        <v>59904</v>
      </c>
      <c r="H28" s="99">
        <f>G28+'9'!H28</f>
        <v>536340.11600000039</v>
      </c>
      <c r="I28" s="140"/>
      <c r="J28" s="175">
        <f>H28/DAY(B2)</f>
        <v>53634.011600000042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G30+'9'!H30</f>
        <v>75628</v>
      </c>
      <c r="I30" s="140"/>
      <c r="J30" s="175">
        <f>H30/DAY(B2)</f>
        <v>7562.8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G31+'9'!H31</f>
        <v>160800</v>
      </c>
      <c r="I31" s="140"/>
      <c r="J31" s="175">
        <f>H31/DAY(B2)</f>
        <v>16080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272383</v>
      </c>
      <c r="H32" s="99">
        <f>G32+'9'!H32</f>
        <v>2539880.7660000003</v>
      </c>
      <c r="I32" s="144"/>
      <c r="J32" s="175">
        <f>H32/DAY(B2)</f>
        <v>253988.07660000003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45444</v>
      </c>
      <c r="F35" s="145">
        <v>47001</v>
      </c>
      <c r="G35" s="112">
        <f t="shared" ref="G35:G46" si="3">F35-E35</f>
        <v>1557</v>
      </c>
      <c r="H35" s="99">
        <f>G35+'9'!H35</f>
        <v>14996.02</v>
      </c>
      <c r="I35" s="95"/>
      <c r="J35" s="175">
        <f>H35/DAY(B2)</f>
        <v>1499.6020000000001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51453</v>
      </c>
      <c r="F36" s="145">
        <v>52537</v>
      </c>
      <c r="G36" s="112">
        <f t="shared" si="3"/>
        <v>1084</v>
      </c>
      <c r="H36" s="99">
        <f>G36+'9'!H36</f>
        <v>9078.260000000002</v>
      </c>
      <c r="I36" s="95"/>
      <c r="J36" s="175">
        <f>H36/DAY(B2)</f>
        <v>907.82600000000025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49928</v>
      </c>
      <c r="F37" s="145">
        <v>51575</v>
      </c>
      <c r="G37" s="112">
        <f t="shared" si="3"/>
        <v>1647</v>
      </c>
      <c r="H37" s="99">
        <f>G37+'9'!H37</f>
        <v>16149.910000000003</v>
      </c>
      <c r="I37" s="95"/>
      <c r="J37" s="175">
        <f>H37/DAY(B2)</f>
        <v>1614.9910000000004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54992</v>
      </c>
      <c r="F38" s="108">
        <v>56947</v>
      </c>
      <c r="G38" s="112">
        <f t="shared" si="3"/>
        <v>1955</v>
      </c>
      <c r="H38" s="99">
        <f>G38+'9'!H38</f>
        <v>18570.57</v>
      </c>
      <c r="I38" s="95"/>
      <c r="J38" s="175">
        <f>H38/DAY(B2)</f>
        <v>1857.057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84245</v>
      </c>
      <c r="F39" s="145">
        <v>87280</v>
      </c>
      <c r="G39" s="112">
        <f t="shared" si="3"/>
        <v>3035</v>
      </c>
      <c r="H39" s="99">
        <f>G39+'9'!H39</f>
        <v>28106.71</v>
      </c>
      <c r="I39" s="95"/>
      <c r="J39" s="175">
        <f>H39/DAY(B2)</f>
        <v>2810.6709999999998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24711</v>
      </c>
      <c r="F40" s="145">
        <v>24852</v>
      </c>
      <c r="G40" s="112">
        <f t="shared" si="3"/>
        <v>141</v>
      </c>
      <c r="H40" s="99">
        <f>G40+'9'!H40</f>
        <v>2735.0099999999975</v>
      </c>
      <c r="I40" s="95"/>
      <c r="J40" s="175">
        <f>H40/DAY(B2)</f>
        <v>273.50099999999975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63</v>
      </c>
      <c r="F41" s="145">
        <v>63</v>
      </c>
      <c r="G41" s="112">
        <f t="shared" si="3"/>
        <v>0</v>
      </c>
      <c r="H41" s="99">
        <f>G41+'9'!H41</f>
        <v>0.27000000000000313</v>
      </c>
      <c r="I41" s="95"/>
      <c r="J41" s="175">
        <f>H41/DAY(B2)</f>
        <v>2.7000000000000312E-2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117046</v>
      </c>
      <c r="F42" s="145">
        <v>121603</v>
      </c>
      <c r="G42" s="112">
        <f t="shared" si="3"/>
        <v>4557</v>
      </c>
      <c r="H42" s="99">
        <f>G42+'9'!H42</f>
        <v>21473.259999999995</v>
      </c>
      <c r="I42" s="95"/>
      <c r="J42" s="175">
        <f>H42/DAY(B2)</f>
        <v>2147.3259999999996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134178</v>
      </c>
      <c r="F43" s="145">
        <v>136275</v>
      </c>
      <c r="G43" s="112">
        <f t="shared" si="3"/>
        <v>2097</v>
      </c>
      <c r="H43" s="99">
        <f>G43+'9'!H43</f>
        <v>21423.399999999994</v>
      </c>
      <c r="I43" s="95"/>
      <c r="J43" s="175">
        <f>H43/DAY(B2)</f>
        <v>2142.3399999999992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16073</v>
      </c>
      <c r="H47" s="99">
        <f>G47+'9'!H47</f>
        <v>132533.41</v>
      </c>
      <c r="I47" s="95"/>
      <c r="J47" s="175">
        <f>H47/DAY(B2)</f>
        <v>13253.341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36299</v>
      </c>
      <c r="F49" s="145">
        <v>37581</v>
      </c>
      <c r="G49" s="112">
        <f t="shared" ref="G49:G58" si="4">F49-E49</f>
        <v>1282</v>
      </c>
      <c r="H49" s="99">
        <f>G49+'9'!H49</f>
        <v>12584.810000000001</v>
      </c>
      <c r="I49" s="95"/>
      <c r="J49" s="175">
        <f>H49/DAY(B2)</f>
        <v>1258.4810000000002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66997</v>
      </c>
      <c r="F50" s="145">
        <v>68141</v>
      </c>
      <c r="G50" s="112">
        <f t="shared" si="4"/>
        <v>1144</v>
      </c>
      <c r="H50" s="99">
        <f>G50+'9'!H50</f>
        <v>11754.370000000003</v>
      </c>
      <c r="I50" s="95"/>
      <c r="J50" s="175">
        <f>H50/DAY(B2)</f>
        <v>1175.4370000000004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9067</v>
      </c>
      <c r="F54" s="145">
        <v>9606</v>
      </c>
      <c r="G54" s="112">
        <f t="shared" si="4"/>
        <v>539</v>
      </c>
      <c r="H54" s="99">
        <f>G54+'9'!H54</f>
        <v>4458.58</v>
      </c>
      <c r="I54" s="95"/>
      <c r="J54" s="175">
        <f>H54/DAY(B2)</f>
        <v>445.858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90154</v>
      </c>
      <c r="F55" s="145">
        <v>90154</v>
      </c>
      <c r="G55" s="112">
        <f t="shared" si="4"/>
        <v>0</v>
      </c>
      <c r="H55" s="99">
        <f>G55+'9'!H55</f>
        <v>15787.89</v>
      </c>
      <c r="I55" s="95"/>
      <c r="J55" s="175">
        <f>H55/DAY(B2)</f>
        <v>1578.789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8724</v>
      </c>
      <c r="F56" s="376">
        <v>8724</v>
      </c>
      <c r="G56" s="112">
        <f t="shared" si="4"/>
        <v>0</v>
      </c>
      <c r="H56" s="99">
        <f>G56+'9'!H56</f>
        <v>113.45999999999913</v>
      </c>
      <c r="I56" s="95"/>
      <c r="J56" s="175">
        <f>H56/DAY(B2)</f>
        <v>11.345999999999913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6739</v>
      </c>
      <c r="F58" s="376">
        <v>6936</v>
      </c>
      <c r="G58" s="112">
        <f t="shared" si="4"/>
        <v>197</v>
      </c>
      <c r="H58" s="99">
        <f>G58+'9'!H58</f>
        <v>2139.79</v>
      </c>
      <c r="I58" s="95"/>
      <c r="J58" s="175">
        <f>H58/DAY(B2)</f>
        <v>213.97899999999998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3162</v>
      </c>
      <c r="H59" s="99">
        <f>G59+'9'!H59</f>
        <v>46838.9</v>
      </c>
      <c r="I59" s="95">
        <f>G7-G60</f>
        <v>1053</v>
      </c>
      <c r="J59" s="175">
        <f>H59/DAY(B2)</f>
        <v>4683.8900000000003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19235</v>
      </c>
      <c r="H60" s="99">
        <f>G60+'9'!H60</f>
        <v>179372.31</v>
      </c>
      <c r="I60" s="95">
        <f>G13-G60</f>
        <v>470</v>
      </c>
      <c r="J60" s="175">
        <f>H60/DAY(B2)</f>
        <v>17937.231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'9'!F62</f>
        <v>270558</v>
      </c>
      <c r="F62" s="122">
        <v>270728</v>
      </c>
      <c r="G62" s="112">
        <f t="shared" ref="G62:G63" si="5">F62-E62</f>
        <v>170</v>
      </c>
      <c r="H62" s="99">
        <f>G62+'9'!H62</f>
        <v>1212</v>
      </c>
      <c r="I62" s="118"/>
      <c r="J62" s="175">
        <f>H62/DAY(B2)</f>
        <v>121.2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'9'!F63</f>
        <v>216933</v>
      </c>
      <c r="F63" s="122">
        <v>217062</v>
      </c>
      <c r="G63" s="112">
        <f t="shared" si="5"/>
        <v>129</v>
      </c>
      <c r="H63" s="99">
        <f>G63+'9'!H63</f>
        <v>1265</v>
      </c>
      <c r="I63" s="118"/>
      <c r="J63" s="175">
        <f>H63/DAY(B2)</f>
        <v>126.5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'9'!F64</f>
        <v>0</v>
      </c>
      <c r="F64" s="122"/>
      <c r="G64" s="112">
        <f>G62+G63</f>
        <v>299</v>
      </c>
      <c r="H64" s="99">
        <f>G64+'9'!H64</f>
        <v>2477</v>
      </c>
      <c r="I64" s="118"/>
      <c r="J64" s="175">
        <f>H64/DAY(B2)</f>
        <v>247.7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'9'!F65</f>
        <v>435761</v>
      </c>
      <c r="F65" s="122">
        <v>435866</v>
      </c>
      <c r="G65" s="112">
        <f t="shared" ref="G65:G70" si="6">F65-E65</f>
        <v>105</v>
      </c>
      <c r="H65" s="99">
        <f>G65+'9'!H65</f>
        <v>943</v>
      </c>
      <c r="I65" s="118"/>
      <c r="J65" s="175">
        <f>H65/DAY(B2)</f>
        <v>94.3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'9'!F66</f>
        <v>107966</v>
      </c>
      <c r="F66" s="122">
        <v>107986</v>
      </c>
      <c r="G66" s="112">
        <f t="shared" si="6"/>
        <v>20</v>
      </c>
      <c r="H66" s="99">
        <f>G66+'9'!H66</f>
        <v>243</v>
      </c>
      <c r="I66" s="118"/>
      <c r="J66" s="175">
        <f>H66/DAY(B2)</f>
        <v>24.3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'9'!F67</f>
        <v>104885</v>
      </c>
      <c r="F67" s="122">
        <v>104950</v>
      </c>
      <c r="G67" s="112">
        <f t="shared" si="6"/>
        <v>65</v>
      </c>
      <c r="H67" s="99">
        <f>G67+'9'!H67</f>
        <v>302</v>
      </c>
      <c r="I67" s="118"/>
      <c r="J67" s="175">
        <f>H67/DAY(B2)</f>
        <v>30.2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'9'!F68</f>
        <v>158021</v>
      </c>
      <c r="F68" s="122">
        <v>158061</v>
      </c>
      <c r="G68" s="112">
        <f t="shared" si="6"/>
        <v>40</v>
      </c>
      <c r="H68" s="99">
        <f>G68+'9'!H68</f>
        <v>364</v>
      </c>
      <c r="I68" s="118"/>
      <c r="J68" s="175">
        <f>H68/DAY(B2)</f>
        <v>36.4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'9'!F69</f>
        <v>10638</v>
      </c>
      <c r="F69" s="122">
        <v>10656</v>
      </c>
      <c r="G69" s="112">
        <f t="shared" si="6"/>
        <v>18</v>
      </c>
      <c r="H69" s="99">
        <f>G69+'9'!H69</f>
        <v>115</v>
      </c>
      <c r="I69" s="118"/>
      <c r="J69" s="175">
        <f>H69/DAY(B2)</f>
        <v>11.5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'9'!F70</f>
        <v>8244</v>
      </c>
      <c r="F70" s="122">
        <v>8252</v>
      </c>
      <c r="G70" s="112">
        <f t="shared" si="6"/>
        <v>8</v>
      </c>
      <c r="H70" s="99">
        <f>G70+'9'!H70</f>
        <v>132</v>
      </c>
      <c r="I70" s="118"/>
      <c r="J70" s="175">
        <f>H70/DAY(B2)</f>
        <v>13.2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256</v>
      </c>
      <c r="H71" s="99">
        <f>G71+'9'!H71</f>
        <v>2099</v>
      </c>
      <c r="I71" s="154"/>
      <c r="J71" s="175">
        <f>H71/DAY(B2)</f>
        <v>209.9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'9'!F74</f>
        <v>904033</v>
      </c>
      <c r="F74" s="117">
        <v>904374</v>
      </c>
      <c r="G74" s="112">
        <f t="shared" ref="G74:G78" si="7">F74-E74</f>
        <v>341</v>
      </c>
      <c r="H74" s="99">
        <f>G74+'9'!H74</f>
        <v>3067.8510000000242</v>
      </c>
      <c r="I74" s="154"/>
      <c r="J74" s="175">
        <f>H74/DAY(B2)</f>
        <v>306.78510000000244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'9'!F76</f>
        <v>171014</v>
      </c>
      <c r="F76" s="123">
        <v>171128</v>
      </c>
      <c r="G76" s="112">
        <f t="shared" si="7"/>
        <v>114</v>
      </c>
      <c r="H76" s="99">
        <f>G76+'9'!H76</f>
        <v>1153</v>
      </c>
      <c r="I76" s="154"/>
      <c r="J76" s="175">
        <f>H76/DAY(B2)</f>
        <v>115.3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'9'!F77</f>
        <v>41730</v>
      </c>
      <c r="F77" s="123">
        <v>41773</v>
      </c>
      <c r="G77" s="112">
        <f t="shared" si="7"/>
        <v>43</v>
      </c>
      <c r="H77" s="99">
        <f>G77+'9'!H77</f>
        <v>470.80000000000291</v>
      </c>
      <c r="I77" s="154"/>
      <c r="J77" s="175">
        <f>H77/DAY(B2)</f>
        <v>47.08000000000029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'9'!F78</f>
        <v>9528</v>
      </c>
      <c r="F78" s="123">
        <v>9531</v>
      </c>
      <c r="G78" s="112">
        <f t="shared" si="7"/>
        <v>3</v>
      </c>
      <c r="H78" s="99">
        <f>G78+'9'!H78</f>
        <v>15</v>
      </c>
      <c r="I78" s="118"/>
      <c r="J78" s="175">
        <f>H78/DAY(B2)</f>
        <v>1.5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'9'!F79</f>
        <v>0</v>
      </c>
      <c r="F79" s="117"/>
      <c r="G79" s="112">
        <f>G15-SUM(G74:G78)</f>
        <v>651</v>
      </c>
      <c r="H79" s="99">
        <f>G79+'9'!H79</f>
        <v>5607.3819999999832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1152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'9'!F85</f>
        <v>2360</v>
      </c>
      <c r="F85" s="164">
        <v>2384</v>
      </c>
      <c r="G85" s="112">
        <f t="shared" si="8"/>
        <v>24</v>
      </c>
      <c r="H85" s="99">
        <f>G85+'9'!H85</f>
        <v>123.57999999999993</v>
      </c>
      <c r="I85" s="118">
        <f>G82+G83+G84+G85</f>
        <v>24</v>
      </c>
      <c r="J85" s="175">
        <f>H85/DAY(B2)</f>
        <v>12.357999999999993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'9'!F86</f>
        <v>43560</v>
      </c>
      <c r="F86" s="164">
        <v>43560</v>
      </c>
      <c r="G86" s="112">
        <f t="shared" si="8"/>
        <v>0</v>
      </c>
      <c r="H86" s="99">
        <f>G86+'9'!H86</f>
        <v>118</v>
      </c>
      <c r="I86" s="118"/>
      <c r="J86" s="175">
        <f>H86/DAY(B2)</f>
        <v>11.8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'9'!F87</f>
        <v>34598.550000000003</v>
      </c>
      <c r="F87" s="164">
        <v>34598.550000000003</v>
      </c>
      <c r="G87" s="112">
        <f t="shared" si="8"/>
        <v>0</v>
      </c>
      <c r="H87" s="99">
        <f>G87+'9'!H87</f>
        <v>5.0000000002910383E-2</v>
      </c>
      <c r="I87" s="118"/>
      <c r="J87" s="175">
        <f>H87/DAY(B2)</f>
        <v>5.0000000002910381E-3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'9'!F88</f>
        <v>24063</v>
      </c>
      <c r="F88" s="164">
        <v>24063</v>
      </c>
      <c r="G88" s="112">
        <f t="shared" si="8"/>
        <v>0</v>
      </c>
      <c r="H88" s="99">
        <f>G88+'9'!H88</f>
        <v>-0.43000000000029104</v>
      </c>
      <c r="I88" s="118">
        <f>G86+G87+G88</f>
        <v>0</v>
      </c>
      <c r="J88" s="175">
        <f>H88/DAY(B2)</f>
        <v>-4.3000000000029105E-2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'9'!F89</f>
        <v>25981.43</v>
      </c>
      <c r="F89" s="164">
        <v>25993</v>
      </c>
      <c r="G89" s="112">
        <f t="shared" si="8"/>
        <v>11.569999999999709</v>
      </c>
      <c r="H89" s="99">
        <f>G89+'9'!H89</f>
        <v>101.88000000000102</v>
      </c>
      <c r="I89" s="118"/>
      <c r="J89" s="175">
        <f>H89/DAY(B2)</f>
        <v>10.188000000000102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'9'!F90</f>
        <v>71186</v>
      </c>
      <c r="F90" s="164">
        <v>71190</v>
      </c>
      <c r="G90" s="112">
        <f t="shared" si="8"/>
        <v>4</v>
      </c>
      <c r="H90" s="99">
        <f>G90+'9'!H90</f>
        <v>26.679999999993015</v>
      </c>
      <c r="I90" s="118">
        <f>G89+G90</f>
        <v>15.569999999999709</v>
      </c>
      <c r="J90" s="175">
        <f>H90/DAY(B2)</f>
        <v>2.6679999999993016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'9'!F91</f>
        <v>3352</v>
      </c>
      <c r="F91" s="122">
        <v>3364</v>
      </c>
      <c r="G91" s="112">
        <f t="shared" si="8"/>
        <v>12</v>
      </c>
      <c r="H91" s="99">
        <f>G91+'9'!H91</f>
        <v>112.90999999999985</v>
      </c>
      <c r="I91" s="165"/>
      <c r="J91" s="175">
        <f>H91/DAY(B2)</f>
        <v>11.290999999999986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'9'!F92</f>
        <v>5741</v>
      </c>
      <c r="F92" s="122">
        <v>5741</v>
      </c>
      <c r="G92" s="112">
        <f t="shared" si="8"/>
        <v>0</v>
      </c>
      <c r="H92" s="99">
        <f>G92+'9'!H92</f>
        <v>-6.9999999999708962E-2</v>
      </c>
      <c r="I92" s="165"/>
      <c r="J92" s="175">
        <f>H92/DAY(B2)</f>
        <v>-6.9999999999708958E-3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4936</v>
      </c>
      <c r="H94" s="99">
        <f>G94+'9'!H94</f>
        <v>49004.229999999996</v>
      </c>
      <c r="I94" s="118"/>
      <c r="J94" s="175">
        <f>H94/DAY(B2)</f>
        <v>4900.4229999999998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0.24329652996845424</v>
      </c>
      <c r="H95" s="99">
        <f>G95+'9'!H95</f>
        <v>2.5162247661994854</v>
      </c>
      <c r="I95" s="167"/>
      <c r="J95" s="175">
        <f>H95/DAY(B2)</f>
        <v>0.25162247661994852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4557</v>
      </c>
      <c r="H96" s="99">
        <f>G96+'9'!H96</f>
        <v>37374.87999999999</v>
      </c>
      <c r="I96" s="118"/>
      <c r="J96" s="175">
        <f>H96/DAY(B2)</f>
        <v>3737.4879999999989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0.22461553627760253</v>
      </c>
      <c r="H97" s="99">
        <f>G97+'9'!H97</f>
        <v>1.9215550785417519</v>
      </c>
      <c r="I97" s="167"/>
      <c r="J97" s="175">
        <f>H97/DAY(B2)</f>
        <v>0.19215550785417518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3035</v>
      </c>
      <c r="H98" s="99">
        <f>G98+'9'!H98</f>
        <v>28106.71</v>
      </c>
      <c r="I98" s="168"/>
      <c r="J98" s="175">
        <f>H98/DAY(B2)</f>
        <v>2810.6709999999998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0.14959582018927445</v>
      </c>
      <c r="H99" s="99">
        <f>G99+'9'!H99</f>
        <v>1.4449887230887071</v>
      </c>
      <c r="I99" s="168"/>
      <c r="J99" s="175">
        <f>H99/DAY(B2)</f>
        <v>0.14449887230887071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1955</v>
      </c>
      <c r="H100" s="99">
        <f>G100+'9'!H100</f>
        <v>18570.57</v>
      </c>
      <c r="I100" s="118"/>
      <c r="J100" s="175">
        <f>H100/DAY(B2)</f>
        <v>1857.057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9.6362381703470029E-2</v>
      </c>
      <c r="H101" s="99">
        <f>G101+'9'!H101</f>
        <v>0.95394817966798162</v>
      </c>
      <c r="I101" s="168"/>
      <c r="J101" s="175">
        <f>H101/DAY(B2)</f>
        <v>9.5394817966798162E-2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2228</v>
      </c>
      <c r="H102" s="99">
        <f>G102+'9'!H102</f>
        <v>20832.630000000005</v>
      </c>
      <c r="I102" s="168"/>
      <c r="J102" s="175">
        <f>H102/DAY(B2)</f>
        <v>2083.2630000000004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0.1098186119873817</v>
      </c>
      <c r="H103" s="99">
        <f>G103+'9'!H103</f>
        <v>1.0662487269285554</v>
      </c>
      <c r="I103" s="118"/>
      <c r="J103" s="175">
        <f>H103/DAY(B2)</f>
        <v>0.10662487269285555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1647</v>
      </c>
      <c r="H104" s="99">
        <f>G104+'9'!H104</f>
        <v>16149.910000000003</v>
      </c>
      <c r="I104" s="118"/>
      <c r="J104" s="175">
        <f>H104/DAY(B2)</f>
        <v>1614.9910000000004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8.118099369085173E-2</v>
      </c>
      <c r="H105" s="99">
        <f>G105+'9'!H105</f>
        <v>0.83138464980057492</v>
      </c>
      <c r="I105" s="187"/>
      <c r="J105" s="188">
        <f>H105/DAY(B2)</f>
        <v>8.3138464980057489E-2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'9'!F112</f>
        <v>58734</v>
      </c>
      <c r="F112" s="237">
        <v>58809</v>
      </c>
      <c r="G112" s="112">
        <f t="shared" ref="G112:G123" si="9">F112-E112</f>
        <v>75</v>
      </c>
      <c r="H112" s="99">
        <f>G112+'9'!H112</f>
        <v>755</v>
      </c>
      <c r="I112" s="165"/>
      <c r="J112" s="328">
        <f>H112/DAY(B2)</f>
        <v>75.5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'9'!F113</f>
        <v>50610</v>
      </c>
      <c r="F113" s="237">
        <v>51099</v>
      </c>
      <c r="G113" s="112">
        <f t="shared" si="9"/>
        <v>489</v>
      </c>
      <c r="H113" s="99">
        <f>G113+'9'!H113</f>
        <v>4698.1100000000006</v>
      </c>
      <c r="I113" s="165"/>
      <c r="J113" s="328">
        <f>H113/DAY(B2)</f>
        <v>469.81100000000004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'9'!F114</f>
        <v>35947</v>
      </c>
      <c r="F114" s="237">
        <v>36210</v>
      </c>
      <c r="G114" s="112">
        <f t="shared" si="9"/>
        <v>263</v>
      </c>
      <c r="H114" s="99">
        <f>G114+'9'!H114</f>
        <v>3050</v>
      </c>
      <c r="I114" s="165"/>
      <c r="J114" s="328">
        <f>H114/DAY(B2)</f>
        <v>305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'9'!F115</f>
        <v>9190</v>
      </c>
      <c r="F115" s="237">
        <v>9202</v>
      </c>
      <c r="G115" s="112">
        <f t="shared" si="9"/>
        <v>12</v>
      </c>
      <c r="H115" s="99">
        <f>G115+'9'!H115</f>
        <v>107.35000000000036</v>
      </c>
      <c r="I115" s="165"/>
      <c r="J115" s="328">
        <f>H115/DAY(B2)</f>
        <v>10.735000000000037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'9'!F116</f>
        <v>1223</v>
      </c>
      <c r="F116" s="237">
        <v>1551</v>
      </c>
      <c r="G116" s="112">
        <f t="shared" si="9"/>
        <v>328</v>
      </c>
      <c r="H116" s="99">
        <f>G116+'9'!H116</f>
        <v>1551</v>
      </c>
      <c r="I116" s="165"/>
      <c r="J116" s="328">
        <f>H116/DAY(B2)</f>
        <v>155.1</v>
      </c>
      <c r="Q116" s="871" t="s">
        <v>311</v>
      </c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'9'!F117</f>
        <v>4263</v>
      </c>
      <c r="F117" s="237">
        <v>4377</v>
      </c>
      <c r="G117" s="112">
        <f t="shared" si="9"/>
        <v>114</v>
      </c>
      <c r="H117" s="99">
        <f>G117+'9'!H117</f>
        <v>1039.0500000000002</v>
      </c>
      <c r="I117" s="165"/>
      <c r="J117" s="328">
        <f>H117/DAY(B2)</f>
        <v>103.90500000000002</v>
      </c>
      <c r="Q117" s="871" t="s">
        <v>312</v>
      </c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'9'!F118</f>
        <v>255533</v>
      </c>
      <c r="F118" s="237">
        <v>255945</v>
      </c>
      <c r="G118" s="112">
        <f t="shared" si="9"/>
        <v>412</v>
      </c>
      <c r="H118" s="99">
        <f>G118+'9'!H118</f>
        <v>3492.6900000000023</v>
      </c>
      <c r="I118" s="165"/>
      <c r="J118" s="328">
        <f>H118/DAY(B2)</f>
        <v>349.26900000000023</v>
      </c>
      <c r="Q118" s="871" t="s">
        <v>311</v>
      </c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'9'!F119</f>
        <v>261847</v>
      </c>
      <c r="F119" s="237">
        <v>262266</v>
      </c>
      <c r="G119" s="112">
        <f t="shared" si="9"/>
        <v>419</v>
      </c>
      <c r="H119" s="99">
        <f>G119+'9'!H119</f>
        <v>4117.4500000000116</v>
      </c>
      <c r="I119" s="165"/>
      <c r="J119" s="328">
        <f>H119/DAY(B2)</f>
        <v>411.74500000000114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'9'!F120</f>
        <v>46745</v>
      </c>
      <c r="F120" s="237">
        <v>47190</v>
      </c>
      <c r="G120" s="112">
        <f t="shared" si="9"/>
        <v>445</v>
      </c>
      <c r="H120" s="99">
        <f>G120+'9'!H120</f>
        <v>4230.3899999999994</v>
      </c>
      <c r="I120" s="165"/>
      <c r="J120" s="328">
        <f>H120/DAY(B2)</f>
        <v>423.03899999999993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'9'!F121</f>
        <v>404573</v>
      </c>
      <c r="F121" s="237">
        <v>405308</v>
      </c>
      <c r="G121" s="112">
        <f t="shared" si="9"/>
        <v>735</v>
      </c>
      <c r="H121" s="99">
        <f>G121+'9'!H121</f>
        <v>7273.570000000007</v>
      </c>
      <c r="I121" s="165"/>
      <c r="J121" s="328">
        <f>H121/DAY(B2)</f>
        <v>727.35700000000065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'9'!F122</f>
        <v>128266</v>
      </c>
      <c r="F122" s="237">
        <v>128409</v>
      </c>
      <c r="G122" s="112">
        <f t="shared" si="9"/>
        <v>143</v>
      </c>
      <c r="H122" s="99">
        <f>G122+'9'!H122</f>
        <v>2222.820000000007</v>
      </c>
      <c r="I122" s="165"/>
      <c r="J122" s="328">
        <f>H122/DAY(B2)</f>
        <v>222.28200000000069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'9'!F123</f>
        <v>156337</v>
      </c>
      <c r="F123" s="237">
        <v>156591</v>
      </c>
      <c r="G123" s="112">
        <f t="shared" si="9"/>
        <v>254</v>
      </c>
      <c r="H123" s="99">
        <f>G123+'9'!H123</f>
        <v>2544.0499999999884</v>
      </c>
      <c r="I123" s="165"/>
      <c r="J123" s="328">
        <f>H123/DAY(B2)</f>
        <v>254.40499999999884</v>
      </c>
    </row>
    <row r="124" spans="1:18" ht="29.25" customHeight="1" x14ac:dyDescent="0.5">
      <c r="A124" s="875"/>
      <c r="B124" s="876"/>
      <c r="C124" s="877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3689</v>
      </c>
      <c r="H125" s="156"/>
      <c r="I125" s="327">
        <f>G125-(G39+G53)</f>
        <v>654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'9'!F128</f>
        <v>50522</v>
      </c>
      <c r="F128" s="155">
        <v>50880</v>
      </c>
      <c r="G128" s="112">
        <f t="shared" ref="G128:G134" si="10">F128-E128</f>
        <v>358</v>
      </c>
      <c r="H128" s="99">
        <f>G128+'9'!H128</f>
        <v>3134</v>
      </c>
      <c r="I128" s="165"/>
      <c r="J128" s="328">
        <f>H128/DAY(B2)</f>
        <v>313.39999999999998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'9'!F129</f>
        <v>28699</v>
      </c>
      <c r="F129" s="155">
        <v>28890</v>
      </c>
      <c r="G129" s="112">
        <f t="shared" si="10"/>
        <v>191</v>
      </c>
      <c r="H129" s="99">
        <f>G129+'9'!H129</f>
        <v>1979.130000000001</v>
      </c>
      <c r="I129" s="165"/>
      <c r="J129" s="328">
        <f>H129/DAY(B2)</f>
        <v>197.9130000000001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'9'!F130</f>
        <v>40844</v>
      </c>
      <c r="F130" s="155">
        <v>41497</v>
      </c>
      <c r="G130" s="112">
        <f t="shared" si="10"/>
        <v>653</v>
      </c>
      <c r="H130" s="99">
        <f>G130+'9'!H130</f>
        <v>5803</v>
      </c>
      <c r="I130" s="165"/>
      <c r="J130" s="328">
        <f>H130/DAY(B2)</f>
        <v>580.29999999999995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'9'!F131</f>
        <v>16070</v>
      </c>
      <c r="F131" s="155">
        <v>16210</v>
      </c>
      <c r="G131" s="112">
        <f t="shared" si="10"/>
        <v>140</v>
      </c>
      <c r="H131" s="99">
        <f>G131+'9'!H131</f>
        <v>902.31999999999971</v>
      </c>
      <c r="I131" s="165"/>
      <c r="J131" s="328">
        <f>H131/DAY(B2)</f>
        <v>90.231999999999971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'9'!F132</f>
        <v>54991</v>
      </c>
      <c r="F132" s="155">
        <v>55427</v>
      </c>
      <c r="G132" s="112">
        <f t="shared" si="10"/>
        <v>436</v>
      </c>
      <c r="H132" s="99">
        <f>G132+'9'!H132</f>
        <v>3578.6999999999971</v>
      </c>
      <c r="I132" s="165"/>
      <c r="J132" s="328">
        <f>H132/DAY(B2)</f>
        <v>357.86999999999972</v>
      </c>
    </row>
    <row r="133" spans="1:15" ht="27.75" x14ac:dyDescent="0.5">
      <c r="A133" s="871" t="s">
        <v>323</v>
      </c>
      <c r="B133" s="872"/>
      <c r="C133" s="873"/>
      <c r="D133" s="151" t="s">
        <v>183</v>
      </c>
      <c r="E133" s="95">
        <f>'9'!F133</f>
        <v>110958</v>
      </c>
      <c r="F133" s="155">
        <v>111480</v>
      </c>
      <c r="G133" s="112">
        <f t="shared" si="10"/>
        <v>522</v>
      </c>
      <c r="H133" s="99">
        <f>G133+'9'!H133</f>
        <v>6136.3000000000029</v>
      </c>
      <c r="I133" s="165"/>
      <c r="J133" s="328">
        <f>H133/DAY(B2)</f>
        <v>613.63000000000034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'9'!F134</f>
        <v>10365</v>
      </c>
      <c r="F134" s="551">
        <v>10524</v>
      </c>
      <c r="G134" s="112">
        <f t="shared" si="10"/>
        <v>159</v>
      </c>
      <c r="H134" s="99">
        <f>G134+'9'!H134</f>
        <v>1922.7700000000004</v>
      </c>
      <c r="I134" s="165"/>
      <c r="J134" s="328">
        <f>H134/DAY(B2)</f>
        <v>192.27700000000004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2459</v>
      </c>
      <c r="H135" s="99">
        <f>G135+'9'!H135</f>
        <v>23456.22</v>
      </c>
      <c r="I135" s="327">
        <f>G135-(G35+G49)</f>
        <v>-380</v>
      </c>
      <c r="J135" s="328">
        <f>H135/DAY(B2)</f>
        <v>2345.6220000000003</v>
      </c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'9'!F138</f>
        <v>866888</v>
      </c>
      <c r="F138" s="147">
        <v>866962</v>
      </c>
      <c r="G138" s="112">
        <f t="shared" ref="G138:G152" si="11">F138-E138</f>
        <v>74</v>
      </c>
      <c r="H138" s="99">
        <f>G138+'9'!H138</f>
        <v>789</v>
      </c>
      <c r="I138" s="118"/>
      <c r="J138" s="328">
        <f>H138/DAY(B2)</f>
        <v>78.900000000000006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'9'!F139</f>
        <v>886632</v>
      </c>
      <c r="F139" s="148">
        <v>886634</v>
      </c>
      <c r="G139" s="112">
        <f t="shared" si="11"/>
        <v>2</v>
      </c>
      <c r="H139" s="99">
        <f>G139+'9'!H139</f>
        <v>61</v>
      </c>
      <c r="I139" s="118"/>
      <c r="J139" s="328">
        <f>H139/DAY(B2)</f>
        <v>6.1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'9'!F140</f>
        <v>88941</v>
      </c>
      <c r="F140" s="149">
        <v>88942</v>
      </c>
      <c r="G140" s="112">
        <f t="shared" si="11"/>
        <v>1</v>
      </c>
      <c r="H140" s="99">
        <f>G140+'9'!H140</f>
        <v>20</v>
      </c>
      <c r="I140" s="118"/>
      <c r="J140" s="328">
        <f>H140/DAY(B2)</f>
        <v>2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'9'!F141</f>
        <v>56257</v>
      </c>
      <c r="F141" s="149">
        <v>56433</v>
      </c>
      <c r="G141" s="112">
        <f t="shared" si="11"/>
        <v>176</v>
      </c>
      <c r="H141" s="99">
        <f>G141+'9'!H141</f>
        <v>1747.4199999999983</v>
      </c>
      <c r="I141" s="118"/>
      <c r="J141" s="328">
        <f>H141/DAY(B2)</f>
        <v>174.74199999999982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'9'!F142</f>
        <v>21905</v>
      </c>
      <c r="F142" s="148">
        <v>21974</v>
      </c>
      <c r="G142" s="112">
        <f t="shared" si="11"/>
        <v>69</v>
      </c>
      <c r="H142" s="99">
        <f>G142+'9'!H142</f>
        <v>689.90000000000146</v>
      </c>
      <c r="I142" s="140"/>
      <c r="J142" s="328">
        <f>H142/DAY(B2)</f>
        <v>68.990000000000151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'9'!F143</f>
        <v>4084</v>
      </c>
      <c r="F143" s="149">
        <v>4114</v>
      </c>
      <c r="G143" s="112">
        <f t="shared" si="11"/>
        <v>30</v>
      </c>
      <c r="H143" s="99">
        <f>G143+'9'!H143</f>
        <v>278.61000000000013</v>
      </c>
      <c r="I143" s="140"/>
      <c r="J143" s="328">
        <f>H143/DAY(B2)</f>
        <v>27.861000000000011</v>
      </c>
      <c r="O143" s="148">
        <v>582206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'9'!F144</f>
        <v>878378</v>
      </c>
      <c r="F144" s="149">
        <v>878602</v>
      </c>
      <c r="G144" s="112">
        <f t="shared" si="11"/>
        <v>224</v>
      </c>
      <c r="H144" s="99">
        <f>G144+'9'!H144</f>
        <v>2115</v>
      </c>
      <c r="I144" s="140"/>
      <c r="J144" s="328">
        <f>H144/DAY(B2)</f>
        <v>211.5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'9'!F145</f>
        <v>5071</v>
      </c>
      <c r="F145" s="149">
        <v>5087</v>
      </c>
      <c r="G145" s="112">
        <f t="shared" si="11"/>
        <v>16</v>
      </c>
      <c r="H145" s="99">
        <f>G145+'9'!H145</f>
        <v>128.15999999999985</v>
      </c>
      <c r="I145" s="140"/>
      <c r="J145" s="328">
        <f>H145/DAY(B2)</f>
        <v>12.815999999999985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'9'!F146</f>
        <v>741100</v>
      </c>
      <c r="F146" s="148">
        <v>741510</v>
      </c>
      <c r="G146" s="112">
        <f t="shared" si="11"/>
        <v>410</v>
      </c>
      <c r="H146" s="99">
        <f>G146+'9'!H146</f>
        <v>4177</v>
      </c>
      <c r="I146" s="140"/>
      <c r="J146" s="328">
        <f>H146/DAY(B2)</f>
        <v>417.7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'9'!F147</f>
        <v>630189</v>
      </c>
      <c r="F147" s="148">
        <v>630587</v>
      </c>
      <c r="G147" s="112">
        <f t="shared" si="11"/>
        <v>398</v>
      </c>
      <c r="H147" s="99">
        <f>G147+'9'!H147</f>
        <v>3974.4799999999814</v>
      </c>
      <c r="I147" s="140"/>
      <c r="J147" s="328">
        <f>H147/DAY(B2)</f>
        <v>397.44799999999816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'9'!F148</f>
        <v>692072</v>
      </c>
      <c r="F148" s="150">
        <v>692358</v>
      </c>
      <c r="G148" s="112">
        <f t="shared" si="11"/>
        <v>286</v>
      </c>
      <c r="H148" s="99">
        <f>G148+'9'!H148</f>
        <v>2915.0400000000373</v>
      </c>
      <c r="I148" s="124"/>
      <c r="J148" s="328">
        <f>H148/DAY(B2)</f>
        <v>291.50400000000371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'9'!F149</f>
        <v>29435</v>
      </c>
      <c r="F149" s="146">
        <v>30087</v>
      </c>
      <c r="G149" s="112">
        <f t="shared" si="11"/>
        <v>652</v>
      </c>
      <c r="H149" s="99">
        <f>G149+'9'!H149</f>
        <v>5408.7999999999993</v>
      </c>
      <c r="I149" s="119"/>
      <c r="J149" s="328">
        <f>H149/DAY(B2)</f>
        <v>540.87999999999988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'9'!F150</f>
        <v>12888</v>
      </c>
      <c r="F150" s="233">
        <v>13102</v>
      </c>
      <c r="G150" s="112">
        <f t="shared" si="11"/>
        <v>214</v>
      </c>
      <c r="H150" s="99">
        <f>G150+'9'!H150</f>
        <v>2251.17</v>
      </c>
      <c r="I150" s="119"/>
      <c r="J150" s="328">
        <f>H150/DAY(B2)</f>
        <v>225.11700000000002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'9'!F151</f>
        <v>87671</v>
      </c>
      <c r="F151" s="233">
        <v>87897</v>
      </c>
      <c r="G151" s="112">
        <f t="shared" si="11"/>
        <v>226</v>
      </c>
      <c r="H151" s="99">
        <f>G151+'9'!H151</f>
        <v>2417</v>
      </c>
      <c r="I151" s="119"/>
      <c r="J151" s="328">
        <f>H151/DAY(B2)</f>
        <v>241.7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'9'!F152</f>
        <v>2120</v>
      </c>
      <c r="F152" s="233">
        <v>2180</v>
      </c>
      <c r="G152" s="112">
        <f t="shared" si="11"/>
        <v>60</v>
      </c>
      <c r="H152" s="99">
        <f>G152+'9'!H152</f>
        <v>520</v>
      </c>
      <c r="I152" s="119"/>
      <c r="J152" s="328">
        <f>H152/DAY(B2)</f>
        <v>52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2838</v>
      </c>
      <c r="H153" s="363"/>
      <c r="I153" s="119">
        <f>G153-(G38+G52)</f>
        <v>883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'9'!F155</f>
        <v>38549</v>
      </c>
      <c r="F155" s="374">
        <v>39240</v>
      </c>
      <c r="G155" s="112">
        <f t="shared" ref="G155:G156" si="12">F155-E155</f>
        <v>691</v>
      </c>
      <c r="H155" s="99">
        <f>G155+'9'!H155</f>
        <v>6295</v>
      </c>
      <c r="I155" s="364"/>
      <c r="J155" s="328">
        <f>H155/DAY(B2)</f>
        <v>629.5</v>
      </c>
    </row>
    <row r="156" spans="1:10" ht="27.75" x14ac:dyDescent="0.5">
      <c r="A156" s="851" t="s">
        <v>346</v>
      </c>
      <c r="B156" s="851"/>
      <c r="C156" s="851"/>
      <c r="D156" s="117" t="s">
        <v>130</v>
      </c>
      <c r="E156" s="95">
        <f>'9'!F156</f>
        <v>3199</v>
      </c>
      <c r="F156" s="155">
        <v>3245</v>
      </c>
      <c r="G156" s="112">
        <f t="shared" si="12"/>
        <v>46</v>
      </c>
      <c r="H156" s="99">
        <f>G156+'9'!H156</f>
        <v>457</v>
      </c>
      <c r="I156" s="165"/>
      <c r="J156" s="328">
        <f>H156/DAY(B2)</f>
        <v>45.7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35"/>
      <c r="B159" s="936"/>
      <c r="C159" s="93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472455</v>
      </c>
      <c r="F161" s="235">
        <v>472470</v>
      </c>
      <c r="G161" s="238">
        <f t="shared" ref="G161:G165" si="13">F161-E161</f>
        <v>15</v>
      </c>
      <c r="H161" s="99">
        <f>G161+'9'!H161</f>
        <v>416.44000000000233</v>
      </c>
      <c r="I161" s="236"/>
      <c r="J161" s="239">
        <f>H161/DAY(B2)</f>
        <v>41.644000000000233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88842</v>
      </c>
      <c r="F162" s="235">
        <v>88884</v>
      </c>
      <c r="G162" s="238">
        <f t="shared" si="13"/>
        <v>42</v>
      </c>
      <c r="H162" s="99">
        <f>G162+'9'!H162</f>
        <v>367.60000000000582</v>
      </c>
      <c r="I162" s="236"/>
      <c r="J162" s="239">
        <f>H162/DAY(B2)</f>
        <v>36.760000000000581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79570</v>
      </c>
      <c r="F163" s="235">
        <v>79662</v>
      </c>
      <c r="G163" s="238">
        <f t="shared" si="13"/>
        <v>92</v>
      </c>
      <c r="H163" s="99">
        <f>G163+'9'!H163</f>
        <v>441.89999999999418</v>
      </c>
      <c r="I163" s="236"/>
      <c r="J163" s="239">
        <f>H163/DAY(B2)</f>
        <v>44.189999999999415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4329</v>
      </c>
      <c r="F164" s="235">
        <v>4330</v>
      </c>
      <c r="G164" s="238">
        <f t="shared" si="13"/>
        <v>1</v>
      </c>
      <c r="H164" s="99">
        <f>G164+'9'!H164</f>
        <v>10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29935</v>
      </c>
      <c r="F165" s="235">
        <v>29949</v>
      </c>
      <c r="G165" s="238">
        <f t="shared" si="13"/>
        <v>14</v>
      </c>
      <c r="H165" s="99">
        <f>G165+'9'!H165</f>
        <v>91.75</v>
      </c>
      <c r="I165" s="236"/>
      <c r="J165" s="239">
        <f>H165/DAY(B2)</f>
        <v>9.1750000000000007</v>
      </c>
    </row>
    <row r="166" spans="1:10" ht="29.25" x14ac:dyDescent="0.5">
      <c r="A166" s="860"/>
      <c r="B166" s="860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'9'!F173</f>
        <v>8131</v>
      </c>
      <c r="F173" s="155">
        <v>8132</v>
      </c>
      <c r="G173" s="155">
        <f>F173-E173</f>
        <v>1</v>
      </c>
      <c r="H173" s="99">
        <f>G173+'9'!H173</f>
        <v>6</v>
      </c>
      <c r="I173" s="155"/>
      <c r="J173" s="178">
        <f>H173/DAY(B2)</f>
        <v>0.6</v>
      </c>
    </row>
    <row r="174" spans="1:10" ht="34.5" customHeight="1" x14ac:dyDescent="0.5">
      <c r="A174" s="864" t="s">
        <v>75</v>
      </c>
      <c r="B174" s="865"/>
      <c r="C174" s="333"/>
      <c r="D174" s="228" t="s">
        <v>142</v>
      </c>
      <c r="E174" s="95">
        <f>'9'!F174</f>
        <v>38735</v>
      </c>
      <c r="F174" s="157">
        <v>38749</v>
      </c>
      <c r="G174" s="155">
        <f t="shared" ref="G174:G175" si="14">F174-E174</f>
        <v>14</v>
      </c>
      <c r="H174" s="99">
        <f>G174+'9'!H174</f>
        <v>134</v>
      </c>
      <c r="I174" s="155"/>
      <c r="J174" s="178">
        <f>H174/DAY(B2)</f>
        <v>13.4</v>
      </c>
    </row>
    <row r="175" spans="1:10" ht="31.5" customHeight="1" x14ac:dyDescent="0.5">
      <c r="A175" s="864" t="s">
        <v>76</v>
      </c>
      <c r="B175" s="904"/>
      <c r="C175" s="865"/>
      <c r="D175" s="228" t="s">
        <v>142</v>
      </c>
      <c r="E175" s="95">
        <f>'9'!F175</f>
        <v>21907</v>
      </c>
      <c r="F175" s="155">
        <v>21919</v>
      </c>
      <c r="G175" s="155">
        <f t="shared" si="14"/>
        <v>12</v>
      </c>
      <c r="H175" s="99">
        <f>G175+'9'!H175</f>
        <v>106</v>
      </c>
      <c r="I175" s="155"/>
      <c r="J175" s="178">
        <f>H175/DAY(B2)</f>
        <v>10.6</v>
      </c>
    </row>
    <row r="176" spans="1:10" ht="21.75" customHeight="1" x14ac:dyDescent="0.5">
      <c r="A176" s="855" t="s">
        <v>196</v>
      </c>
      <c r="B176" s="856"/>
      <c r="C176" s="333"/>
      <c r="D176" s="228"/>
      <c r="E176" s="95"/>
      <c r="F176" s="155"/>
      <c r="G176" s="155">
        <f>SUM(G173:G175)</f>
        <v>27</v>
      </c>
      <c r="H176" s="99">
        <f>G176+'9'!H176</f>
        <v>246</v>
      </c>
      <c r="I176" s="155"/>
      <c r="J176" s="178">
        <f>H176/DAY(B2)</f>
        <v>24.6</v>
      </c>
    </row>
    <row r="177" spans="1:10" ht="27.75" customHeight="1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864" t="s">
        <v>210</v>
      </c>
      <c r="B178" s="865"/>
      <c r="C178" s="333"/>
      <c r="D178" s="228" t="s">
        <v>142</v>
      </c>
      <c r="E178" s="95">
        <f>'9'!F178</f>
        <v>81801</v>
      </c>
      <c r="F178" s="155">
        <v>81848</v>
      </c>
      <c r="G178" s="155">
        <f>F178-E178</f>
        <v>47</v>
      </c>
      <c r="H178" s="99">
        <f>G178+'9'!H178</f>
        <v>533</v>
      </c>
      <c r="I178" s="155"/>
      <c r="J178" s="178">
        <f>H178/DAY(B2)</f>
        <v>53.3</v>
      </c>
    </row>
    <row r="179" spans="1:10" ht="27.75" customHeight="1" x14ac:dyDescent="0.5">
      <c r="A179" s="864" t="s">
        <v>211</v>
      </c>
      <c r="B179" s="865"/>
      <c r="C179" s="333"/>
      <c r="D179" s="228" t="s">
        <v>142</v>
      </c>
      <c r="E179" s="95">
        <f>'9'!F179</f>
        <v>35133</v>
      </c>
      <c r="F179" s="155">
        <v>35133</v>
      </c>
      <c r="G179" s="155">
        <f t="shared" ref="G179:G180" si="15">F179-E179</f>
        <v>0</v>
      </c>
      <c r="H179" s="99">
        <f>G179+'9'!H179</f>
        <v>330</v>
      </c>
      <c r="I179" s="155"/>
      <c r="J179" s="178">
        <f>H179/DAY(B2)</f>
        <v>33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'9'!F180</f>
        <v>5770</v>
      </c>
      <c r="F180" s="155">
        <v>5770</v>
      </c>
      <c r="G180" s="155">
        <f t="shared" si="15"/>
        <v>0</v>
      </c>
      <c r="H180" s="99">
        <f>G180+'9'!H180</f>
        <v>68</v>
      </c>
      <c r="I180" s="155"/>
      <c r="J180" s="178">
        <f>H180/DAY(B2)</f>
        <v>6.8</v>
      </c>
    </row>
    <row r="181" spans="1:10" ht="27.75" x14ac:dyDescent="0.5">
      <c r="A181" s="866" t="s">
        <v>108</v>
      </c>
      <c r="B181" s="867"/>
      <c r="C181" s="333"/>
      <c r="D181" s="228"/>
      <c r="E181" s="95"/>
      <c r="F181" s="155"/>
      <c r="G181" s="155">
        <f>SUM(G178:G180)</f>
        <v>47</v>
      </c>
      <c r="H181" s="99">
        <f>G181+'9'!H181</f>
        <v>931</v>
      </c>
      <c r="I181" s="155"/>
      <c r="J181" s="178">
        <f>H181/DAY(B2)</f>
        <v>93.1</v>
      </c>
    </row>
    <row r="182" spans="1:10" ht="27.75" x14ac:dyDescent="0.5">
      <c r="A182" s="864" t="s">
        <v>213</v>
      </c>
      <c r="B182" s="865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'9'!F183</f>
        <v>15462</v>
      </c>
      <c r="F183" s="157">
        <v>15484</v>
      </c>
      <c r="G183" s="157">
        <f>F183-E183</f>
        <v>22</v>
      </c>
      <c r="H183" s="99">
        <f>G183+'9'!H183</f>
        <v>139</v>
      </c>
      <c r="I183" s="155"/>
      <c r="J183" s="178">
        <f>H183/DAY(B2)</f>
        <v>13.9</v>
      </c>
    </row>
    <row r="184" spans="1:10" ht="27.75" x14ac:dyDescent="0.5">
      <c r="A184" s="864" t="s">
        <v>215</v>
      </c>
      <c r="B184" s="865"/>
      <c r="C184" s="334"/>
      <c r="D184" s="228" t="s">
        <v>142</v>
      </c>
      <c r="E184" s="95">
        <f>'9'!F184</f>
        <v>10647</v>
      </c>
      <c r="F184" s="157">
        <v>10651</v>
      </c>
      <c r="G184" s="157">
        <f t="shared" ref="G184:G185" si="16">F184-E184</f>
        <v>4</v>
      </c>
      <c r="H184" s="99">
        <f>G184+'9'!H184</f>
        <v>133</v>
      </c>
      <c r="I184" s="155"/>
      <c r="J184" s="178">
        <f>H184/DAY(B2)</f>
        <v>13.3</v>
      </c>
    </row>
    <row r="185" spans="1:10" ht="37.5" customHeight="1" x14ac:dyDescent="0.5">
      <c r="A185" s="864" t="s">
        <v>216</v>
      </c>
      <c r="B185" s="865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855" t="s">
        <v>196</v>
      </c>
      <c r="B186" s="856"/>
      <c r="C186" s="334"/>
      <c r="D186" s="229"/>
      <c r="E186" s="95"/>
      <c r="F186" s="157"/>
      <c r="G186" s="157">
        <f>SUM(G183:G185)</f>
        <v>26</v>
      </c>
      <c r="H186" s="99">
        <f>G186+'9'!H186</f>
        <v>272</v>
      </c>
      <c r="I186" s="157"/>
      <c r="J186" s="178">
        <f>H186/DAY(B2)</f>
        <v>27.2</v>
      </c>
    </row>
    <row r="187" spans="1:10" ht="21.75" customHeight="1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550">
        <f>G62+G19</f>
        <v>227</v>
      </c>
      <c r="H187" s="99">
        <f>G187+'9'!H187</f>
        <v>1730</v>
      </c>
      <c r="I187" s="158"/>
      <c r="J187" s="179">
        <f>H187/DAY(B2)</f>
        <v>173</v>
      </c>
    </row>
    <row r="188" spans="1:10" ht="21.75" customHeight="1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550">
        <f>G65+G66+G67+G69+G70</f>
        <v>216</v>
      </c>
      <c r="H188" s="99">
        <f>G188+'9'!H188</f>
        <v>1735</v>
      </c>
      <c r="I188" s="158"/>
      <c r="J188" s="179">
        <f>H188/DAY(B2)</f>
        <v>173.5</v>
      </c>
    </row>
    <row r="189" spans="1:10" ht="21.75" customHeight="1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530">
        <f>G181</f>
        <v>47</v>
      </c>
      <c r="H189" s="99">
        <f>G189+'9'!H189</f>
        <v>931</v>
      </c>
      <c r="I189" s="158"/>
      <c r="J189" s="179">
        <f>H189/DAY(B2)</f>
        <v>93.1</v>
      </c>
    </row>
    <row r="190" spans="1:10" ht="27" customHeight="1" x14ac:dyDescent="0.5">
      <c r="A190" s="778"/>
      <c r="B190" s="779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29" zoomScale="55" zoomScaleNormal="55" workbookViewId="0">
      <selection activeCell="G147" sqref="G147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30.75" customHeight="1" x14ac:dyDescent="0.5">
      <c r="A2" s="191" t="s">
        <v>357</v>
      </c>
      <c r="B2" s="262">
        <v>44603</v>
      </c>
      <c r="C2" s="348" t="s">
        <v>67</v>
      </c>
      <c r="D2" s="218">
        <v>0.54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26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845927</v>
      </c>
      <c r="F7" s="95">
        <v>866845</v>
      </c>
      <c r="G7" s="112">
        <f>F7-E7</f>
        <v>20918</v>
      </c>
      <c r="H7" s="99">
        <f>G7+'10'!H7</f>
        <v>215664.77000000002</v>
      </c>
      <c r="I7" s="113">
        <f>'1'!I7</f>
        <v>12000</v>
      </c>
      <c r="J7" s="175">
        <f>H7/DAY(B2)</f>
        <v>19605.888181818184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904894</v>
      </c>
      <c r="F8" s="95">
        <v>925914</v>
      </c>
      <c r="G8" s="115">
        <f>F8-E8</f>
        <v>21020</v>
      </c>
      <c r="H8" s="99">
        <f>G8+'10'!H8</f>
        <v>217365.84999999998</v>
      </c>
      <c r="I8" s="116"/>
      <c r="J8" s="175">
        <f>H8/DAY(B2)</f>
        <v>19760.531818181815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425272</v>
      </c>
      <c r="F9" s="598">
        <v>442898</v>
      </c>
      <c r="G9" s="112">
        <f>F9-E9</f>
        <v>17626</v>
      </c>
      <c r="H9" s="99">
        <f>G9+'10'!H9</f>
        <v>160644.15000000002</v>
      </c>
      <c r="I9" s="124">
        <f>I7-J7</f>
        <v>-7605.8881818181835</v>
      </c>
      <c r="J9" s="175">
        <f>H9/DAY(B2)</f>
        <v>14604.013636363639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151529</v>
      </c>
      <c r="F10" s="353">
        <v>154225</v>
      </c>
      <c r="G10" s="112">
        <f t="shared" ref="G10:G12" si="0">F10-E10</f>
        <v>2696</v>
      </c>
      <c r="H10" s="99">
        <f>G10+'10'!H10</f>
        <v>48966.03</v>
      </c>
      <c r="I10" s="282"/>
      <c r="J10" s="175">
        <f>H10/DAY(B2)</f>
        <v>4451.4572727272725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37170</v>
      </c>
      <c r="F11" s="95">
        <v>37170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20322</v>
      </c>
      <c r="H13" s="99">
        <f>G13+'10'!H13</f>
        <v>192855.75</v>
      </c>
      <c r="I13" s="120">
        <f>G7-G13</f>
        <v>596</v>
      </c>
      <c r="J13" s="175">
        <f>H13/DAY(B2)</f>
        <v>17532.340909090908</v>
      </c>
      <c r="K13" s="79"/>
      <c r="L13" s="66"/>
      <c r="N13" s="87"/>
      <c r="O13" s="71"/>
    </row>
    <row r="14" spans="1:15" ht="30.75" customHeight="1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'10'!F15</f>
        <v>1916951</v>
      </c>
      <c r="F15" s="598">
        <v>1918069</v>
      </c>
      <c r="G15" s="112">
        <f>(F15-E15)</f>
        <v>1118</v>
      </c>
      <c r="H15" s="99">
        <f>G15+'10'!H15</f>
        <v>11432.233000000007</v>
      </c>
      <c r="I15" s="113">
        <f>'1'!I15</f>
        <v>800</v>
      </c>
      <c r="J15" s="175">
        <f>H15/DAY(B2)</f>
        <v>1039.2939090909097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-239.29390909090966</v>
      </c>
      <c r="J16" s="176"/>
      <c r="K16" s="79"/>
      <c r="L16" s="66"/>
      <c r="N16" s="87"/>
      <c r="O16" s="71"/>
    </row>
    <row r="17" spans="1:15" ht="30.75" customHeight="1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92" t="s">
        <v>141</v>
      </c>
      <c r="B18" s="893"/>
      <c r="C18" s="894"/>
      <c r="D18" s="151" t="s">
        <v>142</v>
      </c>
      <c r="E18" s="95">
        <f>'10'!F18</f>
        <v>26</v>
      </c>
      <c r="F18" s="122">
        <v>26</v>
      </c>
      <c r="G18" s="119">
        <f>F18*10</f>
        <v>260</v>
      </c>
      <c r="H18" s="99">
        <f>G18+'10'!H18</f>
        <v>2270</v>
      </c>
      <c r="I18" s="113">
        <f>'1'!I18</f>
        <v>65</v>
      </c>
      <c r="J18" s="175">
        <f>H18/DAY(B2)</f>
        <v>206.36363636363637</v>
      </c>
      <c r="K18" s="79"/>
      <c r="L18" s="66"/>
      <c r="N18" s="87"/>
      <c r="O18" s="71"/>
    </row>
    <row r="19" spans="1:15" ht="30.75" customHeight="1" x14ac:dyDescent="0.5">
      <c r="A19" s="892" t="s">
        <v>69</v>
      </c>
      <c r="B19" s="893"/>
      <c r="C19" s="894"/>
      <c r="D19" s="151" t="s">
        <v>142</v>
      </c>
      <c r="E19" s="95">
        <f>'10'!F19</f>
        <v>154409</v>
      </c>
      <c r="F19" s="122">
        <v>154465</v>
      </c>
      <c r="G19" s="112">
        <f t="shared" ref="G19" si="1">F19-E19</f>
        <v>56</v>
      </c>
      <c r="H19" s="99">
        <f>G19+'10'!H19</f>
        <v>574</v>
      </c>
      <c r="I19" s="335"/>
      <c r="J19" s="175">
        <f>H19/DAY(B2)</f>
        <v>52.18181818181818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316</v>
      </c>
      <c r="H20" s="99">
        <f>G20+'10'!H20</f>
        <v>2844</v>
      </c>
      <c r="I20" s="336">
        <f>I18-J20</f>
        <v>-193.54545454545456</v>
      </c>
      <c r="J20" s="175">
        <f>H20/DAY(B2)</f>
        <v>258.54545454545456</v>
      </c>
      <c r="K20" s="79"/>
      <c r="L20" s="66"/>
      <c r="N20" s="87"/>
      <c r="O20" s="71"/>
    </row>
    <row r="21" spans="1:15" ht="30.75" customHeight="1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21020</v>
      </c>
      <c r="F27" s="136">
        <v>9</v>
      </c>
      <c r="G27" s="137">
        <f>E27*F27</f>
        <v>189180</v>
      </c>
      <c r="H27" s="99">
        <f>G27+'10'!H27</f>
        <v>1956292.65</v>
      </c>
      <c r="I27" s="138"/>
      <c r="J27" s="175">
        <f>H27/DAY(B2)</f>
        <v>177844.78636363635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1118</v>
      </c>
      <c r="F28" s="136">
        <v>52</v>
      </c>
      <c r="G28" s="137">
        <f>E28*F28</f>
        <v>58136</v>
      </c>
      <c r="H28" s="99">
        <f>G28+'10'!H28</f>
        <v>594476.11600000039</v>
      </c>
      <c r="I28" s="140"/>
      <c r="J28" s="175">
        <f>H28/DAY(B2)</f>
        <v>54043.283272727305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G30+'10'!H30</f>
        <v>83804</v>
      </c>
      <c r="I30" s="140"/>
      <c r="J30" s="175">
        <f>H30/DAY(B2)</f>
        <v>7618.545454545455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G31+'10'!H31</f>
        <v>181600</v>
      </c>
      <c r="I31" s="140"/>
      <c r="J31" s="175">
        <f>H31/DAY(B2)</f>
        <v>16509.090909090908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276292</v>
      </c>
      <c r="H32" s="99">
        <f>G32+'10'!H32</f>
        <v>2816172.7660000003</v>
      </c>
      <c r="I32" s="144"/>
      <c r="J32" s="175">
        <f>H32/DAY(B2)</f>
        <v>256015.70600000003</v>
      </c>
      <c r="K32" s="63"/>
      <c r="L32" s="89"/>
      <c r="N32" s="87"/>
      <c r="O32" s="71"/>
    </row>
    <row r="33" spans="1:15" ht="30.7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47001</v>
      </c>
      <c r="F35" s="145">
        <v>48436</v>
      </c>
      <c r="G35" s="112">
        <f t="shared" ref="G35:G46" si="3">F35-E35</f>
        <v>1435</v>
      </c>
      <c r="H35" s="99">
        <f>G35+'10'!H35</f>
        <v>16431.02</v>
      </c>
      <c r="I35" s="95"/>
      <c r="J35" s="175">
        <f>H35/DAY(B2)</f>
        <v>1493.7290909090909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52537</v>
      </c>
      <c r="F36" s="145">
        <v>53614</v>
      </c>
      <c r="G36" s="112">
        <f t="shared" si="3"/>
        <v>1077</v>
      </c>
      <c r="H36" s="99">
        <f>G36+'10'!H36</f>
        <v>10155.260000000002</v>
      </c>
      <c r="I36" s="95"/>
      <c r="J36" s="175">
        <f>H36/DAY(B2)</f>
        <v>923.2054545454547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51575</v>
      </c>
      <c r="F37" s="145">
        <v>53259</v>
      </c>
      <c r="G37" s="112">
        <f t="shared" si="3"/>
        <v>1684</v>
      </c>
      <c r="H37" s="99">
        <f>G37+'10'!H37</f>
        <v>17833.910000000003</v>
      </c>
      <c r="I37" s="95"/>
      <c r="J37" s="175">
        <f>H37/DAY(B2)</f>
        <v>1621.2645454545457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56947</v>
      </c>
      <c r="F38" s="108">
        <v>59023</v>
      </c>
      <c r="G38" s="112">
        <f t="shared" si="3"/>
        <v>2076</v>
      </c>
      <c r="H38" s="99">
        <f>G38+'10'!H38</f>
        <v>20646.57</v>
      </c>
      <c r="I38" s="95"/>
      <c r="J38" s="175">
        <f>H38/DAY(B2)</f>
        <v>1876.9609090909091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87280</v>
      </c>
      <c r="F39" s="145">
        <v>90428</v>
      </c>
      <c r="G39" s="112">
        <f t="shared" si="3"/>
        <v>3148</v>
      </c>
      <c r="H39" s="99">
        <f>G39+'10'!H39</f>
        <v>31254.71</v>
      </c>
      <c r="I39" s="95"/>
      <c r="J39" s="175">
        <f>H39/DAY(B2)</f>
        <v>2841.3372727272726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24852</v>
      </c>
      <c r="F40" s="145">
        <v>25009</v>
      </c>
      <c r="G40" s="112">
        <f t="shared" si="3"/>
        <v>157</v>
      </c>
      <c r="H40" s="99">
        <f>G40+'10'!H40</f>
        <v>2892.0099999999975</v>
      </c>
      <c r="I40" s="95"/>
      <c r="J40" s="175">
        <f>H40/DAY(B2)</f>
        <v>262.9099999999998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63</v>
      </c>
      <c r="F41" s="145">
        <v>63</v>
      </c>
      <c r="G41" s="112">
        <f t="shared" si="3"/>
        <v>0</v>
      </c>
      <c r="H41" s="99">
        <f>G41+'10'!H41</f>
        <v>0.27000000000000313</v>
      </c>
      <c r="I41" s="95"/>
      <c r="J41" s="175">
        <f>H41/DAY(B2)</f>
        <v>2.4545454545454828E-2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121603</v>
      </c>
      <c r="F42" s="145">
        <v>126339</v>
      </c>
      <c r="G42" s="112">
        <f t="shared" si="3"/>
        <v>4736</v>
      </c>
      <c r="H42" s="99">
        <f>G42+'10'!H42</f>
        <v>26209.259999999995</v>
      </c>
      <c r="I42" s="95"/>
      <c r="J42" s="175">
        <f>H42/DAY(B2)</f>
        <v>2382.6599999999994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136275</v>
      </c>
      <c r="F43" s="376">
        <v>138387</v>
      </c>
      <c r="G43" s="112">
        <f t="shared" si="3"/>
        <v>2112</v>
      </c>
      <c r="H43" s="99">
        <f>G43+'10'!H43</f>
        <v>23535.399999999994</v>
      </c>
      <c r="I43" s="95"/>
      <c r="J43" s="175">
        <f>H43/DAY(B2)</f>
        <v>2139.5818181818177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16425</v>
      </c>
      <c r="H47" s="99">
        <f>G47+'10'!H47</f>
        <v>148958.41</v>
      </c>
      <c r="I47" s="95"/>
      <c r="J47" s="175">
        <f>H47/DAY(B2)</f>
        <v>13541.673636363637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37581</v>
      </c>
      <c r="F49" s="145">
        <v>38922</v>
      </c>
      <c r="G49" s="112">
        <f t="shared" ref="G49:G58" si="4">F49-E49</f>
        <v>1341</v>
      </c>
      <c r="H49" s="99">
        <f>G49+'10'!H49</f>
        <v>13925.810000000001</v>
      </c>
      <c r="I49" s="95"/>
      <c r="J49" s="175">
        <f>H49/DAY(B2)</f>
        <v>1265.9827272727273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68141</v>
      </c>
      <c r="F50" s="145">
        <v>69423</v>
      </c>
      <c r="G50" s="112">
        <f t="shared" si="4"/>
        <v>1282</v>
      </c>
      <c r="H50" s="99">
        <f>G50+'10'!H50</f>
        <v>13036.370000000003</v>
      </c>
      <c r="I50" s="95"/>
      <c r="J50" s="175">
        <f>H50/DAY(B2)</f>
        <v>1185.1245454545458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9606</v>
      </c>
      <c r="F54" s="145">
        <v>10146</v>
      </c>
      <c r="G54" s="112">
        <f t="shared" si="4"/>
        <v>540</v>
      </c>
      <c r="H54" s="99">
        <f>G54+'10'!H54</f>
        <v>4998.58</v>
      </c>
      <c r="I54" s="95"/>
      <c r="J54" s="175">
        <f>H54/DAY(B2)</f>
        <v>454.41636363636366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90154</v>
      </c>
      <c r="F55" s="145">
        <v>90154</v>
      </c>
      <c r="G55" s="112">
        <f t="shared" si="4"/>
        <v>0</v>
      </c>
      <c r="H55" s="99">
        <f>G55+'10'!H55</f>
        <v>15787.89</v>
      </c>
      <c r="I55" s="95"/>
      <c r="J55" s="175">
        <f>H55/DAY(B2)</f>
        <v>1435.2627272727273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8724</v>
      </c>
      <c r="F56" s="376">
        <v>8724</v>
      </c>
      <c r="G56" s="112">
        <f t="shared" si="4"/>
        <v>0</v>
      </c>
      <c r="H56" s="99">
        <f>G56+'10'!H56</f>
        <v>113.45999999999913</v>
      </c>
      <c r="I56" s="95"/>
      <c r="J56" s="175">
        <f>H56/DAY(B2)</f>
        <v>10.314545454545375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6936</v>
      </c>
      <c r="F58" s="145">
        <v>7138</v>
      </c>
      <c r="G58" s="112">
        <f t="shared" si="4"/>
        <v>202</v>
      </c>
      <c r="H58" s="99">
        <f>G58+'10'!H58</f>
        <v>2341.79</v>
      </c>
      <c r="I58" s="95"/>
      <c r="J58" s="175">
        <f>H58/DAY(B2)</f>
        <v>212.89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3365</v>
      </c>
      <c r="H59" s="99">
        <f>G59+'10'!H59</f>
        <v>50203.9</v>
      </c>
      <c r="I59" s="95">
        <f>G7-G60</f>
        <v>1128</v>
      </c>
      <c r="J59" s="175">
        <f>H59/DAY(B2)</f>
        <v>4563.9909090909096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19790</v>
      </c>
      <c r="H60" s="99">
        <f>G60+'10'!H60</f>
        <v>199162.31</v>
      </c>
      <c r="I60" s="95">
        <f>G13-G60</f>
        <v>532</v>
      </c>
      <c r="J60" s="175">
        <f>H60/DAY(B2)</f>
        <v>18105.664545454547</v>
      </c>
      <c r="K60" s="79"/>
      <c r="L60" s="66"/>
      <c r="N60" s="87"/>
      <c r="O60" s="71"/>
    </row>
    <row r="61" spans="1:15" s="68" customFormat="1" ht="30.75" customHeight="1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92" t="s">
        <v>198</v>
      </c>
      <c r="B62" s="893"/>
      <c r="C62" s="894"/>
      <c r="D62" s="151" t="s">
        <v>142</v>
      </c>
      <c r="E62" s="95">
        <f>'10'!F62</f>
        <v>270728</v>
      </c>
      <c r="F62" s="122">
        <v>270909</v>
      </c>
      <c r="G62" s="112">
        <f t="shared" ref="G62:G63" si="5">F62-E62</f>
        <v>181</v>
      </c>
      <c r="H62" s="99">
        <f>G62+'10'!H62</f>
        <v>1393</v>
      </c>
      <c r="I62" s="118"/>
      <c r="J62" s="175">
        <f>H62/DAY(B2)</f>
        <v>126.63636363636364</v>
      </c>
      <c r="K62" s="80"/>
      <c r="L62" s="66"/>
      <c r="N62" s="87"/>
      <c r="O62" s="71"/>
    </row>
    <row r="63" spans="1:15" ht="30.75" customHeight="1" x14ac:dyDescent="0.5">
      <c r="A63" s="892" t="s">
        <v>199</v>
      </c>
      <c r="B63" s="893"/>
      <c r="C63" s="894"/>
      <c r="D63" s="151" t="s">
        <v>142</v>
      </c>
      <c r="E63" s="95">
        <f>'10'!F63</f>
        <v>217062</v>
      </c>
      <c r="F63" s="150">
        <v>217198</v>
      </c>
      <c r="G63" s="112">
        <f t="shared" si="5"/>
        <v>136</v>
      </c>
      <c r="H63" s="99">
        <f>G63+'10'!H63</f>
        <v>1401</v>
      </c>
      <c r="I63" s="118"/>
      <c r="J63" s="175">
        <f>H63/DAY(B2)</f>
        <v>127.36363636363636</v>
      </c>
      <c r="K63" s="69"/>
      <c r="L63" s="66"/>
      <c r="N63" s="87"/>
      <c r="O63" s="71"/>
    </row>
    <row r="64" spans="1:15" ht="30.75" customHeight="1" x14ac:dyDescent="0.5">
      <c r="A64" s="901" t="s">
        <v>200</v>
      </c>
      <c r="B64" s="902"/>
      <c r="C64" s="903"/>
      <c r="D64" s="151"/>
      <c r="E64" s="95">
        <f>'10'!F64</f>
        <v>0</v>
      </c>
      <c r="F64" s="122"/>
      <c r="G64" s="112">
        <f>G62+G63</f>
        <v>317</v>
      </c>
      <c r="H64" s="99">
        <f>G64+'10'!H64</f>
        <v>2794</v>
      </c>
      <c r="I64" s="118"/>
      <c r="J64" s="175">
        <f>H64/DAY(B2)</f>
        <v>254</v>
      </c>
      <c r="K64" s="69"/>
      <c r="L64" s="66"/>
      <c r="N64" s="87"/>
      <c r="O64" s="71"/>
    </row>
    <row r="65" spans="1:15" ht="30.75" customHeight="1" x14ac:dyDescent="0.5">
      <c r="A65" s="892" t="s">
        <v>201</v>
      </c>
      <c r="B65" s="893"/>
      <c r="C65" s="894"/>
      <c r="D65" s="151" t="s">
        <v>142</v>
      </c>
      <c r="E65" s="95">
        <f>'10'!F65</f>
        <v>435866</v>
      </c>
      <c r="F65" s="122">
        <v>435970</v>
      </c>
      <c r="G65" s="112">
        <f t="shared" ref="G65:G70" si="6">F65-E65</f>
        <v>104</v>
      </c>
      <c r="H65" s="99">
        <f>G65+'10'!H65</f>
        <v>1047</v>
      </c>
      <c r="I65" s="118"/>
      <c r="J65" s="175">
        <f>H65/DAY(B2)</f>
        <v>95.181818181818187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'10'!F66</f>
        <v>107986</v>
      </c>
      <c r="F66" s="122">
        <v>108017</v>
      </c>
      <c r="G66" s="112">
        <f t="shared" si="6"/>
        <v>31</v>
      </c>
      <c r="H66" s="99">
        <f>G66+'10'!H66</f>
        <v>274</v>
      </c>
      <c r="I66" s="118"/>
      <c r="J66" s="175">
        <f>H66/DAY(B2)</f>
        <v>24.90909090909091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'10'!F67</f>
        <v>104950</v>
      </c>
      <c r="F67" s="122">
        <v>105015</v>
      </c>
      <c r="G67" s="112">
        <f t="shared" si="6"/>
        <v>65</v>
      </c>
      <c r="H67" s="99">
        <f>G67+'10'!H67</f>
        <v>367</v>
      </c>
      <c r="I67" s="118"/>
      <c r="J67" s="175">
        <f>H67/DAY(B2)</f>
        <v>33.363636363636367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'10'!F68</f>
        <v>158061</v>
      </c>
      <c r="F68" s="122">
        <v>158114</v>
      </c>
      <c r="G68" s="112">
        <f t="shared" si="6"/>
        <v>53</v>
      </c>
      <c r="H68" s="99">
        <f>G68+'10'!H68</f>
        <v>417</v>
      </c>
      <c r="I68" s="118"/>
      <c r="J68" s="175">
        <f>H68/DAY(B2)</f>
        <v>37.909090909090907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'10'!F69</f>
        <v>10656</v>
      </c>
      <c r="F69" s="122">
        <v>10688</v>
      </c>
      <c r="G69" s="112">
        <f t="shared" si="6"/>
        <v>32</v>
      </c>
      <c r="H69" s="99">
        <f>G69+'10'!H69</f>
        <v>147</v>
      </c>
      <c r="I69" s="118"/>
      <c r="J69" s="175">
        <f>H69/DAY(B2)</f>
        <v>13.363636363636363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'10'!F70</f>
        <v>8252</v>
      </c>
      <c r="F70" s="122">
        <v>8264</v>
      </c>
      <c r="G70" s="112">
        <f t="shared" si="6"/>
        <v>12</v>
      </c>
      <c r="H70" s="99">
        <f>G70+'10'!H70</f>
        <v>144</v>
      </c>
      <c r="I70" s="118"/>
      <c r="J70" s="175">
        <f>H70/DAY(B2)</f>
        <v>13.090909090909092</v>
      </c>
      <c r="K70" s="69"/>
      <c r="L70" s="66"/>
      <c r="N70" s="87"/>
      <c r="O70" s="71"/>
    </row>
    <row r="71" spans="1:15" ht="30.75" customHeight="1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297</v>
      </c>
      <c r="H71" s="99">
        <f>G71+'10'!H71</f>
        <v>2396</v>
      </c>
      <c r="I71" s="154"/>
      <c r="J71" s="175">
        <f>H71/DAY(B2)</f>
        <v>217.81818181818181</v>
      </c>
      <c r="K71" s="69"/>
      <c r="L71" s="66"/>
      <c r="N71" s="87"/>
      <c r="O71" s="71"/>
    </row>
    <row r="72" spans="1:15" s="88" customFormat="1" ht="30.75" customHeight="1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92" t="s">
        <v>220</v>
      </c>
      <c r="B74" s="893"/>
      <c r="C74" s="894"/>
      <c r="D74" s="151" t="s">
        <v>139</v>
      </c>
      <c r="E74" s="95">
        <f>'10'!F74</f>
        <v>904374</v>
      </c>
      <c r="F74" s="117">
        <v>904690</v>
      </c>
      <c r="G74" s="112">
        <f t="shared" ref="G74:G78" si="7">F74-E74</f>
        <v>316</v>
      </c>
      <c r="H74" s="99">
        <f>G74+'10'!H74</f>
        <v>3383.8510000000242</v>
      </c>
      <c r="I74" s="154"/>
      <c r="J74" s="175">
        <f>H74/DAY(B2)</f>
        <v>307.62281818182038</v>
      </c>
      <c r="K74" s="69"/>
      <c r="L74" s="66"/>
      <c r="N74" s="87"/>
      <c r="O74" s="71"/>
    </row>
    <row r="75" spans="1:15" ht="30.75" customHeight="1" x14ac:dyDescent="0.5">
      <c r="A75" s="892" t="s">
        <v>221</v>
      </c>
      <c r="B75" s="893"/>
      <c r="C75" s="894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 x14ac:dyDescent="0.5">
      <c r="A76" s="889" t="s">
        <v>222</v>
      </c>
      <c r="B76" s="890"/>
      <c r="C76" s="891"/>
      <c r="D76" s="151" t="s">
        <v>139</v>
      </c>
      <c r="E76" s="95">
        <f>'10'!F76</f>
        <v>171128</v>
      </c>
      <c r="F76" s="123">
        <v>171252</v>
      </c>
      <c r="G76" s="112">
        <f t="shared" si="7"/>
        <v>124</v>
      </c>
      <c r="H76" s="99">
        <f>G76+'10'!H76</f>
        <v>1277</v>
      </c>
      <c r="I76" s="154"/>
      <c r="J76" s="175">
        <f>H76/DAY(B2)</f>
        <v>116.09090909090909</v>
      </c>
      <c r="K76" s="69"/>
      <c r="L76" s="66"/>
      <c r="N76" s="87"/>
      <c r="O76" s="71"/>
    </row>
    <row r="77" spans="1:15" ht="30.75" customHeight="1" x14ac:dyDescent="0.5">
      <c r="A77" s="889" t="s">
        <v>223</v>
      </c>
      <c r="B77" s="890"/>
      <c r="C77" s="891"/>
      <c r="D77" s="151" t="s">
        <v>139</v>
      </c>
      <c r="E77" s="95">
        <f>'10'!F77</f>
        <v>41773</v>
      </c>
      <c r="F77" s="123">
        <v>41826</v>
      </c>
      <c r="G77" s="112">
        <f t="shared" si="7"/>
        <v>53</v>
      </c>
      <c r="H77" s="99">
        <f>G77+'10'!H77</f>
        <v>523.80000000000291</v>
      </c>
      <c r="I77" s="154"/>
      <c r="J77" s="175">
        <f>H77/DAY(B2)</f>
        <v>47.61818181818208</v>
      </c>
      <c r="K77" s="69"/>
      <c r="L77" s="66"/>
      <c r="N77" s="87"/>
      <c r="O77" s="71"/>
    </row>
    <row r="78" spans="1:15" ht="30.75" customHeight="1" x14ac:dyDescent="0.5">
      <c r="A78" s="889" t="s">
        <v>224</v>
      </c>
      <c r="B78" s="890"/>
      <c r="C78" s="891"/>
      <c r="D78" s="151" t="s">
        <v>139</v>
      </c>
      <c r="E78" s="95">
        <f>'10'!F78</f>
        <v>9531</v>
      </c>
      <c r="F78" s="123">
        <v>9534</v>
      </c>
      <c r="G78" s="112">
        <f t="shared" si="7"/>
        <v>3</v>
      </c>
      <c r="H78" s="99">
        <f>G78+'10'!H78</f>
        <v>18</v>
      </c>
      <c r="I78" s="118"/>
      <c r="J78" s="175">
        <f>H78/DAY(B2)</f>
        <v>1.6363636363636365</v>
      </c>
      <c r="K78" s="69"/>
      <c r="L78" s="66"/>
      <c r="N78" s="87"/>
      <c r="O78" s="71"/>
    </row>
    <row r="79" spans="1:15" s="57" customFormat="1" ht="30.75" customHeight="1" x14ac:dyDescent="0.5">
      <c r="A79" s="889" t="s">
        <v>225</v>
      </c>
      <c r="B79" s="890"/>
      <c r="C79" s="891"/>
      <c r="D79" s="151"/>
      <c r="E79" s="95">
        <f>'10'!F79</f>
        <v>0</v>
      </c>
      <c r="F79" s="117"/>
      <c r="G79" s="112">
        <f>G15-SUM(G74:G78)</f>
        <v>622</v>
      </c>
      <c r="H79" s="99">
        <f>G79+'10'!H79</f>
        <v>6229.3819999999832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1118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'10'!F85</f>
        <v>2384</v>
      </c>
      <c r="F85" s="164">
        <v>2408</v>
      </c>
      <c r="G85" s="112">
        <f t="shared" si="8"/>
        <v>24</v>
      </c>
      <c r="H85" s="99">
        <f>G85+'10'!H85</f>
        <v>147.57999999999993</v>
      </c>
      <c r="I85" s="118">
        <f>G82+G83+G84+G85</f>
        <v>24</v>
      </c>
      <c r="J85" s="175">
        <f>H85/DAY(B2)</f>
        <v>13.416363636363629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'10'!F86</f>
        <v>43560</v>
      </c>
      <c r="F86" s="164">
        <v>43560</v>
      </c>
      <c r="G86" s="112">
        <f t="shared" si="8"/>
        <v>0</v>
      </c>
      <c r="H86" s="99">
        <f>G86+'10'!H86</f>
        <v>118</v>
      </c>
      <c r="I86" s="118"/>
      <c r="J86" s="175">
        <f>H86/DAY(B2)</f>
        <v>10.727272727272727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'10'!F87</f>
        <v>34598.550000000003</v>
      </c>
      <c r="F87" s="164">
        <v>34598.550000000003</v>
      </c>
      <c r="G87" s="112">
        <f t="shared" si="8"/>
        <v>0</v>
      </c>
      <c r="H87" s="99">
        <f>G87+'10'!H87</f>
        <v>5.0000000002910383E-2</v>
      </c>
      <c r="I87" s="118"/>
      <c r="J87" s="175">
        <f>H87/DAY(B2)</f>
        <v>4.5454545457191261E-3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'10'!F88</f>
        <v>24063</v>
      </c>
      <c r="F88" s="164">
        <v>24063</v>
      </c>
      <c r="G88" s="112">
        <f t="shared" si="8"/>
        <v>0</v>
      </c>
      <c r="H88" s="99">
        <f>G88+'10'!H88</f>
        <v>-0.43000000000029104</v>
      </c>
      <c r="I88" s="118">
        <f>G86+G87+G88</f>
        <v>0</v>
      </c>
      <c r="J88" s="175">
        <f>H88/DAY(B2)</f>
        <v>-3.9090909090935551E-2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'10'!F89</f>
        <v>25993</v>
      </c>
      <c r="F89" s="164">
        <v>26004</v>
      </c>
      <c r="G89" s="112">
        <f t="shared" si="8"/>
        <v>11</v>
      </c>
      <c r="H89" s="99">
        <f>G89+'10'!H89</f>
        <v>112.88000000000102</v>
      </c>
      <c r="I89" s="118"/>
      <c r="J89" s="175">
        <f>H89/DAY(B2)</f>
        <v>10.261818181818274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'10'!F90</f>
        <v>71190</v>
      </c>
      <c r="F90" s="164">
        <v>71194</v>
      </c>
      <c r="G90" s="112">
        <f t="shared" si="8"/>
        <v>4</v>
      </c>
      <c r="H90" s="99">
        <f>G90+'10'!H90</f>
        <v>30.679999999993015</v>
      </c>
      <c r="I90" s="118">
        <f>G89+G90</f>
        <v>15</v>
      </c>
      <c r="J90" s="175">
        <f>H90/DAY(B2)</f>
        <v>2.789090909090274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'10'!F91</f>
        <v>3364</v>
      </c>
      <c r="F91" s="122">
        <v>3376</v>
      </c>
      <c r="G91" s="112">
        <f t="shared" si="8"/>
        <v>12</v>
      </c>
      <c r="H91" s="99">
        <f>G91+'10'!H91</f>
        <v>124.90999999999985</v>
      </c>
      <c r="I91" s="165"/>
      <c r="J91" s="175">
        <f>H91/DAY(B2)</f>
        <v>11.355454545454533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'10'!F92</f>
        <v>5741</v>
      </c>
      <c r="F92" s="122">
        <v>5741</v>
      </c>
      <c r="G92" s="112">
        <f t="shared" si="8"/>
        <v>0</v>
      </c>
      <c r="H92" s="99">
        <f>G92+'10'!H92</f>
        <v>-6.9999999999708962E-2</v>
      </c>
      <c r="I92" s="165"/>
      <c r="J92" s="175">
        <f>H92/DAY(B2)</f>
        <v>-6.3636363636099058E-3</v>
      </c>
      <c r="O92" s="71"/>
    </row>
    <row r="93" spans="1:15" ht="30.75" customHeight="1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4888</v>
      </c>
      <c r="H94" s="99">
        <f>G94+'10'!H94</f>
        <v>53892.229999999996</v>
      </c>
      <c r="I94" s="118"/>
      <c r="J94" s="175">
        <f>H94/DAY(B2)</f>
        <v>4899.2936363636363</v>
      </c>
      <c r="K94" s="69"/>
      <c r="L94" s="66"/>
      <c r="O94" s="71"/>
    </row>
    <row r="95" spans="1:15" ht="30.75" customHeight="1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0.23367434745195526</v>
      </c>
      <c r="H95" s="99">
        <f>G95+'10'!H95</f>
        <v>2.7498991136514408</v>
      </c>
      <c r="I95" s="167"/>
      <c r="J95" s="175">
        <f>H95/DAY(B2)</f>
        <v>0.24999082851376733</v>
      </c>
      <c r="K95" s="69"/>
      <c r="L95" s="66"/>
      <c r="O95" s="71"/>
    </row>
    <row r="96" spans="1:15" ht="30.75" customHeight="1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4736</v>
      </c>
      <c r="H96" s="99">
        <f>G96+'10'!H96</f>
        <v>42110.87999999999</v>
      </c>
      <c r="I96" s="118"/>
      <c r="J96" s="175">
        <f>H96/DAY(B2)</f>
        <v>3828.2618181818175</v>
      </c>
      <c r="K96" s="69"/>
      <c r="L96" s="66"/>
      <c r="O96" s="71"/>
    </row>
    <row r="97" spans="1:15" ht="30.75" customHeight="1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0.22640787838225451</v>
      </c>
      <c r="H97" s="99">
        <f>G97+'10'!H97</f>
        <v>2.1479629569240064</v>
      </c>
      <c r="I97" s="167"/>
      <c r="J97" s="175">
        <f>H97/DAY(B2)</f>
        <v>0.19526935972036422</v>
      </c>
      <c r="K97" s="69"/>
      <c r="L97" s="66"/>
      <c r="O97" s="71"/>
    </row>
    <row r="98" spans="1:15" ht="30.75" customHeight="1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3148</v>
      </c>
      <c r="H98" s="99">
        <f>G98+'10'!H98</f>
        <v>31254.71</v>
      </c>
      <c r="I98" s="168"/>
      <c r="J98" s="175">
        <f>H98/DAY(B2)</f>
        <v>2841.3372727272726</v>
      </c>
      <c r="K98" s="69"/>
      <c r="L98" s="66"/>
      <c r="O98" s="71"/>
    </row>
    <row r="99" spans="1:15" ht="30.75" customHeight="1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0.15049239889090735</v>
      </c>
      <c r="H99" s="99">
        <f>G99+'10'!H99</f>
        <v>1.5954811219796143</v>
      </c>
      <c r="I99" s="168"/>
      <c r="J99" s="175">
        <f>H99/DAY(B2)</f>
        <v>0.14504373836178311</v>
      </c>
      <c r="O99" s="71"/>
    </row>
    <row r="100" spans="1:15" ht="30.75" customHeight="1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2076</v>
      </c>
      <c r="H100" s="99">
        <f>G100+'10'!H100</f>
        <v>20646.57</v>
      </c>
      <c r="I100" s="118"/>
      <c r="J100" s="175">
        <f>H100/DAY(B2)</f>
        <v>1876.9609090909091</v>
      </c>
      <c r="K100" s="70"/>
      <c r="O100" s="71"/>
    </row>
    <row r="101" spans="1:15" ht="30.75" customHeight="1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9.9244669662491639E-2</v>
      </c>
      <c r="H101" s="99">
        <f>G101+'10'!H101</f>
        <v>1.0531928493304732</v>
      </c>
      <c r="I101" s="168"/>
      <c r="J101" s="175">
        <f>H101/DAY(B2)</f>
        <v>9.5744804484588469E-2</v>
      </c>
      <c r="O101" s="71"/>
    </row>
    <row r="102" spans="1:15" ht="30.75" customHeight="1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2359</v>
      </c>
      <c r="H102" s="99">
        <f>G102+'10'!H102</f>
        <v>23191.630000000005</v>
      </c>
      <c r="I102" s="168"/>
      <c r="J102" s="175">
        <f>H102/DAY(B2)</f>
        <v>2108.3300000000004</v>
      </c>
      <c r="O102" s="71"/>
    </row>
    <row r="103" spans="1:15" ht="30.75" customHeight="1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0.11277368773305288</v>
      </c>
      <c r="H103" s="99">
        <f>G103+'10'!H103</f>
        <v>1.1790224146616084</v>
      </c>
      <c r="I103" s="118"/>
      <c r="J103" s="175">
        <f>H103/DAY(B2)</f>
        <v>0.10718385587832803</v>
      </c>
      <c r="O103" s="71"/>
    </row>
    <row r="104" spans="1:15" ht="30.75" customHeight="1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1684</v>
      </c>
      <c r="H104" s="99">
        <f>G104+'10'!H104</f>
        <v>17833.910000000003</v>
      </c>
      <c r="I104" s="118"/>
      <c r="J104" s="175">
        <f>H104/DAY(B2)</f>
        <v>1621.2645454545457</v>
      </c>
      <c r="O104" s="71"/>
    </row>
    <row r="105" spans="1:15" ht="30.75" customHeight="1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8.0504828377473941E-2</v>
      </c>
      <c r="H105" s="99">
        <f>G105+'10'!H105</f>
        <v>0.91188947817804888</v>
      </c>
      <c r="I105" s="187"/>
      <c r="J105" s="188">
        <f>H105/DAY(B2)</f>
        <v>8.2899043470731723E-2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30.75" customHeight="1" x14ac:dyDescent="0.5">
      <c r="A109" s="909"/>
      <c r="B109" s="909"/>
    </row>
    <row r="110" spans="1:15" ht="30.75" customHeight="1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30.75" customHeight="1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71" t="s">
        <v>252</v>
      </c>
      <c r="B112" s="872"/>
      <c r="C112" s="873"/>
      <c r="D112" s="146" t="s">
        <v>183</v>
      </c>
      <c r="E112" s="95">
        <f>'10'!F112</f>
        <v>58809</v>
      </c>
      <c r="F112" s="237">
        <v>58875</v>
      </c>
      <c r="G112" s="112">
        <f t="shared" ref="G112:G123" si="9">F112-E112</f>
        <v>66</v>
      </c>
      <c r="H112" s="99">
        <f>G112+'10'!H112</f>
        <v>821</v>
      </c>
      <c r="I112" s="165"/>
      <c r="J112" s="328">
        <f>H112/DAY(B2)</f>
        <v>74.63636363636364</v>
      </c>
    </row>
    <row r="113" spans="1:18" ht="30.75" customHeight="1" x14ac:dyDescent="0.5">
      <c r="A113" s="871" t="s">
        <v>253</v>
      </c>
      <c r="B113" s="872"/>
      <c r="C113" s="873"/>
      <c r="D113" s="146" t="s">
        <v>183</v>
      </c>
      <c r="E113" s="95">
        <f>'10'!F113</f>
        <v>51099</v>
      </c>
      <c r="F113" s="237">
        <v>51535</v>
      </c>
      <c r="G113" s="112">
        <f t="shared" si="9"/>
        <v>436</v>
      </c>
      <c r="H113" s="99">
        <f>G113+'10'!H113</f>
        <v>5134.1100000000006</v>
      </c>
      <c r="I113" s="165"/>
      <c r="J113" s="328">
        <f>H113/DAY(B2)</f>
        <v>466.7372727272728</v>
      </c>
    </row>
    <row r="114" spans="1:18" ht="30.75" customHeight="1" x14ac:dyDescent="0.5">
      <c r="A114" s="871" t="s">
        <v>254</v>
      </c>
      <c r="B114" s="872"/>
      <c r="C114" s="873"/>
      <c r="D114" s="146" t="s">
        <v>183</v>
      </c>
      <c r="E114" s="95">
        <f>'10'!F114</f>
        <v>36210</v>
      </c>
      <c r="F114" s="237">
        <v>36599</v>
      </c>
      <c r="G114" s="112">
        <f t="shared" si="9"/>
        <v>389</v>
      </c>
      <c r="H114" s="99">
        <f>G114+'10'!H114</f>
        <v>3439</v>
      </c>
      <c r="I114" s="165"/>
      <c r="J114" s="328">
        <f>H114/DAY(B2)</f>
        <v>312.63636363636363</v>
      </c>
    </row>
    <row r="115" spans="1:18" ht="30.75" customHeight="1" x14ac:dyDescent="0.5">
      <c r="A115" s="871" t="s">
        <v>255</v>
      </c>
      <c r="B115" s="872"/>
      <c r="C115" s="873"/>
      <c r="D115" s="146" t="s">
        <v>183</v>
      </c>
      <c r="E115" s="95">
        <f>'10'!F115</f>
        <v>9202</v>
      </c>
      <c r="F115" s="237">
        <v>9211</v>
      </c>
      <c r="G115" s="112">
        <f t="shared" si="9"/>
        <v>9</v>
      </c>
      <c r="H115" s="99">
        <f>G115+'10'!H115</f>
        <v>116.35000000000036</v>
      </c>
      <c r="I115" s="165"/>
      <c r="J115" s="328">
        <f>H115/DAY(B2)</f>
        <v>10.57727272727276</v>
      </c>
    </row>
    <row r="116" spans="1:18" ht="30.75" customHeight="1" x14ac:dyDescent="0.5">
      <c r="A116" s="878" t="s">
        <v>96</v>
      </c>
      <c r="B116" s="879"/>
      <c r="C116" s="880"/>
      <c r="D116" s="146" t="s">
        <v>183</v>
      </c>
      <c r="E116" s="95">
        <f>'10'!F116</f>
        <v>1551</v>
      </c>
      <c r="F116" s="237">
        <v>1921</v>
      </c>
      <c r="G116" s="112">
        <f t="shared" si="9"/>
        <v>370</v>
      </c>
      <c r="H116" s="99">
        <f>G116+'10'!H116</f>
        <v>1921</v>
      </c>
      <c r="I116" s="165"/>
      <c r="J116" s="328">
        <f>H116/DAY(B2)</f>
        <v>174.63636363636363</v>
      </c>
      <c r="Q116" s="871" t="s">
        <v>311</v>
      </c>
      <c r="R116" s="873"/>
    </row>
    <row r="117" spans="1:18" ht="30.75" customHeight="1" x14ac:dyDescent="0.5">
      <c r="A117" s="878" t="s">
        <v>184</v>
      </c>
      <c r="B117" s="879"/>
      <c r="C117" s="880"/>
      <c r="D117" s="146" t="s">
        <v>183</v>
      </c>
      <c r="E117" s="95">
        <f>'10'!F117</f>
        <v>4377</v>
      </c>
      <c r="F117" s="237">
        <v>4666</v>
      </c>
      <c r="G117" s="112">
        <f t="shared" si="9"/>
        <v>289</v>
      </c>
      <c r="H117" s="99">
        <f>G117+'10'!H117</f>
        <v>1328.0500000000002</v>
      </c>
      <c r="I117" s="165"/>
      <c r="J117" s="328">
        <f>H117/DAY(B2)</f>
        <v>120.7318181818182</v>
      </c>
      <c r="Q117" s="871" t="s">
        <v>312</v>
      </c>
      <c r="R117" s="873"/>
    </row>
    <row r="118" spans="1:18" ht="30.75" customHeight="1" x14ac:dyDescent="0.5">
      <c r="A118" s="870" t="s">
        <v>97</v>
      </c>
      <c r="B118" s="870"/>
      <c r="C118" s="870"/>
      <c r="D118" s="151" t="s">
        <v>183</v>
      </c>
      <c r="E118" s="95">
        <f>'10'!F118</f>
        <v>255945</v>
      </c>
      <c r="F118" s="237">
        <v>256349</v>
      </c>
      <c r="G118" s="112">
        <f t="shared" si="9"/>
        <v>404</v>
      </c>
      <c r="H118" s="99">
        <f>G118+'10'!H118</f>
        <v>3896.6900000000023</v>
      </c>
      <c r="I118" s="165"/>
      <c r="J118" s="328">
        <f>H118/DAY(B2)</f>
        <v>354.24454545454569</v>
      </c>
      <c r="Q118" s="871" t="s">
        <v>311</v>
      </c>
      <c r="R118" s="873"/>
    </row>
    <row r="119" spans="1:18" ht="30.75" customHeight="1" x14ac:dyDescent="0.5">
      <c r="A119" s="870" t="s">
        <v>98</v>
      </c>
      <c r="B119" s="870"/>
      <c r="C119" s="870"/>
      <c r="D119" s="151" t="s">
        <v>183</v>
      </c>
      <c r="E119" s="95">
        <f>'10'!F119</f>
        <v>262266</v>
      </c>
      <c r="F119" s="237">
        <v>262701</v>
      </c>
      <c r="G119" s="112">
        <f t="shared" si="9"/>
        <v>435</v>
      </c>
      <c r="H119" s="99">
        <f>G119+'10'!H119</f>
        <v>4552.4500000000116</v>
      </c>
      <c r="I119" s="165"/>
      <c r="J119" s="328">
        <f>H119/DAY(B2)</f>
        <v>413.85909090909195</v>
      </c>
    </row>
    <row r="120" spans="1:18" ht="30.75" customHeight="1" x14ac:dyDescent="0.5">
      <c r="A120" s="870" t="s">
        <v>99</v>
      </c>
      <c r="B120" s="870"/>
      <c r="C120" s="870"/>
      <c r="D120" s="151" t="s">
        <v>183</v>
      </c>
      <c r="E120" s="95">
        <f>'10'!F120</f>
        <v>47190</v>
      </c>
      <c r="F120" s="237">
        <v>47633</v>
      </c>
      <c r="G120" s="112">
        <f t="shared" si="9"/>
        <v>443</v>
      </c>
      <c r="H120" s="99">
        <f>G120+'10'!H120</f>
        <v>4673.3899999999994</v>
      </c>
      <c r="I120" s="165"/>
      <c r="J120" s="328">
        <f>H120/DAY(B2)</f>
        <v>424.85363636363633</v>
      </c>
    </row>
    <row r="121" spans="1:18" ht="30.75" customHeight="1" x14ac:dyDescent="0.5">
      <c r="A121" s="870" t="s">
        <v>100</v>
      </c>
      <c r="B121" s="870"/>
      <c r="C121" s="870"/>
      <c r="D121" s="151" t="s">
        <v>183</v>
      </c>
      <c r="E121" s="95">
        <f>'10'!F121</f>
        <v>405308</v>
      </c>
      <c r="F121" s="237">
        <v>406029</v>
      </c>
      <c r="G121" s="112">
        <f t="shared" si="9"/>
        <v>721</v>
      </c>
      <c r="H121" s="99">
        <f>G121+'10'!H121</f>
        <v>7994.570000000007</v>
      </c>
      <c r="I121" s="165"/>
      <c r="J121" s="328">
        <f>H121/DAY(B2)</f>
        <v>726.77909090909156</v>
      </c>
    </row>
    <row r="122" spans="1:18" ht="30.75" customHeight="1" x14ac:dyDescent="0.5">
      <c r="A122" s="870" t="s">
        <v>101</v>
      </c>
      <c r="B122" s="870"/>
      <c r="C122" s="870"/>
      <c r="D122" s="151" t="s">
        <v>183</v>
      </c>
      <c r="E122" s="95">
        <f>'10'!F122</f>
        <v>128409</v>
      </c>
      <c r="F122" s="237">
        <v>128621</v>
      </c>
      <c r="G122" s="112">
        <f t="shared" si="9"/>
        <v>212</v>
      </c>
      <c r="H122" s="99">
        <f>G122+'10'!H122</f>
        <v>2434.820000000007</v>
      </c>
      <c r="I122" s="165"/>
      <c r="J122" s="328">
        <f>H122/DAY(B2)</f>
        <v>221.34727272727335</v>
      </c>
    </row>
    <row r="123" spans="1:18" ht="30.75" customHeight="1" x14ac:dyDescent="0.5">
      <c r="A123" s="870" t="s">
        <v>102</v>
      </c>
      <c r="B123" s="870"/>
      <c r="C123" s="870"/>
      <c r="D123" s="151" t="s">
        <v>183</v>
      </c>
      <c r="E123" s="95">
        <f>'10'!F123</f>
        <v>156591</v>
      </c>
      <c r="F123" s="237">
        <v>156841</v>
      </c>
      <c r="G123" s="112">
        <f t="shared" si="9"/>
        <v>250</v>
      </c>
      <c r="H123" s="99">
        <f>G123+'10'!H123</f>
        <v>2794.0499999999884</v>
      </c>
      <c r="I123" s="165"/>
      <c r="J123" s="328">
        <f>H123/DAY(B2)</f>
        <v>254.0045454545444</v>
      </c>
    </row>
    <row r="124" spans="1:18" ht="30.75" customHeight="1" x14ac:dyDescent="0.5">
      <c r="A124" s="875"/>
      <c r="B124" s="876"/>
      <c r="C124" s="877"/>
      <c r="D124" s="165"/>
      <c r="E124" s="165"/>
      <c r="F124" s="165"/>
      <c r="G124" s="327"/>
      <c r="H124" s="156"/>
      <c r="I124" s="165"/>
      <c r="J124" s="327"/>
    </row>
    <row r="125" spans="1:18" ht="30.75" customHeight="1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4024</v>
      </c>
      <c r="H125" s="156"/>
      <c r="I125" s="327">
        <f>G125-(G39+G53)</f>
        <v>876</v>
      </c>
      <c r="J125" s="327"/>
    </row>
    <row r="126" spans="1:18" ht="30.75" customHeight="1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30.75" customHeight="1" x14ac:dyDescent="0.5">
      <c r="A127" s="860"/>
      <c r="B127" s="860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 x14ac:dyDescent="0.5">
      <c r="A128" s="871" t="s">
        <v>318</v>
      </c>
      <c r="B128" s="872"/>
      <c r="C128" s="873"/>
      <c r="D128" s="151" t="s">
        <v>183</v>
      </c>
      <c r="E128" s="95">
        <f>'10'!F128</f>
        <v>50880</v>
      </c>
      <c r="F128" s="155">
        <v>51208</v>
      </c>
      <c r="G128" s="112">
        <f t="shared" ref="G128:G134" si="10">F128-E128</f>
        <v>328</v>
      </c>
      <c r="H128" s="99">
        <f>G128+'10'!H128</f>
        <v>3462</v>
      </c>
      <c r="I128" s="165"/>
      <c r="J128" s="328">
        <f>H128/DAY(B2)</f>
        <v>314.72727272727275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'10'!F129</f>
        <v>28890</v>
      </c>
      <c r="F129" s="155">
        <v>29201</v>
      </c>
      <c r="G129" s="112">
        <f t="shared" si="10"/>
        <v>311</v>
      </c>
      <c r="H129" s="99">
        <f>G129+'10'!H129</f>
        <v>2290.130000000001</v>
      </c>
      <c r="I129" s="165"/>
      <c r="J129" s="328">
        <f>H129/DAY(B2)</f>
        <v>208.19363636363644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'10'!F130</f>
        <v>41497</v>
      </c>
      <c r="F130" s="155">
        <v>42044</v>
      </c>
      <c r="G130" s="112">
        <f t="shared" si="10"/>
        <v>547</v>
      </c>
      <c r="H130" s="99">
        <f>G130+'10'!H130</f>
        <v>6350</v>
      </c>
      <c r="I130" s="165"/>
      <c r="J130" s="328">
        <f>H130/DAY(B2)</f>
        <v>577.27272727272725</v>
      </c>
      <c r="N130" s="240"/>
      <c r="O130" s="241"/>
    </row>
    <row r="131" spans="1:15" ht="30.75" customHeight="1" x14ac:dyDescent="0.5">
      <c r="A131" s="871" t="s">
        <v>321</v>
      </c>
      <c r="B131" s="872"/>
      <c r="C131" s="873"/>
      <c r="D131" s="151" t="s">
        <v>183</v>
      </c>
      <c r="E131" s="95">
        <f>'10'!F131</f>
        <v>16210</v>
      </c>
      <c r="F131" s="155">
        <v>16348</v>
      </c>
      <c r="G131" s="112">
        <f t="shared" si="10"/>
        <v>138</v>
      </c>
      <c r="H131" s="99">
        <f>G131+'10'!H131</f>
        <v>1040.3199999999997</v>
      </c>
      <c r="I131" s="165"/>
      <c r="J131" s="328">
        <f>H131/DAY(B2)</f>
        <v>94.574545454545429</v>
      </c>
      <c r="N131" s="240"/>
      <c r="O131" s="241"/>
    </row>
    <row r="132" spans="1:15" ht="30.75" customHeight="1" x14ac:dyDescent="0.5">
      <c r="A132" s="871" t="s">
        <v>322</v>
      </c>
      <c r="B132" s="872"/>
      <c r="C132" s="873"/>
      <c r="D132" s="151" t="s">
        <v>183</v>
      </c>
      <c r="E132" s="95">
        <f>'10'!F132</f>
        <v>55427</v>
      </c>
      <c r="F132" s="155">
        <v>55864</v>
      </c>
      <c r="G132" s="112">
        <f t="shared" si="10"/>
        <v>437</v>
      </c>
      <c r="H132" s="99">
        <f>G132+'10'!H132</f>
        <v>4015.6999999999971</v>
      </c>
      <c r="I132" s="165"/>
      <c r="J132" s="328">
        <f>H132/DAY(B2)</f>
        <v>365.06363636363608</v>
      </c>
    </row>
    <row r="133" spans="1:15" ht="30.75" customHeight="1" x14ac:dyDescent="0.5">
      <c r="A133" s="871" t="s">
        <v>362</v>
      </c>
      <c r="B133" s="872"/>
      <c r="C133" s="873"/>
      <c r="D133" s="151" t="s">
        <v>183</v>
      </c>
      <c r="E133" s="95">
        <f>'10'!F133</f>
        <v>111480</v>
      </c>
      <c r="F133" s="155">
        <v>111974</v>
      </c>
      <c r="G133" s="112">
        <f t="shared" si="10"/>
        <v>494</v>
      </c>
      <c r="H133" s="99">
        <f>G133+'10'!H133</f>
        <v>6630.3000000000029</v>
      </c>
      <c r="I133" s="165"/>
      <c r="J133" s="328">
        <f>H133/DAY(B2)</f>
        <v>602.75454545454568</v>
      </c>
    </row>
    <row r="134" spans="1:15" ht="30.75" customHeight="1" x14ac:dyDescent="0.5">
      <c r="A134" s="871" t="s">
        <v>340</v>
      </c>
      <c r="B134" s="872"/>
      <c r="C134" s="873"/>
      <c r="D134" s="151" t="s">
        <v>183</v>
      </c>
      <c r="E134" s="95">
        <f>'10'!F134</f>
        <v>10524</v>
      </c>
      <c r="F134" s="551">
        <v>10682</v>
      </c>
      <c r="G134" s="112">
        <f t="shared" si="10"/>
        <v>158</v>
      </c>
      <c r="H134" s="99">
        <f>G134+'10'!H134</f>
        <v>2080.7700000000004</v>
      </c>
      <c r="I134" s="165"/>
      <c r="J134" s="328">
        <f>H134/DAY(B2)</f>
        <v>189.16090909090914</v>
      </c>
    </row>
    <row r="135" spans="1:15" ht="30.75" customHeight="1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2413</v>
      </c>
      <c r="H135" s="99">
        <f>G135+'10'!H135</f>
        <v>25869.22</v>
      </c>
      <c r="I135" s="327">
        <f>G135-(G35+G49)</f>
        <v>-363</v>
      </c>
      <c r="J135" s="328">
        <f>H135/DAY(B2)</f>
        <v>2351.747272727273</v>
      </c>
    </row>
    <row r="136" spans="1:15" ht="30.75" customHeight="1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 x14ac:dyDescent="0.5">
      <c r="A138" s="870" t="s">
        <v>185</v>
      </c>
      <c r="B138" s="870"/>
      <c r="C138" s="870"/>
      <c r="D138" s="151" t="s">
        <v>183</v>
      </c>
      <c r="E138" s="95">
        <f>'10'!F138</f>
        <v>866962</v>
      </c>
      <c r="F138" s="147">
        <v>867078</v>
      </c>
      <c r="G138" s="112">
        <f t="shared" ref="G138:G152" si="11">F138-E138</f>
        <v>116</v>
      </c>
      <c r="H138" s="99">
        <f>G138+'10'!H138</f>
        <v>905</v>
      </c>
      <c r="I138" s="118"/>
      <c r="J138" s="328">
        <f>H138/DAY(B2)</f>
        <v>82.272727272727266</v>
      </c>
    </row>
    <row r="139" spans="1:15" ht="30.75" customHeight="1" x14ac:dyDescent="0.5">
      <c r="A139" s="870" t="s">
        <v>186</v>
      </c>
      <c r="B139" s="870"/>
      <c r="C139" s="870"/>
      <c r="D139" s="151" t="s">
        <v>183</v>
      </c>
      <c r="E139" s="95">
        <f>'10'!F139</f>
        <v>886634</v>
      </c>
      <c r="F139" s="148">
        <v>886647</v>
      </c>
      <c r="G139" s="112">
        <f t="shared" si="11"/>
        <v>13</v>
      </c>
      <c r="H139" s="99">
        <f>G139+'10'!H139</f>
        <v>74</v>
      </c>
      <c r="I139" s="118"/>
      <c r="J139" s="328">
        <f>H139/DAY(B2)</f>
        <v>6.7272727272727275</v>
      </c>
    </row>
    <row r="140" spans="1:15" ht="30.75" customHeight="1" x14ac:dyDescent="0.5">
      <c r="A140" s="870" t="s">
        <v>187</v>
      </c>
      <c r="B140" s="870"/>
      <c r="C140" s="870"/>
      <c r="D140" s="151" t="s">
        <v>183</v>
      </c>
      <c r="E140" s="95">
        <f>'10'!F140</f>
        <v>88942</v>
      </c>
      <c r="F140" s="149">
        <v>88948</v>
      </c>
      <c r="G140" s="112">
        <f t="shared" si="11"/>
        <v>6</v>
      </c>
      <c r="H140" s="99">
        <f>G140+'10'!H140</f>
        <v>26</v>
      </c>
      <c r="I140" s="118"/>
      <c r="J140" s="328">
        <f>H140/DAY(B2)</f>
        <v>2.3636363636363638</v>
      </c>
    </row>
    <row r="141" spans="1:15" ht="30.75" customHeight="1" x14ac:dyDescent="0.5">
      <c r="A141" s="851" t="s">
        <v>188</v>
      </c>
      <c r="B141" s="851"/>
      <c r="C141" s="851"/>
      <c r="D141" s="151" t="s">
        <v>183</v>
      </c>
      <c r="E141" s="95">
        <f>'10'!F141</f>
        <v>56433</v>
      </c>
      <c r="F141" s="149">
        <v>56623</v>
      </c>
      <c r="G141" s="112">
        <f t="shared" si="11"/>
        <v>190</v>
      </c>
      <c r="H141" s="99">
        <f>G141+'10'!H141</f>
        <v>1937.4199999999983</v>
      </c>
      <c r="I141" s="118"/>
      <c r="J141" s="328">
        <f>H141/DAY(B2)</f>
        <v>176.12909090909076</v>
      </c>
    </row>
    <row r="142" spans="1:15" ht="30.75" customHeight="1" x14ac:dyDescent="0.5">
      <c r="A142" s="851" t="s">
        <v>189</v>
      </c>
      <c r="B142" s="851"/>
      <c r="C142" s="851"/>
      <c r="D142" s="151" t="s">
        <v>183</v>
      </c>
      <c r="E142" s="95">
        <f>'10'!F142</f>
        <v>21974</v>
      </c>
      <c r="F142" s="148">
        <v>22044</v>
      </c>
      <c r="G142" s="112">
        <f t="shared" si="11"/>
        <v>70</v>
      </c>
      <c r="H142" s="99">
        <f>G142+'10'!H142</f>
        <v>759.90000000000146</v>
      </c>
      <c r="I142" s="140"/>
      <c r="J142" s="328">
        <f>H142/DAY(B2)</f>
        <v>69.081818181818321</v>
      </c>
    </row>
    <row r="143" spans="1:15" ht="30.75" customHeight="1" x14ac:dyDescent="0.5">
      <c r="A143" s="870" t="s">
        <v>91</v>
      </c>
      <c r="B143" s="870"/>
      <c r="C143" s="870"/>
      <c r="D143" s="151" t="s">
        <v>183</v>
      </c>
      <c r="E143" s="95">
        <f>'10'!F143</f>
        <v>4114</v>
      </c>
      <c r="F143" s="149">
        <v>4137</v>
      </c>
      <c r="G143" s="112">
        <f t="shared" si="11"/>
        <v>23</v>
      </c>
      <c r="H143" s="99">
        <f>G143+'10'!H143</f>
        <v>301.61000000000013</v>
      </c>
      <c r="I143" s="140"/>
      <c r="J143" s="328">
        <f>H143/DAY(B2)</f>
        <v>27.419090909090922</v>
      </c>
    </row>
    <row r="144" spans="1:15" ht="30.75" customHeight="1" x14ac:dyDescent="0.5">
      <c r="A144" s="851" t="s">
        <v>90</v>
      </c>
      <c r="B144" s="851"/>
      <c r="C144" s="851"/>
      <c r="D144" s="151" t="s">
        <v>183</v>
      </c>
      <c r="E144" s="95">
        <f>'10'!F144</f>
        <v>878602</v>
      </c>
      <c r="F144" s="149">
        <v>878805</v>
      </c>
      <c r="G144" s="112">
        <f t="shared" si="11"/>
        <v>203</v>
      </c>
      <c r="H144" s="99">
        <f>G144+'10'!H144</f>
        <v>2318</v>
      </c>
      <c r="I144" s="140"/>
      <c r="J144" s="328">
        <f>H144/DAY(B2)</f>
        <v>210.72727272727272</v>
      </c>
    </row>
    <row r="145" spans="1:10" ht="30.75" customHeight="1" x14ac:dyDescent="0.5">
      <c r="A145" s="870" t="s">
        <v>190</v>
      </c>
      <c r="B145" s="870"/>
      <c r="C145" s="870"/>
      <c r="D145" s="152" t="s">
        <v>183</v>
      </c>
      <c r="E145" s="95">
        <f>'10'!F145</f>
        <v>5087</v>
      </c>
      <c r="F145" s="149">
        <v>5101</v>
      </c>
      <c r="G145" s="112">
        <f t="shared" si="11"/>
        <v>14</v>
      </c>
      <c r="H145" s="99">
        <f>G145+'10'!H145</f>
        <v>142.15999999999985</v>
      </c>
      <c r="I145" s="140"/>
      <c r="J145" s="328">
        <f>H145/DAY(B2)</f>
        <v>12.92363636363635</v>
      </c>
    </row>
    <row r="146" spans="1:10" ht="30.75" customHeight="1" x14ac:dyDescent="0.5">
      <c r="A146" s="905" t="s">
        <v>191</v>
      </c>
      <c r="B146" s="890"/>
      <c r="C146" s="891"/>
      <c r="D146" s="152" t="s">
        <v>183</v>
      </c>
      <c r="E146" s="95">
        <f>'10'!F146</f>
        <v>741510</v>
      </c>
      <c r="F146" s="148">
        <v>741931</v>
      </c>
      <c r="G146" s="112">
        <f t="shared" si="11"/>
        <v>421</v>
      </c>
      <c r="H146" s="99">
        <f>G146+'10'!H146</f>
        <v>4598</v>
      </c>
      <c r="I146" s="140"/>
      <c r="J146" s="328">
        <f>H146/DAY(B2)</f>
        <v>418</v>
      </c>
    </row>
    <row r="147" spans="1:10" ht="30.75" customHeight="1" x14ac:dyDescent="0.5">
      <c r="A147" s="851" t="s">
        <v>192</v>
      </c>
      <c r="B147" s="851"/>
      <c r="C147" s="851"/>
      <c r="D147" s="152" t="s">
        <v>183</v>
      </c>
      <c r="E147" s="95">
        <f>'10'!F147</f>
        <v>630587</v>
      </c>
      <c r="F147" s="148">
        <v>630999</v>
      </c>
      <c r="G147" s="112">
        <f t="shared" si="11"/>
        <v>412</v>
      </c>
      <c r="H147" s="99">
        <f>G147+'10'!H147</f>
        <v>4386.4799999999814</v>
      </c>
      <c r="I147" s="140"/>
      <c r="J147" s="328">
        <f>H147/DAY(B2)</f>
        <v>398.77090909090742</v>
      </c>
    </row>
    <row r="148" spans="1:10" ht="30.75" customHeight="1" x14ac:dyDescent="0.5">
      <c r="A148" s="852" t="s">
        <v>193</v>
      </c>
      <c r="B148" s="853"/>
      <c r="C148" s="854"/>
      <c r="D148" s="123" t="s">
        <v>130</v>
      </c>
      <c r="E148" s="95">
        <f>'10'!F148</f>
        <v>692358</v>
      </c>
      <c r="F148" s="150">
        <v>692688</v>
      </c>
      <c r="G148" s="112">
        <f t="shared" si="11"/>
        <v>330</v>
      </c>
      <c r="H148" s="99">
        <f>G148+'10'!H148</f>
        <v>3245.0400000000373</v>
      </c>
      <c r="I148" s="124"/>
      <c r="J148" s="328">
        <f>H148/DAY(B2)</f>
        <v>295.00363636363977</v>
      </c>
    </row>
    <row r="149" spans="1:10" ht="30.75" customHeight="1" x14ac:dyDescent="0.5">
      <c r="A149" s="852" t="s">
        <v>336</v>
      </c>
      <c r="B149" s="853"/>
      <c r="C149" s="854"/>
      <c r="D149" s="227" t="s">
        <v>130</v>
      </c>
      <c r="E149" s="95">
        <f>'10'!F149</f>
        <v>30087</v>
      </c>
      <c r="F149" s="146">
        <v>30761</v>
      </c>
      <c r="G149" s="112">
        <f t="shared" si="11"/>
        <v>674</v>
      </c>
      <c r="H149" s="99">
        <f>G149+'10'!H149</f>
        <v>6082.7999999999993</v>
      </c>
      <c r="I149" s="119"/>
      <c r="J149" s="328">
        <f>H149/DAY(B2)</f>
        <v>552.98181818181808</v>
      </c>
    </row>
    <row r="150" spans="1:10" ht="30.75" customHeight="1" x14ac:dyDescent="0.5">
      <c r="A150" s="852" t="s">
        <v>337</v>
      </c>
      <c r="B150" s="853"/>
      <c r="C150" s="854"/>
      <c r="D150" s="117" t="s">
        <v>130</v>
      </c>
      <c r="E150" s="95">
        <f>'10'!F150</f>
        <v>13102</v>
      </c>
      <c r="F150" s="233">
        <v>13320</v>
      </c>
      <c r="G150" s="112">
        <f t="shared" si="11"/>
        <v>218</v>
      </c>
      <c r="H150" s="99">
        <f>G150+'10'!H150</f>
        <v>2469.17</v>
      </c>
      <c r="I150" s="119"/>
      <c r="J150" s="328">
        <f>H150/DAY(B2)</f>
        <v>224.47</v>
      </c>
    </row>
    <row r="151" spans="1:10" ht="30.75" customHeight="1" x14ac:dyDescent="0.5">
      <c r="A151" s="852" t="s">
        <v>338</v>
      </c>
      <c r="B151" s="853"/>
      <c r="C151" s="854"/>
      <c r="D151" s="117" t="s">
        <v>130</v>
      </c>
      <c r="E151" s="95">
        <f>'10'!F151</f>
        <v>87897</v>
      </c>
      <c r="F151" s="233">
        <v>88114</v>
      </c>
      <c r="G151" s="112">
        <f t="shared" si="11"/>
        <v>217</v>
      </c>
      <c r="H151" s="99">
        <f>G151+'10'!H151</f>
        <v>2634</v>
      </c>
      <c r="I151" s="119"/>
      <c r="J151" s="328">
        <f>H151/DAY(B2)</f>
        <v>239.45454545454547</v>
      </c>
    </row>
    <row r="152" spans="1:10" ht="30.75" customHeight="1" x14ac:dyDescent="0.5">
      <c r="A152" s="852" t="s">
        <v>339</v>
      </c>
      <c r="B152" s="853"/>
      <c r="C152" s="854"/>
      <c r="D152" s="117" t="s">
        <v>130</v>
      </c>
      <c r="E152" s="95">
        <f>'10'!F152</f>
        <v>2180</v>
      </c>
      <c r="F152" s="233">
        <v>2241</v>
      </c>
      <c r="G152" s="112">
        <f t="shared" si="11"/>
        <v>61</v>
      </c>
      <c r="H152" s="99">
        <f>G152+'10'!H152</f>
        <v>581</v>
      </c>
      <c r="I152" s="119"/>
      <c r="J152" s="328">
        <f>H152/DAY(B2)</f>
        <v>52.81818181818182</v>
      </c>
    </row>
    <row r="153" spans="1:10" ht="30.75" customHeight="1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2968</v>
      </c>
      <c r="H153" s="363"/>
      <c r="I153" s="119">
        <f>G153-(G38+G52)</f>
        <v>892</v>
      </c>
      <c r="J153" s="366"/>
    </row>
    <row r="154" spans="1:10" ht="30.75" customHeight="1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0.75" customHeight="1" x14ac:dyDescent="0.55000000000000004">
      <c r="A155" s="851" t="s">
        <v>345</v>
      </c>
      <c r="B155" s="851"/>
      <c r="C155" s="851"/>
      <c r="D155" s="117" t="s">
        <v>130</v>
      </c>
      <c r="E155" s="95">
        <f>'10'!F155</f>
        <v>39240</v>
      </c>
      <c r="F155" s="551">
        <v>39939</v>
      </c>
      <c r="G155" s="112">
        <f t="shared" ref="G155:G156" si="12">F155-E155</f>
        <v>699</v>
      </c>
      <c r="H155" s="99">
        <f>G155+'10'!H155</f>
        <v>6994</v>
      </c>
      <c r="I155" s="364"/>
      <c r="J155" s="328">
        <f>H155/DAY(B2)</f>
        <v>635.81818181818187</v>
      </c>
    </row>
    <row r="156" spans="1:10" ht="30.75" customHeight="1" x14ac:dyDescent="0.5">
      <c r="A156" s="851" t="s">
        <v>347</v>
      </c>
      <c r="B156" s="851"/>
      <c r="C156" s="851"/>
      <c r="D156" s="117" t="s">
        <v>130</v>
      </c>
      <c r="E156" s="95">
        <f>'10'!F156</f>
        <v>3245</v>
      </c>
      <c r="F156" s="155">
        <v>3296</v>
      </c>
      <c r="G156" s="112">
        <f t="shared" si="12"/>
        <v>51</v>
      </c>
      <c r="H156" s="99">
        <f>G156+'10'!H156</f>
        <v>508</v>
      </c>
      <c r="I156" s="165"/>
      <c r="J156" s="328">
        <f>H156/DAY(B2)</f>
        <v>46.18181818181818</v>
      </c>
    </row>
    <row r="157" spans="1:10" ht="30.75" customHeight="1" x14ac:dyDescent="0.5">
      <c r="A157" s="852" t="s">
        <v>363</v>
      </c>
      <c r="B157" s="853"/>
      <c r="C157" s="854"/>
      <c r="D157" s="117" t="s">
        <v>130</v>
      </c>
      <c r="E157" s="95"/>
      <c r="F157" s="155"/>
      <c r="G157" s="112"/>
      <c r="H157" s="99"/>
      <c r="I157" s="165"/>
      <c r="J157" s="328"/>
    </row>
    <row r="158" spans="1:10" ht="30.75" customHeight="1" x14ac:dyDescent="0.5">
      <c r="A158" s="852" t="s">
        <v>364</v>
      </c>
      <c r="B158" s="853"/>
      <c r="C158" s="854"/>
      <c r="D158" s="117" t="s">
        <v>130</v>
      </c>
      <c r="E158" s="95"/>
      <c r="F158" s="155"/>
      <c r="G158" s="112"/>
      <c r="H158" s="99"/>
      <c r="I158" s="165"/>
      <c r="J158" s="328"/>
    </row>
    <row r="159" spans="1:10" ht="30.75" customHeight="1" x14ac:dyDescent="0.5">
      <c r="A159" s="935"/>
      <c r="B159" s="936"/>
      <c r="C159" s="937"/>
      <c r="D159" s="117"/>
      <c r="E159" s="95"/>
      <c r="F159" s="155"/>
      <c r="G159" s="112"/>
      <c r="H159" s="99"/>
      <c r="I159" s="165"/>
      <c r="J159" s="328"/>
    </row>
    <row r="160" spans="1:10" ht="30.75" customHeight="1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472470</v>
      </c>
      <c r="F161" s="235">
        <v>472490</v>
      </c>
      <c r="G161" s="238">
        <f t="shared" ref="G161:G165" si="13">F161-E161</f>
        <v>20</v>
      </c>
      <c r="H161" s="99">
        <f>G161+'10'!H161</f>
        <v>436.44000000000233</v>
      </c>
      <c r="I161" s="236"/>
      <c r="J161" s="239">
        <f>H161/DAY(B2)</f>
        <v>39.676363636363845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88884</v>
      </c>
      <c r="F162" s="235">
        <v>88920</v>
      </c>
      <c r="G162" s="238">
        <f t="shared" si="13"/>
        <v>36</v>
      </c>
      <c r="H162" s="99">
        <f>G162+'10'!H162</f>
        <v>403.60000000000582</v>
      </c>
      <c r="I162" s="236"/>
      <c r="J162" s="239">
        <f>H162/DAY(B2)</f>
        <v>36.690909090909621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79662</v>
      </c>
      <c r="F163" s="235">
        <v>79754</v>
      </c>
      <c r="G163" s="238">
        <f t="shared" si="13"/>
        <v>92</v>
      </c>
      <c r="H163" s="99">
        <f>G163+'10'!H163</f>
        <v>533.89999999999418</v>
      </c>
      <c r="I163" s="236"/>
      <c r="J163" s="239">
        <f>H163/DAY(B2)</f>
        <v>48.536363636363106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4330</v>
      </c>
      <c r="F164" s="235">
        <v>4330</v>
      </c>
      <c r="G164" s="238">
        <f t="shared" si="13"/>
        <v>0</v>
      </c>
      <c r="H164" s="99">
        <f>G164+'10'!H164</f>
        <v>10</v>
      </c>
      <c r="I164" s="236"/>
      <c r="J164" s="239">
        <f>H164/DAY(B2)</f>
        <v>0.90909090909090906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29949</v>
      </c>
      <c r="F165" s="235">
        <v>29958</v>
      </c>
      <c r="G165" s="238">
        <f t="shared" si="13"/>
        <v>9</v>
      </c>
      <c r="H165" s="99">
        <f>G165+'10'!H165</f>
        <v>100.75</v>
      </c>
      <c r="I165" s="236"/>
      <c r="J165" s="239">
        <f>H165/DAY(B2)</f>
        <v>9.1590909090909083</v>
      </c>
    </row>
    <row r="166" spans="1:10" ht="30.75" customHeight="1" x14ac:dyDescent="0.5">
      <c r="A166" s="860"/>
      <c r="B166" s="860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860"/>
      <c r="B167" s="860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860"/>
      <c r="B168" s="860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30.75" customHeight="1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64" t="s">
        <v>209</v>
      </c>
      <c r="B173" s="865"/>
      <c r="C173" s="333"/>
      <c r="D173" s="228" t="s">
        <v>142</v>
      </c>
      <c r="E173" s="95">
        <f>'10'!F173</f>
        <v>8132</v>
      </c>
      <c r="F173" s="551">
        <v>8132</v>
      </c>
      <c r="G173" s="155">
        <f>F173-E173</f>
        <v>0</v>
      </c>
      <c r="H173" s="99">
        <f>G173+'10'!H173</f>
        <v>6</v>
      </c>
      <c r="I173" s="155"/>
      <c r="J173" s="178">
        <f>H173/DAY(B2)</f>
        <v>0.54545454545454541</v>
      </c>
    </row>
    <row r="174" spans="1:10" ht="30.75" customHeight="1" x14ac:dyDescent="0.5">
      <c r="A174" s="864" t="s">
        <v>75</v>
      </c>
      <c r="B174" s="865"/>
      <c r="C174" s="333"/>
      <c r="D174" s="228" t="s">
        <v>142</v>
      </c>
      <c r="E174" s="95">
        <f>'10'!F174</f>
        <v>38749</v>
      </c>
      <c r="F174" s="157">
        <v>38761</v>
      </c>
      <c r="G174" s="155">
        <f t="shared" ref="G174:G175" si="14">F174-E174</f>
        <v>12</v>
      </c>
      <c r="H174" s="99">
        <f>G174+'10'!H174</f>
        <v>146</v>
      </c>
      <c r="I174" s="155"/>
      <c r="J174" s="178">
        <f>H174/DAY(B2)</f>
        <v>13.272727272727273</v>
      </c>
    </row>
    <row r="175" spans="1:10" ht="30.75" customHeight="1" x14ac:dyDescent="0.5">
      <c r="A175" s="864" t="s">
        <v>76</v>
      </c>
      <c r="B175" s="904"/>
      <c r="C175" s="865"/>
      <c r="D175" s="228" t="s">
        <v>142</v>
      </c>
      <c r="E175" s="95">
        <f>'10'!F175</f>
        <v>21919</v>
      </c>
      <c r="F175" s="155">
        <v>21931</v>
      </c>
      <c r="G175" s="155">
        <f t="shared" si="14"/>
        <v>12</v>
      </c>
      <c r="H175" s="99">
        <f>G175+'10'!H175</f>
        <v>118</v>
      </c>
      <c r="I175" s="155"/>
      <c r="J175" s="178">
        <f>H175/DAY(B2)</f>
        <v>10.727272727272727</v>
      </c>
    </row>
    <row r="176" spans="1:10" ht="30.75" customHeight="1" x14ac:dyDescent="0.5">
      <c r="A176" s="855" t="s">
        <v>196</v>
      </c>
      <c r="B176" s="856"/>
      <c r="C176" s="483"/>
      <c r="D176" s="228" t="s">
        <v>142</v>
      </c>
      <c r="E176" s="95"/>
      <c r="F176" s="155"/>
      <c r="G176" s="155">
        <f>SUM(G173:G175)</f>
        <v>24</v>
      </c>
      <c r="H176" s="99">
        <f>G176+'10'!H176</f>
        <v>270</v>
      </c>
      <c r="I176" s="155"/>
      <c r="J176" s="178">
        <f>H176/DAY(B2)</f>
        <v>24.545454545454547</v>
      </c>
    </row>
    <row r="177" spans="1:10" ht="30.75" customHeight="1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864" t="s">
        <v>210</v>
      </c>
      <c r="B178" s="865"/>
      <c r="C178" s="333"/>
      <c r="D178" s="228" t="s">
        <v>142</v>
      </c>
      <c r="E178" s="95">
        <f>'10'!F178</f>
        <v>81848</v>
      </c>
      <c r="F178" s="155">
        <v>81878</v>
      </c>
      <c r="G178" s="155">
        <f>F178-E178</f>
        <v>30</v>
      </c>
      <c r="H178" s="99">
        <f>G178+'10'!H178</f>
        <v>563</v>
      </c>
      <c r="I178" s="155"/>
      <c r="J178" s="178">
        <f>H178/DAY(B2)</f>
        <v>51.18181818181818</v>
      </c>
    </row>
    <row r="179" spans="1:10" ht="30.75" customHeight="1" x14ac:dyDescent="0.5">
      <c r="A179" s="864" t="s">
        <v>211</v>
      </c>
      <c r="B179" s="865"/>
      <c r="C179" s="333"/>
      <c r="D179" s="228" t="s">
        <v>142</v>
      </c>
      <c r="E179" s="95">
        <f>'10'!F179</f>
        <v>35133</v>
      </c>
      <c r="F179" s="155">
        <v>35157</v>
      </c>
      <c r="G179" s="155">
        <f t="shared" ref="G179:G180" si="15">F179-E179</f>
        <v>24</v>
      </c>
      <c r="H179" s="99">
        <f>G179+'10'!H179</f>
        <v>354</v>
      </c>
      <c r="I179" s="155"/>
      <c r="J179" s="178">
        <f>H179/DAY(B2)</f>
        <v>32.18181818181818</v>
      </c>
    </row>
    <row r="180" spans="1:10" ht="30.75" customHeight="1" x14ac:dyDescent="0.5">
      <c r="A180" s="864" t="s">
        <v>212</v>
      </c>
      <c r="B180" s="865"/>
      <c r="C180" s="333"/>
      <c r="D180" s="228" t="s">
        <v>142</v>
      </c>
      <c r="E180" s="95">
        <f>'10'!F180</f>
        <v>5770</v>
      </c>
      <c r="F180" s="155">
        <v>5772</v>
      </c>
      <c r="G180" s="155">
        <f t="shared" si="15"/>
        <v>2</v>
      </c>
      <c r="H180" s="99">
        <f>G180+'10'!H180</f>
        <v>70</v>
      </c>
      <c r="I180" s="155"/>
      <c r="J180" s="178">
        <f>H180/DAY(B2)</f>
        <v>6.3636363636363633</v>
      </c>
    </row>
    <row r="181" spans="1:10" ht="30.75" customHeight="1" x14ac:dyDescent="0.5">
      <c r="A181" s="866" t="s">
        <v>108</v>
      </c>
      <c r="B181" s="867"/>
      <c r="C181" s="483"/>
      <c r="D181" s="228" t="s">
        <v>142</v>
      </c>
      <c r="E181" s="95"/>
      <c r="F181" s="155"/>
      <c r="G181" s="155">
        <f>SUM(G178:G180)</f>
        <v>56</v>
      </c>
      <c r="H181" s="99">
        <f>G181+'10'!H181</f>
        <v>987</v>
      </c>
      <c r="I181" s="155"/>
      <c r="J181" s="178">
        <f>H181/DAY(B2)</f>
        <v>89.727272727272734</v>
      </c>
    </row>
    <row r="182" spans="1:10" ht="30.75" customHeight="1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864" t="s">
        <v>214</v>
      </c>
      <c r="B183" s="865"/>
      <c r="C183" s="334"/>
      <c r="D183" s="228" t="s">
        <v>142</v>
      </c>
      <c r="E183" s="95">
        <f>'10'!F183</f>
        <v>15484</v>
      </c>
      <c r="F183" s="157">
        <v>15521</v>
      </c>
      <c r="G183" s="157">
        <f>F183-E183</f>
        <v>37</v>
      </c>
      <c r="H183" s="99">
        <f>G183+'10'!H183</f>
        <v>176</v>
      </c>
      <c r="I183" s="155"/>
      <c r="J183" s="178">
        <f>H183/DAY(B2)</f>
        <v>16</v>
      </c>
    </row>
    <row r="184" spans="1:10" ht="30.75" customHeight="1" x14ac:dyDescent="0.5">
      <c r="A184" s="864" t="s">
        <v>215</v>
      </c>
      <c r="B184" s="865"/>
      <c r="C184" s="334"/>
      <c r="D184" s="228" t="s">
        <v>142</v>
      </c>
      <c r="E184" s="95">
        <f>'10'!F184</f>
        <v>10651</v>
      </c>
      <c r="F184" s="157">
        <v>10660</v>
      </c>
      <c r="G184" s="157">
        <f t="shared" ref="G184:G185" si="16">F184-E184</f>
        <v>9</v>
      </c>
      <c r="H184" s="99">
        <f>G184+'10'!H184</f>
        <v>142</v>
      </c>
      <c r="I184" s="155"/>
      <c r="J184" s="178">
        <f>H184/DAY(B2)</f>
        <v>12.909090909090908</v>
      </c>
    </row>
    <row r="185" spans="1:10" ht="30.75" customHeight="1" x14ac:dyDescent="0.5">
      <c r="A185" s="864" t="s">
        <v>216</v>
      </c>
      <c r="B185" s="865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855" t="s">
        <v>196</v>
      </c>
      <c r="B186" s="856"/>
      <c r="C186" s="482"/>
      <c r="D186" s="228" t="s">
        <v>142</v>
      </c>
      <c r="E186" s="95"/>
      <c r="F186" s="157"/>
      <c r="G186" s="157">
        <f>SUM(G183:G185)</f>
        <v>46</v>
      </c>
      <c r="H186" s="99">
        <f>G186+'10'!H186</f>
        <v>318</v>
      </c>
      <c r="I186" s="157"/>
      <c r="J186" s="178">
        <f>H186/DAY(B2)</f>
        <v>28.90909090909091</v>
      </c>
    </row>
    <row r="187" spans="1:10" ht="30.75" customHeight="1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460">
        <f>G62+G19</f>
        <v>237</v>
      </c>
      <c r="H187" s="99">
        <f>G187+'10'!H187</f>
        <v>1967</v>
      </c>
      <c r="I187" s="158"/>
      <c r="J187" s="179">
        <f>H187/DAY(B2)</f>
        <v>178.81818181818181</v>
      </c>
    </row>
    <row r="188" spans="1:10" ht="30.75" customHeight="1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244</v>
      </c>
      <c r="H188" s="99">
        <f>G188+'10'!H188</f>
        <v>1979</v>
      </c>
      <c r="I188" s="158"/>
      <c r="J188" s="179">
        <f>H188/DAY(B2)</f>
        <v>179.90909090909091</v>
      </c>
    </row>
    <row r="189" spans="1:10" ht="30.75" customHeight="1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457">
        <f>G181</f>
        <v>56</v>
      </c>
      <c r="H189" s="99">
        <f>G189+'10'!H189</f>
        <v>987</v>
      </c>
      <c r="I189" s="158"/>
      <c r="J189" s="179">
        <f>H189/DAY(B2)</f>
        <v>89.727272727272734</v>
      </c>
    </row>
    <row r="190" spans="1:10" ht="30.75" customHeight="1" x14ac:dyDescent="0.5">
      <c r="A190" s="778"/>
      <c r="B190" s="779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3" zoomScale="50" zoomScaleNormal="75" zoomScaleSheetLayoutView="50" workbookViewId="0">
      <selection activeCell="F27" sqref="F27:F31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32.25" customHeight="1" x14ac:dyDescent="0.5">
      <c r="A2" s="191" t="s">
        <v>303</v>
      </c>
      <c r="B2" s="262">
        <v>44604</v>
      </c>
      <c r="C2" s="348" t="s">
        <v>67</v>
      </c>
      <c r="D2" s="218">
        <v>0.73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48" t="s">
        <v>118</v>
      </c>
      <c r="D3" s="219">
        <v>23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866845</v>
      </c>
      <c r="F7" s="95">
        <v>889068</v>
      </c>
      <c r="G7" s="112">
        <f>F7-E7</f>
        <v>22223</v>
      </c>
      <c r="H7" s="99">
        <f>G7+'11'!H7</f>
        <v>237887.77000000002</v>
      </c>
      <c r="I7" s="113">
        <f>'1'!I7</f>
        <v>12000</v>
      </c>
      <c r="J7" s="175">
        <f>H7/DAY(B2)</f>
        <v>19823.980833333335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925914</v>
      </c>
      <c r="F8" s="95">
        <v>948253</v>
      </c>
      <c r="G8" s="115">
        <f>F8-E8</f>
        <v>22339</v>
      </c>
      <c r="H8" s="99">
        <f>G8+'11'!H8</f>
        <v>239704.84999999998</v>
      </c>
      <c r="I8" s="116"/>
      <c r="J8" s="175">
        <f>H8/DAY(B2)</f>
        <v>19975.404166666664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442898</v>
      </c>
      <c r="F9" s="598">
        <v>461289</v>
      </c>
      <c r="G9" s="112">
        <f>F9-E9</f>
        <v>18391</v>
      </c>
      <c r="H9" s="99">
        <f>G9+'11'!H9</f>
        <v>179035.15000000002</v>
      </c>
      <c r="I9" s="124">
        <f>I7-J7</f>
        <v>-7823.9808333333349</v>
      </c>
      <c r="J9" s="175">
        <f>H9/DAY(B2)</f>
        <v>14919.595833333335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154225</v>
      </c>
      <c r="F10" s="353">
        <v>157461</v>
      </c>
      <c r="G10" s="112">
        <f t="shared" ref="G10:G12" si="0">F10-E10</f>
        <v>3236</v>
      </c>
      <c r="H10" s="99">
        <f>G10+'11'!H10</f>
        <v>52202.03</v>
      </c>
      <c r="I10" s="282"/>
      <c r="J10" s="175">
        <f>H10/DAY(B2)</f>
        <v>4350.1691666666666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37170</v>
      </c>
      <c r="F11" s="95">
        <v>37170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21627</v>
      </c>
      <c r="H13" s="99">
        <f>G13+'11'!H13</f>
        <v>214482.75</v>
      </c>
      <c r="I13" s="120">
        <f>G7-G13</f>
        <v>596</v>
      </c>
      <c r="J13" s="175">
        <f>H13/DAY(B2)</f>
        <v>17873.5625</v>
      </c>
      <c r="K13" s="79"/>
      <c r="L13" s="66"/>
      <c r="N13" s="87"/>
      <c r="O13" s="71"/>
    </row>
    <row r="14" spans="1:15" ht="32.25" customHeight="1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5" t="s">
        <v>138</v>
      </c>
      <c r="B15" s="205"/>
      <c r="C15" s="205"/>
      <c r="D15" s="151" t="s">
        <v>139</v>
      </c>
      <c r="E15" s="95">
        <f>'11'!F15</f>
        <v>1918069</v>
      </c>
      <c r="F15" s="123">
        <v>1919362</v>
      </c>
      <c r="G15" s="112">
        <f>(F15-E15)</f>
        <v>1293</v>
      </c>
      <c r="H15" s="99">
        <f>G15+'11'!H15</f>
        <v>12725.233000000007</v>
      </c>
      <c r="I15" s="113">
        <f>'1'!I15</f>
        <v>800</v>
      </c>
      <c r="J15" s="175">
        <f>H15/DAY(B2)</f>
        <v>1060.436083333334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-260.43608333333395</v>
      </c>
      <c r="J16" s="176"/>
      <c r="K16" s="79"/>
      <c r="L16" s="66"/>
      <c r="N16" s="87"/>
      <c r="O16" s="71"/>
    </row>
    <row r="17" spans="1:15" ht="32.25" customHeight="1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92" t="s">
        <v>141</v>
      </c>
      <c r="B18" s="893"/>
      <c r="C18" s="894"/>
      <c r="D18" s="151" t="s">
        <v>142</v>
      </c>
      <c r="E18" s="95">
        <f>'11'!F18</f>
        <v>26</v>
      </c>
      <c r="F18" s="122">
        <v>28</v>
      </c>
      <c r="G18" s="119">
        <f>F18*10</f>
        <v>280</v>
      </c>
      <c r="H18" s="99">
        <f>G18+'11'!H18</f>
        <v>2550</v>
      </c>
      <c r="I18" s="113">
        <f>'1'!I18</f>
        <v>65</v>
      </c>
      <c r="J18" s="175">
        <f>H18/DAY(B2)</f>
        <v>212.5</v>
      </c>
      <c r="K18" s="79"/>
      <c r="L18" s="66"/>
      <c r="N18" s="87"/>
      <c r="O18" s="71"/>
    </row>
    <row r="19" spans="1:15" ht="32.25" customHeight="1" x14ac:dyDescent="0.5">
      <c r="A19" s="892" t="s">
        <v>69</v>
      </c>
      <c r="B19" s="893"/>
      <c r="C19" s="894"/>
      <c r="D19" s="151" t="s">
        <v>142</v>
      </c>
      <c r="E19" s="95">
        <f>'11'!F19</f>
        <v>154465</v>
      </c>
      <c r="F19" s="122">
        <v>154524</v>
      </c>
      <c r="G19" s="112">
        <f t="shared" ref="G19" si="1">F19-E19</f>
        <v>59</v>
      </c>
      <c r="H19" s="99">
        <f>G19+'11'!H19</f>
        <v>633</v>
      </c>
      <c r="I19" s="335"/>
      <c r="J19" s="175">
        <f>H19/DAY(B2)</f>
        <v>52.75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339</v>
      </c>
      <c r="H20" s="99">
        <f>G20+'11'!H20</f>
        <v>3183</v>
      </c>
      <c r="I20" s="336">
        <f>I18-J20</f>
        <v>-200.25</v>
      </c>
      <c r="J20" s="175">
        <f>H20/DAY(B2)</f>
        <v>265.25</v>
      </c>
      <c r="K20" s="79"/>
      <c r="L20" s="66"/>
      <c r="N20" s="87"/>
      <c r="O20" s="71"/>
    </row>
    <row r="21" spans="1:15" ht="32.25" customHeight="1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22339</v>
      </c>
      <c r="F27" s="136">
        <v>9</v>
      </c>
      <c r="G27" s="137">
        <f>E27*F27</f>
        <v>201051</v>
      </c>
      <c r="H27" s="99">
        <f>G27+'11'!H27</f>
        <v>2157343.65</v>
      </c>
      <c r="I27" s="138"/>
      <c r="J27" s="175">
        <f>H27/DAY(B2)</f>
        <v>179778.63749999998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1293</v>
      </c>
      <c r="F28" s="136">
        <v>70</v>
      </c>
      <c r="G28" s="137">
        <f>E28*F28</f>
        <v>90510</v>
      </c>
      <c r="H28" s="99">
        <f>G28+'11'!H28</f>
        <v>684986.11600000039</v>
      </c>
      <c r="I28" s="140"/>
      <c r="J28" s="175">
        <f>H28/DAY(B2)</f>
        <v>57082.176333333366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151</v>
      </c>
      <c r="G30" s="137">
        <f>E30*F30</f>
        <v>8909</v>
      </c>
      <c r="H30" s="99">
        <f>G30+'11'!H30</f>
        <v>92713</v>
      </c>
      <c r="I30" s="140"/>
      <c r="J30" s="175">
        <f>H30/DAY(B2)</f>
        <v>7726.083333333333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G31+'11'!H31</f>
        <v>204000</v>
      </c>
      <c r="I31" s="140"/>
      <c r="J31" s="175">
        <f>H31/DAY(B2)</f>
        <v>17000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322870</v>
      </c>
      <c r="H32" s="99">
        <f>G32+'11'!H32</f>
        <v>3139042.7660000003</v>
      </c>
      <c r="I32" s="144"/>
      <c r="J32" s="175">
        <f>H32/DAY(B2)</f>
        <v>261586.89716666669</v>
      </c>
      <c r="K32" s="63"/>
      <c r="L32" s="89"/>
      <c r="N32" s="87"/>
      <c r="O32" s="71"/>
    </row>
    <row r="33" spans="1:15" ht="32.2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48436</v>
      </c>
      <c r="F35" s="145">
        <v>50061</v>
      </c>
      <c r="G35" s="112">
        <f t="shared" ref="G35:G46" si="3">F35-E35</f>
        <v>1625</v>
      </c>
      <c r="H35" s="99">
        <f>G35+'11'!H35</f>
        <v>18056.02</v>
      </c>
      <c r="I35" s="95"/>
      <c r="J35" s="175">
        <f>H35/DAY(B2)</f>
        <v>1504.6683333333333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53614</v>
      </c>
      <c r="F36" s="145">
        <v>54808</v>
      </c>
      <c r="G36" s="112">
        <f t="shared" si="3"/>
        <v>1194</v>
      </c>
      <c r="H36" s="99">
        <f>G36+'11'!H36</f>
        <v>11349.260000000002</v>
      </c>
      <c r="I36" s="95"/>
      <c r="J36" s="175">
        <f>H36/DAY(B2)</f>
        <v>945.77166666666687</v>
      </c>
      <c r="K36" s="79"/>
      <c r="L36" s="66"/>
      <c r="N36" s="87"/>
      <c r="O36" s="34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53259</v>
      </c>
      <c r="F37" s="376">
        <v>55042</v>
      </c>
      <c r="G37" s="112">
        <f t="shared" si="3"/>
        <v>1783</v>
      </c>
      <c r="H37" s="99">
        <f>G37+'11'!H37</f>
        <v>19616.910000000003</v>
      </c>
      <c r="I37" s="95"/>
      <c r="J37" s="175">
        <f>H37/DAY(B2)</f>
        <v>1634.7425000000003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59023</v>
      </c>
      <c r="F38" s="108">
        <v>61185</v>
      </c>
      <c r="G38" s="112">
        <f t="shared" si="3"/>
        <v>2162</v>
      </c>
      <c r="H38" s="99">
        <f>G38+'11'!H38</f>
        <v>22808.57</v>
      </c>
      <c r="I38" s="95"/>
      <c r="J38" s="175">
        <f>H38/DAY(B2)</f>
        <v>1900.7141666666666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90428</v>
      </c>
      <c r="F39" s="145">
        <v>93673</v>
      </c>
      <c r="G39" s="112">
        <f t="shared" si="3"/>
        <v>3245</v>
      </c>
      <c r="H39" s="99">
        <f>G39+'11'!H39</f>
        <v>34499.71</v>
      </c>
      <c r="I39" s="95"/>
      <c r="J39" s="175">
        <f>H39/DAY(B2)</f>
        <v>2874.9758333333334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25009</v>
      </c>
      <c r="F40" s="145">
        <v>25514</v>
      </c>
      <c r="G40" s="112">
        <f t="shared" si="3"/>
        <v>505</v>
      </c>
      <c r="H40" s="99">
        <f>G40+'11'!H40</f>
        <v>3397.0099999999975</v>
      </c>
      <c r="I40" s="95"/>
      <c r="J40" s="175">
        <f>H40/DAY(B2)</f>
        <v>283.08416666666648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63</v>
      </c>
      <c r="F41" s="145">
        <v>63</v>
      </c>
      <c r="G41" s="112">
        <f t="shared" si="3"/>
        <v>0</v>
      </c>
      <c r="H41" s="99">
        <f>G41+'11'!H41</f>
        <v>0.27000000000000313</v>
      </c>
      <c r="I41" s="95"/>
      <c r="J41" s="175">
        <f>H41/DAY(B2)</f>
        <v>2.2500000000000259E-2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126339</v>
      </c>
      <c r="F42" s="145">
        <v>131048</v>
      </c>
      <c r="G42" s="112">
        <f t="shared" si="3"/>
        <v>4709</v>
      </c>
      <c r="H42" s="99">
        <f>G42+'11'!H42</f>
        <v>30918.259999999995</v>
      </c>
      <c r="I42" s="95"/>
      <c r="J42" s="175">
        <f>H42/DAY(B2)</f>
        <v>2576.5216666666661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376">
        <v>138387</v>
      </c>
      <c r="F43" s="376">
        <v>140613</v>
      </c>
      <c r="G43" s="112">
        <f t="shared" si="3"/>
        <v>2226</v>
      </c>
      <c r="H43" s="99">
        <f>G43+'11'!H43</f>
        <v>25761.399999999994</v>
      </c>
      <c r="I43" s="95"/>
      <c r="J43" s="175">
        <f>H43/DAY(B2)</f>
        <v>2146.7833333333328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17449</v>
      </c>
      <c r="H47" s="99">
        <f>G47+'11'!H47</f>
        <v>166407.41</v>
      </c>
      <c r="I47" s="95"/>
      <c r="J47" s="175">
        <f>H47/DAY(B2)</f>
        <v>13867.284166666666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38922</v>
      </c>
      <c r="F49" s="145">
        <v>40496</v>
      </c>
      <c r="G49" s="112">
        <f t="shared" ref="G49:G58" si="4">F49-E49</f>
        <v>1574</v>
      </c>
      <c r="H49" s="99">
        <f>G49+'11'!H49</f>
        <v>15499.810000000001</v>
      </c>
      <c r="I49" s="95"/>
      <c r="J49" s="175">
        <f>H49/DAY(B2)</f>
        <v>1291.6508333333334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145">
        <v>69423</v>
      </c>
      <c r="F50" s="145">
        <v>70733</v>
      </c>
      <c r="G50" s="112">
        <f t="shared" si="4"/>
        <v>1310</v>
      </c>
      <c r="H50" s="99">
        <f>G50+'11'!H50</f>
        <v>14346.370000000003</v>
      </c>
      <c r="I50" s="95"/>
      <c r="J50" s="175">
        <f>H50/DAY(B2)</f>
        <v>1195.5308333333335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10146</v>
      </c>
      <c r="F54" s="145">
        <v>10689</v>
      </c>
      <c r="G54" s="112">
        <f t="shared" si="4"/>
        <v>543</v>
      </c>
      <c r="H54" s="99">
        <f>G54+'11'!H54</f>
        <v>5541.58</v>
      </c>
      <c r="I54" s="95"/>
      <c r="J54" s="175">
        <f>H54/DAY(B2)</f>
        <v>461.79833333333335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90154</v>
      </c>
      <c r="F55" s="145">
        <v>90373</v>
      </c>
      <c r="G55" s="112">
        <f t="shared" si="4"/>
        <v>219</v>
      </c>
      <c r="H55" s="99">
        <f>G55+'11'!H55</f>
        <v>16006.89</v>
      </c>
      <c r="I55" s="95"/>
      <c r="J55" s="175">
        <f>H55/DAY(B2)</f>
        <v>1333.9075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8724</v>
      </c>
      <c r="F56" s="145">
        <v>8724</v>
      </c>
      <c r="G56" s="112">
        <f t="shared" si="4"/>
        <v>0</v>
      </c>
      <c r="H56" s="99">
        <f>G56+'11'!H56</f>
        <v>113.45999999999913</v>
      </c>
      <c r="I56" s="95"/>
      <c r="J56" s="175">
        <f>H56/DAY(B2)</f>
        <v>9.4549999999999272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7138</v>
      </c>
      <c r="F58" s="145">
        <v>7369</v>
      </c>
      <c r="G58" s="112">
        <f t="shared" si="4"/>
        <v>231</v>
      </c>
      <c r="H58" s="99">
        <f>G58+'11'!H58</f>
        <v>2572.79</v>
      </c>
      <c r="I58" s="95"/>
      <c r="J58" s="175">
        <f>H58/DAY(B2)</f>
        <v>214.39916666666667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3877</v>
      </c>
      <c r="H59" s="99">
        <f>G59+'11'!H59</f>
        <v>54080.9</v>
      </c>
      <c r="I59" s="95">
        <f>G7-G60</f>
        <v>897</v>
      </c>
      <c r="J59" s="175">
        <f>H59/DAY(B2)</f>
        <v>4506.7416666666668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21326</v>
      </c>
      <c r="H60" s="99">
        <f>G60+'11'!H60</f>
        <v>220488.31</v>
      </c>
      <c r="I60" s="95">
        <f>G13-G60</f>
        <v>301</v>
      </c>
      <c r="J60" s="175">
        <f>H60/DAY(B2)</f>
        <v>18374.025833333333</v>
      </c>
      <c r="K60" s="79"/>
      <c r="L60" s="66"/>
      <c r="N60" s="87"/>
      <c r="O60" s="71"/>
    </row>
    <row r="61" spans="1:15" s="68" customFormat="1" ht="32.25" customHeight="1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 x14ac:dyDescent="0.5">
      <c r="A62" s="892" t="s">
        <v>198</v>
      </c>
      <c r="B62" s="893"/>
      <c r="C62" s="894"/>
      <c r="D62" s="151" t="s">
        <v>142</v>
      </c>
      <c r="E62" s="95">
        <f>'11'!F62</f>
        <v>270909</v>
      </c>
      <c r="F62" s="122">
        <v>271086</v>
      </c>
      <c r="G62" s="112">
        <f t="shared" ref="G62:G63" si="5">F62-E62</f>
        <v>177</v>
      </c>
      <c r="H62" s="99">
        <f>G62+'11'!H62</f>
        <v>1570</v>
      </c>
      <c r="I62" s="118"/>
      <c r="J62" s="175">
        <f>H62/DAY(B2)</f>
        <v>130.83333333333334</v>
      </c>
      <c r="K62" s="80"/>
      <c r="L62" s="66"/>
      <c r="N62" s="87"/>
      <c r="O62" s="71"/>
    </row>
    <row r="63" spans="1:15" ht="32.25" customHeight="1" x14ac:dyDescent="0.5">
      <c r="A63" s="892" t="s">
        <v>199</v>
      </c>
      <c r="B63" s="893"/>
      <c r="C63" s="894"/>
      <c r="D63" s="151" t="s">
        <v>142</v>
      </c>
      <c r="E63" s="95">
        <f>'11'!F63</f>
        <v>217198</v>
      </c>
      <c r="F63" s="122">
        <v>217380</v>
      </c>
      <c r="G63" s="112">
        <f t="shared" si="5"/>
        <v>182</v>
      </c>
      <c r="H63" s="99">
        <f>G63+'11'!H63</f>
        <v>1583</v>
      </c>
      <c r="I63" s="118"/>
      <c r="J63" s="175">
        <f>H63/DAY(B2)</f>
        <v>131.91666666666666</v>
      </c>
      <c r="K63" s="69"/>
      <c r="L63" s="66"/>
      <c r="N63" s="87"/>
      <c r="O63" s="71"/>
    </row>
    <row r="64" spans="1:15" ht="32.25" customHeight="1" x14ac:dyDescent="0.5">
      <c r="A64" s="901" t="s">
        <v>200</v>
      </c>
      <c r="B64" s="902"/>
      <c r="C64" s="903"/>
      <c r="D64" s="151"/>
      <c r="E64" s="95">
        <f>'11'!F64</f>
        <v>0</v>
      </c>
      <c r="F64" s="122"/>
      <c r="G64" s="112">
        <f>G62+G63</f>
        <v>359</v>
      </c>
      <c r="H64" s="99">
        <f>G64+'11'!H64</f>
        <v>3153</v>
      </c>
      <c r="I64" s="118"/>
      <c r="J64" s="175">
        <f>H64/DAY(B2)</f>
        <v>262.75</v>
      </c>
      <c r="K64" s="69"/>
      <c r="L64" s="66"/>
      <c r="N64" s="87"/>
      <c r="O64" s="71"/>
    </row>
    <row r="65" spans="1:15" ht="32.25" customHeight="1" x14ac:dyDescent="0.5">
      <c r="A65" s="892" t="s">
        <v>201</v>
      </c>
      <c r="B65" s="893"/>
      <c r="C65" s="894"/>
      <c r="D65" s="151" t="s">
        <v>142</v>
      </c>
      <c r="E65" s="95">
        <f>'11'!F65</f>
        <v>435970</v>
      </c>
      <c r="F65" s="122">
        <v>436096</v>
      </c>
      <c r="G65" s="112">
        <f t="shared" ref="G65:G70" si="6">F65-E65</f>
        <v>126</v>
      </c>
      <c r="H65" s="99">
        <f>G65+'11'!H65</f>
        <v>1173</v>
      </c>
      <c r="I65" s="118"/>
      <c r="J65" s="175">
        <f>H65/DAY(B2)</f>
        <v>97.75</v>
      </c>
      <c r="K65" s="69"/>
      <c r="L65" s="66"/>
      <c r="N65" s="87"/>
      <c r="O65" s="71"/>
    </row>
    <row r="66" spans="1:15" ht="32.25" customHeight="1" x14ac:dyDescent="0.5">
      <c r="A66" s="345" t="s">
        <v>202</v>
      </c>
      <c r="B66" s="346"/>
      <c r="C66" s="346"/>
      <c r="D66" s="151" t="s">
        <v>142</v>
      </c>
      <c r="E66" s="95">
        <f>'11'!F66</f>
        <v>108017</v>
      </c>
      <c r="F66" s="122">
        <v>108045</v>
      </c>
      <c r="G66" s="112">
        <f t="shared" si="6"/>
        <v>28</v>
      </c>
      <c r="H66" s="99">
        <f>G66+'11'!H66</f>
        <v>302</v>
      </c>
      <c r="I66" s="118"/>
      <c r="J66" s="175">
        <f>H66/DAY(B2)</f>
        <v>25.166666666666668</v>
      </c>
      <c r="K66" s="78"/>
      <c r="L66" s="66"/>
      <c r="N66" s="87"/>
      <c r="O66" s="71"/>
    </row>
    <row r="67" spans="1:15" ht="32.25" customHeight="1" x14ac:dyDescent="0.5">
      <c r="A67" s="345" t="s">
        <v>203</v>
      </c>
      <c r="B67" s="346"/>
      <c r="C67" s="346"/>
      <c r="D67" s="151" t="s">
        <v>142</v>
      </c>
      <c r="E67" s="95">
        <f>'11'!F67</f>
        <v>105015</v>
      </c>
      <c r="F67" s="122">
        <v>105081</v>
      </c>
      <c r="G67" s="112">
        <f t="shared" si="6"/>
        <v>66</v>
      </c>
      <c r="H67" s="99">
        <f>G67+'11'!H67</f>
        <v>433</v>
      </c>
      <c r="I67" s="118"/>
      <c r="J67" s="175">
        <f>H67/DAY(B2)</f>
        <v>36.083333333333336</v>
      </c>
      <c r="K67" s="81"/>
      <c r="L67" s="66"/>
      <c r="N67" s="87"/>
      <c r="O67" s="71"/>
    </row>
    <row r="68" spans="1:15" ht="32.25" customHeight="1" x14ac:dyDescent="0.5">
      <c r="A68" s="345" t="s">
        <v>204</v>
      </c>
      <c r="B68" s="346"/>
      <c r="C68" s="346"/>
      <c r="D68" s="151" t="s">
        <v>142</v>
      </c>
      <c r="E68" s="95">
        <f>'11'!F68</f>
        <v>158114</v>
      </c>
      <c r="F68" s="122">
        <v>158166</v>
      </c>
      <c r="G68" s="112">
        <f t="shared" si="6"/>
        <v>52</v>
      </c>
      <c r="H68" s="99">
        <f>G68+'11'!H68</f>
        <v>469</v>
      </c>
      <c r="I68" s="118"/>
      <c r="J68" s="175">
        <f>H68/DAY(B2)</f>
        <v>39.083333333333336</v>
      </c>
      <c r="K68" s="69"/>
      <c r="L68" s="66"/>
      <c r="N68" s="87"/>
      <c r="O68" s="71"/>
    </row>
    <row r="69" spans="1:15" ht="32.25" customHeight="1" x14ac:dyDescent="0.5">
      <c r="A69" s="345" t="s">
        <v>205</v>
      </c>
      <c r="B69" s="346"/>
      <c r="C69" s="346"/>
      <c r="D69" s="151" t="s">
        <v>142</v>
      </c>
      <c r="E69" s="95">
        <f>'11'!F69</f>
        <v>10688</v>
      </c>
      <c r="F69" s="122">
        <v>10702</v>
      </c>
      <c r="G69" s="112">
        <f t="shared" si="6"/>
        <v>14</v>
      </c>
      <c r="H69" s="99">
        <f>G69+'11'!H69</f>
        <v>161</v>
      </c>
      <c r="I69" s="118"/>
      <c r="J69" s="175">
        <f>H69/DAY(B2)</f>
        <v>13.416666666666666</v>
      </c>
      <c r="K69" s="69"/>
      <c r="L69" s="66"/>
      <c r="N69" s="87"/>
      <c r="O69" s="71"/>
    </row>
    <row r="70" spans="1:15" ht="32.25" customHeight="1" x14ac:dyDescent="0.5">
      <c r="A70" s="345" t="s">
        <v>206</v>
      </c>
      <c r="B70" s="346"/>
      <c r="C70" s="346"/>
      <c r="D70" s="151" t="s">
        <v>142</v>
      </c>
      <c r="E70" s="95">
        <f>'11'!F70</f>
        <v>8264</v>
      </c>
      <c r="F70" s="122">
        <v>8269</v>
      </c>
      <c r="G70" s="112">
        <f t="shared" si="6"/>
        <v>5</v>
      </c>
      <c r="H70" s="99">
        <f>G70+'11'!H70</f>
        <v>149</v>
      </c>
      <c r="I70" s="118"/>
      <c r="J70" s="175">
        <f>H70/DAY(B2)</f>
        <v>12.416666666666666</v>
      </c>
      <c r="K70" s="69"/>
      <c r="L70" s="66"/>
      <c r="N70" s="87"/>
      <c r="O70" s="71"/>
    </row>
    <row r="71" spans="1:15" ht="32.25" customHeight="1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291</v>
      </c>
      <c r="H71" s="99">
        <f>G71+'11'!H71</f>
        <v>2687</v>
      </c>
      <c r="I71" s="154"/>
      <c r="J71" s="175">
        <f>H71/DAY(B2)</f>
        <v>223.91666666666666</v>
      </c>
      <c r="K71" s="69"/>
      <c r="L71" s="66"/>
      <c r="N71" s="87"/>
      <c r="O71" s="71"/>
    </row>
    <row r="72" spans="1:15" s="88" customFormat="1" ht="32.25" customHeight="1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 x14ac:dyDescent="0.5">
      <c r="A74" s="892" t="s">
        <v>220</v>
      </c>
      <c r="B74" s="893"/>
      <c r="C74" s="894"/>
      <c r="D74" s="151" t="s">
        <v>139</v>
      </c>
      <c r="E74" s="95">
        <f>'11'!F74</f>
        <v>904690</v>
      </c>
      <c r="F74" s="117">
        <v>905014</v>
      </c>
      <c r="G74" s="112">
        <f t="shared" ref="G74:G78" si="7">F74-E74</f>
        <v>324</v>
      </c>
      <c r="H74" s="99">
        <f>G74+'11'!H74</f>
        <v>3707.8510000000242</v>
      </c>
      <c r="I74" s="154"/>
      <c r="J74" s="175">
        <f>H74/DAY(B2)</f>
        <v>308.98758333333535</v>
      </c>
      <c r="K74" s="69"/>
      <c r="L74" s="66"/>
      <c r="N74" s="87"/>
      <c r="O74" s="71"/>
    </row>
    <row r="75" spans="1:15" ht="32.25" customHeight="1" x14ac:dyDescent="0.5">
      <c r="A75" s="892" t="s">
        <v>221</v>
      </c>
      <c r="B75" s="893"/>
      <c r="C75" s="894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 x14ac:dyDescent="0.5">
      <c r="A76" s="889" t="s">
        <v>222</v>
      </c>
      <c r="B76" s="890"/>
      <c r="C76" s="891"/>
      <c r="D76" s="151" t="s">
        <v>139</v>
      </c>
      <c r="E76" s="95">
        <f>'11'!F76</f>
        <v>171252</v>
      </c>
      <c r="F76" s="123">
        <v>171404</v>
      </c>
      <c r="G76" s="112">
        <f t="shared" si="7"/>
        <v>152</v>
      </c>
      <c r="H76" s="99">
        <f>G76+'11'!H76</f>
        <v>1429</v>
      </c>
      <c r="I76" s="154"/>
      <c r="J76" s="175">
        <f>H76/DAY(B2)</f>
        <v>119.08333333333333</v>
      </c>
      <c r="K76" s="69"/>
      <c r="L76" s="66"/>
      <c r="N76" s="87"/>
      <c r="O76" s="71"/>
    </row>
    <row r="77" spans="1:15" ht="32.25" customHeight="1" x14ac:dyDescent="0.5">
      <c r="A77" s="889" t="s">
        <v>223</v>
      </c>
      <c r="B77" s="890"/>
      <c r="C77" s="891"/>
      <c r="D77" s="151" t="s">
        <v>139</v>
      </c>
      <c r="E77" s="95">
        <f>'11'!F77</f>
        <v>41826</v>
      </c>
      <c r="F77" s="123">
        <v>41884</v>
      </c>
      <c r="G77" s="112">
        <f t="shared" si="7"/>
        <v>58</v>
      </c>
      <c r="H77" s="99">
        <f>G77+'11'!H77</f>
        <v>581.80000000000291</v>
      </c>
      <c r="I77" s="154"/>
      <c r="J77" s="175">
        <f>H77/DAY(B2)</f>
        <v>48.483333333333576</v>
      </c>
      <c r="K77" s="69"/>
      <c r="L77" s="66"/>
      <c r="N77" s="87"/>
      <c r="O77" s="71"/>
    </row>
    <row r="78" spans="1:15" ht="32.25" customHeight="1" x14ac:dyDescent="0.5">
      <c r="A78" s="889" t="s">
        <v>224</v>
      </c>
      <c r="B78" s="890"/>
      <c r="C78" s="891"/>
      <c r="D78" s="151" t="s">
        <v>139</v>
      </c>
      <c r="E78" s="95">
        <f>'11'!F78</f>
        <v>9534</v>
      </c>
      <c r="F78" s="123">
        <v>9538</v>
      </c>
      <c r="G78" s="112">
        <f t="shared" si="7"/>
        <v>4</v>
      </c>
      <c r="H78" s="99">
        <f>G78+'11'!H78</f>
        <v>22</v>
      </c>
      <c r="I78" s="118"/>
      <c r="J78" s="175">
        <f>H78/DAY(B2)</f>
        <v>1.8333333333333333</v>
      </c>
      <c r="K78" s="69"/>
      <c r="L78" s="66"/>
      <c r="N78" s="87"/>
      <c r="O78" s="71"/>
    </row>
    <row r="79" spans="1:15" s="57" customFormat="1" ht="32.25" customHeight="1" x14ac:dyDescent="0.5">
      <c r="A79" s="889" t="s">
        <v>225</v>
      </c>
      <c r="B79" s="890"/>
      <c r="C79" s="891"/>
      <c r="D79" s="151"/>
      <c r="E79" s="95">
        <f>'11'!F79</f>
        <v>0</v>
      </c>
      <c r="F79" s="117"/>
      <c r="G79" s="112">
        <f>G15-SUM(G74:G78)</f>
        <v>755</v>
      </c>
      <c r="H79" s="99">
        <f>G79+'11'!H79</f>
        <v>6984.3819999999832</v>
      </c>
      <c r="I79" s="118"/>
      <c r="J79" s="175">
        <f>H79/DAY(B2)</f>
        <v>582.03183333333197</v>
      </c>
      <c r="K79" s="59"/>
      <c r="L79" s="58"/>
      <c r="N79" s="87"/>
      <c r="O79" s="71"/>
    </row>
    <row r="80" spans="1:15" s="57" customFormat="1" ht="32.25" customHeight="1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1293</v>
      </c>
      <c r="H80" s="99">
        <f>G80+'11'!H80</f>
        <v>1293</v>
      </c>
      <c r="I80" s="118"/>
      <c r="J80" s="175">
        <f>H80/DAY(B2)</f>
        <v>107.75</v>
      </c>
      <c r="K80" s="59"/>
      <c r="L80" s="58"/>
      <c r="N80" s="87"/>
      <c r="O80" s="71"/>
    </row>
    <row r="81" spans="1:15" ht="32.25" customHeight="1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0</v>
      </c>
      <c r="I84" s="118"/>
      <c r="J84" s="175">
        <f>H84/DAY(B2)</f>
        <v>0</v>
      </c>
      <c r="O84" s="71"/>
    </row>
    <row r="85" spans="1:15" ht="32.25" customHeight="1" x14ac:dyDescent="0.5">
      <c r="A85" s="345" t="s">
        <v>231</v>
      </c>
      <c r="B85" s="346"/>
      <c r="C85" s="346"/>
      <c r="D85" s="151" t="s">
        <v>228</v>
      </c>
      <c r="E85" s="95">
        <f>'11'!F85</f>
        <v>2408</v>
      </c>
      <c r="F85" s="164">
        <v>2432</v>
      </c>
      <c r="G85" s="112">
        <f t="shared" si="8"/>
        <v>24</v>
      </c>
      <c r="H85" s="99">
        <f>G85+'11'!H85</f>
        <v>171.57999999999993</v>
      </c>
      <c r="I85" s="118">
        <f>G82+G83+G84+G85</f>
        <v>24</v>
      </c>
      <c r="J85" s="175">
        <f>H85/DAY(B2)</f>
        <v>14.298333333333327</v>
      </c>
      <c r="O85" s="71"/>
    </row>
    <row r="86" spans="1:15" ht="32.25" customHeight="1" x14ac:dyDescent="0.5">
      <c r="A86" s="345" t="s">
        <v>232</v>
      </c>
      <c r="B86" s="346"/>
      <c r="C86" s="346"/>
      <c r="D86" s="151" t="s">
        <v>228</v>
      </c>
      <c r="E86" s="95">
        <f>'11'!F86</f>
        <v>43560</v>
      </c>
      <c r="F86" s="164">
        <v>43562</v>
      </c>
      <c r="G86" s="112">
        <f t="shared" si="8"/>
        <v>2</v>
      </c>
      <c r="H86" s="99">
        <f>G86+'11'!H86</f>
        <v>120</v>
      </c>
      <c r="I86" s="118"/>
      <c r="J86" s="175">
        <f>H86/DAY(B2)</f>
        <v>10</v>
      </c>
      <c r="O86" s="71"/>
    </row>
    <row r="87" spans="1:15" ht="32.25" customHeight="1" x14ac:dyDescent="0.5">
      <c r="A87" s="345" t="s">
        <v>233</v>
      </c>
      <c r="B87" s="346"/>
      <c r="C87" s="346"/>
      <c r="D87" s="151" t="s">
        <v>228</v>
      </c>
      <c r="E87" s="95">
        <f>'11'!F87</f>
        <v>34598.550000000003</v>
      </c>
      <c r="F87" s="164">
        <v>34598.550000000003</v>
      </c>
      <c r="G87" s="112">
        <f t="shared" si="8"/>
        <v>0</v>
      </c>
      <c r="H87" s="99">
        <f>G87+'11'!H87</f>
        <v>5.0000000002910383E-2</v>
      </c>
      <c r="I87" s="118"/>
      <c r="J87" s="175">
        <f>H87/DAY(B2)</f>
        <v>4.1666666669091983E-3</v>
      </c>
      <c r="O87" s="71"/>
    </row>
    <row r="88" spans="1:15" ht="32.25" customHeight="1" x14ac:dyDescent="0.5">
      <c r="A88" s="345" t="s">
        <v>234</v>
      </c>
      <c r="B88" s="346"/>
      <c r="C88" s="346"/>
      <c r="D88" s="151" t="s">
        <v>228</v>
      </c>
      <c r="E88" s="95">
        <f>'11'!F88</f>
        <v>24063</v>
      </c>
      <c r="F88" s="164">
        <v>24066.77</v>
      </c>
      <c r="G88" s="112">
        <f t="shared" si="8"/>
        <v>3.7700000000004366</v>
      </c>
      <c r="H88" s="99">
        <f>G88+'11'!H88</f>
        <v>3.3400000000001455</v>
      </c>
      <c r="I88" s="118">
        <f>G86+G87+G88</f>
        <v>5.7700000000004366</v>
      </c>
      <c r="J88" s="175">
        <f>H88/DAY(B2)</f>
        <v>0.27833333333334548</v>
      </c>
      <c r="O88" s="71"/>
    </row>
    <row r="89" spans="1:15" ht="32.25" customHeight="1" x14ac:dyDescent="0.5">
      <c r="A89" s="345" t="s">
        <v>235</v>
      </c>
      <c r="B89" s="346"/>
      <c r="C89" s="346"/>
      <c r="D89" s="151" t="s">
        <v>228</v>
      </c>
      <c r="E89" s="95">
        <f>'11'!F89</f>
        <v>26004</v>
      </c>
      <c r="F89" s="164">
        <v>26012.63</v>
      </c>
      <c r="G89" s="112">
        <f t="shared" si="8"/>
        <v>8.6300000000010186</v>
      </c>
      <c r="H89" s="99">
        <f>G89+'11'!H89</f>
        <v>121.51000000000204</v>
      </c>
      <c r="I89" s="118"/>
      <c r="J89" s="175">
        <f>H89/DAY(B2)</f>
        <v>10.125833333333503</v>
      </c>
      <c r="O89" s="71"/>
    </row>
    <row r="90" spans="1:15" ht="32.25" customHeight="1" x14ac:dyDescent="0.5">
      <c r="A90" s="345" t="s">
        <v>236</v>
      </c>
      <c r="B90" s="346"/>
      <c r="C90" s="346"/>
      <c r="D90" s="151" t="s">
        <v>228</v>
      </c>
      <c r="E90" s="95">
        <f>'11'!F90</f>
        <v>71194</v>
      </c>
      <c r="F90" s="164">
        <v>71201.23</v>
      </c>
      <c r="G90" s="112">
        <f t="shared" si="8"/>
        <v>7.2299999999959255</v>
      </c>
      <c r="H90" s="99">
        <f>G90+'11'!H90</f>
        <v>37.909999999988941</v>
      </c>
      <c r="I90" s="118">
        <f>G89+G90</f>
        <v>15.859999999996944</v>
      </c>
      <c r="J90" s="175">
        <f>H90/DAY(B2)</f>
        <v>3.1591666666657452</v>
      </c>
      <c r="O90" s="71"/>
    </row>
    <row r="91" spans="1:15" ht="32.25" customHeight="1" x14ac:dyDescent="0.5">
      <c r="A91" s="345" t="s">
        <v>237</v>
      </c>
      <c r="B91" s="346"/>
      <c r="C91" s="346"/>
      <c r="D91" s="151" t="s">
        <v>228</v>
      </c>
      <c r="E91" s="95">
        <f>'11'!F91</f>
        <v>3376</v>
      </c>
      <c r="F91" s="122">
        <v>3387.86</v>
      </c>
      <c r="G91" s="112">
        <f t="shared" si="8"/>
        <v>11.860000000000127</v>
      </c>
      <c r="H91" s="99">
        <f>G91+'11'!H91</f>
        <v>136.76999999999998</v>
      </c>
      <c r="I91" s="165"/>
      <c r="J91" s="175">
        <f>H91/DAY(B2)</f>
        <v>11.397499999999999</v>
      </c>
      <c r="O91" s="71"/>
    </row>
    <row r="92" spans="1:15" ht="32.25" customHeight="1" x14ac:dyDescent="0.5">
      <c r="A92" s="345" t="s">
        <v>238</v>
      </c>
      <c r="B92" s="346"/>
      <c r="C92" s="346"/>
      <c r="D92" s="151" t="s">
        <v>228</v>
      </c>
      <c r="E92" s="95">
        <f>'11'!F92</f>
        <v>5741</v>
      </c>
      <c r="F92" s="122">
        <v>5741</v>
      </c>
      <c r="G92" s="112">
        <f t="shared" si="8"/>
        <v>0</v>
      </c>
      <c r="H92" s="99">
        <f>G92+'11'!H92</f>
        <v>-6.9999999999708962E-2</v>
      </c>
      <c r="I92" s="165"/>
      <c r="J92" s="175">
        <f>H92/DAY(B2)</f>
        <v>-5.8333333333090804E-3</v>
      </c>
      <c r="O92" s="71"/>
    </row>
    <row r="93" spans="1:15" ht="32.25" customHeight="1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5425</v>
      </c>
      <c r="H94" s="99">
        <f>G94+'11'!H94</f>
        <v>59317.229999999996</v>
      </c>
      <c r="I94" s="118"/>
      <c r="J94" s="175">
        <f>H94/DAY(B2)</f>
        <v>4943.1025</v>
      </c>
      <c r="K94" s="69"/>
      <c r="L94" s="66"/>
      <c r="O94" s="71"/>
    </row>
    <row r="95" spans="1:15" ht="32.25" customHeight="1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0.24411645592404266</v>
      </c>
      <c r="H95" s="99">
        <f>G95+'11'!H95</f>
        <v>2.9940155695754833</v>
      </c>
      <c r="I95" s="167"/>
      <c r="J95" s="175">
        <f>H95/DAY(B2)</f>
        <v>0.2495012974646236</v>
      </c>
      <c r="K95" s="69"/>
      <c r="L95" s="66"/>
      <c r="O95" s="71"/>
    </row>
    <row r="96" spans="1:15" ht="32.25" customHeight="1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4928</v>
      </c>
      <c r="H96" s="99">
        <f>G96+'11'!H96</f>
        <v>47038.87999999999</v>
      </c>
      <c r="I96" s="118"/>
      <c r="J96" s="175">
        <f>H96/DAY(B2)</f>
        <v>3919.9066666666658</v>
      </c>
      <c r="K96" s="69"/>
      <c r="L96" s="66"/>
      <c r="O96" s="71"/>
    </row>
    <row r="97" spans="1:15" ht="32.25" customHeight="1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0.22175223867164648</v>
      </c>
      <c r="H97" s="99">
        <f>G97+'11'!H97</f>
        <v>2.3697151955956528</v>
      </c>
      <c r="I97" s="167"/>
      <c r="J97" s="175">
        <f>H97/DAY(B2)</f>
        <v>0.19747626629963774</v>
      </c>
      <c r="K97" s="69"/>
      <c r="L97" s="66"/>
      <c r="O97" s="71"/>
    </row>
    <row r="98" spans="1:15" ht="32.25" customHeight="1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3245</v>
      </c>
      <c r="H98" s="99">
        <f>G98+'11'!H98</f>
        <v>34499.71</v>
      </c>
      <c r="I98" s="168"/>
      <c r="J98" s="175">
        <f>H98/DAY(B2)</f>
        <v>2874.9758333333334</v>
      </c>
      <c r="K98" s="69"/>
      <c r="L98" s="66"/>
      <c r="O98" s="71"/>
    </row>
    <row r="99" spans="1:15" ht="32.25" customHeight="1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0.14601988930387436</v>
      </c>
      <c r="H99" s="99">
        <f>G99+'11'!H99</f>
        <v>1.7415010112834888</v>
      </c>
      <c r="I99" s="168"/>
      <c r="J99" s="175">
        <f>H99/DAY(B2)</f>
        <v>0.14512508427362406</v>
      </c>
      <c r="O99" s="71"/>
    </row>
    <row r="100" spans="1:15" ht="32.25" customHeight="1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2162</v>
      </c>
      <c r="H100" s="99">
        <f>G100+'11'!H100</f>
        <v>22808.57</v>
      </c>
      <c r="I100" s="118"/>
      <c r="J100" s="175">
        <f>H100/DAY(B2)</f>
        <v>1900.7141666666666</v>
      </c>
      <c r="K100" s="70"/>
      <c r="O100" s="71"/>
    </row>
    <row r="101" spans="1:15" ht="32.25" customHeight="1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9.7286594969176077E-2</v>
      </c>
      <c r="H101" s="99">
        <f>G101+'11'!H101</f>
        <v>1.1504794442996493</v>
      </c>
      <c r="I101" s="168"/>
      <c r="J101" s="175">
        <f>H101/DAY(B2)</f>
        <v>9.5873287024970777E-2</v>
      </c>
      <c r="O101" s="71"/>
    </row>
    <row r="102" spans="1:15" ht="32.25" customHeight="1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2504</v>
      </c>
      <c r="H102" s="99">
        <f>G102+'11'!H102</f>
        <v>25695.630000000005</v>
      </c>
      <c r="I102" s="168"/>
      <c r="J102" s="175">
        <f>H102/DAY(B2)</f>
        <v>2141.3025000000002</v>
      </c>
      <c r="O102" s="71"/>
    </row>
    <row r="103" spans="1:15" ht="32.25" customHeight="1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0.11267605633802817</v>
      </c>
      <c r="H103" s="99">
        <f>G103+'11'!H103</f>
        <v>1.2916984709996366</v>
      </c>
      <c r="I103" s="118"/>
      <c r="J103" s="175">
        <f>H103/DAY(B2)</f>
        <v>0.10764153924996972</v>
      </c>
      <c r="O103" s="71"/>
    </row>
    <row r="104" spans="1:15" ht="32.25" customHeight="1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1783</v>
      </c>
      <c r="H104" s="99">
        <f>G104+'11'!H104</f>
        <v>19616.910000000003</v>
      </c>
      <c r="I104" s="118"/>
      <c r="J104" s="175">
        <f>H104/DAY(B2)</f>
        <v>1634.7425000000003</v>
      </c>
      <c r="O104" s="71"/>
    </row>
    <row r="105" spans="1:15" ht="32.25" customHeight="1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8.0232191873284439E-2</v>
      </c>
      <c r="H105" s="99">
        <f>G105+'11'!H105</f>
        <v>0.99212167005133334</v>
      </c>
      <c r="I105" s="187"/>
      <c r="J105" s="188">
        <f>H105/DAY(B2)</f>
        <v>8.2676805837611111E-2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32.25" customHeight="1" x14ac:dyDescent="0.5">
      <c r="A109" s="909"/>
      <c r="B109" s="909"/>
    </row>
    <row r="110" spans="1:15" ht="32.25" customHeight="1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32.25" customHeight="1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32.25" customHeight="1" x14ac:dyDescent="0.5">
      <c r="A112" s="871" t="s">
        <v>252</v>
      </c>
      <c r="B112" s="872"/>
      <c r="C112" s="873"/>
      <c r="D112" s="146" t="s">
        <v>183</v>
      </c>
      <c r="E112" s="95">
        <f>'11'!F112</f>
        <v>58875</v>
      </c>
      <c r="F112" s="237">
        <v>58939</v>
      </c>
      <c r="G112" s="112">
        <f t="shared" ref="G112:G123" si="9">F112-E112</f>
        <v>64</v>
      </c>
      <c r="H112" s="99">
        <f>G112+'11'!H112</f>
        <v>885</v>
      </c>
      <c r="I112" s="165"/>
      <c r="J112" s="328">
        <f>H112/DAY(B2)</f>
        <v>73.75</v>
      </c>
    </row>
    <row r="113" spans="1:18" ht="32.25" customHeight="1" x14ac:dyDescent="0.5">
      <c r="A113" s="871" t="s">
        <v>253</v>
      </c>
      <c r="B113" s="872"/>
      <c r="C113" s="873"/>
      <c r="D113" s="146" t="s">
        <v>183</v>
      </c>
      <c r="E113" s="95">
        <f>'11'!F113</f>
        <v>51535</v>
      </c>
      <c r="F113" s="237">
        <v>52030</v>
      </c>
      <c r="G113" s="112">
        <f t="shared" si="9"/>
        <v>495</v>
      </c>
      <c r="H113" s="99">
        <f>G113+'11'!H113</f>
        <v>5629.1100000000006</v>
      </c>
      <c r="I113" s="165"/>
      <c r="J113" s="328">
        <f>H113/DAY(B2)</f>
        <v>469.09250000000003</v>
      </c>
    </row>
    <row r="114" spans="1:18" ht="32.25" customHeight="1" x14ac:dyDescent="0.5">
      <c r="A114" s="871" t="s">
        <v>254</v>
      </c>
      <c r="B114" s="872"/>
      <c r="C114" s="873"/>
      <c r="D114" s="146" t="s">
        <v>183</v>
      </c>
      <c r="E114" s="95">
        <f>'11'!F114</f>
        <v>36599</v>
      </c>
      <c r="F114" s="237">
        <v>37020</v>
      </c>
      <c r="G114" s="112">
        <f t="shared" si="9"/>
        <v>421</v>
      </c>
      <c r="H114" s="99">
        <f>G114+'11'!H114</f>
        <v>3860</v>
      </c>
      <c r="I114" s="165"/>
      <c r="J114" s="328">
        <f>H114/DAY(B2)</f>
        <v>321.66666666666669</v>
      </c>
    </row>
    <row r="115" spans="1:18" ht="32.25" customHeight="1" x14ac:dyDescent="0.5">
      <c r="A115" s="871" t="s">
        <v>255</v>
      </c>
      <c r="B115" s="872"/>
      <c r="C115" s="873"/>
      <c r="D115" s="146" t="s">
        <v>183</v>
      </c>
      <c r="E115" s="95">
        <f>'11'!F115</f>
        <v>9211</v>
      </c>
      <c r="F115" s="237">
        <v>9221</v>
      </c>
      <c r="G115" s="112">
        <f t="shared" si="9"/>
        <v>10</v>
      </c>
      <c r="H115" s="99">
        <f>G115+'11'!H115</f>
        <v>126.35000000000036</v>
      </c>
      <c r="I115" s="165"/>
      <c r="J115" s="328">
        <f>H115/DAY(B2)</f>
        <v>10.529166666666697</v>
      </c>
    </row>
    <row r="116" spans="1:18" ht="32.25" customHeight="1" x14ac:dyDescent="0.5">
      <c r="A116" s="878" t="s">
        <v>96</v>
      </c>
      <c r="B116" s="879"/>
      <c r="C116" s="880"/>
      <c r="D116" s="146" t="s">
        <v>183</v>
      </c>
      <c r="E116" s="95">
        <f>'11'!F116</f>
        <v>1921</v>
      </c>
      <c r="F116" s="237">
        <v>2405</v>
      </c>
      <c r="G116" s="112">
        <f t="shared" si="9"/>
        <v>484</v>
      </c>
      <c r="H116" s="99">
        <f>G116+'11'!H116</f>
        <v>2405</v>
      </c>
      <c r="I116" s="165"/>
      <c r="J116" s="328">
        <f>H116/DAY(B2)</f>
        <v>200.41666666666666</v>
      </c>
      <c r="Q116" s="871" t="s">
        <v>311</v>
      </c>
      <c r="R116" s="873"/>
    </row>
    <row r="117" spans="1:18" ht="32.25" customHeight="1" x14ac:dyDescent="0.5">
      <c r="A117" s="878" t="s">
        <v>184</v>
      </c>
      <c r="B117" s="879"/>
      <c r="C117" s="880"/>
      <c r="D117" s="146" t="s">
        <v>183</v>
      </c>
      <c r="E117" s="95">
        <f>'11'!F117</f>
        <v>4666</v>
      </c>
      <c r="F117" s="237">
        <v>4862</v>
      </c>
      <c r="G117" s="112">
        <f t="shared" si="9"/>
        <v>196</v>
      </c>
      <c r="H117" s="99">
        <f>G117+'11'!H117</f>
        <v>1524.0500000000002</v>
      </c>
      <c r="I117" s="165"/>
      <c r="J117" s="328">
        <f>H117/DAY(B2)</f>
        <v>127.00416666666668</v>
      </c>
      <c r="Q117" s="871" t="s">
        <v>312</v>
      </c>
      <c r="R117" s="873"/>
    </row>
    <row r="118" spans="1:18" ht="32.25" customHeight="1" x14ac:dyDescent="0.5">
      <c r="A118" s="870" t="s">
        <v>97</v>
      </c>
      <c r="B118" s="870"/>
      <c r="C118" s="870"/>
      <c r="D118" s="151" t="s">
        <v>183</v>
      </c>
      <c r="E118" s="95">
        <f>'11'!F118</f>
        <v>256349</v>
      </c>
      <c r="F118" s="237">
        <v>256755</v>
      </c>
      <c r="G118" s="112">
        <f t="shared" si="9"/>
        <v>406</v>
      </c>
      <c r="H118" s="99">
        <f>G118+'11'!H118</f>
        <v>4302.6900000000023</v>
      </c>
      <c r="I118" s="165"/>
      <c r="J118" s="328">
        <f>H118/DAY(B2)</f>
        <v>358.55750000000018</v>
      </c>
      <c r="Q118" s="871" t="s">
        <v>311</v>
      </c>
      <c r="R118" s="873"/>
    </row>
    <row r="119" spans="1:18" ht="32.25" customHeight="1" x14ac:dyDescent="0.5">
      <c r="A119" s="870" t="s">
        <v>98</v>
      </c>
      <c r="B119" s="870"/>
      <c r="C119" s="870"/>
      <c r="D119" s="151" t="s">
        <v>183</v>
      </c>
      <c r="E119" s="95">
        <f>'11'!F119</f>
        <v>262701</v>
      </c>
      <c r="F119" s="237">
        <v>263141</v>
      </c>
      <c r="G119" s="112">
        <f t="shared" si="9"/>
        <v>440</v>
      </c>
      <c r="H119" s="99">
        <f>G119+'11'!H119</f>
        <v>4992.4500000000116</v>
      </c>
      <c r="I119" s="165"/>
      <c r="J119" s="328">
        <f>H119/DAY(B2)</f>
        <v>416.03750000000099</v>
      </c>
    </row>
    <row r="120" spans="1:18" ht="32.25" customHeight="1" x14ac:dyDescent="0.5">
      <c r="A120" s="870" t="s">
        <v>99</v>
      </c>
      <c r="B120" s="870"/>
      <c r="C120" s="870"/>
      <c r="D120" s="151" t="s">
        <v>183</v>
      </c>
      <c r="E120" s="95">
        <f>'11'!F120</f>
        <v>47633</v>
      </c>
      <c r="F120" s="237">
        <v>48046</v>
      </c>
      <c r="G120" s="112">
        <f t="shared" si="9"/>
        <v>413</v>
      </c>
      <c r="H120" s="99">
        <f>G120+'11'!H120</f>
        <v>5086.3899999999994</v>
      </c>
      <c r="I120" s="165"/>
      <c r="J120" s="328">
        <f>H120/DAY(B2)</f>
        <v>423.86583333333328</v>
      </c>
    </row>
    <row r="121" spans="1:18" ht="32.25" customHeight="1" x14ac:dyDescent="0.5">
      <c r="A121" s="870" t="s">
        <v>100</v>
      </c>
      <c r="B121" s="870"/>
      <c r="C121" s="870"/>
      <c r="D121" s="151" t="s">
        <v>183</v>
      </c>
      <c r="E121" s="95">
        <f>'11'!F121</f>
        <v>406029</v>
      </c>
      <c r="F121" s="237">
        <v>406805</v>
      </c>
      <c r="G121" s="112">
        <f t="shared" si="9"/>
        <v>776</v>
      </c>
      <c r="H121" s="99">
        <f>G121+'11'!H121</f>
        <v>8770.570000000007</v>
      </c>
      <c r="I121" s="165"/>
      <c r="J121" s="328">
        <f>H121/DAY(B2)</f>
        <v>730.88083333333395</v>
      </c>
    </row>
    <row r="122" spans="1:18" ht="32.25" customHeight="1" x14ac:dyDescent="0.5">
      <c r="A122" s="870" t="s">
        <v>101</v>
      </c>
      <c r="B122" s="870"/>
      <c r="C122" s="870"/>
      <c r="D122" s="151" t="s">
        <v>183</v>
      </c>
      <c r="E122" s="95">
        <f>'11'!F122</f>
        <v>128621</v>
      </c>
      <c r="F122" s="237">
        <v>128805</v>
      </c>
      <c r="G122" s="112">
        <f t="shared" si="9"/>
        <v>184</v>
      </c>
      <c r="H122" s="99">
        <f>G122+'11'!H122</f>
        <v>2618.820000000007</v>
      </c>
      <c r="I122" s="165"/>
      <c r="J122" s="328">
        <f>H122/DAY(B2)</f>
        <v>218.23500000000058</v>
      </c>
    </row>
    <row r="123" spans="1:18" ht="32.25" customHeight="1" x14ac:dyDescent="0.5">
      <c r="A123" s="870" t="s">
        <v>102</v>
      </c>
      <c r="B123" s="870"/>
      <c r="C123" s="870"/>
      <c r="D123" s="151" t="s">
        <v>183</v>
      </c>
      <c r="E123" s="95">
        <f>'11'!F123</f>
        <v>156841</v>
      </c>
      <c r="F123" s="237">
        <v>157104</v>
      </c>
      <c r="G123" s="112">
        <f t="shared" si="9"/>
        <v>263</v>
      </c>
      <c r="H123" s="99">
        <f>G123+'11'!H123</f>
        <v>3057.0499999999884</v>
      </c>
      <c r="I123" s="165"/>
      <c r="J123" s="328">
        <f>H123/DAY(B2)</f>
        <v>254.7541666666657</v>
      </c>
    </row>
    <row r="124" spans="1:18" ht="32.25" customHeight="1" x14ac:dyDescent="0.5">
      <c r="A124" s="875"/>
      <c r="B124" s="876"/>
      <c r="C124" s="877"/>
      <c r="D124" s="165"/>
      <c r="E124" s="165"/>
      <c r="F124" s="165"/>
      <c r="G124" s="327"/>
      <c r="H124" s="156"/>
      <c r="I124" s="165"/>
      <c r="J124" s="327"/>
    </row>
    <row r="125" spans="1:18" ht="32.25" customHeight="1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4152</v>
      </c>
      <c r="H125" s="156"/>
      <c r="I125" s="327" t="s">
        <v>368</v>
      </c>
      <c r="J125" s="327"/>
    </row>
    <row r="126" spans="1:18" ht="32.25" customHeight="1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32.25" customHeight="1" x14ac:dyDescent="0.5">
      <c r="A127" s="860"/>
      <c r="B127" s="860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 x14ac:dyDescent="0.5">
      <c r="A128" s="871" t="s">
        <v>318</v>
      </c>
      <c r="B128" s="872"/>
      <c r="C128" s="873"/>
      <c r="D128" s="151" t="s">
        <v>183</v>
      </c>
      <c r="E128" s="95">
        <f>'11'!F128</f>
        <v>51208</v>
      </c>
      <c r="F128" s="165">
        <v>51543</v>
      </c>
      <c r="G128" s="112">
        <f t="shared" ref="G128:G134" si="10">F128-E128</f>
        <v>335</v>
      </c>
      <c r="H128" s="99">
        <f>G128+'11'!H128</f>
        <v>3797</v>
      </c>
      <c r="I128" s="165"/>
      <c r="J128" s="328">
        <f>H128/DAY(B2)</f>
        <v>316.41666666666669</v>
      </c>
    </row>
    <row r="129" spans="1:15" ht="32.25" customHeight="1" x14ac:dyDescent="0.5">
      <c r="A129" s="329" t="s">
        <v>319</v>
      </c>
      <c r="B129" s="330"/>
      <c r="C129" s="331"/>
      <c r="D129" s="151" t="s">
        <v>183</v>
      </c>
      <c r="E129" s="95">
        <f>'11'!F129</f>
        <v>29201</v>
      </c>
      <c r="F129" s="165">
        <v>29490</v>
      </c>
      <c r="G129" s="112">
        <f t="shared" si="10"/>
        <v>289</v>
      </c>
      <c r="H129" s="99">
        <f>G129+'11'!H129</f>
        <v>2579.130000000001</v>
      </c>
      <c r="I129" s="165"/>
      <c r="J129" s="328">
        <f>H129/DAY(B2)</f>
        <v>214.92750000000009</v>
      </c>
      <c r="N129" s="240"/>
      <c r="O129" s="241"/>
    </row>
    <row r="130" spans="1:15" ht="32.25" customHeight="1" x14ac:dyDescent="0.5">
      <c r="A130" s="329" t="s">
        <v>320</v>
      </c>
      <c r="B130" s="330"/>
      <c r="C130" s="331"/>
      <c r="D130" s="151" t="s">
        <v>183</v>
      </c>
      <c r="E130" s="95">
        <f>'11'!F130</f>
        <v>42044</v>
      </c>
      <c r="F130" s="165">
        <v>42771</v>
      </c>
      <c r="G130" s="112">
        <f t="shared" si="10"/>
        <v>727</v>
      </c>
      <c r="H130" s="99">
        <f>G130+'11'!H130</f>
        <v>7077</v>
      </c>
      <c r="I130" s="165"/>
      <c r="J130" s="328">
        <f>H130/DAY(B2)</f>
        <v>589.75</v>
      </c>
      <c r="N130" s="240"/>
      <c r="O130" s="241"/>
    </row>
    <row r="131" spans="1:15" ht="32.25" customHeight="1" x14ac:dyDescent="0.5">
      <c r="A131" s="871" t="s">
        <v>321</v>
      </c>
      <c r="B131" s="872"/>
      <c r="C131" s="873"/>
      <c r="D131" s="151" t="s">
        <v>183</v>
      </c>
      <c r="E131" s="95">
        <f>'11'!F131</f>
        <v>16348</v>
      </c>
      <c r="F131" s="165">
        <v>16488</v>
      </c>
      <c r="G131" s="112">
        <f t="shared" si="10"/>
        <v>140</v>
      </c>
      <c r="H131" s="99">
        <f>G131+'11'!H131</f>
        <v>1180.3199999999997</v>
      </c>
      <c r="I131" s="165"/>
      <c r="J131" s="328">
        <f>H131/DAY(B2)</f>
        <v>98.359999999999971</v>
      </c>
      <c r="N131" s="240"/>
      <c r="O131" s="241"/>
    </row>
    <row r="132" spans="1:15" ht="32.25" customHeight="1" x14ac:dyDescent="0.5">
      <c r="A132" s="871" t="s">
        <v>322</v>
      </c>
      <c r="B132" s="872"/>
      <c r="C132" s="873"/>
      <c r="D132" s="151" t="s">
        <v>183</v>
      </c>
      <c r="E132" s="95">
        <f>'11'!F132</f>
        <v>55864</v>
      </c>
      <c r="F132" s="165">
        <v>56306</v>
      </c>
      <c r="G132" s="112">
        <f t="shared" si="10"/>
        <v>442</v>
      </c>
      <c r="H132" s="99">
        <f>G132+'11'!H132</f>
        <v>4457.6999999999971</v>
      </c>
      <c r="I132" s="165"/>
      <c r="J132" s="328">
        <f>H132/DAY(B2)</f>
        <v>371.47499999999974</v>
      </c>
    </row>
    <row r="133" spans="1:15" ht="32.25" customHeight="1" x14ac:dyDescent="0.5">
      <c r="A133" s="871" t="s">
        <v>362</v>
      </c>
      <c r="B133" s="872"/>
      <c r="C133" s="873"/>
      <c r="D133" s="151" t="s">
        <v>183</v>
      </c>
      <c r="E133" s="95">
        <f>'11'!F133</f>
        <v>111974</v>
      </c>
      <c r="F133" s="165">
        <v>112672</v>
      </c>
      <c r="G133" s="112">
        <f t="shared" si="10"/>
        <v>698</v>
      </c>
      <c r="H133" s="99">
        <f>G133+'11'!H133</f>
        <v>7328.3000000000029</v>
      </c>
      <c r="I133" s="165"/>
      <c r="J133" s="328">
        <f>H133/DAY(B2)</f>
        <v>610.69166666666695</v>
      </c>
    </row>
    <row r="134" spans="1:15" ht="32.25" customHeight="1" x14ac:dyDescent="0.5">
      <c r="A134" s="871" t="s">
        <v>340</v>
      </c>
      <c r="B134" s="872"/>
      <c r="C134" s="873"/>
      <c r="D134" s="151" t="s">
        <v>183</v>
      </c>
      <c r="E134" s="551">
        <v>10682</v>
      </c>
      <c r="F134" s="165">
        <v>10844</v>
      </c>
      <c r="G134" s="112">
        <f t="shared" si="10"/>
        <v>162</v>
      </c>
      <c r="H134" s="99">
        <f>G134+'11'!H134</f>
        <v>2242.7700000000004</v>
      </c>
      <c r="I134" s="165"/>
      <c r="J134" s="328">
        <f>H134/DAY(B2)</f>
        <v>186.89750000000004</v>
      </c>
    </row>
    <row r="135" spans="1:15" ht="32.25" customHeight="1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2793</v>
      </c>
      <c r="H135" s="99">
        <f>G135+'10'!H135</f>
        <v>26249.22</v>
      </c>
      <c r="I135" s="327">
        <f>G135-(G35+G49)</f>
        <v>-406</v>
      </c>
      <c r="J135" s="328"/>
    </row>
    <row r="136" spans="1:15" ht="32.25" customHeight="1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 x14ac:dyDescent="0.5">
      <c r="A138" s="870" t="s">
        <v>185</v>
      </c>
      <c r="B138" s="870"/>
      <c r="C138" s="870"/>
      <c r="D138" s="151" t="s">
        <v>183</v>
      </c>
      <c r="E138" s="95">
        <f>'11'!F138</f>
        <v>867078</v>
      </c>
      <c r="F138" s="147">
        <v>867174</v>
      </c>
      <c r="G138" s="112">
        <f t="shared" ref="G138:G152" si="11">F138-E138</f>
        <v>96</v>
      </c>
      <c r="H138" s="99">
        <f>G138+'11'!H138</f>
        <v>1001</v>
      </c>
      <c r="I138" s="118"/>
      <c r="J138" s="328">
        <f>H138/DAY(B2)</f>
        <v>83.416666666666671</v>
      </c>
    </row>
    <row r="139" spans="1:15" ht="32.25" customHeight="1" x14ac:dyDescent="0.5">
      <c r="A139" s="870" t="s">
        <v>186</v>
      </c>
      <c r="B139" s="870"/>
      <c r="C139" s="870"/>
      <c r="D139" s="151" t="s">
        <v>183</v>
      </c>
      <c r="E139" s="95">
        <f>'11'!F139</f>
        <v>886647</v>
      </c>
      <c r="F139" s="148">
        <v>886654</v>
      </c>
      <c r="G139" s="112">
        <f t="shared" si="11"/>
        <v>7</v>
      </c>
      <c r="H139" s="99">
        <f>G139+'11'!H139</f>
        <v>81</v>
      </c>
      <c r="I139" s="118"/>
      <c r="J139" s="328">
        <f>H139/DAY(B2)</f>
        <v>6.75</v>
      </c>
    </row>
    <row r="140" spans="1:15" ht="32.25" customHeight="1" x14ac:dyDescent="0.5">
      <c r="A140" s="870" t="s">
        <v>187</v>
      </c>
      <c r="B140" s="870"/>
      <c r="C140" s="870"/>
      <c r="D140" s="151" t="s">
        <v>183</v>
      </c>
      <c r="E140" s="95">
        <f>'11'!F140</f>
        <v>88948</v>
      </c>
      <c r="F140" s="149">
        <v>88948</v>
      </c>
      <c r="G140" s="112">
        <f t="shared" si="11"/>
        <v>0</v>
      </c>
      <c r="H140" s="99">
        <f>G140+'11'!H140</f>
        <v>26</v>
      </c>
      <c r="I140" s="118"/>
      <c r="J140" s="328">
        <f>H140/DAY(B2)</f>
        <v>2.1666666666666665</v>
      </c>
    </row>
    <row r="141" spans="1:15" ht="32.25" customHeight="1" x14ac:dyDescent="0.5">
      <c r="A141" s="851" t="s">
        <v>188</v>
      </c>
      <c r="B141" s="851"/>
      <c r="C141" s="851"/>
      <c r="D141" s="151" t="s">
        <v>183</v>
      </c>
      <c r="E141" s="95">
        <f>'11'!F141</f>
        <v>56623</v>
      </c>
      <c r="F141" s="149">
        <v>56810</v>
      </c>
      <c r="G141" s="112">
        <f t="shared" si="11"/>
        <v>187</v>
      </c>
      <c r="H141" s="99">
        <f>G141+'11'!H141</f>
        <v>2124.4199999999983</v>
      </c>
      <c r="I141" s="118"/>
      <c r="J141" s="328">
        <f>H141/DAY(B2)</f>
        <v>177.03499999999985</v>
      </c>
    </row>
    <row r="142" spans="1:15" ht="32.25" customHeight="1" x14ac:dyDescent="0.5">
      <c r="A142" s="851" t="s">
        <v>189</v>
      </c>
      <c r="B142" s="851"/>
      <c r="C142" s="851"/>
      <c r="D142" s="151" t="s">
        <v>183</v>
      </c>
      <c r="E142" s="95">
        <f>'11'!F142</f>
        <v>22044</v>
      </c>
      <c r="F142" s="148">
        <v>22114</v>
      </c>
      <c r="G142" s="112">
        <f t="shared" si="11"/>
        <v>70</v>
      </c>
      <c r="H142" s="99">
        <f>G142+'11'!H142</f>
        <v>829.90000000000146</v>
      </c>
      <c r="I142" s="140"/>
      <c r="J142" s="328">
        <f>H142/DAY(B2)</f>
        <v>69.158333333333459</v>
      </c>
    </row>
    <row r="143" spans="1:15" ht="32.25" customHeight="1" x14ac:dyDescent="0.5">
      <c r="A143" s="870" t="s">
        <v>91</v>
      </c>
      <c r="B143" s="870"/>
      <c r="C143" s="870"/>
      <c r="D143" s="151" t="s">
        <v>183</v>
      </c>
      <c r="E143" s="95">
        <f>'11'!F143</f>
        <v>4137</v>
      </c>
      <c r="F143" s="149">
        <v>4168</v>
      </c>
      <c r="G143" s="112">
        <f t="shared" si="11"/>
        <v>31</v>
      </c>
      <c r="H143" s="99">
        <f>G143+'11'!H143</f>
        <v>332.61000000000013</v>
      </c>
      <c r="I143" s="140"/>
      <c r="J143" s="328">
        <f>H143/DAY(B2)</f>
        <v>27.717500000000012</v>
      </c>
    </row>
    <row r="144" spans="1:15" ht="32.25" customHeight="1" x14ac:dyDescent="0.5">
      <c r="A144" s="851" t="s">
        <v>90</v>
      </c>
      <c r="B144" s="851"/>
      <c r="C144" s="851"/>
      <c r="D144" s="151" t="s">
        <v>183</v>
      </c>
      <c r="E144" s="95">
        <f>'11'!F144</f>
        <v>878805</v>
      </c>
      <c r="F144" s="149">
        <v>879025</v>
      </c>
      <c r="G144" s="112">
        <f t="shared" si="11"/>
        <v>220</v>
      </c>
      <c r="H144" s="99">
        <f>G144+'11'!H144</f>
        <v>2538</v>
      </c>
      <c r="I144" s="140"/>
      <c r="J144" s="328">
        <f>H144/DAY(B2)</f>
        <v>211.5</v>
      </c>
    </row>
    <row r="145" spans="1:10" ht="32.25" customHeight="1" x14ac:dyDescent="0.5">
      <c r="A145" s="870" t="s">
        <v>190</v>
      </c>
      <c r="B145" s="870"/>
      <c r="C145" s="870"/>
      <c r="D145" s="152" t="s">
        <v>183</v>
      </c>
      <c r="E145" s="95">
        <f>'11'!F145</f>
        <v>5101</v>
      </c>
      <c r="F145" s="149">
        <v>5110</v>
      </c>
      <c r="G145" s="112">
        <f t="shared" si="11"/>
        <v>9</v>
      </c>
      <c r="H145" s="99">
        <f>G145+'11'!H145</f>
        <v>151.15999999999985</v>
      </c>
      <c r="I145" s="140"/>
      <c r="J145" s="328">
        <f>H145/DAY(B2)</f>
        <v>12.596666666666655</v>
      </c>
    </row>
    <row r="146" spans="1:10" ht="32.25" customHeight="1" x14ac:dyDescent="0.5">
      <c r="A146" s="905" t="s">
        <v>191</v>
      </c>
      <c r="B146" s="890"/>
      <c r="C146" s="891"/>
      <c r="D146" s="152" t="s">
        <v>183</v>
      </c>
      <c r="E146" s="95">
        <f>'11'!F146</f>
        <v>741931</v>
      </c>
      <c r="F146" s="148">
        <v>742402</v>
      </c>
      <c r="G146" s="112">
        <f t="shared" si="11"/>
        <v>471</v>
      </c>
      <c r="H146" s="99">
        <f>G146+'11'!H146</f>
        <v>5069</v>
      </c>
      <c r="I146" s="140"/>
      <c r="J146" s="328">
        <f>H146/DAY(B2)</f>
        <v>422.41666666666669</v>
      </c>
    </row>
    <row r="147" spans="1:10" ht="32.25" customHeight="1" x14ac:dyDescent="0.5">
      <c r="A147" s="851" t="s">
        <v>192</v>
      </c>
      <c r="B147" s="851"/>
      <c r="C147" s="851"/>
      <c r="D147" s="152" t="s">
        <v>183</v>
      </c>
      <c r="E147" s="95">
        <f>'11'!F147</f>
        <v>630999</v>
      </c>
      <c r="F147" s="148">
        <v>631441</v>
      </c>
      <c r="G147" s="112">
        <f t="shared" si="11"/>
        <v>442</v>
      </c>
      <c r="H147" s="99">
        <f>G147+'11'!H147</f>
        <v>4828.4799999999814</v>
      </c>
      <c r="I147" s="140"/>
      <c r="J147" s="328">
        <f>H147/DAY(B2)</f>
        <v>402.3733333333318</v>
      </c>
    </row>
    <row r="148" spans="1:10" ht="32.25" customHeight="1" x14ac:dyDescent="0.5">
      <c r="A148" s="852" t="s">
        <v>193</v>
      </c>
      <c r="B148" s="853"/>
      <c r="C148" s="854"/>
      <c r="D148" s="123" t="s">
        <v>130</v>
      </c>
      <c r="E148" s="95">
        <f>'11'!F148</f>
        <v>692688</v>
      </c>
      <c r="F148" s="150">
        <v>693071</v>
      </c>
      <c r="G148" s="112">
        <f t="shared" si="11"/>
        <v>383</v>
      </c>
      <c r="H148" s="99">
        <f>G148+'11'!H148</f>
        <v>3628.0400000000373</v>
      </c>
      <c r="I148" s="124"/>
      <c r="J148" s="328">
        <f>H148/DAY(B2)</f>
        <v>302.33666666666977</v>
      </c>
    </row>
    <row r="149" spans="1:10" ht="32.25" customHeight="1" x14ac:dyDescent="0.5">
      <c r="A149" s="852" t="s">
        <v>336</v>
      </c>
      <c r="B149" s="853"/>
      <c r="C149" s="854"/>
      <c r="D149" s="227" t="s">
        <v>130</v>
      </c>
      <c r="E149" s="95">
        <f>'11'!F149</f>
        <v>30761</v>
      </c>
      <c r="F149" s="146">
        <v>31427</v>
      </c>
      <c r="G149" s="112">
        <f t="shared" si="11"/>
        <v>666</v>
      </c>
      <c r="H149" s="99">
        <f>G149+'11'!H149</f>
        <v>6748.7999999999993</v>
      </c>
      <c r="I149" s="119"/>
      <c r="J149" s="328">
        <f>H149/DAY(B2)</f>
        <v>562.4</v>
      </c>
    </row>
    <row r="150" spans="1:10" ht="32.25" customHeight="1" x14ac:dyDescent="0.5">
      <c r="A150" s="852" t="s">
        <v>337</v>
      </c>
      <c r="B150" s="853"/>
      <c r="C150" s="854"/>
      <c r="D150" s="117" t="s">
        <v>130</v>
      </c>
      <c r="E150" s="95">
        <f>'11'!F150</f>
        <v>13320</v>
      </c>
      <c r="F150" s="233">
        <v>13549</v>
      </c>
      <c r="G150" s="112">
        <f t="shared" si="11"/>
        <v>229</v>
      </c>
      <c r="H150" s="99">
        <f>G150+'11'!H150</f>
        <v>2698.17</v>
      </c>
      <c r="I150" s="119"/>
      <c r="J150" s="328">
        <f>H150/DAY(B2)</f>
        <v>224.8475</v>
      </c>
    </row>
    <row r="151" spans="1:10" ht="32.25" customHeight="1" x14ac:dyDescent="0.5">
      <c r="A151" s="852" t="s">
        <v>338</v>
      </c>
      <c r="B151" s="853"/>
      <c r="C151" s="854"/>
      <c r="D151" s="117" t="s">
        <v>130</v>
      </c>
      <c r="E151" s="95">
        <f>'11'!F151</f>
        <v>88114</v>
      </c>
      <c r="F151" s="233">
        <v>88393</v>
      </c>
      <c r="G151" s="112">
        <f t="shared" si="11"/>
        <v>279</v>
      </c>
      <c r="H151" s="99">
        <f>G151+'11'!H151</f>
        <v>2913</v>
      </c>
      <c r="I151" s="119"/>
      <c r="J151" s="328">
        <f>H151/DAY(B2)</f>
        <v>242.75</v>
      </c>
    </row>
    <row r="152" spans="1:10" ht="32.25" customHeight="1" x14ac:dyDescent="0.5">
      <c r="A152" s="852" t="s">
        <v>339</v>
      </c>
      <c r="B152" s="853"/>
      <c r="C152" s="854"/>
      <c r="D152" s="117" t="s">
        <v>130</v>
      </c>
      <c r="E152" s="95">
        <f>'11'!F152</f>
        <v>2241</v>
      </c>
      <c r="F152" s="233">
        <v>2303</v>
      </c>
      <c r="G152" s="112">
        <f t="shared" si="11"/>
        <v>62</v>
      </c>
      <c r="H152" s="99">
        <f>G152+'11'!H152</f>
        <v>643</v>
      </c>
      <c r="I152" s="119"/>
      <c r="J152" s="328">
        <f>H152/DAY(B2)</f>
        <v>53.583333333333336</v>
      </c>
    </row>
    <row r="153" spans="1:10" ht="32.25" customHeight="1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3152</v>
      </c>
      <c r="H153" s="363"/>
      <c r="I153" s="119">
        <f>G153-(G38+G52)</f>
        <v>990</v>
      </c>
      <c r="J153" s="366"/>
    </row>
    <row r="154" spans="1:10" ht="32.25" customHeight="1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2.25" customHeight="1" x14ac:dyDescent="0.55000000000000004">
      <c r="A155" s="851" t="s">
        <v>345</v>
      </c>
      <c r="B155" s="851"/>
      <c r="C155" s="851"/>
      <c r="D155" s="117" t="s">
        <v>130</v>
      </c>
      <c r="E155" s="95">
        <f>'11'!F155</f>
        <v>39939</v>
      </c>
      <c r="F155" s="374">
        <v>40653</v>
      </c>
      <c r="G155" s="112">
        <f t="shared" ref="G155:G158" si="12">F155-E155</f>
        <v>714</v>
      </c>
      <c r="H155" s="99">
        <f>G155+'11'!H155</f>
        <v>7708</v>
      </c>
      <c r="I155" s="364"/>
      <c r="J155" s="328">
        <f>H155/DAY(B2)</f>
        <v>642.33333333333337</v>
      </c>
    </row>
    <row r="156" spans="1:10" ht="32.25" customHeight="1" x14ac:dyDescent="0.5">
      <c r="A156" s="851" t="s">
        <v>347</v>
      </c>
      <c r="B156" s="851"/>
      <c r="C156" s="851"/>
      <c r="D156" s="117" t="s">
        <v>130</v>
      </c>
      <c r="E156" s="95">
        <f>'11'!F156</f>
        <v>3296</v>
      </c>
      <c r="F156" s="155">
        <v>3353</v>
      </c>
      <c r="G156" s="112">
        <f t="shared" si="12"/>
        <v>57</v>
      </c>
      <c r="H156" s="99">
        <f>G156+'11'!H156</f>
        <v>565</v>
      </c>
      <c r="I156" s="165"/>
      <c r="J156" s="328">
        <f>H156/DAY(B2)</f>
        <v>47.083333333333336</v>
      </c>
    </row>
    <row r="157" spans="1:10" ht="32.25" customHeight="1" x14ac:dyDescent="0.5">
      <c r="A157" s="852" t="s">
        <v>363</v>
      </c>
      <c r="B157" s="853"/>
      <c r="C157" s="854"/>
      <c r="D157" s="117" t="s">
        <v>130</v>
      </c>
      <c r="E157" s="95">
        <v>5280</v>
      </c>
      <c r="F157" s="155">
        <v>5301</v>
      </c>
      <c r="G157" s="112">
        <f t="shared" si="12"/>
        <v>21</v>
      </c>
      <c r="H157" s="99">
        <f>G157+'11'!H157</f>
        <v>21</v>
      </c>
      <c r="I157" s="165"/>
      <c r="J157" s="328">
        <f>H157/DAY(B2)</f>
        <v>1.75</v>
      </c>
    </row>
    <row r="158" spans="1:10" ht="32.25" customHeight="1" x14ac:dyDescent="0.5">
      <c r="A158" s="852" t="s">
        <v>364</v>
      </c>
      <c r="B158" s="853"/>
      <c r="C158" s="854"/>
      <c r="D158" s="117" t="s">
        <v>130</v>
      </c>
      <c r="E158" s="95">
        <v>69</v>
      </c>
      <c r="F158" s="155">
        <v>70</v>
      </c>
      <c r="G158" s="112">
        <f t="shared" si="12"/>
        <v>1</v>
      </c>
      <c r="H158" s="99">
        <f>G158+'11'!H158</f>
        <v>1</v>
      </c>
      <c r="I158" s="165"/>
      <c r="J158" s="328">
        <f>H158/DAY(B2)</f>
        <v>8.3333333333333329E-2</v>
      </c>
    </row>
    <row r="159" spans="1:10" ht="32.25" customHeight="1" x14ac:dyDescent="0.5">
      <c r="A159" s="935"/>
      <c r="B159" s="936"/>
      <c r="C159" s="937"/>
      <c r="D159" s="117"/>
      <c r="E159" s="95"/>
      <c r="F159" s="165"/>
      <c r="G159" s="362">
        <f>SUM(G155:G158)</f>
        <v>793</v>
      </c>
      <c r="H159" s="99"/>
      <c r="I159" s="165"/>
      <c r="J159" s="328"/>
    </row>
    <row r="160" spans="1:10" ht="32.25" customHeight="1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472490</v>
      </c>
      <c r="F161" s="235">
        <v>472508</v>
      </c>
      <c r="G161" s="238">
        <f t="shared" ref="G161:G165" si="13">F161-E161</f>
        <v>18</v>
      </c>
      <c r="H161" s="99">
        <f>G161+'11'!H161</f>
        <v>454.44000000000233</v>
      </c>
      <c r="I161" s="236"/>
      <c r="J161" s="239">
        <f>H161/DAY(B2)</f>
        <v>37.870000000000196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88920</v>
      </c>
      <c r="F162" s="235">
        <v>88941</v>
      </c>
      <c r="G162" s="238">
        <f t="shared" si="13"/>
        <v>21</v>
      </c>
      <c r="H162" s="99">
        <f>G162+'11'!H162</f>
        <v>424.60000000000582</v>
      </c>
      <c r="I162" s="236"/>
      <c r="J162" s="239">
        <f>H162/DAY(B2)</f>
        <v>35.383333333333816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79754</v>
      </c>
      <c r="F163" s="235">
        <v>79835</v>
      </c>
      <c r="G163" s="238">
        <f t="shared" si="13"/>
        <v>81</v>
      </c>
      <c r="H163" s="99">
        <f>G163+'11'!H163</f>
        <v>614.89999999999418</v>
      </c>
      <c r="I163" s="236"/>
      <c r="J163" s="239">
        <f>H163/DAY(B2)</f>
        <v>51.241666666666184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4330</v>
      </c>
      <c r="F164" s="235">
        <v>4330</v>
      </c>
      <c r="G164" s="238">
        <f t="shared" si="13"/>
        <v>0</v>
      </c>
      <c r="H164" s="99">
        <f>G164+'11'!H164</f>
        <v>10</v>
      </c>
      <c r="I164" s="236"/>
      <c r="J164" s="239">
        <f>H164/DAY(B2)</f>
        <v>0.83333333333333337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29958</v>
      </c>
      <c r="F165" s="235">
        <v>29962</v>
      </c>
      <c r="G165" s="238">
        <f t="shared" si="13"/>
        <v>4</v>
      </c>
      <c r="H165" s="99">
        <f>G165+'11'!H165</f>
        <v>104.75</v>
      </c>
      <c r="I165" s="236"/>
      <c r="J165" s="239">
        <f>H165/DAY(B2)</f>
        <v>8.7291666666666661</v>
      </c>
    </row>
    <row r="166" spans="1:10" ht="32.25" customHeight="1" x14ac:dyDescent="0.5">
      <c r="A166" s="860"/>
      <c r="B166" s="860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860"/>
      <c r="B167" s="860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860"/>
      <c r="B168" s="860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32.25" customHeight="1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864" t="s">
        <v>209</v>
      </c>
      <c r="B173" s="865"/>
      <c r="C173" s="333"/>
      <c r="D173" s="228" t="s">
        <v>142</v>
      </c>
      <c r="E173" s="95">
        <f>'11'!F173</f>
        <v>8132</v>
      </c>
      <c r="F173" s="155">
        <v>8132</v>
      </c>
      <c r="G173" s="155">
        <f>F173-E173</f>
        <v>0</v>
      </c>
      <c r="H173" s="99">
        <f>G173+'11'!H173</f>
        <v>6</v>
      </c>
      <c r="I173" s="155"/>
      <c r="J173" s="178">
        <f>H173/DAY(B2)</f>
        <v>0.5</v>
      </c>
    </row>
    <row r="174" spans="1:10" ht="32.25" customHeight="1" x14ac:dyDescent="0.5">
      <c r="A174" s="864" t="s">
        <v>75</v>
      </c>
      <c r="B174" s="865"/>
      <c r="C174" s="333"/>
      <c r="D174" s="228" t="s">
        <v>142</v>
      </c>
      <c r="E174" s="157">
        <v>38761</v>
      </c>
      <c r="F174" s="157">
        <v>38778</v>
      </c>
      <c r="G174" s="155">
        <f t="shared" ref="G174:G175" si="14">F174-E174</f>
        <v>17</v>
      </c>
      <c r="H174" s="99">
        <f>G174+'11'!H174</f>
        <v>163</v>
      </c>
      <c r="I174" s="155"/>
      <c r="J174" s="178">
        <f>H174/DAY(B2)</f>
        <v>13.583333333333334</v>
      </c>
    </row>
    <row r="175" spans="1:10" ht="32.25" customHeight="1" x14ac:dyDescent="0.5">
      <c r="A175" s="864" t="s">
        <v>76</v>
      </c>
      <c r="B175" s="904"/>
      <c r="C175" s="865"/>
      <c r="D175" s="228" t="s">
        <v>142</v>
      </c>
      <c r="E175" s="95">
        <f>'11'!F175</f>
        <v>21931</v>
      </c>
      <c r="F175" s="155">
        <v>21945</v>
      </c>
      <c r="G175" s="155">
        <f t="shared" si="14"/>
        <v>14</v>
      </c>
      <c r="H175" s="99">
        <f>G175+'11'!H175</f>
        <v>132</v>
      </c>
      <c r="I175" s="155"/>
      <c r="J175" s="178">
        <f>H175/DAY(B2)</f>
        <v>11</v>
      </c>
    </row>
    <row r="176" spans="1:10" ht="32.25" customHeight="1" x14ac:dyDescent="0.5">
      <c r="A176" s="589" t="s">
        <v>196</v>
      </c>
      <c r="B176" s="590"/>
      <c r="C176" s="483"/>
      <c r="D176" s="228" t="s">
        <v>142</v>
      </c>
      <c r="E176" s="95"/>
      <c r="F176" s="155"/>
      <c r="G176" s="155">
        <f>SUM(G173:G175)</f>
        <v>31</v>
      </c>
      <c r="H176" s="99">
        <f>G176+'11'!H176</f>
        <v>301</v>
      </c>
      <c r="I176" s="155"/>
      <c r="J176" s="178">
        <f>H176/DAY(B2)</f>
        <v>25.083333333333332</v>
      </c>
    </row>
    <row r="177" spans="1:10" ht="32.25" customHeight="1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864" t="s">
        <v>210</v>
      </c>
      <c r="B178" s="865"/>
      <c r="C178" s="333"/>
      <c r="D178" s="228" t="s">
        <v>142</v>
      </c>
      <c r="E178" s="95">
        <f>'11'!F178</f>
        <v>81878</v>
      </c>
      <c r="F178" s="155">
        <v>81973</v>
      </c>
      <c r="G178" s="155">
        <f>F178-E178</f>
        <v>95</v>
      </c>
      <c r="H178" s="99">
        <f>G178+'11'!H178</f>
        <v>658</v>
      </c>
      <c r="I178" s="155"/>
      <c r="J178" s="178">
        <f>H178/DAY(B2)</f>
        <v>54.833333333333336</v>
      </c>
    </row>
    <row r="179" spans="1:10" ht="32.25" customHeight="1" x14ac:dyDescent="0.5">
      <c r="A179" s="864" t="s">
        <v>211</v>
      </c>
      <c r="B179" s="865"/>
      <c r="C179" s="333"/>
      <c r="D179" s="228" t="s">
        <v>142</v>
      </c>
      <c r="E179" s="95">
        <f>'11'!F179</f>
        <v>35157</v>
      </c>
      <c r="F179" s="155">
        <v>35177</v>
      </c>
      <c r="G179" s="155">
        <f t="shared" ref="G179:G180" si="15">F179-E179</f>
        <v>20</v>
      </c>
      <c r="H179" s="99">
        <f>G179+'11'!H179</f>
        <v>374</v>
      </c>
      <c r="I179" s="155"/>
      <c r="J179" s="178">
        <f>H179/DAY(B2)</f>
        <v>31.166666666666668</v>
      </c>
    </row>
    <row r="180" spans="1:10" ht="32.25" customHeight="1" x14ac:dyDescent="0.5">
      <c r="A180" s="864" t="s">
        <v>212</v>
      </c>
      <c r="B180" s="865"/>
      <c r="C180" s="333"/>
      <c r="D180" s="228" t="s">
        <v>142</v>
      </c>
      <c r="E180" s="95">
        <f>'11'!F180</f>
        <v>5772</v>
      </c>
      <c r="F180" s="155">
        <v>5782</v>
      </c>
      <c r="G180" s="155">
        <f t="shared" si="15"/>
        <v>10</v>
      </c>
      <c r="H180" s="99">
        <f>G180+'11'!H180</f>
        <v>80</v>
      </c>
      <c r="I180" s="155"/>
      <c r="J180" s="178">
        <f>H180/DAY(B2)</f>
        <v>6.666666666666667</v>
      </c>
    </row>
    <row r="181" spans="1:10" ht="32.25" customHeight="1" x14ac:dyDescent="0.5">
      <c r="A181" s="866" t="s">
        <v>108</v>
      </c>
      <c r="B181" s="867"/>
      <c r="C181" s="483"/>
      <c r="D181" s="228" t="s">
        <v>142</v>
      </c>
      <c r="E181" s="95"/>
      <c r="F181" s="155"/>
      <c r="G181" s="155">
        <f>SUM(G178:G180)</f>
        <v>125</v>
      </c>
      <c r="H181" s="99">
        <f>G181+'11'!H181</f>
        <v>1112</v>
      </c>
      <c r="I181" s="155"/>
      <c r="J181" s="178">
        <f>H181/DAY(B2)</f>
        <v>92.666666666666671</v>
      </c>
    </row>
    <row r="182" spans="1:10" ht="32.25" customHeight="1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864" t="s">
        <v>214</v>
      </c>
      <c r="B183" s="865"/>
      <c r="C183" s="334"/>
      <c r="D183" s="228" t="s">
        <v>142</v>
      </c>
      <c r="E183" s="95">
        <f>'11'!F183</f>
        <v>15521</v>
      </c>
      <c r="F183" s="157">
        <v>15537</v>
      </c>
      <c r="G183" s="157">
        <f>F183-E183</f>
        <v>16</v>
      </c>
      <c r="H183" s="99">
        <f>G183+'11'!H183</f>
        <v>192</v>
      </c>
      <c r="I183" s="155"/>
      <c r="J183" s="178">
        <f>H183/DAY(B2)</f>
        <v>16</v>
      </c>
    </row>
    <row r="184" spans="1:10" ht="32.25" customHeight="1" x14ac:dyDescent="0.5">
      <c r="A184" s="864" t="s">
        <v>215</v>
      </c>
      <c r="B184" s="865"/>
      <c r="C184" s="334"/>
      <c r="D184" s="228" t="s">
        <v>142</v>
      </c>
      <c r="E184" s="95">
        <f>'11'!F184</f>
        <v>10660</v>
      </c>
      <c r="F184" s="157">
        <v>10665</v>
      </c>
      <c r="G184" s="157">
        <f t="shared" ref="G184:G185" si="16">F184-E184</f>
        <v>5</v>
      </c>
      <c r="H184" s="99">
        <f>G184+'11'!H184</f>
        <v>147</v>
      </c>
      <c r="I184" s="155"/>
      <c r="J184" s="178">
        <f>H184/DAY(B2)</f>
        <v>12.25</v>
      </c>
    </row>
    <row r="185" spans="1:10" ht="32.25" customHeight="1" x14ac:dyDescent="0.5">
      <c r="A185" s="864" t="s">
        <v>216</v>
      </c>
      <c r="B185" s="865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855" t="s">
        <v>196</v>
      </c>
      <c r="B186" s="856"/>
      <c r="C186" s="482"/>
      <c r="D186" s="228" t="s">
        <v>142</v>
      </c>
      <c r="E186" s="95"/>
      <c r="F186" s="157"/>
      <c r="G186" s="157">
        <f>SUM(G183:G185)</f>
        <v>21</v>
      </c>
      <c r="H186" s="99">
        <f>G186+'11'!H186</f>
        <v>339</v>
      </c>
      <c r="I186" s="157"/>
      <c r="J186" s="178">
        <f>H186/DAY(B2)</f>
        <v>28.25</v>
      </c>
    </row>
    <row r="187" spans="1:10" ht="32.25" customHeight="1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460">
        <f>G62+G19</f>
        <v>236</v>
      </c>
      <c r="H187" s="99">
        <f>G187+'11'!H187</f>
        <v>2203</v>
      </c>
      <c r="I187" s="158"/>
      <c r="J187" s="179">
        <f>H187/DAY(B2)</f>
        <v>183.58333333333334</v>
      </c>
    </row>
    <row r="188" spans="1:10" ht="32.25" customHeight="1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239</v>
      </c>
      <c r="H188" s="99">
        <f>G188+'11'!H188</f>
        <v>2218</v>
      </c>
      <c r="I188" s="158"/>
      <c r="J188" s="179">
        <f>H188/DAY(B2)</f>
        <v>184.83333333333334</v>
      </c>
    </row>
    <row r="189" spans="1:10" ht="32.25" customHeight="1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680">
        <f>G181</f>
        <v>125</v>
      </c>
      <c r="H189" s="99">
        <f>G189+'11'!H189</f>
        <v>1112</v>
      </c>
      <c r="I189" s="158"/>
      <c r="J189" s="179">
        <f>H189/DAY(B2)</f>
        <v>92.666666666666671</v>
      </c>
    </row>
    <row r="190" spans="1:10" ht="32.25" customHeight="1" x14ac:dyDescent="0.5">
      <c r="A190" s="778"/>
      <c r="B190" s="779"/>
      <c r="C190" s="481"/>
      <c r="D190" s="478"/>
      <c r="E190" s="475"/>
      <c r="F190" s="478"/>
      <c r="G190" s="478"/>
      <c r="H190" s="484"/>
      <c r="I190" s="478"/>
      <c r="J190" s="480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136" zoomScale="50" zoomScaleSheetLayoutView="50" workbookViewId="0">
      <selection activeCell="G151" sqref="G151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.75" customHeight="1" x14ac:dyDescent="0.5">
      <c r="A2" s="191" t="s">
        <v>303</v>
      </c>
      <c r="B2" s="262">
        <v>44605</v>
      </c>
      <c r="C2" s="348" t="s">
        <v>67</v>
      </c>
      <c r="D2" s="218">
        <v>0.67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23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889068</v>
      </c>
      <c r="F7" s="95">
        <v>911144</v>
      </c>
      <c r="G7" s="112">
        <f>F7-E7</f>
        <v>22076</v>
      </c>
      <c r="H7" s="99">
        <f>G7+'12'!H7</f>
        <v>259963.77000000002</v>
      </c>
      <c r="I7" s="113">
        <f>'1'!I7</f>
        <v>12000</v>
      </c>
      <c r="J7" s="175">
        <f>H7/DAY(B2)</f>
        <v>19997.213076923079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948253</v>
      </c>
      <c r="F8" s="95">
        <v>970453</v>
      </c>
      <c r="G8" s="115">
        <f>F8-E8</f>
        <v>22200</v>
      </c>
      <c r="H8" s="99">
        <f>G8+'12'!H8</f>
        <v>261904.84999999998</v>
      </c>
      <c r="I8" s="116"/>
      <c r="J8" s="175">
        <f>H8/DAY(B2)</f>
        <v>20146.526923076923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461289</v>
      </c>
      <c r="F9" s="598">
        <v>479386</v>
      </c>
      <c r="G9" s="112">
        <f>F9-E9</f>
        <v>18097</v>
      </c>
      <c r="H9" s="99">
        <f>G9+'12'!H9</f>
        <v>197132.15000000002</v>
      </c>
      <c r="I9" s="124">
        <f>I7-J7</f>
        <v>-7997.2130769230789</v>
      </c>
      <c r="J9" s="175">
        <f>H9/DAY(B2)</f>
        <v>15164.01153846154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3">
        <v>157461</v>
      </c>
      <c r="F10" s="353">
        <v>160802</v>
      </c>
      <c r="G10" s="112">
        <f t="shared" ref="G10:G12" si="0">F10-E10</f>
        <v>3341</v>
      </c>
      <c r="H10" s="99">
        <f>G10+'12'!H10</f>
        <v>55543.03</v>
      </c>
      <c r="I10" s="282"/>
      <c r="J10" s="175">
        <f>H10/DAY(B2)</f>
        <v>4272.540769230769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37170</v>
      </c>
      <c r="F11" s="95">
        <v>37170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21438</v>
      </c>
      <c r="H13" s="99">
        <f>G13+'12'!H13</f>
        <v>235920.75</v>
      </c>
      <c r="I13" s="120">
        <f>G7-G13</f>
        <v>638</v>
      </c>
      <c r="J13" s="175">
        <f>H13/DAY(B2)</f>
        <v>18147.75</v>
      </c>
      <c r="K13" s="79"/>
      <c r="L13" s="66"/>
      <c r="N13" s="87"/>
      <c r="O13" s="71"/>
    </row>
    <row r="14" spans="1:15" ht="27.75" customHeight="1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'12'!F15</f>
        <v>1919362</v>
      </c>
      <c r="F15" s="123">
        <v>1920470</v>
      </c>
      <c r="G15" s="112">
        <f>(F15-E15)</f>
        <v>1108</v>
      </c>
      <c r="H15" s="99">
        <f>G15+'12'!H15</f>
        <v>13833.233000000007</v>
      </c>
      <c r="I15" s="113">
        <f>'1'!I15</f>
        <v>800</v>
      </c>
      <c r="J15" s="175">
        <f>H15/DAY(B2)</f>
        <v>1064.0948461538467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-264.09484615384667</v>
      </c>
      <c r="J16" s="176"/>
      <c r="K16" s="79"/>
      <c r="L16" s="66"/>
      <c r="N16" s="87"/>
      <c r="O16" s="71"/>
    </row>
    <row r="17" spans="1:15" ht="27.75" customHeight="1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92" t="s">
        <v>141</v>
      </c>
      <c r="B18" s="893"/>
      <c r="C18" s="894"/>
      <c r="D18" s="151" t="s">
        <v>142</v>
      </c>
      <c r="E18" s="95">
        <f>'12'!F18</f>
        <v>28</v>
      </c>
      <c r="F18" s="122">
        <v>24</v>
      </c>
      <c r="G18" s="119">
        <f>F18*10</f>
        <v>240</v>
      </c>
      <c r="H18" s="99">
        <f>G18+'12'!H18</f>
        <v>2790</v>
      </c>
      <c r="I18" s="113">
        <f>'1'!I18</f>
        <v>65</v>
      </c>
      <c r="J18" s="175">
        <f>H18/DAY(B2)</f>
        <v>214.61538461538461</v>
      </c>
      <c r="K18" s="79"/>
      <c r="L18" s="66"/>
      <c r="N18" s="87"/>
      <c r="O18" s="71"/>
    </row>
    <row r="19" spans="1:15" ht="27.75" customHeight="1" x14ac:dyDescent="0.5">
      <c r="A19" s="892" t="s">
        <v>69</v>
      </c>
      <c r="B19" s="893"/>
      <c r="C19" s="894"/>
      <c r="D19" s="151" t="s">
        <v>142</v>
      </c>
      <c r="E19" s="95">
        <f>'12'!F19</f>
        <v>154524</v>
      </c>
      <c r="F19" s="122">
        <v>154580</v>
      </c>
      <c r="G19" s="112">
        <f t="shared" ref="G19" si="1">F19-E19</f>
        <v>56</v>
      </c>
      <c r="H19" s="99">
        <f>G19+'12'!H19</f>
        <v>689</v>
      </c>
      <c r="I19" s="335"/>
      <c r="J19" s="175">
        <f>H19/DAY(B2)</f>
        <v>53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296</v>
      </c>
      <c r="H20" s="99">
        <f>G20+'12'!H20</f>
        <v>3479</v>
      </c>
      <c r="I20" s="336">
        <f>I18-J20</f>
        <v>-202.61538461538464</v>
      </c>
      <c r="J20" s="175">
        <f>H20/DAY(B2)</f>
        <v>267.61538461538464</v>
      </c>
      <c r="K20" s="79"/>
      <c r="L20" s="66"/>
      <c r="N20" s="87"/>
      <c r="O20" s="71"/>
    </row>
    <row r="21" spans="1:15" ht="27.75" customHeight="1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22200</v>
      </c>
      <c r="F27" s="136">
        <v>9</v>
      </c>
      <c r="G27" s="137">
        <f>E27*F27</f>
        <v>199800</v>
      </c>
      <c r="H27" s="99">
        <f>G27+'12'!H27</f>
        <v>2357143.65</v>
      </c>
      <c r="I27" s="138"/>
      <c r="J27" s="175">
        <f>H27/DAY(B2)</f>
        <v>181318.7423076923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1108</v>
      </c>
      <c r="F28" s="136">
        <v>70</v>
      </c>
      <c r="G28" s="137">
        <f>E28*F28</f>
        <v>77560</v>
      </c>
      <c r="H28" s="99">
        <f>G28+'12'!H28</f>
        <v>762546.11600000039</v>
      </c>
      <c r="I28" s="140"/>
      <c r="J28" s="175">
        <f>H28/DAY(B2)</f>
        <v>58657.393538461569</v>
      </c>
      <c r="K28" s="63"/>
      <c r="L28" s="89"/>
      <c r="N28" s="87"/>
      <c r="O28" s="71">
        <v>0</v>
      </c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G30+'12'!H30</f>
        <v>101169</v>
      </c>
      <c r="I30" s="140"/>
      <c r="J30" s="175">
        <f>H30/DAY(B2)</f>
        <v>7782.2307692307695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G31+'12'!H31</f>
        <v>223200</v>
      </c>
      <c r="I31" s="140"/>
      <c r="J31" s="175">
        <f>H31/DAY(B2)</f>
        <v>17169.23076923077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305016</v>
      </c>
      <c r="H32" s="99">
        <f>G32+'12'!H32</f>
        <v>3444058.7660000003</v>
      </c>
      <c r="I32" s="144"/>
      <c r="J32" s="175">
        <f>H32/DAY(B2)</f>
        <v>264927.59738461539</v>
      </c>
      <c r="K32" s="63"/>
      <c r="L32" s="89"/>
      <c r="N32" s="87"/>
      <c r="O32" s="71"/>
    </row>
    <row r="33" spans="1:15" ht="27.7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50061</v>
      </c>
      <c r="F35" s="145">
        <v>51594</v>
      </c>
      <c r="G35" s="112">
        <f t="shared" ref="G35:G46" si="3">F35-E35</f>
        <v>1533</v>
      </c>
      <c r="H35" s="99">
        <f>G35+'12'!H35</f>
        <v>19589.02</v>
      </c>
      <c r="I35" s="95"/>
      <c r="J35" s="175">
        <f>H35/DAY(B2)</f>
        <v>1506.8476923076923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54808</v>
      </c>
      <c r="F36" s="145">
        <v>55877</v>
      </c>
      <c r="G36" s="112">
        <f t="shared" si="3"/>
        <v>1069</v>
      </c>
      <c r="H36" s="99">
        <f>G36+'12'!H36</f>
        <v>12418.260000000002</v>
      </c>
      <c r="I36" s="95"/>
      <c r="J36" s="175">
        <f>H36/DAY(B2)</f>
        <v>955.25076923076938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55042</v>
      </c>
      <c r="F37" s="145">
        <v>56823</v>
      </c>
      <c r="G37" s="112">
        <f t="shared" si="3"/>
        <v>1781</v>
      </c>
      <c r="H37" s="99">
        <f>G37+'12'!H37</f>
        <v>21397.910000000003</v>
      </c>
      <c r="I37" s="95"/>
      <c r="J37" s="175">
        <f>H37/DAY(B2)</f>
        <v>1645.9930769230773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61185</v>
      </c>
      <c r="F38" s="108">
        <v>63214</v>
      </c>
      <c r="G38" s="112">
        <f t="shared" si="3"/>
        <v>2029</v>
      </c>
      <c r="H38" s="99">
        <f>G38+'12'!H38</f>
        <v>24837.57</v>
      </c>
      <c r="I38" s="95"/>
      <c r="J38" s="175">
        <f>H38/DAY(B2)</f>
        <v>1910.5823076923077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93673</v>
      </c>
      <c r="F39" s="145">
        <v>96952</v>
      </c>
      <c r="G39" s="112">
        <f t="shared" si="3"/>
        <v>3279</v>
      </c>
      <c r="H39" s="99">
        <f>G39+'12'!H39</f>
        <v>37778.71</v>
      </c>
      <c r="I39" s="95"/>
      <c r="J39" s="175">
        <f>H39/DAY(B2)</f>
        <v>2906.0546153846153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25514</v>
      </c>
      <c r="F40" s="145">
        <v>26453</v>
      </c>
      <c r="G40" s="112">
        <f t="shared" si="3"/>
        <v>939</v>
      </c>
      <c r="H40" s="99">
        <f>G40+'12'!H40</f>
        <v>4336.0099999999975</v>
      </c>
      <c r="I40" s="95"/>
      <c r="J40" s="175">
        <f>H40/DAY(B2)</f>
        <v>333.53923076923058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63</v>
      </c>
      <c r="F41" s="145">
        <v>63</v>
      </c>
      <c r="G41" s="112">
        <f t="shared" si="3"/>
        <v>0</v>
      </c>
      <c r="H41" s="99">
        <f>G41+'12'!H41</f>
        <v>0.27000000000000313</v>
      </c>
      <c r="I41" s="95"/>
      <c r="J41" s="175">
        <f>H41/DAY(B2)</f>
        <v>2.0769230769231008E-2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131048</v>
      </c>
      <c r="F42" s="145">
        <v>135861</v>
      </c>
      <c r="G42" s="112">
        <f t="shared" si="3"/>
        <v>4813</v>
      </c>
      <c r="H42" s="99">
        <f>G42+'12'!H42</f>
        <v>35731.259999999995</v>
      </c>
      <c r="I42" s="95"/>
      <c r="J42" s="175">
        <f>H42/DAY(B2)</f>
        <v>2748.558461538461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140613</v>
      </c>
      <c r="F43" s="145">
        <v>142758</v>
      </c>
      <c r="G43" s="112">
        <f t="shared" si="3"/>
        <v>2145</v>
      </c>
      <c r="H43" s="99">
        <f>G43+'12'!H43</f>
        <v>27906.399999999994</v>
      </c>
      <c r="I43" s="95"/>
      <c r="J43" s="175">
        <f>H43/DAY(B2)</f>
        <v>2146.6461538461535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17588</v>
      </c>
      <c r="H47" s="99">
        <f>G47+'12'!H47</f>
        <v>183995.41</v>
      </c>
      <c r="I47" s="95"/>
      <c r="J47" s="175">
        <f>H47/DAY(B2)</f>
        <v>14153.493076923078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40496</v>
      </c>
      <c r="F49" s="145">
        <v>41944</v>
      </c>
      <c r="G49" s="112">
        <f t="shared" ref="G49:G58" si="4">F49-E49</f>
        <v>1448</v>
      </c>
      <c r="H49" s="99">
        <f>G49+'12'!H49</f>
        <v>16947.810000000001</v>
      </c>
      <c r="I49" s="95"/>
      <c r="J49" s="175">
        <f>H49/DAY(B2)</f>
        <v>1303.6776923076925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70733</v>
      </c>
      <c r="F50" s="145">
        <v>72291</v>
      </c>
      <c r="G50" s="112">
        <f t="shared" si="4"/>
        <v>1558</v>
      </c>
      <c r="H50" s="99">
        <f>G50+'12'!H50</f>
        <v>15904.370000000003</v>
      </c>
      <c r="I50" s="95"/>
      <c r="J50" s="175">
        <f>H50/DAY(B2)</f>
        <v>1223.4130769230771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10689</v>
      </c>
      <c r="F54" s="145">
        <v>11228</v>
      </c>
      <c r="G54" s="112">
        <f t="shared" si="4"/>
        <v>539</v>
      </c>
      <c r="H54" s="99">
        <f>G54+'12'!H54</f>
        <v>6080.58</v>
      </c>
      <c r="I54" s="95"/>
      <c r="J54" s="175">
        <f>H54/DAY(B2)</f>
        <v>467.73692307692306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90373</v>
      </c>
      <c r="F55" s="145">
        <v>90579</v>
      </c>
      <c r="G55" s="112">
        <f t="shared" si="4"/>
        <v>206</v>
      </c>
      <c r="H55" s="99">
        <f>G55+'12'!H55</f>
        <v>16212.89</v>
      </c>
      <c r="I55" s="95"/>
      <c r="J55" s="175">
        <f>H55/DAY(B2)</f>
        <v>1247.1453846153845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8724</v>
      </c>
      <c r="F56" s="145">
        <v>8724</v>
      </c>
      <c r="G56" s="112">
        <f t="shared" si="4"/>
        <v>0</v>
      </c>
      <c r="H56" s="99">
        <f>G56+'12'!H56</f>
        <v>113.45999999999913</v>
      </c>
      <c r="I56" s="95"/>
      <c r="J56" s="175">
        <f>H56/DAY(B2)</f>
        <v>8.7276923076922408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7369</v>
      </c>
      <c r="F58" s="145">
        <v>7565</v>
      </c>
      <c r="G58" s="112">
        <f t="shared" si="4"/>
        <v>196</v>
      </c>
      <c r="H58" s="99">
        <f>G58+'12'!H58</f>
        <v>2768.79</v>
      </c>
      <c r="I58" s="95"/>
      <c r="J58" s="175">
        <f>H58/DAY(B2)</f>
        <v>212.98384615384614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3947</v>
      </c>
      <c r="H59" s="99">
        <f>G59+'12'!H59</f>
        <v>58027.9</v>
      </c>
      <c r="I59" s="95">
        <f>G7-G60</f>
        <v>541</v>
      </c>
      <c r="J59" s="175">
        <f>H59/DAY(B2)</f>
        <v>4463.6846153846154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21535</v>
      </c>
      <c r="H60" s="99">
        <f>G60+'12'!H60</f>
        <v>242023.31</v>
      </c>
      <c r="I60" s="95">
        <f>G13-G60</f>
        <v>-97</v>
      </c>
      <c r="J60" s="175">
        <f>H60/DAY(B2)</f>
        <v>18617.17769230769</v>
      </c>
      <c r="K60" s="79"/>
      <c r="L60" s="66"/>
      <c r="N60" s="87"/>
      <c r="O60" s="71"/>
    </row>
    <row r="61" spans="1:15" s="68" customFormat="1" ht="27.75" customHeight="1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92" t="s">
        <v>198</v>
      </c>
      <c r="B62" s="893"/>
      <c r="C62" s="894"/>
      <c r="D62" s="151" t="s">
        <v>142</v>
      </c>
      <c r="E62" s="95">
        <f>'12'!F62</f>
        <v>271086</v>
      </c>
      <c r="F62" s="122">
        <v>271263</v>
      </c>
      <c r="G62" s="112">
        <f t="shared" ref="G62:G63" si="5">F62-E62</f>
        <v>177</v>
      </c>
      <c r="H62" s="99">
        <f>G62+'12'!H62</f>
        <v>1747</v>
      </c>
      <c r="I62" s="118"/>
      <c r="J62" s="175">
        <f>H62/DAY(B2)</f>
        <v>134.38461538461539</v>
      </c>
      <c r="K62" s="80"/>
      <c r="L62" s="66"/>
      <c r="N62" s="87"/>
      <c r="O62" s="71"/>
    </row>
    <row r="63" spans="1:15" ht="27.75" customHeight="1" x14ac:dyDescent="0.5">
      <c r="A63" s="892" t="s">
        <v>199</v>
      </c>
      <c r="B63" s="893"/>
      <c r="C63" s="894"/>
      <c r="D63" s="151" t="s">
        <v>142</v>
      </c>
      <c r="E63" s="95">
        <f>'12'!F63</f>
        <v>217380</v>
      </c>
      <c r="F63" s="122">
        <v>217520</v>
      </c>
      <c r="G63" s="112">
        <f t="shared" si="5"/>
        <v>140</v>
      </c>
      <c r="H63" s="99">
        <f>G63+'12'!H63</f>
        <v>1723</v>
      </c>
      <c r="I63" s="118"/>
      <c r="J63" s="175">
        <f>H63/DAY(B2)</f>
        <v>132.53846153846155</v>
      </c>
      <c r="K63" s="69"/>
      <c r="L63" s="66"/>
      <c r="N63" s="87"/>
      <c r="O63" s="71"/>
    </row>
    <row r="64" spans="1:15" ht="27.75" customHeight="1" x14ac:dyDescent="0.5">
      <c r="A64" s="901" t="s">
        <v>200</v>
      </c>
      <c r="B64" s="902"/>
      <c r="C64" s="903"/>
      <c r="D64" s="151"/>
      <c r="E64" s="95">
        <f>'12'!F64</f>
        <v>0</v>
      </c>
      <c r="F64" s="122"/>
      <c r="G64" s="112">
        <f>G62+G63</f>
        <v>317</v>
      </c>
      <c r="H64" s="99">
        <f>G64+'12'!H64</f>
        <v>3470</v>
      </c>
      <c r="I64" s="118"/>
      <c r="J64" s="175">
        <f>H64/DAY(B2)</f>
        <v>266.92307692307691</v>
      </c>
      <c r="K64" s="69"/>
      <c r="L64" s="66"/>
      <c r="N64" s="87"/>
      <c r="O64" s="71"/>
    </row>
    <row r="65" spans="1:15" ht="27.75" customHeight="1" x14ac:dyDescent="0.5">
      <c r="A65" s="892" t="s">
        <v>201</v>
      </c>
      <c r="B65" s="893"/>
      <c r="C65" s="894"/>
      <c r="D65" s="151" t="s">
        <v>142</v>
      </c>
      <c r="E65" s="95">
        <f>'12'!F65</f>
        <v>436096</v>
      </c>
      <c r="F65" s="122">
        <v>436208</v>
      </c>
      <c r="G65" s="112">
        <f t="shared" ref="G65:G70" si="6">F65-E65</f>
        <v>112</v>
      </c>
      <c r="H65" s="99">
        <f>G65+'12'!H65</f>
        <v>1285</v>
      </c>
      <c r="I65" s="118"/>
      <c r="J65" s="175">
        <f>H65/DAY(B2)</f>
        <v>98.84615384615384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'12'!F66</f>
        <v>108045</v>
      </c>
      <c r="F66" s="122">
        <v>108072</v>
      </c>
      <c r="G66" s="112">
        <f t="shared" si="6"/>
        <v>27</v>
      </c>
      <c r="H66" s="99">
        <f>G66+'12'!H66</f>
        <v>329</v>
      </c>
      <c r="I66" s="118"/>
      <c r="J66" s="175">
        <f>H66/DAY(B2)</f>
        <v>25.307692307692307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'12'!F67</f>
        <v>105081</v>
      </c>
      <c r="F67" s="122">
        <v>105152</v>
      </c>
      <c r="G67" s="112">
        <f t="shared" si="6"/>
        <v>71</v>
      </c>
      <c r="H67" s="99">
        <f>G67+'12'!H67</f>
        <v>504</v>
      </c>
      <c r="I67" s="118"/>
      <c r="J67" s="175">
        <f>H67/DAY(B2)</f>
        <v>38.769230769230766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'12'!F68</f>
        <v>158166</v>
      </c>
      <c r="F68" s="122">
        <v>158198</v>
      </c>
      <c r="G68" s="112">
        <f t="shared" si="6"/>
        <v>32</v>
      </c>
      <c r="H68" s="99">
        <f>G68+'12'!H68</f>
        <v>501</v>
      </c>
      <c r="I68" s="118"/>
      <c r="J68" s="175">
        <f>H68/DAY(B2)</f>
        <v>38.53846153846154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'12'!F69</f>
        <v>10702</v>
      </c>
      <c r="F69" s="122">
        <v>10713</v>
      </c>
      <c r="G69" s="112">
        <f t="shared" si="6"/>
        <v>11</v>
      </c>
      <c r="H69" s="99">
        <f>G69+'12'!H69</f>
        <v>172</v>
      </c>
      <c r="I69" s="118"/>
      <c r="J69" s="175">
        <f>H69/DAY(B2)</f>
        <v>13.23076923076923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'12'!F70</f>
        <v>8269</v>
      </c>
      <c r="F70" s="122">
        <v>8277</v>
      </c>
      <c r="G70" s="112">
        <f t="shared" si="6"/>
        <v>8</v>
      </c>
      <c r="H70" s="99">
        <f>G70+'12'!H70</f>
        <v>157</v>
      </c>
      <c r="I70" s="118"/>
      <c r="J70" s="175">
        <f>H70/DAY(B2)</f>
        <v>12.076923076923077</v>
      </c>
      <c r="K70" s="69"/>
      <c r="L70" s="66"/>
      <c r="N70" s="87"/>
      <c r="O70" s="71"/>
    </row>
    <row r="71" spans="1:15" ht="27.75" customHeight="1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261</v>
      </c>
      <c r="H71" s="99">
        <f>G71+'12'!H71</f>
        <v>2948</v>
      </c>
      <c r="I71" s="154"/>
      <c r="J71" s="175">
        <f>H71/DAY(B2)</f>
        <v>226.76923076923077</v>
      </c>
      <c r="K71" s="69"/>
      <c r="L71" s="66"/>
      <c r="N71" s="87"/>
      <c r="O71" s="71"/>
    </row>
    <row r="72" spans="1:15" s="88" customFormat="1" ht="27.75" customHeight="1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92" t="s">
        <v>220</v>
      </c>
      <c r="B74" s="893"/>
      <c r="C74" s="894"/>
      <c r="D74" s="151" t="s">
        <v>139</v>
      </c>
      <c r="E74" s="95">
        <f>'12'!F74</f>
        <v>905014</v>
      </c>
      <c r="F74" s="117">
        <v>905301</v>
      </c>
      <c r="G74" s="112">
        <f t="shared" ref="G74:G78" si="7">F74-E74</f>
        <v>287</v>
      </c>
      <c r="H74" s="99">
        <f>G74+'12'!H74</f>
        <v>3994.8510000000242</v>
      </c>
      <c r="I74" s="154"/>
      <c r="J74" s="175">
        <f>H74/DAY(B2)</f>
        <v>307.29623076923264</v>
      </c>
      <c r="K74" s="69"/>
      <c r="L74" s="66"/>
      <c r="N74" s="87"/>
      <c r="O74" s="71"/>
    </row>
    <row r="75" spans="1:15" ht="27.75" customHeight="1" x14ac:dyDescent="0.5">
      <c r="A75" s="892" t="s">
        <v>221</v>
      </c>
      <c r="B75" s="893"/>
      <c r="C75" s="894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 x14ac:dyDescent="0.5">
      <c r="A76" s="889" t="s">
        <v>222</v>
      </c>
      <c r="B76" s="890"/>
      <c r="C76" s="891"/>
      <c r="D76" s="151" t="s">
        <v>139</v>
      </c>
      <c r="E76" s="95">
        <f>'12'!F76</f>
        <v>171404</v>
      </c>
      <c r="F76" s="123">
        <v>171523</v>
      </c>
      <c r="G76" s="112">
        <f t="shared" si="7"/>
        <v>119</v>
      </c>
      <c r="H76" s="99">
        <f>G76+'12'!H76</f>
        <v>1548</v>
      </c>
      <c r="I76" s="154"/>
      <c r="J76" s="175">
        <f>H76/DAY(B2)</f>
        <v>119.07692307692308</v>
      </c>
      <c r="K76" s="69"/>
      <c r="L76" s="66"/>
      <c r="N76" s="87"/>
      <c r="O76" s="71"/>
    </row>
    <row r="77" spans="1:15" ht="27.75" customHeight="1" x14ac:dyDescent="0.5">
      <c r="A77" s="889" t="s">
        <v>223</v>
      </c>
      <c r="B77" s="890"/>
      <c r="C77" s="891"/>
      <c r="D77" s="151" t="s">
        <v>139</v>
      </c>
      <c r="E77" s="95">
        <f>'12'!F77</f>
        <v>41884</v>
      </c>
      <c r="F77" s="123">
        <v>41936</v>
      </c>
      <c r="G77" s="112">
        <f t="shared" si="7"/>
        <v>52</v>
      </c>
      <c r="H77" s="99">
        <f>G77+'12'!H77</f>
        <v>633.80000000000291</v>
      </c>
      <c r="I77" s="154"/>
      <c r="J77" s="175">
        <f>H77/DAY(B2)</f>
        <v>48.753846153846375</v>
      </c>
      <c r="K77" s="69"/>
      <c r="L77" s="66"/>
      <c r="N77" s="87"/>
      <c r="O77" s="71"/>
    </row>
    <row r="78" spans="1:15" ht="27.75" customHeight="1" x14ac:dyDescent="0.5">
      <c r="A78" s="889" t="s">
        <v>224</v>
      </c>
      <c r="B78" s="890"/>
      <c r="C78" s="891"/>
      <c r="D78" s="151" t="s">
        <v>139</v>
      </c>
      <c r="E78" s="95">
        <f>'12'!F78</f>
        <v>9538</v>
      </c>
      <c r="F78" s="123">
        <v>9541</v>
      </c>
      <c r="G78" s="112">
        <f t="shared" si="7"/>
        <v>3</v>
      </c>
      <c r="H78" s="99">
        <f>G78+'12'!H78</f>
        <v>25</v>
      </c>
      <c r="I78" s="118"/>
      <c r="J78" s="175">
        <f>H78/DAY(B2)</f>
        <v>1.9230769230769231</v>
      </c>
      <c r="K78" s="69"/>
      <c r="L78" s="66"/>
      <c r="N78" s="87"/>
      <c r="O78" s="71"/>
    </row>
    <row r="79" spans="1:15" s="57" customFormat="1" ht="27.75" customHeight="1" x14ac:dyDescent="0.5">
      <c r="A79" s="889" t="s">
        <v>225</v>
      </c>
      <c r="B79" s="890"/>
      <c r="C79" s="891"/>
      <c r="D79" s="151"/>
      <c r="E79" s="95">
        <f>'12'!F79</f>
        <v>0</v>
      </c>
      <c r="F79" s="117"/>
      <c r="G79" s="112">
        <f>G15-SUM(G74:G78)</f>
        <v>647</v>
      </c>
      <c r="H79" s="99">
        <f>G79+'12'!H79</f>
        <v>7631.3819999999832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1108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'12'!F85</f>
        <v>2432</v>
      </c>
      <c r="F85" s="164">
        <v>2456</v>
      </c>
      <c r="G85" s="112">
        <f t="shared" si="8"/>
        <v>24</v>
      </c>
      <c r="H85" s="99">
        <f>G85+'12'!H85</f>
        <v>195.57999999999993</v>
      </c>
      <c r="I85" s="118">
        <f>G82+G83+G84+G85</f>
        <v>24</v>
      </c>
      <c r="J85" s="175">
        <f>H85/DAY(B2)</f>
        <v>15.04461538461538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'12'!F86</f>
        <v>43562</v>
      </c>
      <c r="F86" s="164">
        <v>43564</v>
      </c>
      <c r="G86" s="112">
        <f t="shared" si="8"/>
        <v>2</v>
      </c>
      <c r="H86" s="99">
        <f>G86+'12'!H86</f>
        <v>122</v>
      </c>
      <c r="I86" s="118"/>
      <c r="J86" s="175">
        <f>H86/DAY(B2)</f>
        <v>9.384615384615385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'12'!F87</f>
        <v>34598.550000000003</v>
      </c>
      <c r="F87" s="164">
        <v>34598.550000000003</v>
      </c>
      <c r="G87" s="112">
        <f t="shared" si="8"/>
        <v>0</v>
      </c>
      <c r="H87" s="99">
        <f>G87+'12'!H87</f>
        <v>5.0000000002910383E-2</v>
      </c>
      <c r="I87" s="118"/>
      <c r="J87" s="175">
        <f>H87/DAY(B2)</f>
        <v>3.846153846377722E-3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'12'!F88</f>
        <v>24066.77</v>
      </c>
      <c r="F88" s="164">
        <v>24066.77</v>
      </c>
      <c r="G88" s="112">
        <f t="shared" si="8"/>
        <v>0</v>
      </c>
      <c r="H88" s="99">
        <f>G88+'12'!H88</f>
        <v>3.3400000000001455</v>
      </c>
      <c r="I88" s="118">
        <f>G86+G87+G88</f>
        <v>2</v>
      </c>
      <c r="J88" s="175">
        <f>H88/DAY(B2)</f>
        <v>0.25692307692308813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'12'!F89</f>
        <v>26012.63</v>
      </c>
      <c r="F89" s="164">
        <v>26022.66</v>
      </c>
      <c r="G89" s="112">
        <f t="shared" si="8"/>
        <v>10.029999999998836</v>
      </c>
      <c r="H89" s="99">
        <f>G89+'12'!H89</f>
        <v>131.54000000000087</v>
      </c>
      <c r="I89" s="118"/>
      <c r="J89" s="175">
        <f>H89/DAY(B2)</f>
        <v>10.118461538461606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'12'!F90</f>
        <v>71201.23</v>
      </c>
      <c r="F90" s="164">
        <v>71209.78</v>
      </c>
      <c r="G90" s="112">
        <f t="shared" si="8"/>
        <v>8.5500000000029104</v>
      </c>
      <c r="H90" s="99">
        <f>G90+'12'!H90</f>
        <v>46.459999999991851</v>
      </c>
      <c r="I90" s="118">
        <f>G89+G90</f>
        <v>18.580000000001746</v>
      </c>
      <c r="J90" s="175">
        <f>H90/DAY(B2)</f>
        <v>3.5738461538455271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'12'!F91</f>
        <v>3387.86</v>
      </c>
      <c r="F91" s="122">
        <v>3398.46</v>
      </c>
      <c r="G91" s="112">
        <f t="shared" si="8"/>
        <v>10.599999999999909</v>
      </c>
      <c r="H91" s="99">
        <f>G91+'12'!H91</f>
        <v>147.36999999999989</v>
      </c>
      <c r="I91" s="165"/>
      <c r="J91" s="175">
        <f>H91/DAY(B2)</f>
        <v>11.336153846153838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'12'!F92</f>
        <v>5741</v>
      </c>
      <c r="F92" s="122">
        <v>5741</v>
      </c>
      <c r="G92" s="112">
        <f t="shared" si="8"/>
        <v>0</v>
      </c>
      <c r="H92" s="99">
        <f>G92+'12'!H92</f>
        <v>-6.9999999999708962E-2</v>
      </c>
      <c r="I92" s="165"/>
      <c r="J92" s="175">
        <f>H92/DAY(B2)</f>
        <v>-5.3846153845929969E-3</v>
      </c>
      <c r="O92" s="71"/>
    </row>
    <row r="93" spans="1:15" ht="27.75" customHeight="1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5126</v>
      </c>
      <c r="H94" s="99">
        <f>G94+'12'!H94</f>
        <v>64443.229999999996</v>
      </c>
      <c r="I94" s="118"/>
      <c r="J94" s="175">
        <f>H94/DAY(B2)</f>
        <v>4957.1715384615381</v>
      </c>
      <c r="K94" s="69"/>
      <c r="L94" s="66"/>
      <c r="O94" s="71"/>
    </row>
    <row r="95" spans="1:15" ht="27.75" customHeight="1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0.23219786193150932</v>
      </c>
      <c r="H95" s="99">
        <f>G95+'12'!H95</f>
        <v>3.2262134315069928</v>
      </c>
      <c r="I95" s="167"/>
      <c r="J95" s="175">
        <f>H95/DAY(B2)</f>
        <v>0.24817026396207637</v>
      </c>
      <c r="K95" s="69"/>
      <c r="L95" s="66"/>
      <c r="O95" s="71"/>
    </row>
    <row r="96" spans="1:15" ht="27.75" customHeight="1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5019</v>
      </c>
      <c r="H96" s="99">
        <f>G96+'12'!H96</f>
        <v>52057.87999999999</v>
      </c>
      <c r="I96" s="118"/>
      <c r="J96" s="175">
        <f>H96/DAY(B2)</f>
        <v>4004.4523076923069</v>
      </c>
      <c r="K96" s="69"/>
      <c r="L96" s="66"/>
      <c r="O96" s="71"/>
    </row>
    <row r="97" spans="1:15" ht="27.75" customHeight="1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0.2273509693785106</v>
      </c>
      <c r="H97" s="99">
        <f>G97+'12'!H97</f>
        <v>2.5970661649741635</v>
      </c>
      <c r="I97" s="167"/>
      <c r="J97" s="175">
        <f>H97/DAY(B2)</f>
        <v>0.19977432038262796</v>
      </c>
      <c r="K97" s="69"/>
      <c r="L97" s="66"/>
      <c r="O97" s="71"/>
    </row>
    <row r="98" spans="1:15" ht="27.75" customHeight="1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3279</v>
      </c>
      <c r="H98" s="99">
        <f>G98+'12'!H98</f>
        <v>37778.71</v>
      </c>
      <c r="I98" s="168"/>
      <c r="J98" s="175">
        <f>H98/DAY(B2)</f>
        <v>2906.0546153846153</v>
      </c>
      <c r="K98" s="69"/>
      <c r="L98" s="66"/>
      <c r="O98" s="71"/>
    </row>
    <row r="99" spans="1:15" ht="27.75" customHeight="1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0.1485323428157275</v>
      </c>
      <c r="H99" s="99">
        <f>G99+'12'!H99</f>
        <v>1.8900333540992162</v>
      </c>
      <c r="I99" s="168"/>
      <c r="J99" s="175">
        <f>H99/DAY(B2)</f>
        <v>0.14538718108455509</v>
      </c>
      <c r="O99" s="71"/>
    </row>
    <row r="100" spans="1:15" ht="27.75" customHeight="1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2029</v>
      </c>
      <c r="H100" s="99">
        <f>G100+'12'!H100</f>
        <v>24837.57</v>
      </c>
      <c r="I100" s="118"/>
      <c r="J100" s="175">
        <f>H100/DAY(B2)</f>
        <v>1910.5823076923077</v>
      </c>
      <c r="K100" s="70"/>
      <c r="O100" s="71"/>
    </row>
    <row r="101" spans="1:15" ht="27.75" customHeight="1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9.1909766262003992E-2</v>
      </c>
      <c r="H101" s="99">
        <f>G101+'12'!H101</f>
        <v>1.2423892105616534</v>
      </c>
      <c r="I101" s="168"/>
      <c r="J101" s="175">
        <f>H101/DAY(B2)</f>
        <v>9.5568400812434881E-2</v>
      </c>
      <c r="O101" s="71"/>
    </row>
    <row r="102" spans="1:15" ht="27.75" customHeight="1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2627</v>
      </c>
      <c r="H102" s="99">
        <f>G102+'12'!H102</f>
        <v>28322.630000000005</v>
      </c>
      <c r="I102" s="168"/>
      <c r="J102" s="175">
        <f>H102/DAY(B2)</f>
        <v>2178.6638461538464</v>
      </c>
      <c r="O102" s="71"/>
    </row>
    <row r="103" spans="1:15" ht="27.75" customHeight="1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0.1189980068853053</v>
      </c>
      <c r="H103" s="99">
        <f>G103+'12'!H103</f>
        <v>1.410696477884942</v>
      </c>
      <c r="I103" s="118"/>
      <c r="J103" s="175">
        <f>H103/DAY(B2)</f>
        <v>0.10851511368345708</v>
      </c>
      <c r="O103" s="71"/>
    </row>
    <row r="104" spans="1:15" ht="27.75" customHeight="1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1781</v>
      </c>
      <c r="H104" s="99">
        <f>G104+'12'!H104</f>
        <v>21397.910000000003</v>
      </c>
      <c r="I104" s="118"/>
      <c r="J104" s="175">
        <f>H104/DAY(B2)</f>
        <v>1645.9930769230773</v>
      </c>
      <c r="O104" s="71"/>
    </row>
    <row r="105" spans="1:15" ht="27.75" customHeight="1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8.0675847073745241E-2</v>
      </c>
      <c r="H105" s="99">
        <f>G105+'12'!H105</f>
        <v>1.0727975171250785</v>
      </c>
      <c r="I105" s="187"/>
      <c r="J105" s="188">
        <f>H105/DAY(B2)</f>
        <v>8.2522885932698353E-2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7.75" customHeight="1" x14ac:dyDescent="0.5">
      <c r="A109" s="909"/>
      <c r="B109" s="909"/>
    </row>
    <row r="110" spans="1:15" ht="27.75" customHeight="1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customHeight="1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71" t="s">
        <v>252</v>
      </c>
      <c r="B112" s="872"/>
      <c r="C112" s="873"/>
      <c r="D112" s="146" t="s">
        <v>183</v>
      </c>
      <c r="E112" s="95">
        <f>'12'!F112</f>
        <v>58939</v>
      </c>
      <c r="F112" s="237">
        <v>59004</v>
      </c>
      <c r="G112" s="112">
        <f t="shared" ref="G112:G123" si="9">F112-E112</f>
        <v>65</v>
      </c>
      <c r="H112" s="99">
        <f>G112+'12'!H112</f>
        <v>950</v>
      </c>
      <c r="I112" s="165"/>
      <c r="J112" s="328">
        <f>H112/DAY(B2)</f>
        <v>73.07692307692308</v>
      </c>
    </row>
    <row r="113" spans="1:18" ht="27.75" customHeight="1" x14ac:dyDescent="0.5">
      <c r="A113" s="871" t="s">
        <v>253</v>
      </c>
      <c r="B113" s="872"/>
      <c r="C113" s="873"/>
      <c r="D113" s="146" t="s">
        <v>183</v>
      </c>
      <c r="E113" s="95">
        <f>'12'!F113</f>
        <v>52030</v>
      </c>
      <c r="F113" s="237">
        <v>52520</v>
      </c>
      <c r="G113" s="112">
        <f t="shared" si="9"/>
        <v>490</v>
      </c>
      <c r="H113" s="99">
        <f>G113+'12'!H113</f>
        <v>6119.1100000000006</v>
      </c>
      <c r="I113" s="165"/>
      <c r="J113" s="328">
        <f>H113/DAY(B2)</f>
        <v>470.70076923076925</v>
      </c>
    </row>
    <row r="114" spans="1:18" ht="27.75" customHeight="1" x14ac:dyDescent="0.5">
      <c r="A114" s="871" t="s">
        <v>254</v>
      </c>
      <c r="B114" s="872"/>
      <c r="C114" s="873"/>
      <c r="D114" s="146" t="s">
        <v>183</v>
      </c>
      <c r="E114" s="95">
        <f>'12'!F114</f>
        <v>37020</v>
      </c>
      <c r="F114" s="237">
        <v>37526</v>
      </c>
      <c r="G114" s="112">
        <f t="shared" si="9"/>
        <v>506</v>
      </c>
      <c r="H114" s="99">
        <f>G114+'12'!H114</f>
        <v>4366</v>
      </c>
      <c r="I114" s="165"/>
      <c r="J114" s="328">
        <f>H114/DAY(B2)</f>
        <v>335.84615384615387</v>
      </c>
    </row>
    <row r="115" spans="1:18" ht="27.75" customHeight="1" x14ac:dyDescent="0.5">
      <c r="A115" s="871" t="s">
        <v>255</v>
      </c>
      <c r="B115" s="872"/>
      <c r="C115" s="873"/>
      <c r="D115" s="146" t="s">
        <v>183</v>
      </c>
      <c r="E115" s="95">
        <f>'12'!F115</f>
        <v>9221</v>
      </c>
      <c r="F115" s="237">
        <v>9229</v>
      </c>
      <c r="G115" s="112">
        <f t="shared" si="9"/>
        <v>8</v>
      </c>
      <c r="H115" s="99">
        <f>G115+'12'!H115</f>
        <v>134.35000000000036</v>
      </c>
      <c r="I115" s="165"/>
      <c r="J115" s="328">
        <f>H115/DAY(B2)</f>
        <v>10.334615384615413</v>
      </c>
    </row>
    <row r="116" spans="1:18" ht="27.75" customHeight="1" x14ac:dyDescent="0.5">
      <c r="A116" s="878" t="s">
        <v>96</v>
      </c>
      <c r="B116" s="879"/>
      <c r="C116" s="880"/>
      <c r="D116" s="146" t="s">
        <v>183</v>
      </c>
      <c r="E116" s="95">
        <f>'12'!F116</f>
        <v>2405</v>
      </c>
      <c r="F116" s="237">
        <v>2851</v>
      </c>
      <c r="G116" s="112">
        <f t="shared" si="9"/>
        <v>446</v>
      </c>
      <c r="H116" s="99">
        <f>G116+'12'!H116</f>
        <v>2851</v>
      </c>
      <c r="I116" s="165"/>
      <c r="J116" s="328">
        <f>H116/DAY(B2)</f>
        <v>219.30769230769232</v>
      </c>
      <c r="Q116" s="871"/>
      <c r="R116" s="873"/>
    </row>
    <row r="117" spans="1:18" ht="27.75" customHeight="1" x14ac:dyDescent="0.5">
      <c r="A117" s="878" t="s">
        <v>184</v>
      </c>
      <c r="B117" s="879"/>
      <c r="C117" s="880"/>
      <c r="D117" s="146" t="s">
        <v>183</v>
      </c>
      <c r="E117" s="95">
        <f>'12'!F117</f>
        <v>4862</v>
      </c>
      <c r="F117" s="237">
        <v>5081</v>
      </c>
      <c r="G117" s="112">
        <f t="shared" si="9"/>
        <v>219</v>
      </c>
      <c r="H117" s="99">
        <f>G117+'12'!H117</f>
        <v>1743.0500000000002</v>
      </c>
      <c r="I117" s="165"/>
      <c r="J117" s="328">
        <f>H117/DAY(B2)</f>
        <v>134.08076923076925</v>
      </c>
      <c r="Q117" s="871"/>
      <c r="R117" s="873"/>
    </row>
    <row r="118" spans="1:18" ht="27.75" customHeight="1" x14ac:dyDescent="0.5">
      <c r="A118" s="870" t="s">
        <v>97</v>
      </c>
      <c r="B118" s="870"/>
      <c r="C118" s="870"/>
      <c r="D118" s="151" t="s">
        <v>183</v>
      </c>
      <c r="E118" s="95">
        <f>'12'!F118</f>
        <v>256755</v>
      </c>
      <c r="F118" s="237">
        <v>257167</v>
      </c>
      <c r="G118" s="112">
        <f t="shared" si="9"/>
        <v>412</v>
      </c>
      <c r="H118" s="99">
        <f>G118+'12'!H118</f>
        <v>4714.6900000000023</v>
      </c>
      <c r="I118" s="165"/>
      <c r="J118" s="328">
        <f>H118/DAY(B2)</f>
        <v>362.66846153846171</v>
      </c>
      <c r="Q118" s="871"/>
      <c r="R118" s="873"/>
    </row>
    <row r="119" spans="1:18" ht="27.75" customHeight="1" x14ac:dyDescent="0.5">
      <c r="A119" s="870" t="s">
        <v>98</v>
      </c>
      <c r="B119" s="870"/>
      <c r="C119" s="870"/>
      <c r="D119" s="151" t="s">
        <v>183</v>
      </c>
      <c r="E119" s="95">
        <f>'12'!F119</f>
        <v>263141</v>
      </c>
      <c r="F119" s="237">
        <v>263567</v>
      </c>
      <c r="G119" s="112">
        <f t="shared" si="9"/>
        <v>426</v>
      </c>
      <c r="H119" s="99">
        <f>G119+'12'!H119</f>
        <v>5418.4500000000116</v>
      </c>
      <c r="I119" s="165"/>
      <c r="J119" s="328">
        <f>H119/DAY(B2)</f>
        <v>416.80384615384708</v>
      </c>
    </row>
    <row r="120" spans="1:18" ht="27.75" customHeight="1" x14ac:dyDescent="0.5">
      <c r="A120" s="870" t="s">
        <v>99</v>
      </c>
      <c r="B120" s="870"/>
      <c r="C120" s="870"/>
      <c r="D120" s="151" t="s">
        <v>183</v>
      </c>
      <c r="E120" s="95">
        <f>'12'!F120</f>
        <v>48046</v>
      </c>
      <c r="F120" s="237">
        <v>48455</v>
      </c>
      <c r="G120" s="112">
        <f t="shared" si="9"/>
        <v>409</v>
      </c>
      <c r="H120" s="99">
        <f>G120+'12'!H120</f>
        <v>5495.3899999999994</v>
      </c>
      <c r="I120" s="165"/>
      <c r="J120" s="328">
        <f>H120/DAY(B2)</f>
        <v>422.72230769230765</v>
      </c>
    </row>
    <row r="121" spans="1:18" ht="27.75" customHeight="1" x14ac:dyDescent="0.5">
      <c r="A121" s="870" t="s">
        <v>100</v>
      </c>
      <c r="B121" s="870"/>
      <c r="C121" s="870"/>
      <c r="D121" s="151" t="s">
        <v>183</v>
      </c>
      <c r="E121" s="95">
        <f>'12'!F121</f>
        <v>406805</v>
      </c>
      <c r="F121" s="237">
        <v>407562</v>
      </c>
      <c r="G121" s="112">
        <f t="shared" si="9"/>
        <v>757</v>
      </c>
      <c r="H121" s="99">
        <f>G121+'12'!H121</f>
        <v>9527.570000000007</v>
      </c>
      <c r="I121" s="165"/>
      <c r="J121" s="328">
        <f>H121/DAY(B2)</f>
        <v>732.89000000000055</v>
      </c>
    </row>
    <row r="122" spans="1:18" ht="27.75" customHeight="1" x14ac:dyDescent="0.5">
      <c r="A122" s="870" t="s">
        <v>101</v>
      </c>
      <c r="B122" s="870"/>
      <c r="C122" s="870"/>
      <c r="D122" s="151" t="s">
        <v>183</v>
      </c>
      <c r="E122" s="95">
        <f>'12'!F122</f>
        <v>128805</v>
      </c>
      <c r="F122" s="237">
        <v>129065</v>
      </c>
      <c r="G122" s="112">
        <f t="shared" si="9"/>
        <v>260</v>
      </c>
      <c r="H122" s="99">
        <f>G122+'12'!H122</f>
        <v>2878.820000000007</v>
      </c>
      <c r="I122" s="165"/>
      <c r="J122" s="328">
        <f>H122/DAY(B2)</f>
        <v>221.44769230769285</v>
      </c>
    </row>
    <row r="123" spans="1:18" ht="27.75" customHeight="1" x14ac:dyDescent="0.5">
      <c r="A123" s="870" t="s">
        <v>102</v>
      </c>
      <c r="B123" s="870"/>
      <c r="C123" s="870"/>
      <c r="D123" s="151" t="s">
        <v>183</v>
      </c>
      <c r="E123" s="95">
        <f>'12'!F123</f>
        <v>157104</v>
      </c>
      <c r="F123" s="237">
        <v>157363</v>
      </c>
      <c r="G123" s="112">
        <f t="shared" si="9"/>
        <v>259</v>
      </c>
      <c r="H123" s="99">
        <f>G123+'12'!H123</f>
        <v>3316.0499999999884</v>
      </c>
      <c r="I123" s="165"/>
      <c r="J123" s="328">
        <f>H123/DAY(B2)</f>
        <v>255.08076923076834</v>
      </c>
    </row>
    <row r="124" spans="1:18" ht="27.75" customHeight="1" x14ac:dyDescent="0.5">
      <c r="A124" s="875"/>
      <c r="B124" s="876"/>
      <c r="C124" s="877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4257</v>
      </c>
      <c r="H125" s="156"/>
      <c r="I125" s="327">
        <f>G125-(G39+G53)</f>
        <v>978</v>
      </c>
      <c r="J125" s="327"/>
    </row>
    <row r="126" spans="1:18" ht="27.75" customHeight="1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customHeight="1" x14ac:dyDescent="0.5">
      <c r="A127" s="860"/>
      <c r="B127" s="860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 x14ac:dyDescent="0.5">
      <c r="A128" s="871" t="s">
        <v>318</v>
      </c>
      <c r="B128" s="872"/>
      <c r="C128" s="873"/>
      <c r="D128" s="151" t="s">
        <v>183</v>
      </c>
      <c r="E128" s="95">
        <f>'12'!F128</f>
        <v>51543</v>
      </c>
      <c r="F128" s="165">
        <v>51864</v>
      </c>
      <c r="G128" s="112">
        <f t="shared" ref="G128:G134" si="10">F128-E128</f>
        <v>321</v>
      </c>
      <c r="H128" s="99">
        <f>G128+'12'!H128</f>
        <v>4118</v>
      </c>
      <c r="I128" s="165"/>
      <c r="J128" s="328">
        <f>H128/DAY(B2)</f>
        <v>316.76923076923077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'12'!F129</f>
        <v>29490</v>
      </c>
      <c r="F129" s="165">
        <v>29691</v>
      </c>
      <c r="G129" s="112">
        <f t="shared" si="10"/>
        <v>201</v>
      </c>
      <c r="H129" s="99">
        <f>G129+'12'!H129</f>
        <v>2780.130000000001</v>
      </c>
      <c r="I129" s="165"/>
      <c r="J129" s="328">
        <f>H129/DAY(B2)</f>
        <v>213.85615384615392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'12'!F130</f>
        <v>42771</v>
      </c>
      <c r="F130" s="165">
        <v>43414</v>
      </c>
      <c r="G130" s="112">
        <f t="shared" si="10"/>
        <v>643</v>
      </c>
      <c r="H130" s="99">
        <f>G130+'12'!H130</f>
        <v>7720</v>
      </c>
      <c r="I130" s="165"/>
      <c r="J130" s="328">
        <f>H130/DAY(B2)</f>
        <v>593.84615384615381</v>
      </c>
      <c r="N130" s="240"/>
      <c r="O130" s="241"/>
    </row>
    <row r="131" spans="1:15" ht="27.75" customHeight="1" x14ac:dyDescent="0.5">
      <c r="A131" s="871" t="s">
        <v>321</v>
      </c>
      <c r="B131" s="872"/>
      <c r="C131" s="873"/>
      <c r="D131" s="151" t="s">
        <v>183</v>
      </c>
      <c r="E131" s="95">
        <f>'12'!F131</f>
        <v>16488</v>
      </c>
      <c r="F131" s="165">
        <v>16612</v>
      </c>
      <c r="G131" s="112">
        <f t="shared" si="10"/>
        <v>124</v>
      </c>
      <c r="H131" s="99">
        <f>G131+'12'!H131</f>
        <v>1304.3199999999997</v>
      </c>
      <c r="I131" s="165"/>
      <c r="J131" s="328">
        <f>H131/DAY(B2)</f>
        <v>100.33230769230767</v>
      </c>
      <c r="N131" s="240"/>
      <c r="O131" s="241"/>
    </row>
    <row r="132" spans="1:15" ht="27.75" customHeight="1" x14ac:dyDescent="0.5">
      <c r="A132" s="871" t="s">
        <v>322</v>
      </c>
      <c r="B132" s="872"/>
      <c r="C132" s="873"/>
      <c r="D132" s="151" t="s">
        <v>183</v>
      </c>
      <c r="E132" s="95">
        <f>'12'!F132</f>
        <v>56306</v>
      </c>
      <c r="F132" s="165">
        <v>56739</v>
      </c>
      <c r="G132" s="112">
        <f t="shared" si="10"/>
        <v>433</v>
      </c>
      <c r="H132" s="99">
        <f>G132+'12'!H132</f>
        <v>4890.6999999999971</v>
      </c>
      <c r="I132" s="165"/>
      <c r="J132" s="328">
        <f>H132/DAY(B2)</f>
        <v>376.20769230769207</v>
      </c>
    </row>
    <row r="133" spans="1:15" ht="27.75" customHeight="1" x14ac:dyDescent="0.5">
      <c r="A133" s="871" t="s">
        <v>362</v>
      </c>
      <c r="B133" s="872"/>
      <c r="C133" s="873"/>
      <c r="D133" s="151" t="s">
        <v>183</v>
      </c>
      <c r="E133" s="95">
        <f>'12'!F133</f>
        <v>112672</v>
      </c>
      <c r="F133" s="165">
        <v>113348</v>
      </c>
      <c r="G133" s="112">
        <f t="shared" si="10"/>
        <v>676</v>
      </c>
      <c r="H133" s="99">
        <f>G133+'12'!H133</f>
        <v>8004.3000000000029</v>
      </c>
      <c r="I133" s="165"/>
      <c r="J133" s="328">
        <f>H133/DAY(B2)</f>
        <v>615.71538461538489</v>
      </c>
    </row>
    <row r="134" spans="1:15" ht="27.75" customHeight="1" x14ac:dyDescent="0.5">
      <c r="A134" s="871" t="s">
        <v>340</v>
      </c>
      <c r="B134" s="872"/>
      <c r="C134" s="873"/>
      <c r="D134" s="151" t="s">
        <v>183</v>
      </c>
      <c r="E134" s="155">
        <v>10844</v>
      </c>
      <c r="F134" s="165">
        <v>11016</v>
      </c>
      <c r="G134" s="112">
        <f t="shared" si="10"/>
        <v>172</v>
      </c>
      <c r="H134" s="99">
        <f>G134+'12'!H134</f>
        <v>2414.7700000000004</v>
      </c>
      <c r="I134" s="165"/>
      <c r="J134" s="328">
        <f>H134/DAY(B2)</f>
        <v>185.7515384615385</v>
      </c>
    </row>
    <row r="135" spans="1:15" ht="27.75" customHeight="1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2570</v>
      </c>
      <c r="H135" s="99">
        <f>G135+'12'!H135</f>
        <v>28819.22</v>
      </c>
      <c r="I135" s="327">
        <f>G135-(G35+G49)</f>
        <v>-411</v>
      </c>
      <c r="J135" s="328">
        <f>H135/DAY(B2)</f>
        <v>2216.8630769230772</v>
      </c>
    </row>
    <row r="136" spans="1:15" ht="27.75" customHeight="1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70" t="s">
        <v>185</v>
      </c>
      <c r="B138" s="870"/>
      <c r="C138" s="870"/>
      <c r="D138" s="151" t="s">
        <v>183</v>
      </c>
      <c r="E138" s="95">
        <f>'12'!F138</f>
        <v>867174</v>
      </c>
      <c r="F138" s="147">
        <v>867322</v>
      </c>
      <c r="G138" s="112">
        <f t="shared" ref="G138:G152" si="11">F138-E138</f>
        <v>148</v>
      </c>
      <c r="H138" s="99">
        <f>G138+'12'!H138</f>
        <v>1149</v>
      </c>
      <c r="I138" s="118"/>
      <c r="J138" s="328">
        <f>H138/DAY(B2)</f>
        <v>88.384615384615387</v>
      </c>
    </row>
    <row r="139" spans="1:15" ht="27.75" customHeight="1" x14ac:dyDescent="0.5">
      <c r="A139" s="870" t="s">
        <v>186</v>
      </c>
      <c r="B139" s="870"/>
      <c r="C139" s="870"/>
      <c r="D139" s="151" t="s">
        <v>183</v>
      </c>
      <c r="E139" s="95">
        <f>'12'!F139</f>
        <v>886654</v>
      </c>
      <c r="F139" s="148">
        <v>886674</v>
      </c>
      <c r="G139" s="112">
        <f t="shared" si="11"/>
        <v>20</v>
      </c>
      <c r="H139" s="99">
        <f>G139+'12'!H139</f>
        <v>101</v>
      </c>
      <c r="I139" s="118"/>
      <c r="J139" s="328">
        <f>H139/DAY(B2)</f>
        <v>7.7692307692307692</v>
      </c>
    </row>
    <row r="140" spans="1:15" ht="27.75" customHeight="1" x14ac:dyDescent="0.5">
      <c r="A140" s="870" t="s">
        <v>187</v>
      </c>
      <c r="B140" s="870"/>
      <c r="C140" s="870"/>
      <c r="D140" s="151" t="s">
        <v>183</v>
      </c>
      <c r="E140" s="95">
        <f>'12'!F140</f>
        <v>88948</v>
      </c>
      <c r="F140" s="149">
        <v>88948</v>
      </c>
      <c r="G140" s="112">
        <f t="shared" si="11"/>
        <v>0</v>
      </c>
      <c r="H140" s="99">
        <f>G140+'12'!H140</f>
        <v>26</v>
      </c>
      <c r="I140" s="118"/>
      <c r="J140" s="328">
        <f>H140/DAY(B2)</f>
        <v>2</v>
      </c>
    </row>
    <row r="141" spans="1:15" ht="27.75" customHeight="1" x14ac:dyDescent="0.5">
      <c r="A141" s="851" t="s">
        <v>188</v>
      </c>
      <c r="B141" s="851"/>
      <c r="C141" s="851"/>
      <c r="D141" s="151" t="s">
        <v>183</v>
      </c>
      <c r="E141" s="95">
        <f>'12'!F141</f>
        <v>56810</v>
      </c>
      <c r="F141" s="149">
        <v>56989</v>
      </c>
      <c r="G141" s="112">
        <f t="shared" si="11"/>
        <v>179</v>
      </c>
      <c r="H141" s="99">
        <f>G141+'12'!H141</f>
        <v>2303.4199999999983</v>
      </c>
      <c r="I141" s="118"/>
      <c r="J141" s="328">
        <f>H141/DAY(B2)</f>
        <v>177.1861538461537</v>
      </c>
    </row>
    <row r="142" spans="1:15" ht="27.75" customHeight="1" x14ac:dyDescent="0.5">
      <c r="A142" s="851" t="s">
        <v>189</v>
      </c>
      <c r="B142" s="851"/>
      <c r="C142" s="851"/>
      <c r="D142" s="151" t="s">
        <v>183</v>
      </c>
      <c r="E142" s="95">
        <f>'12'!F142</f>
        <v>22114</v>
      </c>
      <c r="F142" s="148">
        <v>22184</v>
      </c>
      <c r="G142" s="112">
        <f t="shared" si="11"/>
        <v>70</v>
      </c>
      <c r="H142" s="99">
        <f>G142+'12'!H142</f>
        <v>899.90000000000146</v>
      </c>
      <c r="I142" s="140"/>
      <c r="J142" s="328">
        <f>H142/DAY(B2)</f>
        <v>69.223076923077031</v>
      </c>
    </row>
    <row r="143" spans="1:15" ht="27.75" customHeight="1" x14ac:dyDescent="0.5">
      <c r="A143" s="870" t="s">
        <v>91</v>
      </c>
      <c r="B143" s="870"/>
      <c r="C143" s="870"/>
      <c r="D143" s="151" t="s">
        <v>183</v>
      </c>
      <c r="E143" s="95">
        <f>'12'!F143</f>
        <v>4168</v>
      </c>
      <c r="F143" s="149">
        <v>4198</v>
      </c>
      <c r="G143" s="112">
        <f t="shared" si="11"/>
        <v>30</v>
      </c>
      <c r="H143" s="99">
        <f>G143+'12'!H143</f>
        <v>362.61000000000013</v>
      </c>
      <c r="I143" s="140"/>
      <c r="J143" s="328">
        <f>H143/DAY(B2)</f>
        <v>27.893076923076933</v>
      </c>
    </row>
    <row r="144" spans="1:15" ht="27.75" customHeight="1" x14ac:dyDescent="0.5">
      <c r="A144" s="851" t="s">
        <v>90</v>
      </c>
      <c r="B144" s="851"/>
      <c r="C144" s="851"/>
      <c r="D144" s="151" t="s">
        <v>183</v>
      </c>
      <c r="E144" s="95">
        <f>'12'!F144</f>
        <v>879025</v>
      </c>
      <c r="F144" s="149">
        <v>879233</v>
      </c>
      <c r="G144" s="112">
        <f t="shared" si="11"/>
        <v>208</v>
      </c>
      <c r="H144" s="99">
        <f>G144+'12'!H144</f>
        <v>2746</v>
      </c>
      <c r="I144" s="140"/>
      <c r="J144" s="328">
        <f>H144/DAY(B2)</f>
        <v>211.23076923076923</v>
      </c>
    </row>
    <row r="145" spans="1:10" ht="27.75" customHeight="1" x14ac:dyDescent="0.5">
      <c r="A145" s="870" t="s">
        <v>190</v>
      </c>
      <c r="B145" s="870"/>
      <c r="C145" s="870"/>
      <c r="D145" s="152" t="s">
        <v>183</v>
      </c>
      <c r="E145" s="95">
        <f>'12'!F145</f>
        <v>5110</v>
      </c>
      <c r="F145" s="149">
        <v>5120</v>
      </c>
      <c r="G145" s="112">
        <f t="shared" si="11"/>
        <v>10</v>
      </c>
      <c r="H145" s="99">
        <f>G145+'12'!H145</f>
        <v>161.15999999999985</v>
      </c>
      <c r="I145" s="140"/>
      <c r="J145" s="328">
        <f>H145/DAY(B2)</f>
        <v>12.396923076923066</v>
      </c>
    </row>
    <row r="146" spans="1:10" ht="27.75" customHeight="1" x14ac:dyDescent="0.5">
      <c r="A146" s="905" t="s">
        <v>191</v>
      </c>
      <c r="B146" s="890"/>
      <c r="C146" s="891"/>
      <c r="D146" s="152" t="s">
        <v>183</v>
      </c>
      <c r="E146" s="95">
        <f>'12'!F146</f>
        <v>742402</v>
      </c>
      <c r="F146" s="148">
        <v>742874</v>
      </c>
      <c r="G146" s="112">
        <f t="shared" si="11"/>
        <v>472</v>
      </c>
      <c r="H146" s="99">
        <f>G146+'12'!H146</f>
        <v>5541</v>
      </c>
      <c r="I146" s="140"/>
      <c r="J146" s="328">
        <f>H146/DAY(B2)</f>
        <v>426.23076923076923</v>
      </c>
    </row>
    <row r="147" spans="1:10" ht="27.75" customHeight="1" x14ac:dyDescent="0.5">
      <c r="A147" s="851" t="s">
        <v>192</v>
      </c>
      <c r="B147" s="851"/>
      <c r="C147" s="851"/>
      <c r="D147" s="152" t="s">
        <v>183</v>
      </c>
      <c r="E147" s="95">
        <f>'12'!F147</f>
        <v>631441</v>
      </c>
      <c r="F147" s="148">
        <v>631884</v>
      </c>
      <c r="G147" s="112">
        <f t="shared" si="11"/>
        <v>443</v>
      </c>
      <c r="H147" s="99">
        <f>G147+'12'!H147</f>
        <v>5271.4799999999814</v>
      </c>
      <c r="I147" s="140"/>
      <c r="J147" s="328">
        <f>H147/DAY(B2)</f>
        <v>405.49846153846011</v>
      </c>
    </row>
    <row r="148" spans="1:10" ht="27.75" customHeight="1" x14ac:dyDescent="0.5">
      <c r="A148" s="852" t="s">
        <v>193</v>
      </c>
      <c r="B148" s="853"/>
      <c r="C148" s="854"/>
      <c r="D148" s="123" t="s">
        <v>130</v>
      </c>
      <c r="E148" s="95">
        <f>'12'!F148</f>
        <v>693071</v>
      </c>
      <c r="F148" s="150">
        <v>693435</v>
      </c>
      <c r="G148" s="112">
        <f t="shared" si="11"/>
        <v>364</v>
      </c>
      <c r="H148" s="99">
        <f>G148+'12'!H148</f>
        <v>3992.0400000000373</v>
      </c>
      <c r="I148" s="124"/>
      <c r="J148" s="328">
        <f>H148/DAY(B2)</f>
        <v>307.08000000000288</v>
      </c>
    </row>
    <row r="149" spans="1:10" ht="27.75" customHeight="1" x14ac:dyDescent="0.5">
      <c r="A149" s="852" t="s">
        <v>336</v>
      </c>
      <c r="B149" s="853"/>
      <c r="C149" s="854"/>
      <c r="D149" s="227" t="s">
        <v>130</v>
      </c>
      <c r="E149" s="146">
        <v>31427</v>
      </c>
      <c r="F149" s="146">
        <v>32010</v>
      </c>
      <c r="G149" s="112">
        <f t="shared" si="11"/>
        <v>583</v>
      </c>
      <c r="H149" s="99">
        <f>G149+'12'!H149</f>
        <v>7331.7999999999993</v>
      </c>
      <c r="I149" s="119"/>
      <c r="J149" s="328">
        <f>H149/DAY(B2)</f>
        <v>563.98461538461538</v>
      </c>
    </row>
    <row r="150" spans="1:10" ht="27.75" customHeight="1" x14ac:dyDescent="0.5">
      <c r="A150" s="852" t="s">
        <v>337</v>
      </c>
      <c r="B150" s="853"/>
      <c r="C150" s="854"/>
      <c r="D150" s="117" t="s">
        <v>130</v>
      </c>
      <c r="E150" s="95">
        <f>'12'!F150</f>
        <v>13549</v>
      </c>
      <c r="F150" s="233">
        <v>13779</v>
      </c>
      <c r="G150" s="112">
        <f t="shared" si="11"/>
        <v>230</v>
      </c>
      <c r="H150" s="99">
        <f>G150+'12'!H150</f>
        <v>2928.17</v>
      </c>
      <c r="I150" s="119"/>
      <c r="J150" s="328">
        <f>H150/DAY(B2)</f>
        <v>225.24384615384616</v>
      </c>
    </row>
    <row r="151" spans="1:10" ht="27.75" customHeight="1" x14ac:dyDescent="0.5">
      <c r="A151" s="852" t="s">
        <v>338</v>
      </c>
      <c r="B151" s="853"/>
      <c r="C151" s="854"/>
      <c r="D151" s="117" t="s">
        <v>130</v>
      </c>
      <c r="E151" s="95">
        <f>'12'!F151</f>
        <v>88393</v>
      </c>
      <c r="F151" s="233">
        <v>88623</v>
      </c>
      <c r="G151" s="112">
        <f t="shared" si="11"/>
        <v>230</v>
      </c>
      <c r="H151" s="99">
        <f>G151+'12'!H151</f>
        <v>3143</v>
      </c>
      <c r="I151" s="119"/>
      <c r="J151" s="328">
        <f>H151/DAY(B2)</f>
        <v>241.76923076923077</v>
      </c>
    </row>
    <row r="152" spans="1:10" ht="27.75" customHeight="1" x14ac:dyDescent="0.5">
      <c r="A152" s="852" t="s">
        <v>339</v>
      </c>
      <c r="B152" s="853"/>
      <c r="C152" s="854"/>
      <c r="D152" s="117" t="s">
        <v>130</v>
      </c>
      <c r="E152" s="95">
        <f>'12'!F152</f>
        <v>2303</v>
      </c>
      <c r="F152" s="233">
        <v>2364</v>
      </c>
      <c r="G152" s="112">
        <f t="shared" si="11"/>
        <v>61</v>
      </c>
      <c r="H152" s="99">
        <f>G152+'12'!H152</f>
        <v>704</v>
      </c>
      <c r="I152" s="119"/>
      <c r="J152" s="328">
        <f>H152/DAY(B2)</f>
        <v>54.153846153846153</v>
      </c>
    </row>
    <row r="153" spans="1:10" ht="27.75" customHeight="1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3048</v>
      </c>
      <c r="H153" s="363"/>
      <c r="I153" s="119">
        <f>G153-(G38+G52)</f>
        <v>1019</v>
      </c>
      <c r="J153" s="366"/>
    </row>
    <row r="154" spans="1:10" ht="27.75" customHeight="1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27.75" customHeight="1" x14ac:dyDescent="0.55000000000000004">
      <c r="A155" s="851" t="s">
        <v>345</v>
      </c>
      <c r="B155" s="851"/>
      <c r="C155" s="851"/>
      <c r="D155" s="117" t="s">
        <v>130</v>
      </c>
      <c r="E155" s="374">
        <v>40653</v>
      </c>
      <c r="F155" s="374">
        <v>41381</v>
      </c>
      <c r="G155" s="112">
        <f t="shared" ref="G155:G158" si="12">F155-E155</f>
        <v>728</v>
      </c>
      <c r="H155" s="99">
        <f>G155+'12'!H155</f>
        <v>8436</v>
      </c>
      <c r="I155" s="364"/>
      <c r="J155" s="328">
        <f>H155/DAY(B2)</f>
        <v>648.92307692307691</v>
      </c>
    </row>
    <row r="156" spans="1:10" ht="27.75" customHeight="1" x14ac:dyDescent="0.5">
      <c r="A156" s="851" t="s">
        <v>347</v>
      </c>
      <c r="B156" s="851"/>
      <c r="C156" s="851"/>
      <c r="D156" s="117" t="s">
        <v>130</v>
      </c>
      <c r="E156" s="155">
        <v>3353</v>
      </c>
      <c r="F156" s="155">
        <v>3405</v>
      </c>
      <c r="G156" s="112">
        <f t="shared" si="12"/>
        <v>52</v>
      </c>
      <c r="H156" s="99">
        <f>G156+'12'!H156</f>
        <v>617</v>
      </c>
      <c r="I156" s="165"/>
      <c r="J156" s="328">
        <f>H156/DAY(B2)</f>
        <v>47.46153846153846</v>
      </c>
    </row>
    <row r="157" spans="1:10" ht="27.75" customHeight="1" x14ac:dyDescent="0.5">
      <c r="A157" s="852" t="s">
        <v>363</v>
      </c>
      <c r="B157" s="853"/>
      <c r="C157" s="854"/>
      <c r="D157" s="117" t="s">
        <v>130</v>
      </c>
      <c r="E157" s="155">
        <v>5301</v>
      </c>
      <c r="F157" s="155">
        <v>5421</v>
      </c>
      <c r="G157" s="112">
        <f t="shared" si="12"/>
        <v>120</v>
      </c>
      <c r="H157" s="99">
        <f>G157+'12'!H157</f>
        <v>141</v>
      </c>
      <c r="I157" s="165"/>
      <c r="J157" s="328">
        <f>H157/DAY(B2)</f>
        <v>10.846153846153847</v>
      </c>
    </row>
    <row r="158" spans="1:10" ht="27.75" customHeight="1" x14ac:dyDescent="0.5">
      <c r="A158" s="852" t="s">
        <v>364</v>
      </c>
      <c r="B158" s="853"/>
      <c r="C158" s="854"/>
      <c r="D158" s="117" t="s">
        <v>130</v>
      </c>
      <c r="E158" s="155">
        <v>70</v>
      </c>
      <c r="F158" s="155">
        <v>70</v>
      </c>
      <c r="G158" s="112">
        <f t="shared" si="12"/>
        <v>0</v>
      </c>
      <c r="H158" s="99">
        <f>G158+'12'!H158</f>
        <v>1</v>
      </c>
      <c r="I158" s="165"/>
      <c r="J158" s="328">
        <f>H158/DAY(B2)</f>
        <v>7.6923076923076927E-2</v>
      </c>
    </row>
    <row r="159" spans="1:10" ht="27.75" customHeight="1" x14ac:dyDescent="0.5">
      <c r="A159" s="935"/>
      <c r="B159" s="936"/>
      <c r="C159" s="937"/>
      <c r="D159" s="117"/>
      <c r="E159" s="95"/>
      <c r="F159" s="165"/>
      <c r="G159" s="362">
        <f>SUM(G155:G158)</f>
        <v>900</v>
      </c>
      <c r="H159" s="99"/>
      <c r="I159" s="165"/>
      <c r="J159" s="328"/>
    </row>
    <row r="160" spans="1:10" ht="27.75" customHeight="1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472508</v>
      </c>
      <c r="F161" s="235">
        <v>472525</v>
      </c>
      <c r="G161" s="238">
        <f t="shared" ref="G161:G165" si="13">F161-E161</f>
        <v>17</v>
      </c>
      <c r="H161" s="99">
        <f>G161+'12'!H161</f>
        <v>471.44000000000233</v>
      </c>
      <c r="I161" s="236"/>
      <c r="J161" s="239">
        <f>H161/DAY(B2)</f>
        <v>36.264615384615567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88941</v>
      </c>
      <c r="F162" s="235">
        <v>88961</v>
      </c>
      <c r="G162" s="238">
        <f t="shared" si="13"/>
        <v>20</v>
      </c>
      <c r="H162" s="99">
        <f>G162+'12'!H162</f>
        <v>444.60000000000582</v>
      </c>
      <c r="I162" s="236"/>
      <c r="J162" s="239">
        <f>H162/DAY(B2)</f>
        <v>34.20000000000045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79835</v>
      </c>
      <c r="F163" s="235">
        <v>79918</v>
      </c>
      <c r="G163" s="238">
        <f t="shared" si="13"/>
        <v>83</v>
      </c>
      <c r="H163" s="99">
        <f>G163+'12'!H163</f>
        <v>697.89999999999418</v>
      </c>
      <c r="I163" s="236"/>
      <c r="J163" s="239">
        <f>H163/DAY(B2)</f>
        <v>53.684615384614936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4330</v>
      </c>
      <c r="F164" s="235">
        <v>4330</v>
      </c>
      <c r="G164" s="238">
        <f t="shared" si="13"/>
        <v>0</v>
      </c>
      <c r="H164" s="99">
        <f>G164+'12'!H164</f>
        <v>10</v>
      </c>
      <c r="I164" s="236"/>
      <c r="J164" s="239">
        <f>H164/DAY(B2)</f>
        <v>0.76923076923076927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29962</v>
      </c>
      <c r="F165" s="235">
        <v>29967</v>
      </c>
      <c r="G165" s="238">
        <f t="shared" si="13"/>
        <v>5</v>
      </c>
      <c r="H165" s="99">
        <f>G165+'12'!H165</f>
        <v>109.75</v>
      </c>
      <c r="I165" s="236"/>
      <c r="J165" s="239">
        <f>H165/DAY(B2)</f>
        <v>8.4423076923076916</v>
      </c>
    </row>
    <row r="166" spans="1:10" ht="27.75" customHeight="1" x14ac:dyDescent="0.5">
      <c r="A166" s="860"/>
      <c r="B166" s="860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860"/>
      <c r="B167" s="860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860"/>
      <c r="B168" s="860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customHeight="1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64" t="s">
        <v>209</v>
      </c>
      <c r="B173" s="865"/>
      <c r="C173" s="333"/>
      <c r="D173" s="228" t="s">
        <v>142</v>
      </c>
      <c r="E173" s="95">
        <f>'12'!F173</f>
        <v>8132</v>
      </c>
      <c r="F173" s="155">
        <v>8132</v>
      </c>
      <c r="G173" s="155">
        <f>F173-E173</f>
        <v>0</v>
      </c>
      <c r="H173" s="99">
        <f>G173+'12'!H173</f>
        <v>6</v>
      </c>
      <c r="I173" s="155"/>
      <c r="J173" s="178">
        <f>H173/DAY(B2)</f>
        <v>0.46153846153846156</v>
      </c>
    </row>
    <row r="174" spans="1:10" ht="27.75" customHeight="1" x14ac:dyDescent="0.5">
      <c r="A174" s="864" t="s">
        <v>75</v>
      </c>
      <c r="B174" s="865"/>
      <c r="C174" s="333"/>
      <c r="D174" s="228" t="s">
        <v>142</v>
      </c>
      <c r="E174" s="95">
        <f>'12'!F174</f>
        <v>38778</v>
      </c>
      <c r="F174" s="157">
        <v>38790</v>
      </c>
      <c r="G174" s="155">
        <f t="shared" ref="G174:G175" si="14">F174-E174</f>
        <v>12</v>
      </c>
      <c r="H174" s="99">
        <f>G174+'12'!H174</f>
        <v>175</v>
      </c>
      <c r="I174" s="155"/>
      <c r="J174" s="178">
        <f>H174/DAY(B2)</f>
        <v>13.461538461538462</v>
      </c>
    </row>
    <row r="175" spans="1:10" ht="27.75" customHeight="1" x14ac:dyDescent="0.5">
      <c r="A175" s="864" t="s">
        <v>76</v>
      </c>
      <c r="B175" s="904"/>
      <c r="C175" s="865"/>
      <c r="D175" s="228" t="s">
        <v>142</v>
      </c>
      <c r="E175" s="95">
        <f>'12'!F175</f>
        <v>21945</v>
      </c>
      <c r="F175" s="155">
        <v>21958</v>
      </c>
      <c r="G175" s="155">
        <f t="shared" si="14"/>
        <v>13</v>
      </c>
      <c r="H175" s="99">
        <f>G175+'12'!H175</f>
        <v>145</v>
      </c>
      <c r="I175" s="155"/>
      <c r="J175" s="178">
        <f>H175/DAY(B2)</f>
        <v>11.153846153846153</v>
      </c>
    </row>
    <row r="176" spans="1:10" ht="27.75" customHeight="1" x14ac:dyDescent="0.5">
      <c r="A176" s="855" t="s">
        <v>196</v>
      </c>
      <c r="B176" s="856"/>
      <c r="C176" s="483"/>
      <c r="D176" s="228" t="s">
        <v>142</v>
      </c>
      <c r="E176" s="95"/>
      <c r="F176" s="155"/>
      <c r="G176" s="155">
        <f>SUM(G173:G175)</f>
        <v>25</v>
      </c>
      <c r="H176" s="99">
        <f>G176+'12'!H176</f>
        <v>326</v>
      </c>
      <c r="I176" s="155"/>
      <c r="J176" s="178">
        <f>H176/DAY(B2)</f>
        <v>25.076923076923077</v>
      </c>
    </row>
    <row r="177" spans="1:15" ht="27.75" customHeight="1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864" t="s">
        <v>210</v>
      </c>
      <c r="B178" s="865"/>
      <c r="C178" s="333"/>
      <c r="D178" s="228" t="s">
        <v>142</v>
      </c>
      <c r="E178" s="95">
        <f>'12'!F178</f>
        <v>81973</v>
      </c>
      <c r="F178" s="155">
        <v>82015</v>
      </c>
      <c r="G178" s="155">
        <f>F178-E178</f>
        <v>42</v>
      </c>
      <c r="H178" s="99">
        <f>G178+'12'!H178</f>
        <v>700</v>
      </c>
      <c r="I178" s="155"/>
      <c r="J178" s="178">
        <f>H178/DAY(B2)</f>
        <v>53.846153846153847</v>
      </c>
    </row>
    <row r="179" spans="1:15" ht="27.75" customHeight="1" x14ac:dyDescent="0.5">
      <c r="A179" s="864" t="s">
        <v>211</v>
      </c>
      <c r="B179" s="865"/>
      <c r="C179" s="333"/>
      <c r="D179" s="228" t="s">
        <v>142</v>
      </c>
      <c r="E179" s="95">
        <f>'12'!F179</f>
        <v>35177</v>
      </c>
      <c r="F179" s="155">
        <v>35208</v>
      </c>
      <c r="G179" s="155">
        <f t="shared" ref="G179:G180" si="15">F179-E179</f>
        <v>31</v>
      </c>
      <c r="H179" s="99">
        <f>G179+'12'!H179</f>
        <v>405</v>
      </c>
      <c r="I179" s="155"/>
      <c r="J179" s="178">
        <f>H179/DAY(B2)</f>
        <v>31.153846153846153</v>
      </c>
    </row>
    <row r="180" spans="1:15" ht="27.75" customHeight="1" x14ac:dyDescent="0.5">
      <c r="A180" s="864" t="s">
        <v>212</v>
      </c>
      <c r="B180" s="865"/>
      <c r="C180" s="333"/>
      <c r="D180" s="228" t="s">
        <v>142</v>
      </c>
      <c r="E180" s="95">
        <f>'12'!F180</f>
        <v>5782</v>
      </c>
      <c r="F180" s="155">
        <v>5782</v>
      </c>
      <c r="G180" s="155">
        <f t="shared" si="15"/>
        <v>0</v>
      </c>
      <c r="H180" s="99">
        <f>G180+'12'!H180</f>
        <v>80</v>
      </c>
      <c r="I180" s="155"/>
      <c r="J180" s="178">
        <f>H180/DAY(B2)</f>
        <v>6.1538461538461542</v>
      </c>
    </row>
    <row r="181" spans="1:15" ht="27.75" customHeight="1" x14ac:dyDescent="0.5">
      <c r="A181" s="866" t="s">
        <v>108</v>
      </c>
      <c r="B181" s="867"/>
      <c r="C181" s="483"/>
      <c r="D181" s="228" t="s">
        <v>142</v>
      </c>
      <c r="E181" s="95"/>
      <c r="F181" s="155"/>
      <c r="G181" s="155">
        <f>SUM(G178:G180)</f>
        <v>73</v>
      </c>
      <c r="H181" s="99">
        <f>G181+'12'!H181</f>
        <v>1185</v>
      </c>
      <c r="I181" s="155"/>
      <c r="J181" s="178">
        <f>H181/DAY(B2)</f>
        <v>91.15384615384616</v>
      </c>
    </row>
    <row r="182" spans="1:15" ht="27.75" customHeight="1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864" t="s">
        <v>214</v>
      </c>
      <c r="B183" s="865"/>
      <c r="C183" s="334"/>
      <c r="D183" s="228" t="s">
        <v>142</v>
      </c>
      <c r="E183" s="95">
        <f>'12'!F183</f>
        <v>15537</v>
      </c>
      <c r="F183" s="157">
        <v>15549</v>
      </c>
      <c r="G183" s="157">
        <f>F183-E183</f>
        <v>12</v>
      </c>
      <c r="H183" s="99">
        <f>G183+'12'!H183</f>
        <v>204</v>
      </c>
      <c r="I183" s="155"/>
      <c r="J183" s="178">
        <f>H183/DAY(B2)</f>
        <v>15.692307692307692</v>
      </c>
    </row>
    <row r="184" spans="1:15" ht="27.75" customHeight="1" x14ac:dyDescent="0.5">
      <c r="A184" s="864" t="s">
        <v>215</v>
      </c>
      <c r="B184" s="865"/>
      <c r="C184" s="334"/>
      <c r="D184" s="228" t="s">
        <v>142</v>
      </c>
      <c r="E184" s="95">
        <f>'12'!F184</f>
        <v>10665</v>
      </c>
      <c r="F184" s="157">
        <v>10673</v>
      </c>
      <c r="G184" s="157">
        <f t="shared" ref="G184:G185" si="16">F184-E184</f>
        <v>8</v>
      </c>
      <c r="H184" s="99">
        <f>G184+'12'!H184</f>
        <v>155</v>
      </c>
      <c r="I184" s="155"/>
      <c r="J184" s="178">
        <f>H184/DAY(B2)</f>
        <v>11.923076923076923</v>
      </c>
      <c r="O184" s="65" t="s">
        <v>365</v>
      </c>
    </row>
    <row r="185" spans="1:15" ht="27.75" customHeight="1" x14ac:dyDescent="0.5">
      <c r="A185" s="864" t="s">
        <v>216</v>
      </c>
      <c r="B185" s="865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855" t="s">
        <v>196</v>
      </c>
      <c r="B186" s="856"/>
      <c r="C186" s="482"/>
      <c r="D186" s="228" t="s">
        <v>142</v>
      </c>
      <c r="E186" s="95"/>
      <c r="F186" s="157"/>
      <c r="G186" s="157">
        <f>SUM(G183:G185)</f>
        <v>20</v>
      </c>
      <c r="H186" s="99">
        <f>G186+'12'!H186</f>
        <v>359</v>
      </c>
      <c r="I186" s="157"/>
      <c r="J186" s="178">
        <f>H186/DAY(B2)</f>
        <v>27.615384615384617</v>
      </c>
    </row>
    <row r="187" spans="1:15" ht="27.75" customHeight="1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460">
        <f>G62+G19</f>
        <v>233</v>
      </c>
      <c r="H187" s="99">
        <f>G187+'12'!H187</f>
        <v>2436</v>
      </c>
      <c r="I187" s="158"/>
      <c r="J187" s="179">
        <f>H187/DAY(B2)</f>
        <v>187.38461538461539</v>
      </c>
    </row>
    <row r="188" spans="1:15" ht="27.75" customHeight="1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229</v>
      </c>
      <c r="H188" s="99">
        <f>G188+'12'!H188</f>
        <v>2447</v>
      </c>
      <c r="I188" s="158"/>
      <c r="J188" s="179">
        <f>H188/DAY(B2)</f>
        <v>188.23076923076923</v>
      </c>
    </row>
    <row r="189" spans="1:15" ht="27.75" customHeight="1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457">
        <f>G181</f>
        <v>73</v>
      </c>
      <c r="H189" s="99">
        <f>G189+'12'!H189</f>
        <v>1185</v>
      </c>
      <c r="I189" s="158"/>
      <c r="J189" s="179">
        <f>H189/DAY(B2)</f>
        <v>91.15384615384616</v>
      </c>
    </row>
    <row r="190" spans="1:15" ht="27.75" customHeight="1" x14ac:dyDescent="0.5">
      <c r="A190" s="778"/>
      <c r="B190" s="779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24" zoomScale="55" zoomScaleSheetLayoutView="55" workbookViewId="0">
      <selection activeCell="F152" sqref="F152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.75" customHeight="1" x14ac:dyDescent="0.5">
      <c r="A2" s="191" t="s">
        <v>303</v>
      </c>
      <c r="B2" s="262">
        <v>44606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23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911144</v>
      </c>
      <c r="F7" s="95">
        <v>932322</v>
      </c>
      <c r="G7" s="112">
        <f>F7-E7</f>
        <v>21178</v>
      </c>
      <c r="H7" s="99">
        <f>G7+'13'!H7</f>
        <v>281141.77</v>
      </c>
      <c r="I7" s="113">
        <f>'1'!I7</f>
        <v>12000</v>
      </c>
      <c r="J7" s="175">
        <f>H7/DAY(B2)</f>
        <v>20081.555</v>
      </c>
      <c r="K7" s="172">
        <v>1375467</v>
      </c>
      <c r="L7" s="66"/>
      <c r="N7" s="87">
        <f>G8-G7</f>
        <v>83</v>
      </c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970453</v>
      </c>
      <c r="F8" s="95">
        <v>991714</v>
      </c>
      <c r="G8" s="115">
        <f>F8-E8</f>
        <v>21261</v>
      </c>
      <c r="H8" s="99">
        <f>G8+'13'!H8</f>
        <v>283165.84999999998</v>
      </c>
      <c r="I8" s="116"/>
      <c r="J8" s="175">
        <f>H8/DAY(B2)</f>
        <v>20226.132142857143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479386</v>
      </c>
      <c r="F9" s="598">
        <v>496744</v>
      </c>
      <c r="G9" s="112">
        <f>F9-E9</f>
        <v>17358</v>
      </c>
      <c r="H9" s="99">
        <f>G9+'13'!H9</f>
        <v>214490.15000000002</v>
      </c>
      <c r="I9" s="124">
        <f>I7-J7</f>
        <v>-8081.5550000000003</v>
      </c>
      <c r="J9" s="175">
        <f>H9/DAY(B2)</f>
        <v>15320.725000000002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160802</v>
      </c>
      <c r="F10" s="353">
        <v>164037</v>
      </c>
      <c r="G10" s="112">
        <f t="shared" ref="G10:G12" si="0">F10-E10</f>
        <v>3235</v>
      </c>
      <c r="H10" s="99">
        <f>G10+'13'!H10</f>
        <v>58778.03</v>
      </c>
      <c r="I10" s="282"/>
      <c r="J10" s="175">
        <f>H10/DAY(B2)</f>
        <v>4198.4307142857142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37170</v>
      </c>
      <c r="F11" s="95">
        <v>37170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20593</v>
      </c>
      <c r="H13" s="99">
        <f>G13+'13'!H13</f>
        <v>256513.75</v>
      </c>
      <c r="I13" s="120">
        <f>G7-G13</f>
        <v>585</v>
      </c>
      <c r="J13" s="175">
        <f>H13/DAY(B2)</f>
        <v>18322.410714285714</v>
      </c>
      <c r="K13" s="79"/>
      <c r="L13" s="66"/>
      <c r="N13" s="87"/>
      <c r="O13" s="71"/>
    </row>
    <row r="14" spans="1:15" ht="27.75" customHeight="1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123">
        <v>1920470</v>
      </c>
      <c r="F15" s="123">
        <v>1921565</v>
      </c>
      <c r="G15" s="112">
        <f>(F15-E15)</f>
        <v>1095</v>
      </c>
      <c r="H15" s="99">
        <f>G15+'13'!H15</f>
        <v>14928.233000000007</v>
      </c>
      <c r="I15" s="113">
        <f>'1'!I15</f>
        <v>800</v>
      </c>
      <c r="J15" s="175">
        <f>H15/DAY(B2)</f>
        <v>1066.3023571428578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-266.30235714285777</v>
      </c>
      <c r="J16" s="176"/>
      <c r="K16" s="79"/>
      <c r="L16" s="66"/>
      <c r="N16" s="87"/>
      <c r="O16" s="71"/>
    </row>
    <row r="17" spans="1:15" ht="27.75" customHeight="1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92" t="s">
        <v>141</v>
      </c>
      <c r="B18" s="893"/>
      <c r="C18" s="894"/>
      <c r="D18" s="151" t="s">
        <v>142</v>
      </c>
      <c r="E18" s="95">
        <f>'13'!F18</f>
        <v>24</v>
      </c>
      <c r="F18" s="122">
        <v>24</v>
      </c>
      <c r="G18" s="119">
        <f>F18*10</f>
        <v>240</v>
      </c>
      <c r="H18" s="99">
        <f>G18+'13'!H18</f>
        <v>3030</v>
      </c>
      <c r="I18" s="113">
        <f>'1'!I18</f>
        <v>65</v>
      </c>
      <c r="J18" s="175">
        <f>H18/DAY(B2)</f>
        <v>216.42857142857142</v>
      </c>
      <c r="K18" s="79"/>
      <c r="L18" s="66"/>
      <c r="N18" s="87"/>
      <c r="O18" s="71"/>
    </row>
    <row r="19" spans="1:15" ht="27.75" customHeight="1" x14ac:dyDescent="0.5">
      <c r="A19" s="892" t="s">
        <v>69</v>
      </c>
      <c r="B19" s="893"/>
      <c r="C19" s="894"/>
      <c r="D19" s="151" t="s">
        <v>142</v>
      </c>
      <c r="E19" s="95">
        <f>'13'!F19</f>
        <v>154580</v>
      </c>
      <c r="F19" s="122">
        <v>154636</v>
      </c>
      <c r="G19" s="112">
        <f t="shared" ref="G19" si="1">F19-E19</f>
        <v>56</v>
      </c>
      <c r="H19" s="99">
        <f>G19+'13'!H19</f>
        <v>745</v>
      </c>
      <c r="I19" s="335"/>
      <c r="J19" s="175">
        <f>H19/DAY(B2)</f>
        <v>53.214285714285715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296</v>
      </c>
      <c r="H20" s="99">
        <f>G20+'13'!H20</f>
        <v>3775</v>
      </c>
      <c r="I20" s="336">
        <f>I18-J20</f>
        <v>-204.64285714285717</v>
      </c>
      <c r="J20" s="175">
        <f>H20/DAY(B2)</f>
        <v>269.64285714285717</v>
      </c>
      <c r="K20" s="79"/>
      <c r="L20" s="66"/>
      <c r="N20" s="87"/>
      <c r="O20" s="71"/>
    </row>
    <row r="21" spans="1:15" ht="27.75" customHeight="1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21261</v>
      </c>
      <c r="F27" s="136">
        <v>9</v>
      </c>
      <c r="G27" s="137">
        <f>E27*F27</f>
        <v>191349</v>
      </c>
      <c r="H27" s="99">
        <f>G27+'13'!H27</f>
        <v>2548492.65</v>
      </c>
      <c r="I27" s="138"/>
      <c r="J27" s="175">
        <f>H27/DAY(B2)</f>
        <v>182035.18928571427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1095</v>
      </c>
      <c r="F28" s="136">
        <v>70</v>
      </c>
      <c r="G28" s="137">
        <f>E28*F28</f>
        <v>76650</v>
      </c>
      <c r="H28" s="99">
        <f>G28+'13'!H28</f>
        <v>839196.11600000039</v>
      </c>
      <c r="I28" s="140"/>
      <c r="J28" s="175">
        <f>H28/DAY(B2)</f>
        <v>59942.579714285741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G30+'13'!H30</f>
        <v>109625</v>
      </c>
      <c r="I30" s="140"/>
      <c r="J30" s="175">
        <f>H30/DAY(B2)</f>
        <v>7830.3571428571431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G31+'13'!H31</f>
        <v>242400</v>
      </c>
      <c r="I31" s="140"/>
      <c r="J31" s="175">
        <f>H31/DAY(B2)</f>
        <v>17314.285714285714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295655</v>
      </c>
      <c r="H32" s="99">
        <f>G32+'13'!H32</f>
        <v>3739713.7660000003</v>
      </c>
      <c r="I32" s="144"/>
      <c r="J32" s="175">
        <f>H32/DAY(B2)</f>
        <v>267122.41185714287</v>
      </c>
      <c r="K32" s="63"/>
      <c r="L32" s="89"/>
      <c r="N32" s="87"/>
      <c r="O32" s="71"/>
    </row>
    <row r="33" spans="1:15" ht="27.7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51594</v>
      </c>
      <c r="F35" s="145">
        <v>53020</v>
      </c>
      <c r="G35" s="112">
        <f t="shared" ref="G35:G46" si="3">F35-E35</f>
        <v>1426</v>
      </c>
      <c r="H35" s="99">
        <f>G35+'13'!H35</f>
        <v>21015.02</v>
      </c>
      <c r="I35" s="95"/>
      <c r="J35" s="175">
        <f>H35/DAY(B2)</f>
        <v>1501.0728571428572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55877</v>
      </c>
      <c r="F36" s="145">
        <v>56711</v>
      </c>
      <c r="G36" s="112">
        <f t="shared" si="3"/>
        <v>834</v>
      </c>
      <c r="H36" s="99">
        <f>G36+'13'!H36</f>
        <v>13252.260000000002</v>
      </c>
      <c r="I36" s="95"/>
      <c r="J36" s="175">
        <f>H36/DAY(B2)</f>
        <v>946.59000000000015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56823</v>
      </c>
      <c r="F37" s="145">
        <v>58569</v>
      </c>
      <c r="G37" s="112">
        <f t="shared" si="3"/>
        <v>1746</v>
      </c>
      <c r="H37" s="99">
        <f>G37+'13'!H37</f>
        <v>23143.910000000003</v>
      </c>
      <c r="I37" s="95"/>
      <c r="J37" s="175">
        <f>H37/DAY(B2)</f>
        <v>1653.1364285714287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63214</v>
      </c>
      <c r="F38" s="108">
        <v>65275</v>
      </c>
      <c r="G38" s="112">
        <f t="shared" si="3"/>
        <v>2061</v>
      </c>
      <c r="H38" s="99">
        <f>G38+'13'!H38</f>
        <v>26898.57</v>
      </c>
      <c r="I38" s="95"/>
      <c r="J38" s="175">
        <f>H38/DAY(B2)</f>
        <v>1921.3264285714286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96952</v>
      </c>
      <c r="F39" s="145">
        <v>100165</v>
      </c>
      <c r="G39" s="112">
        <f t="shared" si="3"/>
        <v>3213</v>
      </c>
      <c r="H39" s="99">
        <f>G39+'13'!H39</f>
        <v>40991.71</v>
      </c>
      <c r="I39" s="95"/>
      <c r="J39" s="175">
        <f>H39/DAY(B2)</f>
        <v>2927.9792857142857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26453</v>
      </c>
      <c r="F40" s="145">
        <v>27350</v>
      </c>
      <c r="G40" s="112">
        <f t="shared" si="3"/>
        <v>897</v>
      </c>
      <c r="H40" s="99">
        <f>G40+'13'!H40</f>
        <v>5233.0099999999975</v>
      </c>
      <c r="I40" s="95"/>
      <c r="J40" s="175">
        <f>H40/DAY(B2)</f>
        <v>373.78642857142842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63</v>
      </c>
      <c r="F41" s="145">
        <v>63</v>
      </c>
      <c r="G41" s="112">
        <f t="shared" si="3"/>
        <v>0</v>
      </c>
      <c r="H41" s="99">
        <f>G41+'13'!H41</f>
        <v>0.27000000000000313</v>
      </c>
      <c r="I41" s="95"/>
      <c r="J41" s="175">
        <f>H41/DAY(B2)</f>
        <v>1.928571428571451E-2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145">
        <v>135861</v>
      </c>
      <c r="F42" s="145">
        <v>140485</v>
      </c>
      <c r="G42" s="112">
        <f t="shared" si="3"/>
        <v>4624</v>
      </c>
      <c r="H42" s="99">
        <f>G42+'13'!H42</f>
        <v>40355.259999999995</v>
      </c>
      <c r="I42" s="95"/>
      <c r="J42" s="175">
        <f>H42/DAY(B2)</f>
        <v>2882.5185714285712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145">
        <v>142758</v>
      </c>
      <c r="F43" s="145">
        <v>144860</v>
      </c>
      <c r="G43" s="112">
        <f t="shared" si="3"/>
        <v>2102</v>
      </c>
      <c r="H43" s="99">
        <f>G43+'13'!H43</f>
        <v>30008.399999999994</v>
      </c>
      <c r="I43" s="95"/>
      <c r="J43" s="175">
        <f>H43/DAY(B2)</f>
        <v>2143.4571428571426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16903</v>
      </c>
      <c r="H47" s="99">
        <f>G47+'13'!H47</f>
        <v>200898.41</v>
      </c>
      <c r="I47" s="95"/>
      <c r="J47" s="175">
        <f>H47/DAY(B2)</f>
        <v>14349.886428571428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41944</v>
      </c>
      <c r="F49" s="145">
        <v>43521</v>
      </c>
      <c r="G49" s="112">
        <f t="shared" ref="G49:G58" si="4">F49-E49</f>
        <v>1577</v>
      </c>
      <c r="H49" s="99">
        <f>G49+'13'!H49</f>
        <v>18524.810000000001</v>
      </c>
      <c r="I49" s="95"/>
      <c r="J49" s="175">
        <f>H49/DAY(B2)</f>
        <v>1323.2007142857144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72291</v>
      </c>
      <c r="F50" s="145">
        <v>73897</v>
      </c>
      <c r="G50" s="112">
        <f t="shared" si="4"/>
        <v>1606</v>
      </c>
      <c r="H50" s="99">
        <f>G50+'13'!H50</f>
        <v>17510.370000000003</v>
      </c>
      <c r="I50" s="95"/>
      <c r="J50" s="175">
        <f>H50/DAY(B2)</f>
        <v>1250.7407142857144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11228</v>
      </c>
      <c r="F54" s="145">
        <v>11769</v>
      </c>
      <c r="G54" s="112">
        <f t="shared" si="4"/>
        <v>541</v>
      </c>
      <c r="H54" s="99">
        <f>G54+'13'!H54</f>
        <v>6621.58</v>
      </c>
      <c r="I54" s="95"/>
      <c r="J54" s="175">
        <f>H54/DAY(B2)</f>
        <v>472.96999999999997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90579</v>
      </c>
      <c r="F55" s="145">
        <v>90579</v>
      </c>
      <c r="G55" s="112">
        <f t="shared" si="4"/>
        <v>0</v>
      </c>
      <c r="H55" s="99">
        <f>G55+'13'!H55</f>
        <v>16212.89</v>
      </c>
      <c r="I55" s="95"/>
      <c r="J55" s="175">
        <f>H55/DAY(B2)</f>
        <v>1158.0635714285713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8724</v>
      </c>
      <c r="F56" s="145">
        <v>8724</v>
      </c>
      <c r="G56" s="112">
        <f t="shared" si="4"/>
        <v>0</v>
      </c>
      <c r="H56" s="99">
        <f>G56+'13'!H56</f>
        <v>113.45999999999913</v>
      </c>
      <c r="I56" s="95"/>
      <c r="J56" s="175">
        <f>H56/DAY(B2)</f>
        <v>8.1042857142856519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7565</v>
      </c>
      <c r="F58" s="145">
        <v>7782</v>
      </c>
      <c r="G58" s="112">
        <f t="shared" si="4"/>
        <v>217</v>
      </c>
      <c r="H58" s="99">
        <f>G58+'13'!H58</f>
        <v>2985.79</v>
      </c>
      <c r="I58" s="95"/>
      <c r="J58" s="175">
        <f>H58/DAY(B2)</f>
        <v>213.27071428571429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3941</v>
      </c>
      <c r="H59" s="99">
        <f>G59+'13'!H59</f>
        <v>61968.9</v>
      </c>
      <c r="I59" s="95">
        <f>G7-G60</f>
        <v>334</v>
      </c>
      <c r="J59" s="175">
        <f>H59/DAY(B2)</f>
        <v>4426.3500000000004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20844</v>
      </c>
      <c r="H60" s="99">
        <f>G60+'13'!H60</f>
        <v>262867.31</v>
      </c>
      <c r="I60" s="95">
        <f>G13-G60</f>
        <v>-251</v>
      </c>
      <c r="J60" s="175">
        <f>H60/DAY(B2)</f>
        <v>18776.236428571428</v>
      </c>
      <c r="K60" s="79"/>
      <c r="L60" s="66"/>
      <c r="N60" s="87"/>
      <c r="O60" s="71"/>
    </row>
    <row r="61" spans="1:15" s="68" customFormat="1" ht="27.75" customHeight="1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92" t="s">
        <v>198</v>
      </c>
      <c r="B62" s="893"/>
      <c r="C62" s="894"/>
      <c r="D62" s="151" t="s">
        <v>142</v>
      </c>
      <c r="E62" s="95">
        <f>'13'!F62</f>
        <v>271263</v>
      </c>
      <c r="F62" s="122">
        <v>271433</v>
      </c>
      <c r="G62" s="112">
        <f t="shared" ref="G62:G63" si="5">F62-E62</f>
        <v>170</v>
      </c>
      <c r="H62" s="99">
        <f>G62+'13'!H62</f>
        <v>1917</v>
      </c>
      <c r="I62" s="118"/>
      <c r="J62" s="175">
        <f>H62/DAY(B2)</f>
        <v>136.92857142857142</v>
      </c>
      <c r="K62" s="80"/>
      <c r="L62" s="66"/>
      <c r="N62" s="87"/>
      <c r="O62" s="71"/>
    </row>
    <row r="63" spans="1:15" ht="27.75" customHeight="1" x14ac:dyDescent="0.5">
      <c r="A63" s="892" t="s">
        <v>199</v>
      </c>
      <c r="B63" s="893"/>
      <c r="C63" s="894"/>
      <c r="D63" s="151" t="s">
        <v>142</v>
      </c>
      <c r="E63" s="122">
        <v>217520</v>
      </c>
      <c r="F63" s="122">
        <v>217644</v>
      </c>
      <c r="G63" s="112">
        <f t="shared" si="5"/>
        <v>124</v>
      </c>
      <c r="H63" s="99">
        <f>G63+'13'!H63</f>
        <v>1847</v>
      </c>
      <c r="I63" s="118"/>
      <c r="J63" s="175">
        <f>H63/DAY(B2)</f>
        <v>131.92857142857142</v>
      </c>
      <c r="K63" s="69"/>
      <c r="L63" s="66"/>
      <c r="N63" s="87"/>
      <c r="O63" s="71"/>
    </row>
    <row r="64" spans="1:15" ht="27.75" customHeight="1" x14ac:dyDescent="0.5">
      <c r="A64" s="901" t="s">
        <v>200</v>
      </c>
      <c r="B64" s="902"/>
      <c r="C64" s="903"/>
      <c r="D64" s="151"/>
      <c r="E64" s="95">
        <f>'13'!F64</f>
        <v>0</v>
      </c>
      <c r="F64" s="122"/>
      <c r="G64" s="112">
        <f>G62+G63</f>
        <v>294</v>
      </c>
      <c r="H64" s="99">
        <f>G64+'13'!H64</f>
        <v>3764</v>
      </c>
      <c r="I64" s="118"/>
      <c r="J64" s="175">
        <f>H64/DAY(B2)</f>
        <v>268.85714285714283</v>
      </c>
      <c r="K64" s="69"/>
      <c r="L64" s="66"/>
      <c r="N64" s="87"/>
      <c r="O64" s="71"/>
    </row>
    <row r="65" spans="1:15" ht="27.75" customHeight="1" x14ac:dyDescent="0.5">
      <c r="A65" s="892" t="s">
        <v>201</v>
      </c>
      <c r="B65" s="893"/>
      <c r="C65" s="894"/>
      <c r="D65" s="151" t="s">
        <v>142</v>
      </c>
      <c r="E65" s="95">
        <f>'13'!F65</f>
        <v>436208</v>
      </c>
      <c r="F65" s="122">
        <v>436343</v>
      </c>
      <c r="G65" s="112">
        <f t="shared" ref="G65:G70" si="6">F65-E65</f>
        <v>135</v>
      </c>
      <c r="H65" s="99">
        <f>G65+'13'!H65</f>
        <v>1420</v>
      </c>
      <c r="I65" s="118"/>
      <c r="J65" s="175">
        <f>H65/DAY(B2)</f>
        <v>101.42857142857143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'13'!F66</f>
        <v>108072</v>
      </c>
      <c r="F66" s="122">
        <v>108099</v>
      </c>
      <c r="G66" s="112">
        <f t="shared" si="6"/>
        <v>27</v>
      </c>
      <c r="H66" s="99">
        <f>G66+'13'!H66</f>
        <v>356</v>
      </c>
      <c r="I66" s="118"/>
      <c r="J66" s="175">
        <f>H66/DAY(B2)</f>
        <v>25.428571428571427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'13'!F67</f>
        <v>105152</v>
      </c>
      <c r="F67" s="122">
        <v>105221</v>
      </c>
      <c r="G67" s="112">
        <f t="shared" si="6"/>
        <v>69</v>
      </c>
      <c r="H67" s="99">
        <f>G67+'13'!H67</f>
        <v>573</v>
      </c>
      <c r="I67" s="118"/>
      <c r="J67" s="175">
        <f>H67/DAY(B2)</f>
        <v>40.928571428571431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'13'!F68</f>
        <v>158198</v>
      </c>
      <c r="F68" s="122">
        <v>158232</v>
      </c>
      <c r="G68" s="112">
        <f t="shared" si="6"/>
        <v>34</v>
      </c>
      <c r="H68" s="99">
        <f>G68+'13'!H68</f>
        <v>535</v>
      </c>
      <c r="I68" s="118"/>
      <c r="J68" s="175">
        <f>H68/DAY(B2)</f>
        <v>38.214285714285715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'13'!F69</f>
        <v>10713</v>
      </c>
      <c r="F69" s="122">
        <v>10724</v>
      </c>
      <c r="G69" s="112">
        <f t="shared" si="6"/>
        <v>11</v>
      </c>
      <c r="H69" s="99">
        <f>G69+'13'!H69</f>
        <v>183</v>
      </c>
      <c r="I69" s="118"/>
      <c r="J69" s="175">
        <f>H69/DAY(B2)</f>
        <v>13.071428571428571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'13'!F70</f>
        <v>8277</v>
      </c>
      <c r="F70" s="122">
        <v>8288</v>
      </c>
      <c r="G70" s="112">
        <f t="shared" si="6"/>
        <v>11</v>
      </c>
      <c r="H70" s="99">
        <f>G70+'13'!H70</f>
        <v>168</v>
      </c>
      <c r="I70" s="118"/>
      <c r="J70" s="175">
        <f>H70/DAY(B2)</f>
        <v>12</v>
      </c>
      <c r="K70" s="69"/>
      <c r="L70" s="66"/>
      <c r="N70" s="87"/>
      <c r="O70" s="71"/>
    </row>
    <row r="71" spans="1:15" ht="27.75" customHeight="1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287</v>
      </c>
      <c r="H71" s="99">
        <f>G71+'13'!H71</f>
        <v>3235</v>
      </c>
      <c r="I71" s="154"/>
      <c r="J71" s="175">
        <f>H71/DAY(B2)</f>
        <v>231.07142857142858</v>
      </c>
      <c r="K71" s="69"/>
      <c r="L71" s="66"/>
      <c r="N71" s="87"/>
      <c r="O71" s="71"/>
    </row>
    <row r="72" spans="1:15" s="88" customFormat="1" ht="27.75" customHeight="1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92" t="s">
        <v>220</v>
      </c>
      <c r="B74" s="893"/>
      <c r="C74" s="894"/>
      <c r="D74" s="151" t="s">
        <v>139</v>
      </c>
      <c r="E74" s="95">
        <f>'13'!F74</f>
        <v>905301</v>
      </c>
      <c r="F74" s="117">
        <v>905595</v>
      </c>
      <c r="G74" s="112">
        <f t="shared" ref="G74:G78" si="7">F74-E74</f>
        <v>294</v>
      </c>
      <c r="H74" s="99">
        <f>G74+'13'!H74</f>
        <v>4288.8510000000242</v>
      </c>
      <c r="I74" s="154"/>
      <c r="J74" s="175">
        <f>H74/DAY(B2)</f>
        <v>306.34650000000175</v>
      </c>
      <c r="K74" s="69"/>
      <c r="L74" s="66"/>
      <c r="N74" s="87"/>
      <c r="O74" s="71"/>
    </row>
    <row r="75" spans="1:15" ht="27.75" customHeight="1" x14ac:dyDescent="0.5">
      <c r="A75" s="892" t="s">
        <v>221</v>
      </c>
      <c r="B75" s="893"/>
      <c r="C75" s="894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 x14ac:dyDescent="0.5">
      <c r="A76" s="889" t="s">
        <v>222</v>
      </c>
      <c r="B76" s="890"/>
      <c r="C76" s="891"/>
      <c r="D76" s="151" t="s">
        <v>139</v>
      </c>
      <c r="E76" s="95">
        <f>'13'!F76</f>
        <v>171523</v>
      </c>
      <c r="F76" s="123">
        <v>171616</v>
      </c>
      <c r="G76" s="112">
        <f t="shared" si="7"/>
        <v>93</v>
      </c>
      <c r="H76" s="99">
        <f>G76+'13'!H76</f>
        <v>1641</v>
      </c>
      <c r="I76" s="154"/>
      <c r="J76" s="175">
        <f>H76/DAY(B2)</f>
        <v>117.21428571428571</v>
      </c>
      <c r="K76" s="69"/>
      <c r="L76" s="66"/>
      <c r="N76" s="87"/>
      <c r="O76" s="71"/>
    </row>
    <row r="77" spans="1:15" ht="27.75" customHeight="1" x14ac:dyDescent="0.5">
      <c r="A77" s="889" t="s">
        <v>223</v>
      </c>
      <c r="B77" s="890"/>
      <c r="C77" s="891"/>
      <c r="D77" s="151" t="s">
        <v>139</v>
      </c>
      <c r="E77" s="95">
        <f>'13'!F77</f>
        <v>41936</v>
      </c>
      <c r="F77" s="123">
        <v>41975</v>
      </c>
      <c r="G77" s="112">
        <f t="shared" si="7"/>
        <v>39</v>
      </c>
      <c r="H77" s="99">
        <f>G77+'13'!H77</f>
        <v>672.80000000000291</v>
      </c>
      <c r="I77" s="154"/>
      <c r="J77" s="175">
        <f>H77/DAY(B2)</f>
        <v>48.057142857143063</v>
      </c>
      <c r="K77" s="69"/>
      <c r="L77" s="66"/>
      <c r="N77" s="87"/>
      <c r="O77" s="71"/>
    </row>
    <row r="78" spans="1:15" ht="27.75" customHeight="1" x14ac:dyDescent="0.5">
      <c r="A78" s="889" t="s">
        <v>224</v>
      </c>
      <c r="B78" s="890"/>
      <c r="C78" s="891"/>
      <c r="D78" s="151" t="s">
        <v>139</v>
      </c>
      <c r="E78" s="95">
        <v>9538</v>
      </c>
      <c r="F78" s="123">
        <v>9538</v>
      </c>
      <c r="G78" s="112">
        <f t="shared" si="7"/>
        <v>0</v>
      </c>
      <c r="H78" s="99">
        <f>G78+'13'!H78</f>
        <v>25</v>
      </c>
      <c r="I78" s="118"/>
      <c r="J78" s="175">
        <f>H78/DAY(B2)</f>
        <v>1.7857142857142858</v>
      </c>
      <c r="K78" s="69"/>
      <c r="L78" s="66"/>
      <c r="N78" s="87"/>
      <c r="O78" s="71"/>
    </row>
    <row r="79" spans="1:15" s="57" customFormat="1" ht="27.75" customHeight="1" x14ac:dyDescent="0.5">
      <c r="A79" s="889" t="s">
        <v>225</v>
      </c>
      <c r="B79" s="890"/>
      <c r="C79" s="891"/>
      <c r="D79" s="151"/>
      <c r="E79" s="95">
        <f>'13'!F79</f>
        <v>0</v>
      </c>
      <c r="F79" s="117"/>
      <c r="G79" s="112">
        <f>G15-SUM(G74:G78)</f>
        <v>669</v>
      </c>
      <c r="H79" s="99">
        <f>G79+'13'!H79</f>
        <v>8300.3819999999832</v>
      </c>
      <c r="I79" s="118"/>
      <c r="J79" s="175">
        <f>H79/DAY(B2)</f>
        <v>592.88442857142741</v>
      </c>
      <c r="K79" s="59"/>
      <c r="L79" s="58"/>
      <c r="N79" s="87"/>
      <c r="O79" s="71"/>
    </row>
    <row r="80" spans="1:15" s="57" customFormat="1" ht="27.75" customHeight="1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1095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'13'!F85</f>
        <v>2456</v>
      </c>
      <c r="F85" s="164">
        <v>2480</v>
      </c>
      <c r="G85" s="112">
        <f t="shared" si="8"/>
        <v>24</v>
      </c>
      <c r="H85" s="99">
        <f>G85+'13'!H85</f>
        <v>219.57999999999993</v>
      </c>
      <c r="I85" s="118">
        <f>G82+G83+G84+G85</f>
        <v>24</v>
      </c>
      <c r="J85" s="175">
        <f>H85/DAY(B2)</f>
        <v>15.684285714285709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'13'!F86</f>
        <v>43564</v>
      </c>
      <c r="F86" s="164">
        <v>43564</v>
      </c>
      <c r="G86" s="112">
        <f t="shared" si="8"/>
        <v>0</v>
      </c>
      <c r="H86" s="99">
        <f>G86+'13'!H86</f>
        <v>122</v>
      </c>
      <c r="I86" s="118"/>
      <c r="J86" s="175">
        <f>H86/DAY(B2)</f>
        <v>8.7142857142857135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'13'!F87</f>
        <v>34598.550000000003</v>
      </c>
      <c r="F87" s="164">
        <v>34598.550000000003</v>
      </c>
      <c r="G87" s="112">
        <f t="shared" si="8"/>
        <v>0</v>
      </c>
      <c r="H87" s="99">
        <f>G87+'13'!H87</f>
        <v>5.0000000002910383E-2</v>
      </c>
      <c r="I87" s="118"/>
      <c r="J87" s="175">
        <f>H87/DAY(B2)</f>
        <v>3.5714285716364558E-3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'13'!F88</f>
        <v>24066.77</v>
      </c>
      <c r="F88" s="164">
        <v>24067.759999999998</v>
      </c>
      <c r="G88" s="112">
        <f t="shared" si="8"/>
        <v>0.98999999999796273</v>
      </c>
      <c r="H88" s="99">
        <f>G88+'13'!H88</f>
        <v>4.3299999999981083</v>
      </c>
      <c r="I88" s="118">
        <f>G86+G87+G88</f>
        <v>0.98999999999796273</v>
      </c>
      <c r="J88" s="175">
        <f>H88/DAY(B2)</f>
        <v>0.30928571428557916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'13'!F89</f>
        <v>26022.66</v>
      </c>
      <c r="F89" s="164">
        <v>26033.439999999999</v>
      </c>
      <c r="G89" s="112">
        <f t="shared" si="8"/>
        <v>10.779999999998836</v>
      </c>
      <c r="H89" s="99">
        <f>G89+'13'!H89</f>
        <v>142.31999999999971</v>
      </c>
      <c r="I89" s="118"/>
      <c r="J89" s="175">
        <f>H89/DAY(B2)</f>
        <v>10.165714285714264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'13'!F90</f>
        <v>71209.78</v>
      </c>
      <c r="F90" s="164">
        <v>71215.97</v>
      </c>
      <c r="G90" s="112">
        <f t="shared" si="8"/>
        <v>6.1900000000023283</v>
      </c>
      <c r="H90" s="99">
        <f>G90+'13'!H90</f>
        <v>52.649999999994179</v>
      </c>
      <c r="I90" s="118">
        <f>G89+G90</f>
        <v>16.970000000001164</v>
      </c>
      <c r="J90" s="175">
        <f>H90/DAY(B2)</f>
        <v>3.76071428571387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'13'!F91</f>
        <v>3398.46</v>
      </c>
      <c r="F91" s="122">
        <v>3409.63</v>
      </c>
      <c r="G91" s="112">
        <f t="shared" si="8"/>
        <v>11.170000000000073</v>
      </c>
      <c r="H91" s="99">
        <f>G91+'13'!H91</f>
        <v>158.53999999999996</v>
      </c>
      <c r="I91" s="165"/>
      <c r="J91" s="175">
        <f>H91/DAY(B2)</f>
        <v>11.324285714285711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'13'!F92</f>
        <v>5741</v>
      </c>
      <c r="F92" s="122">
        <v>5741</v>
      </c>
      <c r="G92" s="112">
        <f t="shared" si="8"/>
        <v>0</v>
      </c>
      <c r="H92" s="99">
        <f>G92+'13'!H92</f>
        <v>-6.9999999999708962E-2</v>
      </c>
      <c r="I92" s="165"/>
      <c r="J92" s="175">
        <f>H92/DAY(B2)</f>
        <v>-4.9999999999792112E-3</v>
      </c>
      <c r="O92" s="71"/>
    </row>
    <row r="93" spans="1:15" ht="27.75" customHeight="1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5105</v>
      </c>
      <c r="H94" s="99">
        <f>G94+'13'!H94</f>
        <v>69548.23</v>
      </c>
      <c r="I94" s="118"/>
      <c r="J94" s="175">
        <f>H94/DAY(B2)</f>
        <v>4967.7307142857144</v>
      </c>
      <c r="K94" s="69"/>
      <c r="L94" s="66"/>
      <c r="O94" s="71"/>
    </row>
    <row r="95" spans="1:15" ht="27.75" customHeight="1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0.24105203513079612</v>
      </c>
      <c r="H95" s="99">
        <f>G95+'13'!H95</f>
        <v>3.4672654666377891</v>
      </c>
      <c r="I95" s="167"/>
      <c r="J95" s="175">
        <f>H95/DAY(B2)</f>
        <v>0.24766181904555637</v>
      </c>
      <c r="K95" s="69"/>
      <c r="L95" s="66"/>
      <c r="O95" s="71"/>
    </row>
    <row r="96" spans="1:15" ht="27.75" customHeight="1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4624</v>
      </c>
      <c r="H96" s="99">
        <f>G96+'13'!H96</f>
        <v>56681.87999999999</v>
      </c>
      <c r="I96" s="118"/>
      <c r="J96" s="175">
        <f>H96/DAY(B2)</f>
        <v>4048.7057142857134</v>
      </c>
      <c r="K96" s="69"/>
      <c r="L96" s="66"/>
      <c r="O96" s="71"/>
    </row>
    <row r="97" spans="1:15" ht="27.75" customHeight="1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0.21833978657096986</v>
      </c>
      <c r="H97" s="99">
        <f>G97+'13'!H97</f>
        <v>2.8154059515451335</v>
      </c>
      <c r="I97" s="167"/>
      <c r="J97" s="175">
        <f>H97/DAY(B2)</f>
        <v>0.20110042511036669</v>
      </c>
      <c r="K97" s="69"/>
      <c r="L97" s="66"/>
      <c r="O97" s="71"/>
    </row>
    <row r="98" spans="1:15" ht="27.75" customHeight="1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3213</v>
      </c>
      <c r="H98" s="99">
        <f>G98+'13'!H98</f>
        <v>40991.71</v>
      </c>
      <c r="I98" s="168"/>
      <c r="J98" s="175">
        <f>H98/DAY(B2)</f>
        <v>2927.9792857142857</v>
      </c>
      <c r="K98" s="69"/>
      <c r="L98" s="66"/>
      <c r="O98" s="71"/>
    </row>
    <row r="99" spans="1:15" ht="27.75" customHeight="1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0.15171404287468127</v>
      </c>
      <c r="H99" s="99">
        <f>G99+'13'!H99</f>
        <v>2.0417473969738973</v>
      </c>
      <c r="I99" s="168"/>
      <c r="J99" s="175">
        <f>H99/DAY(B2)</f>
        <v>0.14583909978384982</v>
      </c>
      <c r="O99" s="71"/>
    </row>
    <row r="100" spans="1:15" ht="27.75" customHeight="1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2061</v>
      </c>
      <c r="H100" s="99">
        <f>G100+'13'!H100</f>
        <v>26898.57</v>
      </c>
      <c r="I100" s="118"/>
      <c r="J100" s="175">
        <f>H100/DAY(B2)</f>
        <v>1921.3264285714286</v>
      </c>
      <c r="K100" s="70"/>
      <c r="O100" s="71"/>
    </row>
    <row r="101" spans="1:15" ht="27.75" customHeight="1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9.7317971479837562E-2</v>
      </c>
      <c r="H101" s="99">
        <f>G101+'13'!H101</f>
        <v>1.339707182041491</v>
      </c>
      <c r="I101" s="168"/>
      <c r="J101" s="175">
        <f>H101/DAY(B2)</f>
        <v>9.5693370145820786E-2</v>
      </c>
      <c r="O101" s="71"/>
    </row>
    <row r="102" spans="1:15" ht="27.75" customHeight="1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2440</v>
      </c>
      <c r="H102" s="99">
        <f>G102+'13'!H102</f>
        <v>30762.630000000005</v>
      </c>
      <c r="I102" s="168"/>
      <c r="J102" s="175">
        <f>H102/DAY(B2)</f>
        <v>2197.3307142857147</v>
      </c>
      <c r="O102" s="71"/>
    </row>
    <row r="103" spans="1:15" ht="27.75" customHeight="1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0.11521390121824535</v>
      </c>
      <c r="H103" s="99">
        <f>G103+'13'!H103</f>
        <v>1.5259103791031874</v>
      </c>
      <c r="I103" s="118"/>
      <c r="J103" s="175">
        <f>H103/DAY(B2)</f>
        <v>0.10899359850737053</v>
      </c>
      <c r="O103" s="71"/>
    </row>
    <row r="104" spans="1:15" ht="27.75" customHeight="1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1746</v>
      </c>
      <c r="H104" s="99">
        <f>G104+'13'!H104</f>
        <v>23143.910000000003</v>
      </c>
      <c r="I104" s="118"/>
      <c r="J104" s="175">
        <f>H104/DAY(B2)</f>
        <v>1653.1364285714287</v>
      </c>
      <c r="O104" s="71"/>
    </row>
    <row r="105" spans="1:15" ht="27.75" customHeight="1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8.2444045707809985E-2</v>
      </c>
      <c r="H105" s="99">
        <f>G105+'13'!H105</f>
        <v>1.1552415628328885</v>
      </c>
      <c r="I105" s="187"/>
      <c r="J105" s="188">
        <f>H105/DAY(B2)</f>
        <v>8.2517254488063463E-2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7.75" customHeight="1" x14ac:dyDescent="0.5">
      <c r="A109" s="909"/>
      <c r="B109" s="909"/>
    </row>
    <row r="110" spans="1:15" ht="27.75" customHeight="1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customHeight="1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71" t="s">
        <v>252</v>
      </c>
      <c r="B112" s="872"/>
      <c r="C112" s="873"/>
      <c r="D112" s="146" t="s">
        <v>183</v>
      </c>
      <c r="E112" s="95">
        <f>'13'!F112</f>
        <v>59004</v>
      </c>
      <c r="F112" s="237">
        <v>59070</v>
      </c>
      <c r="G112" s="112">
        <f t="shared" ref="G112:G123" si="9">F112-E112</f>
        <v>66</v>
      </c>
      <c r="H112" s="99">
        <f>G112+'13'!H112</f>
        <v>1016</v>
      </c>
      <c r="I112" s="165"/>
      <c r="J112" s="328">
        <f>H112/DAY(B2)</f>
        <v>72.571428571428569</v>
      </c>
    </row>
    <row r="113" spans="1:18" ht="27.75" customHeight="1" x14ac:dyDescent="0.5">
      <c r="A113" s="871" t="s">
        <v>253</v>
      </c>
      <c r="B113" s="872"/>
      <c r="C113" s="873"/>
      <c r="D113" s="146" t="s">
        <v>183</v>
      </c>
      <c r="E113" s="95">
        <f>'13'!F113</f>
        <v>52520</v>
      </c>
      <c r="F113" s="237">
        <v>52993</v>
      </c>
      <c r="G113" s="112">
        <f t="shared" si="9"/>
        <v>473</v>
      </c>
      <c r="H113" s="99">
        <f>G113+'13'!H113</f>
        <v>6592.1100000000006</v>
      </c>
      <c r="I113" s="165"/>
      <c r="J113" s="328">
        <f>H113/DAY(B2)</f>
        <v>470.86500000000007</v>
      </c>
    </row>
    <row r="114" spans="1:18" ht="27.75" customHeight="1" x14ac:dyDescent="0.5">
      <c r="A114" s="871" t="s">
        <v>254</v>
      </c>
      <c r="B114" s="872"/>
      <c r="C114" s="873"/>
      <c r="D114" s="146" t="s">
        <v>183</v>
      </c>
      <c r="E114" s="95">
        <f>'13'!F114</f>
        <v>37526</v>
      </c>
      <c r="F114" s="237">
        <v>37793</v>
      </c>
      <c r="G114" s="112">
        <f t="shared" si="9"/>
        <v>267</v>
      </c>
      <c r="H114" s="99">
        <f>G114+'13'!H114</f>
        <v>4633</v>
      </c>
      <c r="I114" s="165"/>
      <c r="J114" s="328">
        <f>H114/DAY(B2)</f>
        <v>330.92857142857144</v>
      </c>
    </row>
    <row r="115" spans="1:18" ht="27.75" customHeight="1" x14ac:dyDescent="0.5">
      <c r="A115" s="871" t="s">
        <v>255</v>
      </c>
      <c r="B115" s="872"/>
      <c r="C115" s="873"/>
      <c r="D115" s="146" t="s">
        <v>183</v>
      </c>
      <c r="E115" s="95">
        <f>'13'!F115</f>
        <v>9229</v>
      </c>
      <c r="F115" s="237">
        <v>9245</v>
      </c>
      <c r="G115" s="112">
        <f t="shared" si="9"/>
        <v>16</v>
      </c>
      <c r="H115" s="99">
        <f>G115+'13'!H115</f>
        <v>150.35000000000036</v>
      </c>
      <c r="I115" s="165"/>
      <c r="J115" s="328">
        <f>H115/DAY(B2)</f>
        <v>10.739285714285741</v>
      </c>
    </row>
    <row r="116" spans="1:18" ht="27.75" customHeight="1" x14ac:dyDescent="0.5">
      <c r="A116" s="878" t="s">
        <v>96</v>
      </c>
      <c r="B116" s="879"/>
      <c r="C116" s="880"/>
      <c r="D116" s="146" t="s">
        <v>183</v>
      </c>
      <c r="E116" s="95">
        <f>'13'!F116</f>
        <v>2851</v>
      </c>
      <c r="F116" s="237">
        <v>3286</v>
      </c>
      <c r="G116" s="112">
        <f t="shared" si="9"/>
        <v>435</v>
      </c>
      <c r="H116" s="99">
        <f>G116+'13'!H116</f>
        <v>3286</v>
      </c>
      <c r="I116" s="165"/>
      <c r="J116" s="328">
        <f>H116/DAY(B2)</f>
        <v>234.71428571428572</v>
      </c>
      <c r="Q116" s="871"/>
      <c r="R116" s="873"/>
    </row>
    <row r="117" spans="1:18" ht="27.75" customHeight="1" x14ac:dyDescent="0.5">
      <c r="A117" s="878" t="s">
        <v>184</v>
      </c>
      <c r="B117" s="879"/>
      <c r="C117" s="880"/>
      <c r="D117" s="146" t="s">
        <v>183</v>
      </c>
      <c r="E117" s="95">
        <f>'13'!F117</f>
        <v>5081</v>
      </c>
      <c r="F117" s="237">
        <v>5335</v>
      </c>
      <c r="G117" s="112">
        <f t="shared" si="9"/>
        <v>254</v>
      </c>
      <c r="H117" s="99">
        <f>G117+'13'!H117</f>
        <v>1997.0500000000002</v>
      </c>
      <c r="I117" s="165"/>
      <c r="J117" s="328">
        <f>H117/DAY(B2)</f>
        <v>142.64642857142857</v>
      </c>
      <c r="Q117" s="871"/>
      <c r="R117" s="873"/>
    </row>
    <row r="118" spans="1:18" ht="27.75" customHeight="1" x14ac:dyDescent="0.5">
      <c r="A118" s="870" t="s">
        <v>97</v>
      </c>
      <c r="B118" s="870"/>
      <c r="C118" s="870"/>
      <c r="D118" s="151" t="s">
        <v>183</v>
      </c>
      <c r="E118" s="95">
        <f>'13'!F118</f>
        <v>257167</v>
      </c>
      <c r="F118" s="237">
        <v>257628</v>
      </c>
      <c r="G118" s="112">
        <f t="shared" si="9"/>
        <v>461</v>
      </c>
      <c r="H118" s="99">
        <f>G118+'13'!H118</f>
        <v>5175.6900000000023</v>
      </c>
      <c r="I118" s="165"/>
      <c r="J118" s="328">
        <f>H118/DAY(B2)</f>
        <v>369.69214285714304</v>
      </c>
      <c r="Q118" s="871"/>
      <c r="R118" s="873"/>
    </row>
    <row r="119" spans="1:18" ht="27.75" customHeight="1" x14ac:dyDescent="0.5">
      <c r="A119" s="870" t="s">
        <v>98</v>
      </c>
      <c r="B119" s="870"/>
      <c r="C119" s="870"/>
      <c r="D119" s="151" t="s">
        <v>183</v>
      </c>
      <c r="E119" s="95">
        <f>'13'!F119</f>
        <v>263567</v>
      </c>
      <c r="F119" s="237">
        <v>264012</v>
      </c>
      <c r="G119" s="112">
        <f t="shared" si="9"/>
        <v>445</v>
      </c>
      <c r="H119" s="99">
        <f>G119+'13'!H119</f>
        <v>5863.4500000000116</v>
      </c>
      <c r="I119" s="165"/>
      <c r="J119" s="328">
        <f>H119/DAY(B2)</f>
        <v>418.81785714285797</v>
      </c>
    </row>
    <row r="120" spans="1:18" ht="27.75" customHeight="1" x14ac:dyDescent="0.5">
      <c r="A120" s="870" t="s">
        <v>99</v>
      </c>
      <c r="B120" s="870"/>
      <c r="C120" s="870"/>
      <c r="D120" s="151" t="s">
        <v>183</v>
      </c>
      <c r="E120" s="95">
        <f>'13'!F120</f>
        <v>48455</v>
      </c>
      <c r="F120" s="237">
        <v>48872</v>
      </c>
      <c r="G120" s="112">
        <f t="shared" si="9"/>
        <v>417</v>
      </c>
      <c r="H120" s="99">
        <f>G120+'13'!H120</f>
        <v>5912.3899999999994</v>
      </c>
      <c r="I120" s="165"/>
      <c r="J120" s="328">
        <f>H120/DAY(B2)</f>
        <v>422.31357142857138</v>
      </c>
    </row>
    <row r="121" spans="1:18" ht="27.75" customHeight="1" x14ac:dyDescent="0.5">
      <c r="A121" s="870" t="s">
        <v>100</v>
      </c>
      <c r="B121" s="870"/>
      <c r="C121" s="870"/>
      <c r="D121" s="151" t="s">
        <v>183</v>
      </c>
      <c r="E121" s="95">
        <f>'13'!F121</f>
        <v>407562</v>
      </c>
      <c r="F121" s="237">
        <v>408322</v>
      </c>
      <c r="G121" s="112">
        <f t="shared" si="9"/>
        <v>760</v>
      </c>
      <c r="H121" s="99">
        <f>G121+'13'!H121</f>
        <v>10287.570000000007</v>
      </c>
      <c r="I121" s="165"/>
      <c r="J121" s="328">
        <f>H121/DAY(B2)</f>
        <v>734.82642857142912</v>
      </c>
    </row>
    <row r="122" spans="1:18" ht="27.75" customHeight="1" x14ac:dyDescent="0.5">
      <c r="A122" s="870" t="s">
        <v>101</v>
      </c>
      <c r="B122" s="870"/>
      <c r="C122" s="870"/>
      <c r="D122" s="151" t="s">
        <v>183</v>
      </c>
      <c r="E122" s="95">
        <f>'13'!F122</f>
        <v>129065</v>
      </c>
      <c r="F122" s="237">
        <v>129274</v>
      </c>
      <c r="G122" s="112">
        <f t="shared" si="9"/>
        <v>209</v>
      </c>
      <c r="H122" s="99">
        <f>G122+'13'!H122</f>
        <v>3087.820000000007</v>
      </c>
      <c r="I122" s="165"/>
      <c r="J122" s="328">
        <f>H122/DAY(B2)</f>
        <v>220.55857142857192</v>
      </c>
    </row>
    <row r="123" spans="1:18" ht="27.75" customHeight="1" x14ac:dyDescent="0.5">
      <c r="A123" s="870" t="s">
        <v>102</v>
      </c>
      <c r="B123" s="870"/>
      <c r="C123" s="870"/>
      <c r="D123" s="151" t="s">
        <v>183</v>
      </c>
      <c r="E123" s="95">
        <f>'13'!F123</f>
        <v>157363</v>
      </c>
      <c r="F123" s="237">
        <v>157624</v>
      </c>
      <c r="G123" s="112">
        <f t="shared" si="9"/>
        <v>261</v>
      </c>
      <c r="H123" s="99">
        <f>G123+'13'!H123</f>
        <v>3577.0499999999884</v>
      </c>
      <c r="I123" s="165"/>
      <c r="J123" s="328">
        <f>H123/DAY(B2)</f>
        <v>255.50357142857061</v>
      </c>
    </row>
    <row r="124" spans="1:18" ht="27.75" customHeight="1" x14ac:dyDescent="0.5">
      <c r="A124" s="875"/>
      <c r="B124" s="876"/>
      <c r="C124" s="877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4064</v>
      </c>
      <c r="H125" s="156"/>
      <c r="I125" s="327">
        <f>G125-(G39+G53)</f>
        <v>851</v>
      </c>
      <c r="J125" s="327"/>
    </row>
    <row r="126" spans="1:18" ht="27.75" customHeight="1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customHeight="1" x14ac:dyDescent="0.5">
      <c r="A127" s="860"/>
      <c r="B127" s="860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 x14ac:dyDescent="0.5">
      <c r="A128" s="871" t="s">
        <v>318</v>
      </c>
      <c r="B128" s="872"/>
      <c r="C128" s="873"/>
      <c r="D128" s="151" t="s">
        <v>183</v>
      </c>
      <c r="E128" s="95">
        <f>'13'!F128</f>
        <v>51864</v>
      </c>
      <c r="F128" s="165">
        <v>52201</v>
      </c>
      <c r="G128" s="112">
        <f t="shared" ref="G128:G134" si="10">F128-E128</f>
        <v>337</v>
      </c>
      <c r="H128" s="99">
        <f>G128+'13'!H128</f>
        <v>4455</v>
      </c>
      <c r="I128" s="165"/>
      <c r="J128" s="328">
        <f>H128/DAY(B2)</f>
        <v>318.21428571428572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'13'!F129</f>
        <v>29691</v>
      </c>
      <c r="F129" s="165">
        <v>30000</v>
      </c>
      <c r="G129" s="112">
        <f t="shared" si="10"/>
        <v>309</v>
      </c>
      <c r="H129" s="99">
        <f>G129+'13'!H129</f>
        <v>3089.130000000001</v>
      </c>
      <c r="I129" s="165"/>
      <c r="J129" s="328">
        <f>H129/DAY(B2)</f>
        <v>220.65214285714293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'13'!F130</f>
        <v>43414</v>
      </c>
      <c r="F130" s="165">
        <v>43971</v>
      </c>
      <c r="G130" s="112">
        <f t="shared" si="10"/>
        <v>557</v>
      </c>
      <c r="H130" s="99">
        <f>G130+'13'!H130</f>
        <v>8277</v>
      </c>
      <c r="I130" s="165"/>
      <c r="J130" s="328">
        <f>H130/DAY(B2)</f>
        <v>591.21428571428567</v>
      </c>
      <c r="N130" s="240"/>
      <c r="O130" s="241"/>
    </row>
    <row r="131" spans="1:15" ht="27.75" customHeight="1" x14ac:dyDescent="0.5">
      <c r="A131" s="871" t="s">
        <v>321</v>
      </c>
      <c r="B131" s="872"/>
      <c r="C131" s="873"/>
      <c r="D131" s="151" t="s">
        <v>183</v>
      </c>
      <c r="E131" s="95">
        <f>'13'!F131</f>
        <v>16612</v>
      </c>
      <c r="F131" s="165">
        <v>16745</v>
      </c>
      <c r="G131" s="112">
        <f t="shared" si="10"/>
        <v>133</v>
      </c>
      <c r="H131" s="99">
        <f>G131+'13'!H131</f>
        <v>1437.3199999999997</v>
      </c>
      <c r="I131" s="165"/>
      <c r="J131" s="328">
        <f>H131/DAY(B2)</f>
        <v>102.66571428571426</v>
      </c>
      <c r="N131" s="240"/>
      <c r="O131" s="241"/>
    </row>
    <row r="132" spans="1:15" ht="27.75" customHeight="1" x14ac:dyDescent="0.5">
      <c r="A132" s="871" t="s">
        <v>322</v>
      </c>
      <c r="B132" s="872"/>
      <c r="C132" s="873"/>
      <c r="D132" s="151" t="s">
        <v>183</v>
      </c>
      <c r="E132" s="95">
        <f>'13'!F132</f>
        <v>56739</v>
      </c>
      <c r="F132" s="165">
        <v>57174</v>
      </c>
      <c r="G132" s="112">
        <f t="shared" si="10"/>
        <v>435</v>
      </c>
      <c r="H132" s="99">
        <f>G132+'13'!H132</f>
        <v>5325.6999999999971</v>
      </c>
      <c r="I132" s="165"/>
      <c r="J132" s="328">
        <f>H132/DAY(B2)</f>
        <v>380.40714285714267</v>
      </c>
    </row>
    <row r="133" spans="1:15" ht="27.75" customHeight="1" x14ac:dyDescent="0.5">
      <c r="A133" s="871" t="s">
        <v>341</v>
      </c>
      <c r="B133" s="872"/>
      <c r="C133" s="873"/>
      <c r="D133" s="151" t="s">
        <v>183</v>
      </c>
      <c r="E133" s="95">
        <f>'13'!F133</f>
        <v>113348</v>
      </c>
      <c r="F133" s="165">
        <v>114027</v>
      </c>
      <c r="G133" s="112">
        <f t="shared" si="10"/>
        <v>679</v>
      </c>
      <c r="H133" s="99">
        <f>G133+'13'!H133</f>
        <v>8683.3000000000029</v>
      </c>
      <c r="I133" s="165"/>
      <c r="J133" s="328">
        <f>H133/DAY(B2)</f>
        <v>620.23571428571449</v>
      </c>
    </row>
    <row r="134" spans="1:15" ht="27.75" customHeight="1" x14ac:dyDescent="0.5">
      <c r="A134" s="871" t="s">
        <v>340</v>
      </c>
      <c r="B134" s="872"/>
      <c r="C134" s="873"/>
      <c r="D134" s="151" t="s">
        <v>183</v>
      </c>
      <c r="E134" s="95">
        <f>'13'!F134</f>
        <v>11016</v>
      </c>
      <c r="F134" s="165">
        <v>11173</v>
      </c>
      <c r="G134" s="112">
        <f t="shared" si="10"/>
        <v>157</v>
      </c>
      <c r="H134" s="99">
        <f>G134+'13'!H134</f>
        <v>2571.7700000000004</v>
      </c>
      <c r="I134" s="165"/>
      <c r="J134" s="328">
        <f>H134/DAY(B2)</f>
        <v>183.69785714285717</v>
      </c>
    </row>
    <row r="135" spans="1:15" ht="27.75" customHeight="1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2607</v>
      </c>
      <c r="H135" s="119">
        <f>H128+H134</f>
        <v>7026.77</v>
      </c>
      <c r="I135" s="327">
        <f>G135-(G35+G49)</f>
        <v>-396</v>
      </c>
      <c r="J135" s="328">
        <f>H135/DAY(B2)</f>
        <v>501.9121428571429</v>
      </c>
    </row>
    <row r="136" spans="1:15" ht="27.75" customHeight="1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70" t="s">
        <v>185</v>
      </c>
      <c r="B138" s="870"/>
      <c r="C138" s="870"/>
      <c r="D138" s="151" t="s">
        <v>183</v>
      </c>
      <c r="E138" s="95">
        <f>'13'!F138</f>
        <v>867322</v>
      </c>
      <c r="F138" s="147">
        <v>867420</v>
      </c>
      <c r="G138" s="112">
        <f t="shared" ref="G138:G152" si="11">F138-E138</f>
        <v>98</v>
      </c>
      <c r="H138" s="99">
        <f>G138+'13'!H138</f>
        <v>1247</v>
      </c>
      <c r="I138" s="118"/>
      <c r="J138" s="328">
        <f>H138/DAY(B2)</f>
        <v>89.071428571428569</v>
      </c>
    </row>
    <row r="139" spans="1:15" ht="27.75" customHeight="1" x14ac:dyDescent="0.5">
      <c r="A139" s="870" t="s">
        <v>186</v>
      </c>
      <c r="B139" s="870"/>
      <c r="C139" s="870"/>
      <c r="D139" s="151" t="s">
        <v>183</v>
      </c>
      <c r="E139" s="95">
        <f>'13'!F139</f>
        <v>886674</v>
      </c>
      <c r="F139" s="148">
        <v>886675</v>
      </c>
      <c r="G139" s="112">
        <f t="shared" si="11"/>
        <v>1</v>
      </c>
      <c r="H139" s="99">
        <f>G139+'13'!H139</f>
        <v>102</v>
      </c>
      <c r="I139" s="118"/>
      <c r="J139" s="328">
        <f>H139/DAY(B2)</f>
        <v>7.2857142857142856</v>
      </c>
    </row>
    <row r="140" spans="1:15" ht="27.75" customHeight="1" x14ac:dyDescent="0.5">
      <c r="A140" s="870" t="s">
        <v>187</v>
      </c>
      <c r="B140" s="870"/>
      <c r="C140" s="870"/>
      <c r="D140" s="151" t="s">
        <v>183</v>
      </c>
      <c r="E140" s="95">
        <f>'13'!F140</f>
        <v>88948</v>
      </c>
      <c r="F140" s="149">
        <v>88948</v>
      </c>
      <c r="G140" s="112">
        <f t="shared" si="11"/>
        <v>0</v>
      </c>
      <c r="H140" s="99">
        <f>G140+'13'!H140</f>
        <v>26</v>
      </c>
      <c r="I140" s="118"/>
      <c r="J140" s="328">
        <f>H140/DAY(B2)</f>
        <v>1.8571428571428572</v>
      </c>
    </row>
    <row r="141" spans="1:15" ht="27.75" customHeight="1" x14ac:dyDescent="0.5">
      <c r="A141" s="851" t="s">
        <v>188</v>
      </c>
      <c r="B141" s="851"/>
      <c r="C141" s="851"/>
      <c r="D141" s="151" t="s">
        <v>183</v>
      </c>
      <c r="E141" s="95">
        <f>'13'!F141</f>
        <v>56989</v>
      </c>
      <c r="F141" s="149">
        <v>57165</v>
      </c>
      <c r="G141" s="112">
        <f t="shared" si="11"/>
        <v>176</v>
      </c>
      <c r="H141" s="99">
        <f>G141+'13'!H141</f>
        <v>2479.4199999999983</v>
      </c>
      <c r="I141" s="118"/>
      <c r="J141" s="328">
        <f>H141/DAY(B2)</f>
        <v>177.10142857142844</v>
      </c>
    </row>
    <row r="142" spans="1:15" ht="27.75" customHeight="1" x14ac:dyDescent="0.5">
      <c r="A142" s="851" t="s">
        <v>189</v>
      </c>
      <c r="B142" s="851"/>
      <c r="C142" s="851"/>
      <c r="D142" s="151" t="s">
        <v>183</v>
      </c>
      <c r="E142" s="95">
        <f>'13'!F142</f>
        <v>22184</v>
      </c>
      <c r="F142" s="148">
        <v>22253</v>
      </c>
      <c r="G142" s="112">
        <f t="shared" si="11"/>
        <v>69</v>
      </c>
      <c r="H142" s="99">
        <f>G142+'13'!H142</f>
        <v>968.90000000000146</v>
      </c>
      <c r="I142" s="140"/>
      <c r="J142" s="328">
        <f>H142/DAY(B2)</f>
        <v>69.207142857142955</v>
      </c>
    </row>
    <row r="143" spans="1:15" ht="27.75" customHeight="1" x14ac:dyDescent="0.5">
      <c r="A143" s="870" t="s">
        <v>91</v>
      </c>
      <c r="B143" s="870"/>
      <c r="C143" s="870"/>
      <c r="D143" s="151" t="s">
        <v>183</v>
      </c>
      <c r="E143" s="95">
        <f>'13'!F143</f>
        <v>4198</v>
      </c>
      <c r="F143" s="149">
        <v>4226</v>
      </c>
      <c r="G143" s="112">
        <f t="shared" si="11"/>
        <v>28</v>
      </c>
      <c r="H143" s="99">
        <f>G143+'13'!H143</f>
        <v>390.61000000000013</v>
      </c>
      <c r="I143" s="140"/>
      <c r="J143" s="328">
        <f>H143/DAY(B2)</f>
        <v>27.900714285714294</v>
      </c>
    </row>
    <row r="144" spans="1:15" ht="27.75" customHeight="1" x14ac:dyDescent="0.5">
      <c r="A144" s="851" t="s">
        <v>90</v>
      </c>
      <c r="B144" s="851"/>
      <c r="C144" s="851"/>
      <c r="D144" s="151" t="s">
        <v>183</v>
      </c>
      <c r="E144" s="95">
        <f>'13'!F144</f>
        <v>879233</v>
      </c>
      <c r="F144" s="149">
        <v>879432</v>
      </c>
      <c r="G144" s="112">
        <f t="shared" si="11"/>
        <v>199</v>
      </c>
      <c r="H144" s="99">
        <f>G144+'13'!H144</f>
        <v>2945</v>
      </c>
      <c r="I144" s="140"/>
      <c r="J144" s="328">
        <f>H144/DAY(B2)</f>
        <v>210.35714285714286</v>
      </c>
    </row>
    <row r="145" spans="1:10" ht="27.75" customHeight="1" x14ac:dyDescent="0.5">
      <c r="A145" s="870" t="s">
        <v>190</v>
      </c>
      <c r="B145" s="870"/>
      <c r="C145" s="870"/>
      <c r="D145" s="152" t="s">
        <v>183</v>
      </c>
      <c r="E145" s="95">
        <f>'13'!F145</f>
        <v>5120</v>
      </c>
      <c r="F145" s="149">
        <v>5135</v>
      </c>
      <c r="G145" s="112">
        <f t="shared" si="11"/>
        <v>15</v>
      </c>
      <c r="H145" s="99">
        <f>G145+'13'!H145</f>
        <v>176.15999999999985</v>
      </c>
      <c r="I145" s="140"/>
      <c r="J145" s="328">
        <f>H145/DAY(B2)</f>
        <v>12.582857142857133</v>
      </c>
    </row>
    <row r="146" spans="1:10" ht="27.75" customHeight="1" x14ac:dyDescent="0.5">
      <c r="A146" s="905" t="s">
        <v>191</v>
      </c>
      <c r="B146" s="890"/>
      <c r="C146" s="891"/>
      <c r="D146" s="152" t="s">
        <v>183</v>
      </c>
      <c r="E146" s="95">
        <f>'13'!F146</f>
        <v>742874</v>
      </c>
      <c r="F146" s="148">
        <v>743367</v>
      </c>
      <c r="G146" s="112">
        <f t="shared" si="11"/>
        <v>493</v>
      </c>
      <c r="H146" s="99">
        <f>G146+'13'!H146</f>
        <v>6034</v>
      </c>
      <c r="I146" s="140"/>
      <c r="J146" s="328">
        <f>H146/DAY(B2)</f>
        <v>431</v>
      </c>
    </row>
    <row r="147" spans="1:10" ht="27.75" customHeight="1" x14ac:dyDescent="0.5">
      <c r="A147" s="851" t="s">
        <v>192</v>
      </c>
      <c r="B147" s="851"/>
      <c r="C147" s="851"/>
      <c r="D147" s="152" t="s">
        <v>183</v>
      </c>
      <c r="E147" s="95">
        <f>'13'!F147</f>
        <v>631884</v>
      </c>
      <c r="F147" s="148">
        <v>632333</v>
      </c>
      <c r="G147" s="112">
        <f t="shared" si="11"/>
        <v>449</v>
      </c>
      <c r="H147" s="99">
        <f>G147+'13'!H147</f>
        <v>5720.4799999999814</v>
      </c>
      <c r="I147" s="140"/>
      <c r="J147" s="328">
        <f>H147/DAY(B2)</f>
        <v>408.60571428571296</v>
      </c>
    </row>
    <row r="148" spans="1:10" ht="27.75" customHeight="1" x14ac:dyDescent="0.5">
      <c r="A148" s="852" t="s">
        <v>193</v>
      </c>
      <c r="B148" s="853"/>
      <c r="C148" s="854"/>
      <c r="D148" s="123" t="s">
        <v>130</v>
      </c>
      <c r="E148" s="95">
        <f>'13'!F148</f>
        <v>693435</v>
      </c>
      <c r="F148" s="150">
        <v>693745</v>
      </c>
      <c r="G148" s="112">
        <f t="shared" si="11"/>
        <v>310</v>
      </c>
      <c r="H148" s="99">
        <f>G148+'13'!H148</f>
        <v>4302.0400000000373</v>
      </c>
      <c r="I148" s="124"/>
      <c r="J148" s="328">
        <f>H148/DAY(B2)</f>
        <v>307.28857142857407</v>
      </c>
    </row>
    <row r="149" spans="1:10" ht="27.75" customHeight="1" x14ac:dyDescent="0.5">
      <c r="A149" s="852" t="s">
        <v>336</v>
      </c>
      <c r="B149" s="853"/>
      <c r="C149" s="854"/>
      <c r="D149" s="227" t="s">
        <v>130</v>
      </c>
      <c r="E149" s="95">
        <f>'13'!F149</f>
        <v>32010</v>
      </c>
      <c r="F149" s="146">
        <v>32728</v>
      </c>
      <c r="G149" s="112">
        <f t="shared" si="11"/>
        <v>718</v>
      </c>
      <c r="H149" s="99">
        <f>G149+'13'!H149</f>
        <v>8049.7999999999993</v>
      </c>
      <c r="I149" s="119"/>
      <c r="J149" s="328">
        <f>H149/DAY(B2)</f>
        <v>574.98571428571427</v>
      </c>
    </row>
    <row r="150" spans="1:10" ht="27.75" customHeight="1" x14ac:dyDescent="0.5">
      <c r="A150" s="852" t="s">
        <v>337</v>
      </c>
      <c r="B150" s="853"/>
      <c r="C150" s="854"/>
      <c r="D150" s="117" t="s">
        <v>130</v>
      </c>
      <c r="E150" s="95">
        <f>'13'!F150</f>
        <v>13779</v>
      </c>
      <c r="F150" s="233">
        <v>14007</v>
      </c>
      <c r="G150" s="112">
        <f t="shared" si="11"/>
        <v>228</v>
      </c>
      <c r="H150" s="99">
        <f>G150+'13'!H150</f>
        <v>3156.17</v>
      </c>
      <c r="I150" s="119"/>
      <c r="J150" s="328">
        <f>H150/DAY(B2)</f>
        <v>225.44071428571428</v>
      </c>
    </row>
    <row r="151" spans="1:10" ht="27.75" customHeight="1" x14ac:dyDescent="0.5">
      <c r="A151" s="852" t="s">
        <v>338</v>
      </c>
      <c r="B151" s="853"/>
      <c r="C151" s="854"/>
      <c r="D151" s="117" t="s">
        <v>130</v>
      </c>
      <c r="E151" s="95">
        <f>'13'!F151</f>
        <v>88623</v>
      </c>
      <c r="F151" s="233">
        <v>88885</v>
      </c>
      <c r="G151" s="112">
        <f t="shared" si="11"/>
        <v>262</v>
      </c>
      <c r="H151" s="99">
        <f>G151+'13'!H151</f>
        <v>3405</v>
      </c>
      <c r="I151" s="119"/>
      <c r="J151" s="328">
        <f>H151/DAY(B2)</f>
        <v>243.21428571428572</v>
      </c>
    </row>
    <row r="152" spans="1:10" ht="27.75" customHeight="1" x14ac:dyDescent="0.5">
      <c r="A152" s="852" t="s">
        <v>339</v>
      </c>
      <c r="B152" s="853"/>
      <c r="C152" s="854"/>
      <c r="D152" s="117" t="s">
        <v>130</v>
      </c>
      <c r="E152" s="95">
        <f>'13'!F152</f>
        <v>2364</v>
      </c>
      <c r="F152" s="233">
        <v>2459</v>
      </c>
      <c r="G152" s="112">
        <f t="shared" si="11"/>
        <v>95</v>
      </c>
      <c r="H152" s="99">
        <f>G152+'13'!H152</f>
        <v>799</v>
      </c>
      <c r="I152" s="119"/>
      <c r="J152" s="328">
        <f>H152/DAY(B2)</f>
        <v>57.071428571428569</v>
      </c>
    </row>
    <row r="153" spans="1:10" ht="27.75" customHeight="1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3141</v>
      </c>
      <c r="H153" s="363"/>
      <c r="I153" s="119">
        <f>G153-(G38+G52)</f>
        <v>1080</v>
      </c>
      <c r="J153" s="366"/>
    </row>
    <row r="154" spans="1:10" ht="27.75" customHeight="1" x14ac:dyDescent="0.55000000000000004">
      <c r="A154" s="859"/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27.75" customHeight="1" x14ac:dyDescent="0.55000000000000004">
      <c r="A155" s="851" t="s">
        <v>345</v>
      </c>
      <c r="B155" s="851"/>
      <c r="C155" s="851"/>
      <c r="D155" s="117" t="s">
        <v>130</v>
      </c>
      <c r="E155" s="95">
        <f>'13'!F155</f>
        <v>41381</v>
      </c>
      <c r="F155" s="374">
        <v>42101</v>
      </c>
      <c r="G155" s="112">
        <f t="shared" ref="G155:G158" si="12">F155-E155</f>
        <v>720</v>
      </c>
      <c r="H155" s="99">
        <f>G155+'13'!H155</f>
        <v>9156</v>
      </c>
      <c r="I155" s="364"/>
      <c r="J155" s="328">
        <f>H155/DAY(B2)</f>
        <v>654</v>
      </c>
    </row>
    <row r="156" spans="1:10" ht="27.75" customHeight="1" x14ac:dyDescent="0.5">
      <c r="A156" s="851" t="s">
        <v>347</v>
      </c>
      <c r="B156" s="851"/>
      <c r="C156" s="851"/>
      <c r="D156" s="117" t="s">
        <v>130</v>
      </c>
      <c r="E156" s="155">
        <v>3405</v>
      </c>
      <c r="F156" s="155">
        <v>3465</v>
      </c>
      <c r="G156" s="112">
        <f t="shared" si="12"/>
        <v>60</v>
      </c>
      <c r="H156" s="99">
        <f>G156+'13'!H156</f>
        <v>677</v>
      </c>
      <c r="I156" s="165"/>
      <c r="J156" s="328">
        <f>H156/DAY(B2)</f>
        <v>48.357142857142854</v>
      </c>
    </row>
    <row r="157" spans="1:10" ht="27.75" customHeight="1" x14ac:dyDescent="0.5">
      <c r="A157" s="852" t="s">
        <v>363</v>
      </c>
      <c r="B157" s="853"/>
      <c r="C157" s="854"/>
      <c r="D157" s="117" t="s">
        <v>130</v>
      </c>
      <c r="E157" s="155">
        <v>5421</v>
      </c>
      <c r="F157" s="155">
        <v>5498</v>
      </c>
      <c r="G157" s="112">
        <f t="shared" si="12"/>
        <v>77</v>
      </c>
      <c r="H157" s="99">
        <f>G157+'13'!H157</f>
        <v>218</v>
      </c>
      <c r="I157" s="165"/>
      <c r="J157" s="328">
        <f>H157/DAY(B2)</f>
        <v>15.571428571428571</v>
      </c>
    </row>
    <row r="158" spans="1:10" ht="27.75" customHeight="1" x14ac:dyDescent="0.5">
      <c r="A158" s="852" t="s">
        <v>364</v>
      </c>
      <c r="B158" s="853"/>
      <c r="C158" s="854"/>
      <c r="D158" s="117" t="s">
        <v>130</v>
      </c>
      <c r="E158" s="155">
        <v>70</v>
      </c>
      <c r="F158" s="155">
        <v>70</v>
      </c>
      <c r="G158" s="112">
        <f t="shared" si="12"/>
        <v>0</v>
      </c>
      <c r="H158" s="99">
        <f>G158+'13'!H158</f>
        <v>1</v>
      </c>
      <c r="I158" s="165"/>
      <c r="J158" s="328">
        <f>H158/DAY(B2)</f>
        <v>7.1428571428571425E-2</v>
      </c>
    </row>
    <row r="159" spans="1:10" ht="27.75" customHeight="1" x14ac:dyDescent="0.5">
      <c r="A159" s="935"/>
      <c r="B159" s="936"/>
      <c r="C159" s="937"/>
      <c r="D159" s="117"/>
      <c r="E159" s="95"/>
      <c r="F159" s="165"/>
      <c r="G159" s="362">
        <f>SUM(G155:G158)</f>
        <v>857</v>
      </c>
      <c r="H159" s="99"/>
      <c r="I159" s="165"/>
      <c r="J159" s="328"/>
    </row>
    <row r="160" spans="1:10" ht="27.75" customHeight="1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472525</v>
      </c>
      <c r="F161" s="235">
        <v>472543</v>
      </c>
      <c r="G161" s="238">
        <f t="shared" ref="G161:G165" si="13">F161-E161</f>
        <v>18</v>
      </c>
      <c r="H161" s="99">
        <f>G161+'13'!H161</f>
        <v>489.44000000000233</v>
      </c>
      <c r="I161" s="236"/>
      <c r="J161" s="239">
        <f>H161/DAY(B2)</f>
        <v>34.960000000000164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88961</v>
      </c>
      <c r="F162" s="235">
        <v>89001</v>
      </c>
      <c r="G162" s="238">
        <f t="shared" si="13"/>
        <v>40</v>
      </c>
      <c r="H162" s="99">
        <f>G162+'13'!H162</f>
        <v>484.60000000000582</v>
      </c>
      <c r="I162" s="236"/>
      <c r="J162" s="239">
        <f>H162/DAY(B2)</f>
        <v>34.614285714286133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79918</v>
      </c>
      <c r="F163" s="235">
        <v>80037</v>
      </c>
      <c r="G163" s="238">
        <f t="shared" si="13"/>
        <v>119</v>
      </c>
      <c r="H163" s="99">
        <f>G163+'13'!H163</f>
        <v>816.89999999999418</v>
      </c>
      <c r="I163" s="236"/>
      <c r="J163" s="239">
        <f>H163/DAY(B2)</f>
        <v>58.349999999999582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4330</v>
      </c>
      <c r="F164" s="235">
        <v>4336</v>
      </c>
      <c r="G164" s="238">
        <f t="shared" si="13"/>
        <v>6</v>
      </c>
      <c r="H164" s="99">
        <f>G164+'13'!H164</f>
        <v>16</v>
      </c>
      <c r="I164" s="236"/>
      <c r="J164" s="239">
        <f>H164/DAY(B2)</f>
        <v>1.1428571428571428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29967</v>
      </c>
      <c r="F165" s="235">
        <v>29976</v>
      </c>
      <c r="G165" s="238">
        <f t="shared" si="13"/>
        <v>9</v>
      </c>
      <c r="H165" s="99">
        <f>G165+'13'!H165</f>
        <v>118.75</v>
      </c>
      <c r="I165" s="236"/>
      <c r="J165" s="239">
        <f>H165/DAY(B2)</f>
        <v>8.4821428571428577</v>
      </c>
    </row>
    <row r="166" spans="1:10" ht="27.75" customHeight="1" x14ac:dyDescent="0.5">
      <c r="A166" s="860"/>
      <c r="B166" s="860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860"/>
      <c r="B167" s="860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860"/>
      <c r="B168" s="860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customHeight="1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64" t="s">
        <v>209</v>
      </c>
      <c r="B173" s="865"/>
      <c r="C173" s="333"/>
      <c r="D173" s="228" t="s">
        <v>142</v>
      </c>
      <c r="E173" s="95">
        <f>'13'!F173</f>
        <v>8132</v>
      </c>
      <c r="F173" s="155">
        <v>8132</v>
      </c>
      <c r="G173" s="155">
        <f>F173-E173</f>
        <v>0</v>
      </c>
      <c r="H173" s="99">
        <f>G173+'13'!H173</f>
        <v>6</v>
      </c>
      <c r="I173" s="155"/>
      <c r="J173" s="178">
        <f>H173/DAY(B2)</f>
        <v>0.42857142857142855</v>
      </c>
    </row>
    <row r="174" spans="1:10" ht="27.75" customHeight="1" x14ac:dyDescent="0.5">
      <c r="A174" s="864" t="s">
        <v>75</v>
      </c>
      <c r="B174" s="865"/>
      <c r="C174" s="333"/>
      <c r="D174" s="228" t="s">
        <v>142</v>
      </c>
      <c r="E174" s="157">
        <v>38790</v>
      </c>
      <c r="F174" s="157">
        <v>38806</v>
      </c>
      <c r="G174" s="155">
        <f t="shared" ref="G174:G175" si="14">F174-E174</f>
        <v>16</v>
      </c>
      <c r="H174" s="99">
        <f>G174+'13'!H174</f>
        <v>191</v>
      </c>
      <c r="I174" s="155"/>
      <c r="J174" s="178">
        <f>H174/DAY(B2)</f>
        <v>13.642857142857142</v>
      </c>
    </row>
    <row r="175" spans="1:10" ht="27.75" customHeight="1" x14ac:dyDescent="0.5">
      <c r="A175" s="864" t="s">
        <v>76</v>
      </c>
      <c r="B175" s="904"/>
      <c r="C175" s="865"/>
      <c r="D175" s="228" t="s">
        <v>142</v>
      </c>
      <c r="E175" s="95">
        <f>'13'!F175</f>
        <v>21958</v>
      </c>
      <c r="F175" s="155">
        <v>21972</v>
      </c>
      <c r="G175" s="155">
        <f t="shared" si="14"/>
        <v>14</v>
      </c>
      <c r="H175" s="99">
        <f>G175+'13'!H175</f>
        <v>159</v>
      </c>
      <c r="I175" s="155"/>
      <c r="J175" s="178">
        <f>H175/DAY(B2)</f>
        <v>11.357142857142858</v>
      </c>
    </row>
    <row r="176" spans="1:10" ht="27.75" customHeight="1" x14ac:dyDescent="0.5">
      <c r="A176" s="855" t="s">
        <v>196</v>
      </c>
      <c r="B176" s="856"/>
      <c r="C176" s="483"/>
      <c r="D176" s="228" t="s">
        <v>142</v>
      </c>
      <c r="E176" s="95"/>
      <c r="F176" s="155"/>
      <c r="G176" s="155">
        <f>SUM(G173:G175)</f>
        <v>30</v>
      </c>
      <c r="H176" s="99">
        <f>G176+'13'!H176</f>
        <v>356</v>
      </c>
      <c r="I176" s="155"/>
      <c r="J176" s="178">
        <f>H176/DAY(B2)</f>
        <v>25.428571428571427</v>
      </c>
    </row>
    <row r="177" spans="1:10" ht="27.75" customHeight="1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864" t="s">
        <v>210</v>
      </c>
      <c r="B178" s="865"/>
      <c r="C178" s="333"/>
      <c r="D178" s="228" t="s">
        <v>142</v>
      </c>
      <c r="E178" s="95">
        <f>'13'!F178</f>
        <v>82015</v>
      </c>
      <c r="F178" s="155">
        <v>82079</v>
      </c>
      <c r="G178" s="155">
        <f>F178-E178</f>
        <v>64</v>
      </c>
      <c r="H178" s="99">
        <f>G178+'13'!H178</f>
        <v>764</v>
      </c>
      <c r="I178" s="155"/>
      <c r="J178" s="178">
        <f>H178/DAY(B2)</f>
        <v>54.571428571428569</v>
      </c>
    </row>
    <row r="179" spans="1:10" ht="27.75" customHeight="1" x14ac:dyDescent="0.5">
      <c r="A179" s="864" t="s">
        <v>211</v>
      </c>
      <c r="B179" s="865"/>
      <c r="C179" s="333"/>
      <c r="D179" s="228" t="s">
        <v>142</v>
      </c>
      <c r="E179" s="95">
        <f>'13'!F179</f>
        <v>35208</v>
      </c>
      <c r="F179" s="155">
        <v>35211</v>
      </c>
      <c r="G179" s="155">
        <f t="shared" ref="G179:G180" si="15">F179-E179</f>
        <v>3</v>
      </c>
      <c r="H179" s="99">
        <f>G179+'13'!H179</f>
        <v>408</v>
      </c>
      <c r="I179" s="155"/>
      <c r="J179" s="178">
        <f>H179/DAY(B2)</f>
        <v>29.142857142857142</v>
      </c>
    </row>
    <row r="180" spans="1:10" ht="27.75" customHeight="1" x14ac:dyDescent="0.5">
      <c r="A180" s="864" t="s">
        <v>212</v>
      </c>
      <c r="B180" s="865"/>
      <c r="C180" s="333"/>
      <c r="D180" s="228" t="s">
        <v>142</v>
      </c>
      <c r="E180" s="95">
        <f>'13'!F180</f>
        <v>5782</v>
      </c>
      <c r="F180" s="155">
        <v>5794</v>
      </c>
      <c r="G180" s="155">
        <f t="shared" si="15"/>
        <v>12</v>
      </c>
      <c r="H180" s="99">
        <f>G180+'13'!H180</f>
        <v>92</v>
      </c>
      <c r="I180" s="155"/>
      <c r="J180" s="178">
        <f>H180/DAY(B2)</f>
        <v>6.5714285714285712</v>
      </c>
    </row>
    <row r="181" spans="1:10" ht="27.75" customHeight="1" x14ac:dyDescent="0.5">
      <c r="A181" s="866" t="s">
        <v>108</v>
      </c>
      <c r="B181" s="867"/>
      <c r="C181" s="483"/>
      <c r="D181" s="228" t="s">
        <v>142</v>
      </c>
      <c r="E181" s="95"/>
      <c r="F181" s="155" t="s">
        <v>207</v>
      </c>
      <c r="G181" s="155">
        <f>SUM(G178:G180)</f>
        <v>79</v>
      </c>
      <c r="H181" s="99">
        <f>G181+'13'!H181</f>
        <v>1264</v>
      </c>
      <c r="I181" s="155"/>
      <c r="J181" s="178">
        <f>H181/DAY(B2)</f>
        <v>90.285714285714292</v>
      </c>
    </row>
    <row r="182" spans="1:10" ht="27.75" customHeight="1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864" t="s">
        <v>214</v>
      </c>
      <c r="B183" s="865"/>
      <c r="C183" s="334"/>
      <c r="D183" s="228" t="s">
        <v>142</v>
      </c>
      <c r="E183" s="95">
        <f>'13'!F183</f>
        <v>15549</v>
      </c>
      <c r="F183" s="157">
        <v>15563</v>
      </c>
      <c r="G183" s="157">
        <f>F183-E183</f>
        <v>14</v>
      </c>
      <c r="H183" s="99">
        <f>G183+'13'!H183</f>
        <v>218</v>
      </c>
      <c r="I183" s="155"/>
      <c r="J183" s="178">
        <f>H183/DAY(B2)</f>
        <v>15.571428571428571</v>
      </c>
    </row>
    <row r="184" spans="1:10" ht="27.75" customHeight="1" x14ac:dyDescent="0.5">
      <c r="A184" s="864" t="s">
        <v>215</v>
      </c>
      <c r="B184" s="865"/>
      <c r="C184" s="334"/>
      <c r="D184" s="228" t="s">
        <v>142</v>
      </c>
      <c r="E184" s="95">
        <f>'13'!F184</f>
        <v>10673</v>
      </c>
      <c r="F184" s="157">
        <v>10682</v>
      </c>
      <c r="G184" s="157">
        <f t="shared" ref="G184:G185" si="16">F184-E184</f>
        <v>9</v>
      </c>
      <c r="H184" s="99">
        <f>G184+'13'!H184</f>
        <v>164</v>
      </c>
      <c r="I184" s="155"/>
      <c r="J184" s="178">
        <f>H184/DAY(B2)</f>
        <v>11.714285714285714</v>
      </c>
    </row>
    <row r="185" spans="1:10" ht="27.75" customHeight="1" x14ac:dyDescent="0.5">
      <c r="A185" s="864" t="s">
        <v>216</v>
      </c>
      <c r="B185" s="865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855" t="s">
        <v>196</v>
      </c>
      <c r="B186" s="856"/>
      <c r="C186" s="482"/>
      <c r="D186" s="228" t="s">
        <v>142</v>
      </c>
      <c r="E186" s="95"/>
      <c r="F186" s="157"/>
      <c r="G186" s="157">
        <f>SUM(G183:G185)</f>
        <v>23</v>
      </c>
      <c r="H186" s="99">
        <f>G186+'13'!H186</f>
        <v>382</v>
      </c>
      <c r="I186" s="157"/>
      <c r="J186" s="178">
        <f>H186/DAY(B2)</f>
        <v>27.285714285714285</v>
      </c>
    </row>
    <row r="187" spans="1:10" ht="27.75" customHeight="1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159">
        <f>G62+G19</f>
        <v>226</v>
      </c>
      <c r="H187" s="99">
        <f>G187+'13'!H187</f>
        <v>2662</v>
      </c>
      <c r="I187" s="158"/>
      <c r="J187" s="179">
        <f>H187/DAY(B2)</f>
        <v>190.14285714285714</v>
      </c>
    </row>
    <row r="188" spans="1:10" ht="27.75" customHeight="1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159">
        <f>G65+G66+G67+G69+G70</f>
        <v>253</v>
      </c>
      <c r="H188" s="99"/>
      <c r="I188" s="158"/>
      <c r="J188" s="487">
        <f>H188/DAY(B2)</f>
        <v>0</v>
      </c>
    </row>
    <row r="189" spans="1:10" ht="27.75" customHeight="1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157">
        <f>G181</f>
        <v>79</v>
      </c>
      <c r="H189" s="99">
        <f>G189+'13'!H189</f>
        <v>1264</v>
      </c>
      <c r="I189" s="158"/>
      <c r="J189" s="179">
        <f>H189/DAY(B2)</f>
        <v>90.285714285714292</v>
      </c>
    </row>
    <row r="190" spans="1:10" ht="27.75" customHeight="1" x14ac:dyDescent="0.5">
      <c r="A190" s="778"/>
      <c r="B190" s="779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42" zoomScale="55" zoomScaleNormal="80" zoomScaleSheetLayoutView="55" workbookViewId="0">
      <selection activeCell="F180" sqref="F18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350</v>
      </c>
      <c r="B2" s="262">
        <v>44607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932322</v>
      </c>
      <c r="F7" s="95">
        <v>953321.6</v>
      </c>
      <c r="G7" s="236">
        <f>F7-E7</f>
        <v>20999.599999999977</v>
      </c>
      <c r="H7" s="99">
        <f>G7+'14'!H7</f>
        <v>302141.37</v>
      </c>
      <c r="I7" s="113">
        <f>'1'!I7</f>
        <v>12000</v>
      </c>
      <c r="J7" s="175">
        <f>H7/DAY(B2)</f>
        <v>20142.757999999998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991714</v>
      </c>
      <c r="F8" s="488">
        <v>1012814</v>
      </c>
      <c r="G8" s="681">
        <f>F8-E8</f>
        <v>21100</v>
      </c>
      <c r="H8" s="99">
        <f>G8+'14'!H8</f>
        <v>304265.84999999998</v>
      </c>
      <c r="I8" s="116"/>
      <c r="J8" s="175">
        <f>H8/DAY(B2)</f>
        <v>20284.39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496744</v>
      </c>
      <c r="F9" s="598">
        <v>514004.63</v>
      </c>
      <c r="G9" s="112">
        <f>F9-E9</f>
        <v>17260.630000000005</v>
      </c>
      <c r="H9" s="99">
        <f>G9+'14'!H9</f>
        <v>231750.78000000003</v>
      </c>
      <c r="I9" s="124">
        <f>I7-J7</f>
        <v>-8142.757999999998</v>
      </c>
      <c r="J9" s="175">
        <f>H9/DAY(B2)</f>
        <v>15450.052000000001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164037</v>
      </c>
      <c r="F10" s="353">
        <v>167159.24</v>
      </c>
      <c r="G10" s="112">
        <f>F10-E10</f>
        <v>3122.2399999999907</v>
      </c>
      <c r="H10" s="99">
        <f>G10+'14'!H10</f>
        <v>61900.26999999999</v>
      </c>
      <c r="I10" s="282"/>
      <c r="J10" s="175">
        <f>H10/DAY(B2)</f>
        <v>4126.6846666666661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37170</v>
      </c>
      <c r="F11" s="95">
        <v>37170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20382.869999999995</v>
      </c>
      <c r="H13" s="99">
        <f>G13+'14'!H13</f>
        <v>276896.62</v>
      </c>
      <c r="I13" s="120">
        <f>G7-G13</f>
        <v>616.72999999998137</v>
      </c>
      <c r="J13" s="175">
        <f>H13/DAY(B2)</f>
        <v>18459.774666666668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'14'!F15</f>
        <v>1921565</v>
      </c>
      <c r="F15" s="123">
        <v>1922700.28</v>
      </c>
      <c r="G15" s="112">
        <f>(F15-E15)</f>
        <v>1135.2800000000279</v>
      </c>
      <c r="H15" s="99">
        <f>G15+'14'!H15</f>
        <v>16063.513000000035</v>
      </c>
      <c r="I15" s="113">
        <f>'1'!I15</f>
        <v>800</v>
      </c>
      <c r="J15" s="175">
        <f>H15/DAY(B2)</f>
        <v>1070.9008666666691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-270.90086666666912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'14'!F18</f>
        <v>24</v>
      </c>
      <c r="F18" s="122">
        <v>26</v>
      </c>
      <c r="G18" s="119">
        <f>F18*10</f>
        <v>260</v>
      </c>
      <c r="H18" s="99">
        <f>G18+'14'!H18</f>
        <v>3290</v>
      </c>
      <c r="I18" s="113">
        <f>'1'!I18</f>
        <v>65</v>
      </c>
      <c r="J18" s="175">
        <f>H18/DAY(B2)</f>
        <v>219.33333333333334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'14'!F19</f>
        <v>154636</v>
      </c>
      <c r="F19" s="122">
        <v>154692</v>
      </c>
      <c r="G19" s="112">
        <f t="shared" ref="G19" si="1">F19-E19</f>
        <v>56</v>
      </c>
      <c r="H19" s="99">
        <f>G19+'14'!H19</f>
        <v>801</v>
      </c>
      <c r="I19" s="335"/>
      <c r="J19" s="175">
        <f>H19/DAY(B2)</f>
        <v>53.4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316</v>
      </c>
      <c r="H20" s="99">
        <f>G20+'14'!H20</f>
        <v>4091</v>
      </c>
      <c r="I20" s="336">
        <f>I18-J20</f>
        <v>-207.73333333333335</v>
      </c>
      <c r="J20" s="175">
        <f>H20/DAY(B2)</f>
        <v>272.73333333333335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'14'!F23</f>
        <v>1500</v>
      </c>
      <c r="F23" s="122">
        <v>1500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21100</v>
      </c>
      <c r="F27" s="136">
        <v>9</v>
      </c>
      <c r="G27" s="137">
        <f>E27*F27</f>
        <v>189900</v>
      </c>
      <c r="H27" s="99">
        <f>G27+'14'!H27</f>
        <v>2738392.65</v>
      </c>
      <c r="I27" s="138"/>
      <c r="J27" s="175">
        <f>H27/DAY(B2)</f>
        <v>182559.50999999998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1135.2800000000279</v>
      </c>
      <c r="F28" s="136">
        <v>52</v>
      </c>
      <c r="G28" s="137">
        <f>E28*F28</f>
        <v>59034.560000001453</v>
      </c>
      <c r="H28" s="99">
        <f>G28+'14'!H28</f>
        <v>898230.67600000184</v>
      </c>
      <c r="I28" s="140"/>
      <c r="J28" s="175">
        <f>H28/DAY(B2)</f>
        <v>59882.045066666789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G30+'14'!H30</f>
        <v>117801</v>
      </c>
      <c r="I30" s="140"/>
      <c r="J30" s="175">
        <f>H30/DAY(B2)</f>
        <v>7853.4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G31+'14'!H31</f>
        <v>263200</v>
      </c>
      <c r="I31" s="140"/>
      <c r="J31" s="175">
        <f>H31/DAY(B2)</f>
        <v>17546.666666666668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277910.56000000145</v>
      </c>
      <c r="H32" s="99">
        <f>G32+'14'!H32</f>
        <v>4017624.3260000017</v>
      </c>
      <c r="I32" s="144"/>
      <c r="J32" s="175">
        <f>H32/DAY(B2)</f>
        <v>267841.62173333345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53020</v>
      </c>
      <c r="F35" s="145">
        <v>54476.13</v>
      </c>
      <c r="G35" s="112">
        <f t="shared" ref="G35:G46" si="3">F35-E35</f>
        <v>1456.1299999999974</v>
      </c>
      <c r="H35" s="99">
        <f>G35+'14'!H35</f>
        <v>22471.149999999998</v>
      </c>
      <c r="I35" s="95"/>
      <c r="J35" s="175">
        <f>H35/DAY(B2)</f>
        <v>1498.0766666666666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56711</v>
      </c>
      <c r="F36" s="145">
        <v>57461.85</v>
      </c>
      <c r="G36" s="112">
        <f t="shared" si="3"/>
        <v>750.84999999999854</v>
      </c>
      <c r="H36" s="99">
        <f>G36+'14'!H36</f>
        <v>14003.11</v>
      </c>
      <c r="I36" s="95"/>
      <c r="J36" s="175">
        <f>H36/DAY(B2)</f>
        <v>933.54066666666665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58569</v>
      </c>
      <c r="F37" s="145">
        <v>60349.7</v>
      </c>
      <c r="G37" s="112">
        <f t="shared" si="3"/>
        <v>1780.6999999999971</v>
      </c>
      <c r="H37" s="99">
        <f>G37+'14'!H37</f>
        <v>24924.61</v>
      </c>
      <c r="I37" s="95"/>
      <c r="J37" s="175">
        <f>H37/DAY(B2)</f>
        <v>1661.6406666666667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65275</v>
      </c>
      <c r="F38" s="108">
        <v>67267.600000000006</v>
      </c>
      <c r="G38" s="112">
        <f t="shared" si="3"/>
        <v>1992.6000000000058</v>
      </c>
      <c r="H38" s="99">
        <f>G38+'14'!H38</f>
        <v>28891.170000000006</v>
      </c>
      <c r="I38" s="95"/>
      <c r="J38" s="175">
        <f>H38/DAY(B2)</f>
        <v>1926.0780000000004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100165</v>
      </c>
      <c r="F39" s="145">
        <v>103354.2</v>
      </c>
      <c r="G39" s="112">
        <f t="shared" si="3"/>
        <v>3189.1999999999971</v>
      </c>
      <c r="H39" s="99">
        <f>G39+'14'!H39</f>
        <v>44180.909999999996</v>
      </c>
      <c r="I39" s="95"/>
      <c r="J39" s="175">
        <f>H39/DAY(B2)</f>
        <v>2945.3939999999998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27350</v>
      </c>
      <c r="F40" s="145">
        <v>27691.200000000001</v>
      </c>
      <c r="G40" s="112">
        <f t="shared" si="3"/>
        <v>341.20000000000073</v>
      </c>
      <c r="H40" s="99">
        <f>G40+'14'!H40</f>
        <v>5574.2099999999982</v>
      </c>
      <c r="I40" s="95"/>
      <c r="J40" s="175">
        <f>H40/DAY(B2)</f>
        <v>371.61399999999986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63</v>
      </c>
      <c r="F41" s="145">
        <v>63</v>
      </c>
      <c r="G41" s="112">
        <f t="shared" si="3"/>
        <v>0</v>
      </c>
      <c r="H41" s="99">
        <f>G41+'14'!H41</f>
        <v>0.27000000000000313</v>
      </c>
      <c r="I41" s="95"/>
      <c r="J41" s="175">
        <f>H41/DAY(B2)</f>
        <v>1.8000000000000207E-2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140485</v>
      </c>
      <c r="F42" s="145">
        <v>145072.01999999999</v>
      </c>
      <c r="G42" s="112">
        <f t="shared" si="3"/>
        <v>4587.0199999999895</v>
      </c>
      <c r="H42" s="99">
        <f>G42+'14'!H42</f>
        <v>44942.279999999984</v>
      </c>
      <c r="I42" s="95"/>
      <c r="J42" s="175">
        <f>H42/DAY(B2)</f>
        <v>2996.1519999999991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144860</v>
      </c>
      <c r="F43" s="145">
        <v>146955.57999999999</v>
      </c>
      <c r="G43" s="112">
        <f t="shared" si="3"/>
        <v>2095.5799999999872</v>
      </c>
      <c r="H43" s="99">
        <f>G43+'14'!H43</f>
        <v>32103.979999999981</v>
      </c>
      <c r="I43" s="95"/>
      <c r="J43" s="175">
        <f>H43/DAY(B2)</f>
        <v>2140.2653333333319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16193.279999999973</v>
      </c>
      <c r="H47" s="99">
        <f>G47+'14'!H47</f>
        <v>217091.68999999997</v>
      </c>
      <c r="I47" s="95"/>
      <c r="J47" s="175">
        <f>H47/DAY(B2)</f>
        <v>14472.779333333332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43521</v>
      </c>
      <c r="F49" s="145">
        <v>45091.9</v>
      </c>
      <c r="G49" s="112">
        <f t="shared" ref="G49:G58" si="4">F49-E49</f>
        <v>1570.9000000000015</v>
      </c>
      <c r="H49" s="99">
        <f>G49+'14'!H49</f>
        <v>20095.710000000003</v>
      </c>
      <c r="I49" s="95"/>
      <c r="J49" s="175">
        <f>H49/DAY(B2)</f>
        <v>1339.7140000000002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73897</v>
      </c>
      <c r="F50" s="145">
        <v>75388.95</v>
      </c>
      <c r="G50" s="112">
        <f t="shared" si="4"/>
        <v>1491.9499999999971</v>
      </c>
      <c r="H50" s="99">
        <f>G50+'14'!H50</f>
        <v>19002.32</v>
      </c>
      <c r="I50" s="95"/>
      <c r="J50" s="175">
        <f>H50/DAY(B2)</f>
        <v>1266.8213333333333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11769</v>
      </c>
      <c r="F54" s="145">
        <v>12308.29</v>
      </c>
      <c r="G54" s="112">
        <f t="shared" si="4"/>
        <v>539.29000000000087</v>
      </c>
      <c r="H54" s="99">
        <f>G54+'14'!H54</f>
        <v>7160.8700000000008</v>
      </c>
      <c r="I54" s="95"/>
      <c r="J54" s="175">
        <f>H54/DAY(B2)</f>
        <v>477.39133333333336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90579</v>
      </c>
      <c r="F55" s="145">
        <v>90578.89</v>
      </c>
      <c r="G55" s="112">
        <f t="shared" si="4"/>
        <v>-0.11000000000058208</v>
      </c>
      <c r="H55" s="99">
        <f>G55+'14'!H55</f>
        <v>16212.779999999999</v>
      </c>
      <c r="I55" s="95"/>
      <c r="J55" s="175">
        <f>H55/DAY(B2)</f>
        <v>1080.8519999999999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8724</v>
      </c>
      <c r="F56" s="145">
        <v>8723.6299999999992</v>
      </c>
      <c r="G56" s="112">
        <f t="shared" si="4"/>
        <v>-0.37000000000080036</v>
      </c>
      <c r="H56" s="99">
        <f>G56+'14'!H56</f>
        <v>113.08999999999833</v>
      </c>
      <c r="I56" s="95"/>
      <c r="J56" s="175">
        <f>H56/DAY(B2)</f>
        <v>7.5393333333332215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7782</v>
      </c>
      <c r="F58" s="145">
        <v>7997.48</v>
      </c>
      <c r="G58" s="112">
        <f t="shared" si="4"/>
        <v>215.47999999999956</v>
      </c>
      <c r="H58" s="99">
        <f>G58+'14'!H58</f>
        <v>3201.2699999999995</v>
      </c>
      <c r="I58" s="95"/>
      <c r="J58" s="175">
        <f>H58/DAY(B2)</f>
        <v>213.41799999999998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3817.1399999999976</v>
      </c>
      <c r="H59" s="99">
        <f>G59+'14'!H59</f>
        <v>65786.039999999994</v>
      </c>
      <c r="I59" s="95">
        <f>G7-G60</f>
        <v>989.18000000000757</v>
      </c>
      <c r="J59" s="175">
        <f>H59/DAY(B2)</f>
        <v>4385.7359999999999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20010.419999999969</v>
      </c>
      <c r="H60" s="99">
        <f>G60+'14'!H60</f>
        <v>282877.73</v>
      </c>
      <c r="I60" s="95">
        <f>G13-G60</f>
        <v>372.45000000002619</v>
      </c>
      <c r="J60" s="175">
        <f>H60/DAY(B2)</f>
        <v>18858.515333333333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'14'!F62</f>
        <v>271433</v>
      </c>
      <c r="F62" s="122">
        <v>271530</v>
      </c>
      <c r="G62" s="112">
        <f t="shared" ref="G62:G63" si="5">F62-E62</f>
        <v>97</v>
      </c>
      <c r="H62" s="99">
        <f>G62+'14'!H62</f>
        <v>2014</v>
      </c>
      <c r="I62" s="118"/>
      <c r="J62" s="175">
        <f>H62/DAY(B2)</f>
        <v>134.26666666666668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'14'!F63</f>
        <v>217644</v>
      </c>
      <c r="F63" s="122">
        <v>217731</v>
      </c>
      <c r="G63" s="112">
        <f t="shared" si="5"/>
        <v>87</v>
      </c>
      <c r="H63" s="99">
        <f>G63+'14'!H63</f>
        <v>1934</v>
      </c>
      <c r="I63" s="118"/>
      <c r="J63" s="175">
        <f>H63/DAY(B2)</f>
        <v>128.93333333333334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'14'!F64</f>
        <v>0</v>
      </c>
      <c r="F64" s="122"/>
      <c r="G64" s="112">
        <f>G62+G63</f>
        <v>184</v>
      </c>
      <c r="H64" s="99">
        <f>G64+'14'!H64</f>
        <v>3948</v>
      </c>
      <c r="I64" s="118"/>
      <c r="J64" s="175">
        <f>H64/DAY(B2)</f>
        <v>263.2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'14'!F65</f>
        <v>436343</v>
      </c>
      <c r="F65" s="122">
        <v>436462</v>
      </c>
      <c r="G65" s="112">
        <f t="shared" ref="G65:G70" si="6">F65-E65</f>
        <v>119</v>
      </c>
      <c r="H65" s="99">
        <f>G65+'14'!H65</f>
        <v>1539</v>
      </c>
      <c r="I65" s="118"/>
      <c r="J65" s="175">
        <f>H65/DAY(B2)</f>
        <v>102.6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'14'!F66</f>
        <v>108099</v>
      </c>
      <c r="F66" s="122">
        <v>108130</v>
      </c>
      <c r="G66" s="112">
        <f t="shared" si="6"/>
        <v>31</v>
      </c>
      <c r="H66" s="99">
        <f>G66+'14'!H66</f>
        <v>387</v>
      </c>
      <c r="I66" s="118"/>
      <c r="J66" s="175">
        <f>H66/DAY(B2)</f>
        <v>25.8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'14'!F67</f>
        <v>105221</v>
      </c>
      <c r="F67" s="122">
        <v>105292</v>
      </c>
      <c r="G67" s="112">
        <f t="shared" si="6"/>
        <v>71</v>
      </c>
      <c r="H67" s="99">
        <f>G67+'14'!H67</f>
        <v>644</v>
      </c>
      <c r="I67" s="118"/>
      <c r="J67" s="175">
        <f>H67/DAY(B2)</f>
        <v>42.93333333333333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'14'!F68</f>
        <v>158232</v>
      </c>
      <c r="F68" s="122">
        <v>158276</v>
      </c>
      <c r="G68" s="112">
        <f t="shared" si="6"/>
        <v>44</v>
      </c>
      <c r="H68" s="99">
        <f>G68+'14'!H68</f>
        <v>579</v>
      </c>
      <c r="I68" s="118"/>
      <c r="J68" s="175">
        <f>H68/DAY(B2)</f>
        <v>38.6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'14'!F69</f>
        <v>10724</v>
      </c>
      <c r="F69" s="122">
        <v>10750</v>
      </c>
      <c r="G69" s="112">
        <f t="shared" si="6"/>
        <v>26</v>
      </c>
      <c r="H69" s="99">
        <f>G69+'14'!H69</f>
        <v>209</v>
      </c>
      <c r="I69" s="118"/>
      <c r="J69" s="175">
        <f>H69/DAY(B2)</f>
        <v>13.933333333333334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'14'!F70</f>
        <v>8288</v>
      </c>
      <c r="F70" s="122">
        <v>8303</v>
      </c>
      <c r="G70" s="112">
        <f t="shared" si="6"/>
        <v>15</v>
      </c>
      <c r="H70" s="99">
        <f>G70+'14'!H70</f>
        <v>183</v>
      </c>
      <c r="I70" s="118"/>
      <c r="J70" s="175">
        <f>H70/DAY(B2)</f>
        <v>12.2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306</v>
      </c>
      <c r="H71" s="99">
        <f>G71+'14'!H71</f>
        <v>3541</v>
      </c>
      <c r="I71" s="154"/>
      <c r="J71" s="175">
        <f>H71/DAY(B2)</f>
        <v>236.06666666666666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'14'!F74</f>
        <v>905595</v>
      </c>
      <c r="F74" s="123">
        <v>905875.39099999995</v>
      </c>
      <c r="G74" s="112">
        <f t="shared" ref="G74:G78" si="7">F74-E74</f>
        <v>280.39099999994505</v>
      </c>
      <c r="H74" s="99">
        <f>G74+'14'!H74</f>
        <v>4569.2419999999693</v>
      </c>
      <c r="I74" s="154"/>
      <c r="J74" s="175">
        <f>H74/DAY(B2)</f>
        <v>304.61613333333128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'14'!F75</f>
        <v>73587</v>
      </c>
      <c r="F75" s="123">
        <v>73587</v>
      </c>
      <c r="G75" s="112">
        <f t="shared" si="7"/>
        <v>0</v>
      </c>
      <c r="H75" s="99">
        <f>G75+'14'!H75</f>
        <v>0.19999999999708962</v>
      </c>
      <c r="I75" s="154"/>
      <c r="J75" s="175">
        <f>H75/DAY(B2)</f>
        <v>1.3333333333139307E-2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'14'!F76</f>
        <v>171616</v>
      </c>
      <c r="F76" s="123">
        <v>171704.66</v>
      </c>
      <c r="G76" s="112">
        <f t="shared" si="7"/>
        <v>88.660000000003492</v>
      </c>
      <c r="H76" s="99">
        <f>G76+'14'!H76</f>
        <v>1729.6600000000035</v>
      </c>
      <c r="I76" s="154"/>
      <c r="J76" s="175">
        <f>H76/DAY(B2)</f>
        <v>115.3106666666669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'14'!F77</f>
        <v>41975</v>
      </c>
      <c r="F77" s="123">
        <v>42026.2</v>
      </c>
      <c r="G77" s="112">
        <f t="shared" si="7"/>
        <v>51.19999999999709</v>
      </c>
      <c r="H77" s="99">
        <f>G77+'14'!H77</f>
        <v>724</v>
      </c>
      <c r="I77" s="154"/>
      <c r="J77" s="175">
        <f>H77/DAY(B2)</f>
        <v>48.266666666666666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'14'!F78</f>
        <v>9538</v>
      </c>
      <c r="F78" s="492">
        <v>9538</v>
      </c>
      <c r="G78" s="112">
        <f t="shared" si="7"/>
        <v>0</v>
      </c>
      <c r="H78" s="99">
        <f>G78+'14'!H78</f>
        <v>25</v>
      </c>
      <c r="I78" s="118"/>
      <c r="J78" s="175">
        <f>H78/DAY(B2)</f>
        <v>1.6666666666666667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'14'!F79</f>
        <v>0</v>
      </c>
      <c r="F79" s="123"/>
      <c r="G79" s="112">
        <f>G15-SUM(G74:G78)</f>
        <v>715.02900000008231</v>
      </c>
      <c r="H79" s="99">
        <f>G79+'14'!H79</f>
        <v>9015.4110000000655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1135.2800000000279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'14'!F85</f>
        <v>2480</v>
      </c>
      <c r="F85" s="164">
        <v>2504</v>
      </c>
      <c r="G85" s="112">
        <f t="shared" si="8"/>
        <v>24</v>
      </c>
      <c r="H85" s="99">
        <f>G85+'14'!H85</f>
        <v>243.57999999999993</v>
      </c>
      <c r="I85" s="118">
        <f>G82+G83+G84+G85</f>
        <v>24</v>
      </c>
      <c r="J85" s="175">
        <f>H85/DAY(B2)</f>
        <v>16.238666666666663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'14'!F86</f>
        <v>43564</v>
      </c>
      <c r="F86" s="164">
        <v>43564</v>
      </c>
      <c r="G86" s="112">
        <f t="shared" si="8"/>
        <v>0</v>
      </c>
      <c r="H86" s="99">
        <f>G86+'14'!H86</f>
        <v>122</v>
      </c>
      <c r="I86" s="118"/>
      <c r="J86" s="175">
        <f>H86/DAY(B2)</f>
        <v>8.1333333333333329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'14'!F87</f>
        <v>34598.550000000003</v>
      </c>
      <c r="F87" s="164">
        <v>34598.550000000003</v>
      </c>
      <c r="G87" s="112">
        <f t="shared" si="8"/>
        <v>0</v>
      </c>
      <c r="H87" s="99">
        <f>G87+'14'!H87</f>
        <v>5.0000000002910383E-2</v>
      </c>
      <c r="I87" s="118"/>
      <c r="J87" s="175">
        <f>H87/DAY(B2)</f>
        <v>3.3333333335273589E-3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'14'!F88</f>
        <v>24067.759999999998</v>
      </c>
      <c r="F88" s="164">
        <v>24067.759999999998</v>
      </c>
      <c r="G88" s="112">
        <f t="shared" si="8"/>
        <v>0</v>
      </c>
      <c r="H88" s="99">
        <f>G88+'14'!H88</f>
        <v>4.3299999999981083</v>
      </c>
      <c r="I88" s="118">
        <f>G86+G87+G88</f>
        <v>0</v>
      </c>
      <c r="J88" s="175">
        <f>H88/DAY(B2)</f>
        <v>0.28866666666654056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'14'!F89</f>
        <v>26033.439999999999</v>
      </c>
      <c r="F89" s="164">
        <v>26045.57</v>
      </c>
      <c r="G89" s="112">
        <f t="shared" si="8"/>
        <v>12.130000000001019</v>
      </c>
      <c r="H89" s="99">
        <f>G89+'14'!H89</f>
        <v>154.45000000000073</v>
      </c>
      <c r="I89" s="118"/>
      <c r="J89" s="175">
        <f>H89/DAY(B2)</f>
        <v>10.296666666666715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'14'!F90</f>
        <v>71215.97</v>
      </c>
      <c r="F90" s="164">
        <v>71223.94</v>
      </c>
      <c r="G90" s="112">
        <f t="shared" si="8"/>
        <v>7.9700000000011642</v>
      </c>
      <c r="H90" s="99">
        <f>G90+'14'!H90</f>
        <v>60.619999999995343</v>
      </c>
      <c r="I90" s="118">
        <f>G89+G90</f>
        <v>20.100000000002183</v>
      </c>
      <c r="J90" s="175">
        <f>H90/DAY(B2)</f>
        <v>4.0413333333330232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'14'!F91</f>
        <v>3409.63</v>
      </c>
      <c r="F91" s="122">
        <v>3420.22</v>
      </c>
      <c r="G91" s="112">
        <f t="shared" si="8"/>
        <v>10.589999999999691</v>
      </c>
      <c r="H91" s="99">
        <f>G91+'14'!H91</f>
        <v>169.12999999999965</v>
      </c>
      <c r="I91" s="165"/>
      <c r="J91" s="175">
        <f>H91/DAY(B2)</f>
        <v>11.275333333333311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'14'!F92</f>
        <v>5741</v>
      </c>
      <c r="F92" s="122">
        <v>5741</v>
      </c>
      <c r="G92" s="112">
        <f t="shared" si="8"/>
        <v>0</v>
      </c>
      <c r="H92" s="99">
        <f>G92+'14'!H92</f>
        <v>-6.9999999999708962E-2</v>
      </c>
      <c r="I92" s="165"/>
      <c r="J92" s="175">
        <f>H92/DAY(B2)</f>
        <v>-4.6666666666472642E-3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5122.609999999986</v>
      </c>
      <c r="H94" s="99">
        <f>G94+'14'!H94</f>
        <v>74670.839999999982</v>
      </c>
      <c r="I94" s="118"/>
      <c r="J94" s="175">
        <f>H94/DAY(B2)</f>
        <v>4978.0559999999987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0.24393845597058952</v>
      </c>
      <c r="H95" s="99">
        <f>G95+'14'!H95</f>
        <v>3.7112039226083788</v>
      </c>
      <c r="I95" s="167"/>
      <c r="J95" s="175">
        <f>H95/DAY(B2)</f>
        <v>0.24741359484055858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4586.5399999999881</v>
      </c>
      <c r="H96" s="99">
        <f>G96+'14'!H96</f>
        <v>61268.419999999976</v>
      </c>
      <c r="I96" s="118"/>
      <c r="J96" s="175">
        <f>H96/DAY(B2)</f>
        <v>4084.5613333333317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0.21841082687289248</v>
      </c>
      <c r="H97" s="99">
        <f>G97+'14'!H97</f>
        <v>3.0338167784180259</v>
      </c>
      <c r="I97" s="167"/>
      <c r="J97" s="175">
        <f>H97/DAY(B2)</f>
        <v>0.20225445189453506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3189.1999999999971</v>
      </c>
      <c r="H98" s="99">
        <f>G98+'14'!H98</f>
        <v>44180.909999999996</v>
      </c>
      <c r="I98" s="168"/>
      <c r="J98" s="175">
        <f>H98/DAY(B2)</f>
        <v>2945.3939999999998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0.15186955942017946</v>
      </c>
      <c r="H99" s="99">
        <f>G99+'14'!H99</f>
        <v>2.1936169563940768</v>
      </c>
      <c r="I99" s="168"/>
      <c r="J99" s="175">
        <f>H99/DAY(B2)</f>
        <v>0.14624113042627179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1992.6000000000058</v>
      </c>
      <c r="H100" s="99">
        <f>G100+'14'!H100</f>
        <v>28891.170000000006</v>
      </c>
      <c r="I100" s="118"/>
      <c r="J100" s="175">
        <f>H100/DAY(B2)</f>
        <v>1926.0780000000004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9.4887521667079755E-2</v>
      </c>
      <c r="H101" s="99">
        <f>G101+'14'!H101</f>
        <v>1.4345947037085707</v>
      </c>
      <c r="I101" s="168"/>
      <c r="J101" s="175">
        <f>H101/DAY(B2)</f>
        <v>9.5639646913904711E-2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2242.7999999999956</v>
      </c>
      <c r="H102" s="99">
        <f>G102+'14'!H102</f>
        <v>33005.43</v>
      </c>
      <c r="I102" s="168"/>
      <c r="J102" s="175">
        <f>H102/DAY(B2)</f>
        <v>2200.3620000000001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0.10680203432446324</v>
      </c>
      <c r="H103" s="99">
        <f>G103+'14'!H103</f>
        <v>1.6327124134276507</v>
      </c>
      <c r="I103" s="118"/>
      <c r="J103" s="175">
        <f>H103/DAY(B2)</f>
        <v>0.10884749422851005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1780.6999999999971</v>
      </c>
      <c r="H104" s="99">
        <f>G104+'14'!H104</f>
        <v>24924.61</v>
      </c>
      <c r="I104" s="118"/>
      <c r="J104" s="175">
        <f>H104/DAY(B2)</f>
        <v>1661.6406666666667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8.4796853273395645E-2</v>
      </c>
      <c r="H105" s="99">
        <f>G105+'14'!H105</f>
        <v>1.2400384161062841</v>
      </c>
      <c r="I105" s="187"/>
      <c r="J105" s="188">
        <f>H105/DAY(B2)</f>
        <v>8.2669227740418932E-2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'14'!F112</f>
        <v>59070</v>
      </c>
      <c r="F112" s="237">
        <v>59134.17</v>
      </c>
      <c r="G112" s="112">
        <f t="shared" ref="G112:G123" si="9">F112-E112</f>
        <v>64.169999999998254</v>
      </c>
      <c r="H112" s="99">
        <f>G112+'14'!H112</f>
        <v>1080.1699999999983</v>
      </c>
      <c r="I112" s="165"/>
      <c r="J112" s="328">
        <f>H112/DAY(B2)</f>
        <v>72.011333333333212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'14'!F113</f>
        <v>52993</v>
      </c>
      <c r="F113" s="237">
        <v>53456.1</v>
      </c>
      <c r="G113" s="112">
        <f t="shared" si="9"/>
        <v>463.09999999999854</v>
      </c>
      <c r="H113" s="99">
        <f>G113+'14'!H113</f>
        <v>7055.2099999999991</v>
      </c>
      <c r="I113" s="165"/>
      <c r="J113" s="328">
        <f>H113/DAY(B2)</f>
        <v>470.34733333333327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'14'!F114</f>
        <v>37793</v>
      </c>
      <c r="F114" s="237">
        <v>38054.699999999997</v>
      </c>
      <c r="G114" s="112">
        <f t="shared" si="9"/>
        <v>261.69999999999709</v>
      </c>
      <c r="H114" s="99">
        <f>G114+'14'!H114</f>
        <v>4894.6999999999971</v>
      </c>
      <c r="I114" s="165"/>
      <c r="J114" s="328">
        <f>H114/DAY(B2)</f>
        <v>326.31333333333316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'14'!F115</f>
        <v>9245</v>
      </c>
      <c r="F115" s="237">
        <v>9254.9</v>
      </c>
      <c r="G115" s="112">
        <f t="shared" si="9"/>
        <v>9.8999999999996362</v>
      </c>
      <c r="H115" s="99">
        <f>G115+'14'!H115</f>
        <v>160.25</v>
      </c>
      <c r="I115" s="165"/>
      <c r="J115" s="328">
        <f>H115/DAY(B2)</f>
        <v>10.683333333333334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'14'!F116</f>
        <v>3286</v>
      </c>
      <c r="F116" s="237">
        <v>3286</v>
      </c>
      <c r="G116" s="112">
        <f t="shared" si="9"/>
        <v>0</v>
      </c>
      <c r="H116" s="99">
        <f>G116+'14'!H116</f>
        <v>3286</v>
      </c>
      <c r="I116" s="165"/>
      <c r="J116" s="328">
        <f>H116/DAY(B2)</f>
        <v>219.06666666666666</v>
      </c>
      <c r="Q116" s="871"/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'14'!F117</f>
        <v>5335</v>
      </c>
      <c r="F117" s="237">
        <v>5554.2</v>
      </c>
      <c r="G117" s="112">
        <f t="shared" si="9"/>
        <v>219.19999999999982</v>
      </c>
      <c r="H117" s="99">
        <f>G117+'14'!H117</f>
        <v>2216.25</v>
      </c>
      <c r="I117" s="165"/>
      <c r="J117" s="328">
        <f>H117/DAY(B2)</f>
        <v>147.75</v>
      </c>
      <c r="Q117" s="871"/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'14'!F118</f>
        <v>257628</v>
      </c>
      <c r="F118" s="237">
        <v>258080.43</v>
      </c>
      <c r="G118" s="112">
        <f t="shared" si="9"/>
        <v>452.42999999999302</v>
      </c>
      <c r="H118" s="99">
        <f>G118+'14'!H118</f>
        <v>5628.1199999999953</v>
      </c>
      <c r="I118" s="165"/>
      <c r="J118" s="328">
        <f>H118/DAY(B2)</f>
        <v>375.20799999999969</v>
      </c>
      <c r="Q118" s="871"/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'14'!F119</f>
        <v>264012</v>
      </c>
      <c r="F119" s="237">
        <v>264445.81</v>
      </c>
      <c r="G119" s="112">
        <f t="shared" si="9"/>
        <v>433.80999999999767</v>
      </c>
      <c r="H119" s="99">
        <f>G119+'14'!H119</f>
        <v>6297.2600000000093</v>
      </c>
      <c r="I119" s="165"/>
      <c r="J119" s="328">
        <f>H119/DAY(B2)</f>
        <v>419.81733333333398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'14'!F120</f>
        <v>48872</v>
      </c>
      <c r="F120" s="237">
        <v>49314.85</v>
      </c>
      <c r="G120" s="112">
        <f t="shared" si="9"/>
        <v>442.84999999999854</v>
      </c>
      <c r="H120" s="99">
        <f>G120+'14'!H120</f>
        <v>6355.239999999998</v>
      </c>
      <c r="I120" s="165"/>
      <c r="J120" s="328">
        <f>H120/DAY(B2)</f>
        <v>423.68266666666653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'14'!F121</f>
        <v>408322</v>
      </c>
      <c r="F121" s="237">
        <v>409114.47</v>
      </c>
      <c r="G121" s="112">
        <f t="shared" si="9"/>
        <v>792.46999999997206</v>
      </c>
      <c r="H121" s="99">
        <f>G121+'14'!H121</f>
        <v>11080.039999999979</v>
      </c>
      <c r="I121" s="165"/>
      <c r="J121" s="328">
        <f>H121/DAY(B2)</f>
        <v>738.66933333333191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'14'!F122</f>
        <v>129274</v>
      </c>
      <c r="F122" s="237">
        <v>129495.8</v>
      </c>
      <c r="G122" s="112">
        <f t="shared" si="9"/>
        <v>221.80000000000291</v>
      </c>
      <c r="H122" s="99">
        <f>G122+'14'!H122</f>
        <v>3309.6200000000099</v>
      </c>
      <c r="I122" s="165"/>
      <c r="J122" s="328">
        <f>H122/DAY(B2)</f>
        <v>220.64133333333399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'14'!F123</f>
        <v>157624</v>
      </c>
      <c r="F123" s="237">
        <v>157881.95000000001</v>
      </c>
      <c r="G123" s="112">
        <f t="shared" si="9"/>
        <v>257.95000000001164</v>
      </c>
      <c r="H123" s="99">
        <f>G123+'14'!H123</f>
        <v>3835</v>
      </c>
      <c r="I123" s="165"/>
      <c r="J123" s="328">
        <f>H123/DAY(B2)</f>
        <v>255.66666666666666</v>
      </c>
    </row>
    <row r="124" spans="1:18" ht="29.25" customHeight="1" x14ac:dyDescent="0.5">
      <c r="A124" s="875"/>
      <c r="B124" s="876"/>
      <c r="C124" s="877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3619.3799999999692</v>
      </c>
      <c r="H125" s="156"/>
      <c r="I125" s="327">
        <f>G125-(G39+G53)</f>
        <v>430.1799999999721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'14'!F128</f>
        <v>52201</v>
      </c>
      <c r="F128" s="165">
        <v>52512.85</v>
      </c>
      <c r="G128" s="112">
        <f t="shared" ref="G128:G134" si="10">F128-E128</f>
        <v>311.84999999999854</v>
      </c>
      <c r="H128" s="99">
        <f>G128+'14'!H128</f>
        <v>4766.8499999999985</v>
      </c>
      <c r="I128" s="165"/>
      <c r="J128" s="328">
        <f>H128/DAY(B2)</f>
        <v>317.78999999999991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'14'!F129</f>
        <v>30000</v>
      </c>
      <c r="F129" s="165">
        <v>30308.83</v>
      </c>
      <c r="G129" s="112">
        <f t="shared" si="10"/>
        <v>308.83000000000175</v>
      </c>
      <c r="H129" s="99">
        <f>G129+'14'!H129</f>
        <v>3397.9600000000028</v>
      </c>
      <c r="I129" s="165"/>
      <c r="J129" s="328">
        <f>H129/DAY(B2)</f>
        <v>226.53066666666686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'14'!F130</f>
        <v>43971</v>
      </c>
      <c r="F130" s="165">
        <v>44492.2</v>
      </c>
      <c r="G130" s="112">
        <f t="shared" si="10"/>
        <v>521.19999999999709</v>
      </c>
      <c r="H130" s="99">
        <f>G130+'14'!H130</f>
        <v>8798.1999999999971</v>
      </c>
      <c r="I130" s="165"/>
      <c r="J130" s="328">
        <f>H130/DAY(B2)</f>
        <v>586.54666666666651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'14'!F131</f>
        <v>16745</v>
      </c>
      <c r="F131" s="165">
        <v>16879.32</v>
      </c>
      <c r="G131" s="112">
        <f t="shared" si="10"/>
        <v>134.31999999999971</v>
      </c>
      <c r="H131" s="99">
        <f>G131+'14'!H131</f>
        <v>1571.6399999999994</v>
      </c>
      <c r="I131" s="165"/>
      <c r="J131" s="328">
        <f>H131/DAY(B2)</f>
        <v>104.77599999999997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'14'!F132</f>
        <v>57174</v>
      </c>
      <c r="F132" s="165">
        <v>57605.11</v>
      </c>
      <c r="G132" s="112">
        <f t="shared" si="10"/>
        <v>431.11000000000058</v>
      </c>
      <c r="H132" s="99">
        <f>G132+'14'!H132</f>
        <v>5756.8099999999977</v>
      </c>
      <c r="I132" s="165"/>
      <c r="J132" s="328">
        <f>H132/DAY(B2)</f>
        <v>383.78733333333315</v>
      </c>
    </row>
    <row r="133" spans="1:15" ht="27.75" x14ac:dyDescent="0.5">
      <c r="A133" s="871" t="s">
        <v>362</v>
      </c>
      <c r="B133" s="872"/>
      <c r="C133" s="873"/>
      <c r="D133" s="151" t="s">
        <v>183</v>
      </c>
      <c r="E133" s="95">
        <f>'14'!F133</f>
        <v>114027</v>
      </c>
      <c r="F133" s="165">
        <v>114697.32</v>
      </c>
      <c r="G133" s="112">
        <f t="shared" si="10"/>
        <v>670.32000000000698</v>
      </c>
      <c r="H133" s="99">
        <f>G133+'14'!H133</f>
        <v>9353.6200000000099</v>
      </c>
      <c r="I133" s="165"/>
      <c r="J133" s="328">
        <f>H133/DAY(B2)</f>
        <v>623.57466666666733</v>
      </c>
    </row>
    <row r="134" spans="1:15" s="491" customFormat="1" ht="27.75" x14ac:dyDescent="0.5">
      <c r="A134" s="945" t="s">
        <v>340</v>
      </c>
      <c r="B134" s="946"/>
      <c r="C134" s="947"/>
      <c r="D134" s="233" t="s">
        <v>183</v>
      </c>
      <c r="E134" s="488">
        <f>'14'!F134</f>
        <v>11173</v>
      </c>
      <c r="F134" s="158">
        <v>11357.6</v>
      </c>
      <c r="G134" s="236">
        <f t="shared" si="10"/>
        <v>184.60000000000036</v>
      </c>
      <c r="H134" s="238">
        <f>G134+'14'!H134</f>
        <v>2756.3700000000008</v>
      </c>
      <c r="I134" s="158"/>
      <c r="J134" s="490">
        <f>H134/DAY(B2)</f>
        <v>183.75800000000007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2562.230000000005</v>
      </c>
      <c r="H135" s="99">
        <f>G135+'10'!H135</f>
        <v>26018.450000000004</v>
      </c>
      <c r="I135" s="327">
        <f>G135-(G35+G49)</f>
        <v>-464.79999999999382</v>
      </c>
      <c r="J135" s="328"/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'14'!F138</f>
        <v>867420</v>
      </c>
      <c r="F138" s="147">
        <v>867508</v>
      </c>
      <c r="G138" s="112">
        <f t="shared" ref="G138:G152" si="11">F138-E138</f>
        <v>88</v>
      </c>
      <c r="H138" s="99">
        <f>G138+'14'!H138</f>
        <v>1335</v>
      </c>
      <c r="I138" s="118"/>
      <c r="J138" s="328">
        <f>H138/DAY(B2)</f>
        <v>89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'14'!F139</f>
        <v>886675</v>
      </c>
      <c r="F139" s="148">
        <v>886675</v>
      </c>
      <c r="G139" s="112">
        <f t="shared" si="11"/>
        <v>0</v>
      </c>
      <c r="H139" s="99">
        <f>G139+'14'!H139</f>
        <v>102</v>
      </c>
      <c r="I139" s="118"/>
      <c r="J139" s="328">
        <f>H139/DAY(B2)</f>
        <v>6.8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'14'!F140</f>
        <v>88948</v>
      </c>
      <c r="F140" s="149">
        <v>88948</v>
      </c>
      <c r="G140" s="112">
        <f t="shared" si="11"/>
        <v>0</v>
      </c>
      <c r="H140" s="99">
        <f>G140+'14'!H140</f>
        <v>26</v>
      </c>
      <c r="I140" s="118"/>
      <c r="J140" s="328">
        <f>H140/DAY(B2)</f>
        <v>1.7333333333333334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'14'!F141</f>
        <v>57165</v>
      </c>
      <c r="F141" s="149">
        <v>57341.279999999999</v>
      </c>
      <c r="G141" s="112">
        <f t="shared" si="11"/>
        <v>176.27999999999884</v>
      </c>
      <c r="H141" s="99">
        <f>G141+'14'!H141</f>
        <v>2655.6999999999971</v>
      </c>
      <c r="I141" s="118"/>
      <c r="J141" s="328">
        <f>H141/DAY(B2)</f>
        <v>177.04666666666648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'14'!F142</f>
        <v>22253</v>
      </c>
      <c r="F142" s="148">
        <v>22312</v>
      </c>
      <c r="G142" s="112">
        <f t="shared" si="11"/>
        <v>59</v>
      </c>
      <c r="H142" s="99">
        <f>G142+'14'!H142</f>
        <v>1027.9000000000015</v>
      </c>
      <c r="I142" s="140"/>
      <c r="J142" s="328">
        <f>H142/DAY(B2)</f>
        <v>68.52666666666677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'14'!F143</f>
        <v>4226</v>
      </c>
      <c r="F143" s="149">
        <v>4257.01</v>
      </c>
      <c r="G143" s="112">
        <f t="shared" si="11"/>
        <v>31.010000000000218</v>
      </c>
      <c r="H143" s="99">
        <f>G143+'14'!H143</f>
        <v>421.62000000000035</v>
      </c>
      <c r="I143" s="140"/>
      <c r="J143" s="328">
        <f>H143/DAY(B2)</f>
        <v>28.108000000000022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'14'!F144</f>
        <v>879432</v>
      </c>
      <c r="F144" s="149">
        <v>879645</v>
      </c>
      <c r="G144" s="112">
        <f t="shared" si="11"/>
        <v>213</v>
      </c>
      <c r="H144" s="99">
        <f>G144+'14'!H144</f>
        <v>3158</v>
      </c>
      <c r="I144" s="140"/>
      <c r="J144" s="328">
        <f>H144/DAY(B2)</f>
        <v>210.53333333333333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'14'!F145</f>
        <v>5135</v>
      </c>
      <c r="F145" s="149">
        <v>5148.25</v>
      </c>
      <c r="G145" s="112">
        <f t="shared" si="11"/>
        <v>13.25</v>
      </c>
      <c r="H145" s="99">
        <f>G145+'14'!H145</f>
        <v>189.40999999999985</v>
      </c>
      <c r="I145" s="140"/>
      <c r="J145" s="328">
        <f>H145/DAY(B2)</f>
        <v>12.627333333333324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'14'!F146</f>
        <v>743367</v>
      </c>
      <c r="F146" s="148">
        <v>743877</v>
      </c>
      <c r="G146" s="112">
        <f t="shared" si="11"/>
        <v>510</v>
      </c>
      <c r="H146" s="99">
        <f>G146+'14'!H146</f>
        <v>6544</v>
      </c>
      <c r="I146" s="140"/>
      <c r="J146" s="328">
        <f>H146/DAY(B2)</f>
        <v>436.26666666666665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'14'!F147</f>
        <v>632333</v>
      </c>
      <c r="F147" s="148">
        <v>632738.64</v>
      </c>
      <c r="G147" s="112">
        <f t="shared" si="11"/>
        <v>405.64000000001397</v>
      </c>
      <c r="H147" s="99">
        <f>G147+'14'!H147</f>
        <v>6126.1199999999953</v>
      </c>
      <c r="I147" s="140"/>
      <c r="J147" s="328">
        <f>H147/DAY(B2)</f>
        <v>408.40799999999967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'14'!F148</f>
        <v>693745</v>
      </c>
      <c r="F148" s="150">
        <v>693990.64</v>
      </c>
      <c r="G148" s="112">
        <f t="shared" si="11"/>
        <v>245.64000000001397</v>
      </c>
      <c r="H148" s="99">
        <f>G148+'14'!H148</f>
        <v>4547.6800000000512</v>
      </c>
      <c r="I148" s="124"/>
      <c r="J148" s="328">
        <f>H148/DAY(B2)</f>
        <v>303.1786666666701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'14'!F149</f>
        <v>32728</v>
      </c>
      <c r="F149" s="146">
        <v>33298.400000000001</v>
      </c>
      <c r="G149" s="112">
        <f t="shared" si="11"/>
        <v>570.40000000000146</v>
      </c>
      <c r="H149" s="99">
        <f>G149+'14'!H149</f>
        <v>8620.2000000000007</v>
      </c>
      <c r="I149" s="119"/>
      <c r="J149" s="328">
        <f>H149/DAY(B2)</f>
        <v>574.68000000000006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'14'!F150</f>
        <v>14007</v>
      </c>
      <c r="F150" s="233">
        <v>14241</v>
      </c>
      <c r="G150" s="112">
        <f t="shared" si="11"/>
        <v>234</v>
      </c>
      <c r="H150" s="99">
        <f>G150+'14'!H150</f>
        <v>3390.17</v>
      </c>
      <c r="I150" s="119"/>
      <c r="J150" s="328">
        <f>H150/DAY(B2)</f>
        <v>226.01133333333334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'14'!F151</f>
        <v>88885</v>
      </c>
      <c r="F151" s="233">
        <v>89115</v>
      </c>
      <c r="G151" s="112">
        <f t="shared" si="11"/>
        <v>230</v>
      </c>
      <c r="H151" s="99">
        <f>G151+'14'!H151</f>
        <v>3635</v>
      </c>
      <c r="I151" s="119"/>
      <c r="J151" s="328">
        <f>H151/DAY(B2)</f>
        <v>242.33333333333334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'14'!F152</f>
        <v>2459</v>
      </c>
      <c r="F152" s="233">
        <v>2562.8000000000002</v>
      </c>
      <c r="G152" s="112">
        <f t="shared" si="11"/>
        <v>103.80000000000018</v>
      </c>
      <c r="H152" s="99">
        <f>G152+'14'!H152</f>
        <v>902.80000000000018</v>
      </c>
      <c r="I152" s="119"/>
      <c r="J152" s="328">
        <f>H152/DAY(B2)</f>
        <v>60.186666666666682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2880.0200000000286</v>
      </c>
      <c r="H153" s="363"/>
      <c r="I153" s="119">
        <f>G153-(G38+G52)</f>
        <v>887.42000000002281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'14'!F155</f>
        <v>42101</v>
      </c>
      <c r="F155" s="374">
        <v>42811</v>
      </c>
      <c r="G155" s="112">
        <f t="shared" ref="G155:G158" si="12">F155-E155</f>
        <v>710</v>
      </c>
      <c r="H155" s="99">
        <f>G155+'14'!H155</f>
        <v>9866</v>
      </c>
      <c r="I155" s="364"/>
      <c r="J155" s="328">
        <f>H155/DAY(B2)</f>
        <v>657.73333333333335</v>
      </c>
    </row>
    <row r="156" spans="1:10" ht="27.75" x14ac:dyDescent="0.5">
      <c r="A156" s="851" t="s">
        <v>347</v>
      </c>
      <c r="B156" s="851"/>
      <c r="C156" s="851"/>
      <c r="D156" s="117" t="s">
        <v>130</v>
      </c>
      <c r="E156" s="95">
        <f>'14'!F156</f>
        <v>3465</v>
      </c>
      <c r="F156" s="155">
        <v>3525</v>
      </c>
      <c r="G156" s="112">
        <f t="shared" si="12"/>
        <v>60</v>
      </c>
      <c r="H156" s="99">
        <f>G156+'14'!H156</f>
        <v>737</v>
      </c>
      <c r="I156" s="165"/>
      <c r="J156" s="328">
        <f>H156/DAY(B2)</f>
        <v>49.133333333333333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>
        <f>'14'!F157</f>
        <v>5498</v>
      </c>
      <c r="F157" s="155">
        <v>5604.4</v>
      </c>
      <c r="G157" s="112">
        <f t="shared" si="12"/>
        <v>106.39999999999964</v>
      </c>
      <c r="H157" s="99">
        <f>G157+'14'!H157</f>
        <v>324.39999999999964</v>
      </c>
      <c r="I157" s="165"/>
      <c r="J157" s="328">
        <f>H157/DAY(B2)</f>
        <v>21.626666666666644</v>
      </c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>
        <f>'14'!F158</f>
        <v>70</v>
      </c>
      <c r="F158" s="155">
        <v>70.599999999999994</v>
      </c>
      <c r="G158" s="112">
        <f t="shared" si="12"/>
        <v>0.59999999999999432</v>
      </c>
      <c r="H158" s="99">
        <f>G158+'14'!H158</f>
        <v>1.5999999999999943</v>
      </c>
      <c r="I158" s="165"/>
      <c r="J158" s="328">
        <f>H158/DAY(B2)</f>
        <v>0.10666666666666628</v>
      </c>
    </row>
    <row r="159" spans="1:10" ht="27.75" x14ac:dyDescent="0.5">
      <c r="A159" s="935"/>
      <c r="B159" s="936"/>
      <c r="C159" s="937"/>
      <c r="D159" s="117"/>
      <c r="E159" s="95"/>
      <c r="F159" s="165"/>
      <c r="G159" s="362">
        <f>SUM(G155:G158)</f>
        <v>876.99999999999966</v>
      </c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472543</v>
      </c>
      <c r="F161" s="235">
        <v>472575</v>
      </c>
      <c r="G161" s="238">
        <f t="shared" ref="G161:G165" si="13">F161-E161</f>
        <v>32</v>
      </c>
      <c r="H161" s="99">
        <f>G161+'14'!H161</f>
        <v>521.44000000000233</v>
      </c>
      <c r="I161" s="236"/>
      <c r="J161" s="239">
        <f>H161/DAY(B2)</f>
        <v>34.762666666666824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89001</v>
      </c>
      <c r="F162" s="235">
        <v>89045.8</v>
      </c>
      <c r="G162" s="238">
        <f t="shared" si="13"/>
        <v>44.80000000000291</v>
      </c>
      <c r="H162" s="99">
        <f>G162+'14'!H162</f>
        <v>529.40000000000873</v>
      </c>
      <c r="I162" s="236"/>
      <c r="J162" s="239">
        <f>H162/DAY(B2)</f>
        <v>35.293333333333912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80037</v>
      </c>
      <c r="F163" s="235">
        <v>80178.5</v>
      </c>
      <c r="G163" s="238">
        <f t="shared" si="13"/>
        <v>141.5</v>
      </c>
      <c r="H163" s="99">
        <f>G163+'14'!H163</f>
        <v>958.39999999999418</v>
      </c>
      <c r="I163" s="236"/>
      <c r="J163" s="239">
        <f>H163/DAY(B2)</f>
        <v>63.893333333332947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4336</v>
      </c>
      <c r="F164" s="235">
        <v>4340.8999999999996</v>
      </c>
      <c r="G164" s="238">
        <f t="shared" si="13"/>
        <v>4.8999999999996362</v>
      </c>
      <c r="H164" s="99">
        <f>G164+'14'!H164</f>
        <v>20.899999999999636</v>
      </c>
      <c r="I164" s="236"/>
      <c r="J164" s="239">
        <f>H164/DAY(B2)</f>
        <v>1.3933333333333091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29976</v>
      </c>
      <c r="F165" s="235">
        <v>29986.01</v>
      </c>
      <c r="G165" s="238">
        <f t="shared" si="13"/>
        <v>10.009999999998399</v>
      </c>
      <c r="H165" s="99">
        <f>G165+'14'!H165</f>
        <v>128.7599999999984</v>
      </c>
      <c r="I165" s="236"/>
      <c r="J165" s="239">
        <f>H165/DAY(B2)</f>
        <v>8.583999999999893</v>
      </c>
    </row>
    <row r="166" spans="1:10" ht="29.25" x14ac:dyDescent="0.5">
      <c r="A166" s="860"/>
      <c r="B166" s="860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1.75" customHeight="1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864" t="s">
        <v>209</v>
      </c>
      <c r="B173" s="865"/>
      <c r="C173" s="333"/>
      <c r="D173" s="228" t="s">
        <v>142</v>
      </c>
      <c r="E173" s="95">
        <f>'14'!F173</f>
        <v>8132</v>
      </c>
      <c r="F173" s="155">
        <v>8165</v>
      </c>
      <c r="G173" s="155">
        <f>F173-E173</f>
        <v>33</v>
      </c>
      <c r="H173" s="99">
        <f>G173+'14'!H173</f>
        <v>39</v>
      </c>
      <c r="I173" s="155"/>
      <c r="J173" s="178">
        <f>H173/DAY(B2)</f>
        <v>2.6</v>
      </c>
    </row>
    <row r="174" spans="1:10" ht="21.75" customHeight="1" x14ac:dyDescent="0.5">
      <c r="A174" s="864" t="s">
        <v>75</v>
      </c>
      <c r="B174" s="865"/>
      <c r="C174" s="333"/>
      <c r="D174" s="228" t="s">
        <v>142</v>
      </c>
      <c r="E174" s="95">
        <f>'14'!F174</f>
        <v>38806</v>
      </c>
      <c r="F174" s="157">
        <v>38822</v>
      </c>
      <c r="G174" s="155">
        <f t="shared" ref="G174:G175" si="14">F174-E174</f>
        <v>16</v>
      </c>
      <c r="H174" s="99">
        <f>G174+'14'!H174</f>
        <v>207</v>
      </c>
      <c r="I174" s="155"/>
      <c r="J174" s="178">
        <f>H174/DAY(B2)</f>
        <v>13.8</v>
      </c>
    </row>
    <row r="175" spans="1:10" ht="21.75" customHeight="1" x14ac:dyDescent="0.5">
      <c r="A175" s="864" t="s">
        <v>76</v>
      </c>
      <c r="B175" s="904"/>
      <c r="C175" s="865"/>
      <c r="D175" s="228" t="s">
        <v>142</v>
      </c>
      <c r="E175" s="95">
        <f>'14'!F175</f>
        <v>21972</v>
      </c>
      <c r="F175" s="155">
        <v>21985</v>
      </c>
      <c r="G175" s="155">
        <f t="shared" si="14"/>
        <v>13</v>
      </c>
      <c r="H175" s="99">
        <f>G175+'14'!H175</f>
        <v>172</v>
      </c>
      <c r="I175" s="155"/>
      <c r="J175" s="178">
        <f>H175/DAY(B2)</f>
        <v>11.466666666666667</v>
      </c>
    </row>
    <row r="176" spans="1:10" ht="21.75" customHeight="1" x14ac:dyDescent="0.5">
      <c r="A176" s="855" t="s">
        <v>196</v>
      </c>
      <c r="B176" s="856"/>
      <c r="C176" s="333"/>
      <c r="D176" s="228" t="s">
        <v>142</v>
      </c>
      <c r="E176" s="95"/>
      <c r="F176" s="155"/>
      <c r="G176" s="155">
        <f>SUM(G173:G175)</f>
        <v>62</v>
      </c>
      <c r="H176" s="99">
        <f>G176+'14'!H176</f>
        <v>418</v>
      </c>
      <c r="I176" s="155"/>
      <c r="J176" s="178">
        <f>H176/DAY(B2)</f>
        <v>27.866666666666667</v>
      </c>
    </row>
    <row r="177" spans="1:10" ht="21.75" customHeight="1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864" t="s">
        <v>210</v>
      </c>
      <c r="B178" s="865"/>
      <c r="C178" s="333"/>
      <c r="D178" s="228" t="s">
        <v>142</v>
      </c>
      <c r="E178" s="95">
        <f>'14'!F178</f>
        <v>82079</v>
      </c>
      <c r="F178" s="155">
        <v>82143</v>
      </c>
      <c r="G178" s="155">
        <f>F178-E178</f>
        <v>64</v>
      </c>
      <c r="H178" s="99">
        <f>G178+'14'!H178</f>
        <v>828</v>
      </c>
      <c r="I178" s="155"/>
      <c r="J178" s="178">
        <f>H178/DAY(B2)</f>
        <v>55.2</v>
      </c>
    </row>
    <row r="179" spans="1:10" ht="24" customHeight="1" x14ac:dyDescent="0.5">
      <c r="A179" s="864" t="s">
        <v>211</v>
      </c>
      <c r="B179" s="865"/>
      <c r="C179" s="333"/>
      <c r="D179" s="228" t="s">
        <v>142</v>
      </c>
      <c r="E179" s="95">
        <f>'14'!F179</f>
        <v>35211</v>
      </c>
      <c r="F179" s="155">
        <v>35243</v>
      </c>
      <c r="G179" s="155">
        <f t="shared" ref="G179:G180" si="15">F179-E179</f>
        <v>32</v>
      </c>
      <c r="H179" s="99">
        <f>G179+'14'!H179</f>
        <v>440</v>
      </c>
      <c r="I179" s="155"/>
      <c r="J179" s="178">
        <f>H179/DAY(B2)</f>
        <v>29.333333333333332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'14'!F180</f>
        <v>5794</v>
      </c>
      <c r="F180" s="155">
        <v>5800</v>
      </c>
      <c r="G180" s="155">
        <f t="shared" si="15"/>
        <v>6</v>
      </c>
      <c r="H180" s="99">
        <f>G180+'14'!H180</f>
        <v>98</v>
      </c>
      <c r="I180" s="155"/>
      <c r="J180" s="178">
        <f>H180/DAY(B2)</f>
        <v>6.5333333333333332</v>
      </c>
    </row>
    <row r="181" spans="1:10" ht="27.75" x14ac:dyDescent="0.5">
      <c r="A181" s="866" t="s">
        <v>108</v>
      </c>
      <c r="B181" s="867"/>
      <c r="C181" s="333"/>
      <c r="D181" s="228" t="s">
        <v>142</v>
      </c>
      <c r="E181" s="95"/>
      <c r="F181" s="155"/>
      <c r="G181" s="155">
        <f>SUM(G178:G180)</f>
        <v>102</v>
      </c>
      <c r="H181" s="99">
        <f>G181+'14'!H181</f>
        <v>1366</v>
      </c>
      <c r="I181" s="155"/>
      <c r="J181" s="178">
        <f>H181/DAY(B2)</f>
        <v>91.066666666666663</v>
      </c>
    </row>
    <row r="182" spans="1:10" ht="27.75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'14'!F183</f>
        <v>15563</v>
      </c>
      <c r="F183" s="157">
        <v>15594</v>
      </c>
      <c r="G183" s="157">
        <f>F183-E183</f>
        <v>31</v>
      </c>
      <c r="H183" s="99">
        <f>G183+'14'!H183</f>
        <v>249</v>
      </c>
      <c r="I183" s="155"/>
      <c r="J183" s="178">
        <f>H183/DAY(B2)</f>
        <v>16.600000000000001</v>
      </c>
    </row>
    <row r="184" spans="1:10" ht="27.75" x14ac:dyDescent="0.5">
      <c r="A184" s="864" t="s">
        <v>215</v>
      </c>
      <c r="B184" s="865"/>
      <c r="C184" s="334"/>
      <c r="D184" s="228" t="s">
        <v>142</v>
      </c>
      <c r="E184" s="95">
        <f>'14'!F184</f>
        <v>10682</v>
      </c>
      <c r="F184" s="157">
        <v>10696</v>
      </c>
      <c r="G184" s="157">
        <f t="shared" ref="G184:G185" si="16">F184-E184</f>
        <v>14</v>
      </c>
      <c r="H184" s="99">
        <f>G184+'14'!H184</f>
        <v>178</v>
      </c>
      <c r="I184" s="155"/>
      <c r="J184" s="178">
        <f>H184/DAY(B2)</f>
        <v>11.866666666666667</v>
      </c>
    </row>
    <row r="185" spans="1:10" ht="32.25" customHeight="1" x14ac:dyDescent="0.5">
      <c r="A185" s="864" t="s">
        <v>216</v>
      </c>
      <c r="B185" s="865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855" t="s">
        <v>196</v>
      </c>
      <c r="B186" s="856"/>
      <c r="C186" s="334"/>
      <c r="D186" s="228" t="s">
        <v>142</v>
      </c>
      <c r="E186" s="95"/>
      <c r="F186" s="157"/>
      <c r="G186" s="157">
        <f>SUM(G183:G185)</f>
        <v>45</v>
      </c>
      <c r="H186" s="99">
        <f>G186+'14'!H186</f>
        <v>427</v>
      </c>
      <c r="I186" s="157"/>
      <c r="J186" s="178">
        <f>H186/DAY(B2)</f>
        <v>28.466666666666665</v>
      </c>
    </row>
    <row r="187" spans="1:10" ht="27.75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460">
        <f>G62+G19</f>
        <v>153</v>
      </c>
      <c r="H187" s="99">
        <f>G187+'14'!H187</f>
        <v>2815</v>
      </c>
      <c r="I187" s="158"/>
      <c r="J187" s="179">
        <f>H187/DAY(B2)</f>
        <v>187.66666666666666</v>
      </c>
    </row>
    <row r="188" spans="1:10" ht="27.75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262</v>
      </c>
      <c r="H188" s="99">
        <f>G188+'14'!H188</f>
        <v>262</v>
      </c>
      <c r="I188" s="158"/>
      <c r="J188" s="179">
        <f>H188/DAY(B2)</f>
        <v>17.466666666666665</v>
      </c>
    </row>
    <row r="189" spans="1:10" ht="27" customHeight="1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457">
        <f>G181</f>
        <v>102</v>
      </c>
      <c r="H189" s="99">
        <f>G189+'14'!H189</f>
        <v>1366</v>
      </c>
      <c r="I189" s="158"/>
      <c r="J189" s="179">
        <f>H189/DAY(B2)</f>
        <v>91.066666666666663</v>
      </c>
    </row>
    <row r="190" spans="1:10" ht="27" customHeight="1" x14ac:dyDescent="0.5">
      <c r="A190" s="778"/>
      <c r="B190" s="779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40" zoomScale="55" zoomScaleNormal="90" zoomScaleSheetLayoutView="55" workbookViewId="0">
      <selection activeCell="G144" sqref="G14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96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6" s="57" customFormat="1" ht="27" x14ac:dyDescent="0.5">
      <c r="A2" s="191" t="s">
        <v>350</v>
      </c>
      <c r="B2" s="262">
        <v>44608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21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13" t="s">
        <v>128</v>
      </c>
      <c r="B6" s="914"/>
      <c r="C6" s="915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953321.6</v>
      </c>
      <c r="F7" s="95">
        <v>973868.58</v>
      </c>
      <c r="G7" s="112">
        <f>F7-E7</f>
        <v>20546.979999999981</v>
      </c>
      <c r="H7" s="99">
        <f>G7+'15'!H7</f>
        <v>322688.34999999998</v>
      </c>
      <c r="I7" s="113">
        <f>'1'!I7</f>
        <v>12000</v>
      </c>
      <c r="J7" s="175">
        <f>H7/DAY(B2)</f>
        <v>20168.021874999999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v>12787.4</v>
      </c>
      <c r="F8" s="95">
        <v>33412.5</v>
      </c>
      <c r="G8" s="115">
        <f>F8-E8</f>
        <v>20625.099999999999</v>
      </c>
      <c r="H8" s="99">
        <f>G8+'15'!H8</f>
        <v>324890.94999999995</v>
      </c>
      <c r="I8" s="116"/>
      <c r="J8" s="175">
        <f>H8/DAY(B2)</f>
        <v>20305.684374999997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514004.63</v>
      </c>
      <c r="F9" s="598">
        <v>531216.71</v>
      </c>
      <c r="G9" s="112">
        <f>F9-E9</f>
        <v>17212.079999999958</v>
      </c>
      <c r="H9" s="99">
        <f>G9+'15'!H9</f>
        <v>248962.86</v>
      </c>
      <c r="I9" s="124">
        <f>I7-J7</f>
        <v>-8168.0218749999985</v>
      </c>
      <c r="J9" s="175">
        <f>H9/DAY(B2)</f>
        <v>15560.178749999999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167159.24</v>
      </c>
      <c r="F10" s="353">
        <v>169919.93</v>
      </c>
      <c r="G10" s="112">
        <f t="shared" ref="G10:G12" si="0">F10-E10</f>
        <v>2760.6900000000023</v>
      </c>
      <c r="H10" s="99">
        <f>G10+'15'!H10</f>
        <v>64660.959999999992</v>
      </c>
      <c r="I10" s="282"/>
      <c r="J10" s="175">
        <f>H10/DAY(B2)</f>
        <v>4041.3099999999995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37170</v>
      </c>
      <c r="F11" s="95">
        <v>37170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19972.76999999996</v>
      </c>
      <c r="H13" s="99">
        <f>G13+'15'!H13</f>
        <v>296869.38999999996</v>
      </c>
      <c r="I13" s="120">
        <f>G7-G13</f>
        <v>574.21000000002095</v>
      </c>
      <c r="J13" s="175">
        <f>H13/DAY(B2)</f>
        <v>18554.336874999997</v>
      </c>
      <c r="K13" s="79"/>
      <c r="L13" s="66"/>
      <c r="N13" s="87"/>
      <c r="O13" s="71"/>
    </row>
    <row r="14" spans="1:16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123">
        <f>'15'!F15</f>
        <v>1922700.28</v>
      </c>
      <c r="F15" s="123">
        <v>1923793.1950000001</v>
      </c>
      <c r="G15" s="112">
        <f>(F15-E15)</f>
        <v>1092.9150000000373</v>
      </c>
      <c r="H15" s="99">
        <f>G15+'15'!H15</f>
        <v>17156.428000000073</v>
      </c>
      <c r="I15" s="113">
        <f>'1'!I15</f>
        <v>800</v>
      </c>
      <c r="J15" s="175">
        <f>H15/DAY(B2)</f>
        <v>1072.2767500000045</v>
      </c>
      <c r="K15" s="79"/>
      <c r="L15" s="66"/>
      <c r="N15" s="87">
        <v>735868</v>
      </c>
      <c r="O15" s="71">
        <v>719798</v>
      </c>
      <c r="P15" s="552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-272.27675000000454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'15'!F18</f>
        <v>26</v>
      </c>
      <c r="F18" s="122">
        <v>24</v>
      </c>
      <c r="G18" s="119">
        <f>F18*10</f>
        <v>240</v>
      </c>
      <c r="H18" s="99">
        <f>G18+'15'!H18</f>
        <v>3530</v>
      </c>
      <c r="I18" s="113">
        <f>'1'!I18</f>
        <v>65</v>
      </c>
      <c r="J18" s="175">
        <f>H18/DAY(B2)</f>
        <v>220.625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'15'!F19</f>
        <v>154692</v>
      </c>
      <c r="F19" s="122">
        <v>154750</v>
      </c>
      <c r="G19" s="112">
        <f t="shared" ref="G19" si="1">F19-E19</f>
        <v>58</v>
      </c>
      <c r="H19" s="99">
        <f>G19+'15'!H19</f>
        <v>859</v>
      </c>
      <c r="I19" s="335"/>
      <c r="J19" s="175">
        <f>H19/DAY(B2)</f>
        <v>53.6875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298</v>
      </c>
      <c r="H20" s="99">
        <f>G20+'15'!H20</f>
        <v>4389</v>
      </c>
      <c r="I20" s="336">
        <f>I18-J20</f>
        <v>-209.3125</v>
      </c>
      <c r="J20" s="175">
        <f>H20/DAY(B2)</f>
        <v>274.3125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'15'!F23</f>
        <v>1500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921" t="s">
        <v>149</v>
      </c>
      <c r="B25" s="922"/>
      <c r="C25" s="923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20625.099999999999</v>
      </c>
      <c r="F27" s="136">
        <v>9</v>
      </c>
      <c r="G27" s="137">
        <f>E27*F27</f>
        <v>185625.9</v>
      </c>
      <c r="H27" s="99">
        <f>G27+'15'!H27</f>
        <v>2924018.55</v>
      </c>
      <c r="I27" s="138"/>
      <c r="J27" s="175">
        <f>H27/DAY(B2)</f>
        <v>182751.15937499999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1092.9150000000373</v>
      </c>
      <c r="F28" s="136">
        <v>52</v>
      </c>
      <c r="G28" s="137">
        <f>E28*F28</f>
        <v>56831.580000001937</v>
      </c>
      <c r="H28" s="99">
        <f>G28+'15'!H28</f>
        <v>955062.25600000378</v>
      </c>
      <c r="I28" s="140"/>
      <c r="J28" s="175">
        <f>H28/DAY(B2)</f>
        <v>59691.391000000236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G30+'15'!H30</f>
        <v>126269</v>
      </c>
      <c r="I30" s="140"/>
      <c r="J30" s="175">
        <f>H30/DAY(B2)</f>
        <v>7891.8125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G31+'15'!H31</f>
        <v>282400</v>
      </c>
      <c r="I31" s="140"/>
      <c r="J31" s="175">
        <f>H31/DAY(B2)</f>
        <v>17650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270125.48000000196</v>
      </c>
      <c r="H32" s="99">
        <f>G32+'15'!H32</f>
        <v>4287749.8060000036</v>
      </c>
      <c r="I32" s="144"/>
      <c r="J32" s="175">
        <f>H32/DAY(B2)</f>
        <v>267984.36287500022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493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54476.13</v>
      </c>
      <c r="F35" s="117">
        <v>56048.7</v>
      </c>
      <c r="G35" s="112">
        <f t="shared" ref="G35:G46" si="3">F35-E35</f>
        <v>1572.5699999999997</v>
      </c>
      <c r="H35" s="99">
        <f>G35+'15'!H35</f>
        <v>24043.719999999998</v>
      </c>
      <c r="I35" s="95"/>
      <c r="J35" s="175">
        <f>H35/DAY(B2)</f>
        <v>1502.7324999999998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57461.85</v>
      </c>
      <c r="F36" s="117">
        <v>58343.39</v>
      </c>
      <c r="G36" s="112">
        <f t="shared" si="3"/>
        <v>881.54000000000087</v>
      </c>
      <c r="H36" s="99">
        <f>G36+'15'!H36</f>
        <v>14884.650000000001</v>
      </c>
      <c r="I36" s="95"/>
      <c r="J36" s="175">
        <f>H36/DAY(B2)</f>
        <v>930.29062500000009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60349.7</v>
      </c>
      <c r="F37" s="117">
        <v>62124.480000000003</v>
      </c>
      <c r="G37" s="112">
        <f t="shared" si="3"/>
        <v>1774.7800000000061</v>
      </c>
      <c r="H37" s="99">
        <f>G37+'15'!H37</f>
        <v>26699.390000000007</v>
      </c>
      <c r="I37" s="95"/>
      <c r="J37" s="175">
        <f>H37/DAY(B2)</f>
        <v>1668.7118750000004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67267.600000000006</v>
      </c>
      <c r="F38" s="95">
        <v>69302.740000000005</v>
      </c>
      <c r="G38" s="112">
        <f t="shared" si="3"/>
        <v>2035.1399999999994</v>
      </c>
      <c r="H38" s="99">
        <f>G38+'15'!H38</f>
        <v>30926.310000000005</v>
      </c>
      <c r="I38" s="95"/>
      <c r="J38" s="175">
        <f>H38/DAY(B2)</f>
        <v>1932.8943750000003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103354.2</v>
      </c>
      <c r="F39" s="117">
        <v>106480.88</v>
      </c>
      <c r="G39" s="112">
        <f t="shared" si="3"/>
        <v>3126.6800000000076</v>
      </c>
      <c r="H39" s="99">
        <f>G39+'15'!H39</f>
        <v>47307.590000000004</v>
      </c>
      <c r="I39" s="95"/>
      <c r="J39" s="175">
        <f>H39/DAY(B2)</f>
        <v>2956.7243750000002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27691.200000000001</v>
      </c>
      <c r="F40" s="117">
        <v>27923.39</v>
      </c>
      <c r="G40" s="112">
        <f t="shared" si="3"/>
        <v>232.18999999999869</v>
      </c>
      <c r="H40" s="99">
        <f>G40+'15'!H40</f>
        <v>5806.3999999999969</v>
      </c>
      <c r="I40" s="95"/>
      <c r="J40" s="175">
        <f>H40/DAY(B2)</f>
        <v>362.89999999999981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63</v>
      </c>
      <c r="F41" s="117">
        <v>63</v>
      </c>
      <c r="G41" s="112">
        <f t="shared" si="3"/>
        <v>0</v>
      </c>
      <c r="H41" s="99">
        <f>G41+'15'!H41</f>
        <v>0.27000000000000313</v>
      </c>
      <c r="I41" s="95"/>
      <c r="J41" s="175">
        <f>H41/DAY(B2)</f>
        <v>1.6875000000000195E-2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145072.01999999999</v>
      </c>
      <c r="F42" s="117">
        <v>149398</v>
      </c>
      <c r="G42" s="112">
        <f t="shared" si="3"/>
        <v>4325.9800000000105</v>
      </c>
      <c r="H42" s="99">
        <f>G42+'15'!H42</f>
        <v>49268.259999999995</v>
      </c>
      <c r="I42" s="95"/>
      <c r="J42" s="175">
        <f>H42/DAY(B2)</f>
        <v>3079.2662499999997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'15'!F43</f>
        <v>146955.57999999999</v>
      </c>
      <c r="F43" s="117">
        <v>149061.35</v>
      </c>
      <c r="G43" s="112">
        <f t="shared" si="3"/>
        <v>2105.7700000000186</v>
      </c>
      <c r="H43" s="99">
        <f>G43+'15'!H43</f>
        <v>34209.75</v>
      </c>
      <c r="I43" s="95"/>
      <c r="J43" s="175">
        <f>H43/DAY(B2)</f>
        <v>2138.109375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16054.650000000041</v>
      </c>
      <c r="H47" s="99">
        <f>G47+'15'!H47</f>
        <v>233146.34000000003</v>
      </c>
      <c r="I47" s="95"/>
      <c r="J47" s="175">
        <f>H47/DAY(B2)</f>
        <v>14571.646250000002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45091.9</v>
      </c>
      <c r="F49" s="117">
        <v>46591.43</v>
      </c>
      <c r="G49" s="112">
        <f t="shared" ref="G49:G58" si="4">F49-E49</f>
        <v>1499.5299999999988</v>
      </c>
      <c r="H49" s="99">
        <f>G49+'15'!H49</f>
        <v>21595.24</v>
      </c>
      <c r="I49" s="95"/>
      <c r="J49" s="175">
        <f>H49/DAY(B2)</f>
        <v>1349.7025000000001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75388.95</v>
      </c>
      <c r="F50" s="117">
        <v>76606.929999999993</v>
      </c>
      <c r="G50" s="112">
        <f t="shared" si="4"/>
        <v>1217.9799999999959</v>
      </c>
      <c r="H50" s="99">
        <f>G50+'15'!H50</f>
        <v>20220.299999999996</v>
      </c>
      <c r="I50" s="95"/>
      <c r="J50" s="175">
        <f>H50/DAY(B2)</f>
        <v>1263.7687499999997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492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488">
        <f>'15'!F54</f>
        <v>12308.29</v>
      </c>
      <c r="F54" s="492">
        <v>12850.75</v>
      </c>
      <c r="G54" s="236">
        <f t="shared" si="4"/>
        <v>542.45999999999913</v>
      </c>
      <c r="H54" s="99">
        <f>G54+'15'!H54</f>
        <v>7703.33</v>
      </c>
      <c r="I54" s="95"/>
      <c r="J54" s="175">
        <f>H54/DAY(B2)</f>
        <v>481.458125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488">
        <f>'15'!F55</f>
        <v>90578.89</v>
      </c>
      <c r="F55" s="492">
        <v>90578.89</v>
      </c>
      <c r="G55" s="236">
        <f t="shared" si="4"/>
        <v>0</v>
      </c>
      <c r="H55" s="99">
        <f>G55+'15'!H55</f>
        <v>16212.779999999999</v>
      </c>
      <c r="I55" s="95"/>
      <c r="J55" s="175">
        <f>H55/DAY(B2)</f>
        <v>1013.2987499999999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8723.6299999999992</v>
      </c>
      <c r="F56" s="117">
        <v>8723.6299999999992</v>
      </c>
      <c r="G56" s="112">
        <f t="shared" si="4"/>
        <v>0</v>
      </c>
      <c r="H56" s="99">
        <f>G56+'15'!H56</f>
        <v>113.08999999999833</v>
      </c>
      <c r="I56" s="95"/>
      <c r="J56" s="175">
        <f>H56/DAY(B2)</f>
        <v>7.0681249999998954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7997.48</v>
      </c>
      <c r="F58" s="117">
        <v>8204.93</v>
      </c>
      <c r="G58" s="112">
        <f t="shared" si="4"/>
        <v>207.45000000000073</v>
      </c>
      <c r="H58" s="99">
        <f>G58+'15'!H58</f>
        <v>3408.7200000000003</v>
      </c>
      <c r="I58" s="95"/>
      <c r="J58" s="175">
        <f>H58/DAY(B2)</f>
        <v>213.04500000000002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3467.4199999999946</v>
      </c>
      <c r="H59" s="99">
        <f>G59+'15'!H59</f>
        <v>69253.459999999992</v>
      </c>
      <c r="I59" s="95">
        <f>G7-G60</f>
        <v>1024.9099999999453</v>
      </c>
      <c r="J59" s="175">
        <f>H59/DAY(B2)</f>
        <v>4328.3412499999995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19522.070000000036</v>
      </c>
      <c r="H60" s="99">
        <f>G60+'15'!H60</f>
        <v>302399.80000000005</v>
      </c>
      <c r="I60" s="95">
        <f>G13-G60</f>
        <v>450.69999999992433</v>
      </c>
      <c r="J60" s="175">
        <f>H60/DAY(B2)</f>
        <v>18899.987500000003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'15'!F62</f>
        <v>271530</v>
      </c>
      <c r="F62" s="122">
        <v>271676</v>
      </c>
      <c r="G62" s="112">
        <f t="shared" ref="G62:G63" si="5">F62-E62</f>
        <v>146</v>
      </c>
      <c r="H62" s="99">
        <f>G62+'15'!H62</f>
        <v>2160</v>
      </c>
      <c r="I62" s="118"/>
      <c r="J62" s="175">
        <f>H62/DAY(B2)</f>
        <v>135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'15'!F63</f>
        <v>217731</v>
      </c>
      <c r="F63" s="122">
        <v>217846</v>
      </c>
      <c r="G63" s="112">
        <f t="shared" si="5"/>
        <v>115</v>
      </c>
      <c r="H63" s="99">
        <f>G63+'15'!H63</f>
        <v>2049</v>
      </c>
      <c r="I63" s="118"/>
      <c r="J63" s="175">
        <f>H63/DAY(B2)</f>
        <v>128.0625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v>0</v>
      </c>
      <c r="F64" s="122"/>
      <c r="G64" s="112">
        <f>G62+G63</f>
        <v>261</v>
      </c>
      <c r="H64" s="99">
        <f>G64+'15'!H64</f>
        <v>4209</v>
      </c>
      <c r="I64" s="118"/>
      <c r="J64" s="175">
        <f>H64/DAY(B2)</f>
        <v>263.0625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'15'!F65</f>
        <v>436462</v>
      </c>
      <c r="F65" s="122">
        <v>436551</v>
      </c>
      <c r="G65" s="112">
        <f t="shared" ref="G65:G70" si="6">F65-E65</f>
        <v>89</v>
      </c>
      <c r="H65" s="99">
        <f>G65+'15'!H65</f>
        <v>1628</v>
      </c>
      <c r="I65" s="118"/>
      <c r="J65" s="175">
        <f>H65/DAY(B2)</f>
        <v>101.75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'15'!F66</f>
        <v>108130</v>
      </c>
      <c r="F66" s="122">
        <v>108149</v>
      </c>
      <c r="G66" s="112">
        <f t="shared" si="6"/>
        <v>19</v>
      </c>
      <c r="H66" s="99">
        <f>G66+'15'!H66</f>
        <v>406</v>
      </c>
      <c r="I66" s="118"/>
      <c r="J66" s="175">
        <f>H66/DAY(B2)</f>
        <v>25.375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'15'!F67</f>
        <v>105292</v>
      </c>
      <c r="F67" s="122">
        <v>105364</v>
      </c>
      <c r="G67" s="112">
        <f t="shared" si="6"/>
        <v>72</v>
      </c>
      <c r="H67" s="99">
        <f>G67+'15'!H67</f>
        <v>716</v>
      </c>
      <c r="I67" s="118"/>
      <c r="J67" s="175">
        <f>H67/DAY(B2)</f>
        <v>44.75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'15'!F68</f>
        <v>158276</v>
      </c>
      <c r="F68" s="122">
        <v>158319</v>
      </c>
      <c r="G68" s="112">
        <f t="shared" si="6"/>
        <v>43</v>
      </c>
      <c r="H68" s="99">
        <f>G68+'15'!H68</f>
        <v>622</v>
      </c>
      <c r="I68" s="118"/>
      <c r="J68" s="175">
        <f>H68/DAY(B2)</f>
        <v>38.875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'15'!F69</f>
        <v>10750</v>
      </c>
      <c r="F69" s="122">
        <v>10759</v>
      </c>
      <c r="G69" s="112">
        <f t="shared" si="6"/>
        <v>9</v>
      </c>
      <c r="H69" s="99">
        <f>G69+'15'!H69</f>
        <v>218</v>
      </c>
      <c r="I69" s="118"/>
      <c r="J69" s="175">
        <f>H69/DAY(B2)</f>
        <v>13.625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'15'!F70</f>
        <v>8303</v>
      </c>
      <c r="F70" s="122">
        <v>8312</v>
      </c>
      <c r="G70" s="112">
        <f t="shared" si="6"/>
        <v>9</v>
      </c>
      <c r="H70" s="99">
        <f>G70+'15'!H70</f>
        <v>192</v>
      </c>
      <c r="I70" s="118"/>
      <c r="J70" s="175">
        <f>H70/DAY(B2)</f>
        <v>12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241</v>
      </c>
      <c r="H71" s="99">
        <f>G71+'15'!H71</f>
        <v>3782</v>
      </c>
      <c r="I71" s="154"/>
      <c r="J71" s="175">
        <f>H71/DAY(B2)</f>
        <v>236.375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494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'15'!F74</f>
        <v>905875.39099999995</v>
      </c>
      <c r="F74" s="117">
        <v>906171.17</v>
      </c>
      <c r="G74" s="112">
        <f t="shared" ref="G74:G78" si="7">F74-E74</f>
        <v>295.77900000009686</v>
      </c>
      <c r="H74" s="99">
        <f>G74+'15'!H74</f>
        <v>4865.0210000000661</v>
      </c>
      <c r="I74" s="154"/>
      <c r="J74" s="175">
        <f>H74/DAY(B2)</f>
        <v>304.06381250000413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'15'!F75</f>
        <v>73587</v>
      </c>
      <c r="F75" s="123">
        <v>73586.8</v>
      </c>
      <c r="G75" s="112">
        <f t="shared" si="7"/>
        <v>-0.19999999999708962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'15'!F76</f>
        <v>171704.66</v>
      </c>
      <c r="F76" s="123">
        <v>171798.83</v>
      </c>
      <c r="G76" s="112">
        <f t="shared" si="7"/>
        <v>94.169999999983702</v>
      </c>
      <c r="H76" s="99">
        <f>G76+'15'!H76</f>
        <v>1823.8299999999872</v>
      </c>
      <c r="I76" s="154"/>
      <c r="J76" s="175">
        <f>H76/DAY(B2)</f>
        <v>113.9893749999992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'15'!F77</f>
        <v>42026.2</v>
      </c>
      <c r="F77" s="123">
        <v>42069.599999999999</v>
      </c>
      <c r="G77" s="112">
        <f t="shared" si="7"/>
        <v>43.400000000001455</v>
      </c>
      <c r="H77" s="99">
        <f>G77+'15'!H77</f>
        <v>767.40000000000146</v>
      </c>
      <c r="I77" s="154"/>
      <c r="J77" s="175">
        <f>H77/DAY(B2)</f>
        <v>47.962500000000091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'15'!F78</f>
        <v>9538</v>
      </c>
      <c r="F78" s="123">
        <v>9538</v>
      </c>
      <c r="G78" s="112">
        <f t="shared" si="7"/>
        <v>0</v>
      </c>
      <c r="H78" s="99">
        <f>G78+'15'!H78</f>
        <v>25</v>
      </c>
      <c r="I78" s="118"/>
      <c r="J78" s="175">
        <f>H78/DAY(B2)</f>
        <v>1.5625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'15'!F79</f>
        <v>0</v>
      </c>
      <c r="F79" s="123"/>
      <c r="G79" s="112">
        <f>G15-SUM(G74:G78)</f>
        <v>659.76599999995233</v>
      </c>
      <c r="H79" s="99">
        <f>G79+'15'!H79</f>
        <v>9675.1770000000179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1092.9150000000373</v>
      </c>
      <c r="H80" s="99">
        <f>G80+'15'!H80</f>
        <v>1092.9150000000373</v>
      </c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'15'!F85</f>
        <v>2504</v>
      </c>
      <c r="F85" s="164">
        <v>2527.54</v>
      </c>
      <c r="G85" s="112">
        <f t="shared" si="8"/>
        <v>23.539999999999964</v>
      </c>
      <c r="H85" s="99">
        <f>G85+'15'!H85</f>
        <v>267.11999999999989</v>
      </c>
      <c r="I85" s="118">
        <f>G82+G83+G84+G85</f>
        <v>23.539999999999964</v>
      </c>
      <c r="J85" s="175">
        <f>H85/DAY(B2)</f>
        <v>16.694999999999993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'15'!F86</f>
        <v>43564</v>
      </c>
      <c r="F86" s="164">
        <v>43564</v>
      </c>
      <c r="G86" s="112">
        <f t="shared" si="8"/>
        <v>0</v>
      </c>
      <c r="H86" s="99">
        <f>G86+'15'!H86</f>
        <v>122</v>
      </c>
      <c r="I86" s="118"/>
      <c r="J86" s="175">
        <f>H86/DAY(B2)</f>
        <v>7.625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'15'!F87</f>
        <v>34598.550000000003</v>
      </c>
      <c r="F87" s="164">
        <v>34598.550000000003</v>
      </c>
      <c r="G87" s="112">
        <f t="shared" si="8"/>
        <v>0</v>
      </c>
      <c r="H87" s="99">
        <f>G87+'15'!H87</f>
        <v>5.0000000002910383E-2</v>
      </c>
      <c r="I87" s="118"/>
      <c r="J87" s="175">
        <f>H87/DAY(B2)</f>
        <v>3.1250000001818989E-3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'15'!F88</f>
        <v>24067.759999999998</v>
      </c>
      <c r="F88" s="164">
        <v>24067.759999999998</v>
      </c>
      <c r="G88" s="112">
        <f t="shared" si="8"/>
        <v>0</v>
      </c>
      <c r="H88" s="99">
        <f>G88+'15'!H88</f>
        <v>4.3299999999981083</v>
      </c>
      <c r="I88" s="118">
        <f>G86+G87+G88</f>
        <v>0</v>
      </c>
      <c r="J88" s="175">
        <f>H88/DAY(B2)</f>
        <v>0.27062499999988177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'15'!F89</f>
        <v>26045.57</v>
      </c>
      <c r="F89" s="164">
        <v>26056.47</v>
      </c>
      <c r="G89" s="112">
        <f t="shared" si="8"/>
        <v>10.900000000001455</v>
      </c>
      <c r="H89" s="99">
        <f>G89+'15'!H89</f>
        <v>165.35000000000218</v>
      </c>
      <c r="I89" s="118"/>
      <c r="J89" s="175">
        <f>H89/DAY(B2)</f>
        <v>10.334375000000136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'15'!F90</f>
        <v>71223.94</v>
      </c>
      <c r="F90" s="164">
        <v>71232.87</v>
      </c>
      <c r="G90" s="112">
        <f t="shared" si="8"/>
        <v>8.9299999999930151</v>
      </c>
      <c r="H90" s="99">
        <f>G90+'15'!H90</f>
        <v>69.549999999988358</v>
      </c>
      <c r="I90" s="118">
        <f>G89+G90</f>
        <v>19.82999999999447</v>
      </c>
      <c r="J90" s="175">
        <f>H90/DAY(B2)</f>
        <v>4.3468749999992724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'15'!F91</f>
        <v>3420.22</v>
      </c>
      <c r="F91" s="122">
        <v>3431.42</v>
      </c>
      <c r="G91" s="112">
        <f t="shared" si="8"/>
        <v>11.200000000000273</v>
      </c>
      <c r="H91" s="99">
        <f>G91+'15'!H91</f>
        <v>180.32999999999993</v>
      </c>
      <c r="I91" s="165"/>
      <c r="J91" s="175">
        <f>H91/DAY(B2)</f>
        <v>11.270624999999995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'15'!F92</f>
        <v>5741</v>
      </c>
      <c r="F92" s="122">
        <v>5741</v>
      </c>
      <c r="G92" s="112">
        <f t="shared" si="8"/>
        <v>0</v>
      </c>
      <c r="H92" s="99">
        <f>G92+'15'!H92</f>
        <v>-6.9999999999708962E-2</v>
      </c>
      <c r="I92" s="165"/>
      <c r="J92" s="175">
        <f>H92/DAY(B2)</f>
        <v>-4.3749999999818101E-3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5177.8700000000172</v>
      </c>
      <c r="H94" s="99">
        <f>G94+'15'!H94</f>
        <v>79848.709999999992</v>
      </c>
      <c r="I94" s="118"/>
      <c r="J94" s="175">
        <f>H94/DAY(B2)</f>
        <v>4990.5443749999995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51"/>
      <c r="G95" s="166">
        <f>G94/G7</f>
        <v>0.25200151068429627</v>
      </c>
      <c r="H95" s="99">
        <f>G95+'15'!H95</f>
        <v>3.9632054332926749</v>
      </c>
      <c r="I95" s="167"/>
      <c r="J95" s="175">
        <f>H95/DAY(B2)</f>
        <v>0.24770033958079218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4325.9800000000105</v>
      </c>
      <c r="H96" s="99">
        <f>G96+'15'!H96</f>
        <v>65594.399999999994</v>
      </c>
      <c r="I96" s="118"/>
      <c r="J96" s="175">
        <f>H96/DAY(B2)</f>
        <v>4099.6499999999996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0.21054091647531728</v>
      </c>
      <c r="H97" s="99">
        <f>G97+'15'!H97</f>
        <v>3.2443576948933432</v>
      </c>
      <c r="I97" s="167"/>
      <c r="J97" s="175">
        <f>H97/DAY(B2)</f>
        <v>0.20277235593083395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3126.6800000000076</v>
      </c>
      <c r="H98" s="99">
        <f>G98+'15'!H98</f>
        <v>47307.590000000004</v>
      </c>
      <c r="I98" s="168"/>
      <c r="J98" s="175">
        <f>H98/DAY(B2)</f>
        <v>2956.7243750000002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0.15217224137075183</v>
      </c>
      <c r="H99" s="99">
        <f>G99+'15'!H99</f>
        <v>2.3457891977648289</v>
      </c>
      <c r="I99" s="168"/>
      <c r="J99" s="175">
        <f>H99/DAY(B2)</f>
        <v>0.1466118248603018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2035.1399999999994</v>
      </c>
      <c r="H100" s="99">
        <f>G100+'15'!H100</f>
        <v>30926.310000000005</v>
      </c>
      <c r="I100" s="118"/>
      <c r="J100" s="175">
        <f>H100/DAY(B2)</f>
        <v>1932.8943750000003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9.9048132620949705E-2</v>
      </c>
      <c r="H101" s="99">
        <f>G101+'15'!H101</f>
        <v>1.5336428363295205</v>
      </c>
      <c r="I101" s="168"/>
      <c r="J101" s="175">
        <f>H101/DAY(B2)</f>
        <v>9.585267727059503E-2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2099.5199999999968</v>
      </c>
      <c r="H102" s="99">
        <f>G102+'15'!H102</f>
        <v>35104.949999999997</v>
      </c>
      <c r="I102" s="168"/>
      <c r="J102" s="175">
        <f>H102/DAY(B2)</f>
        <v>2194.0593749999998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0.10218143980283227</v>
      </c>
      <c r="H103" s="99">
        <f>G103+'15'!H103</f>
        <v>1.734893853230483</v>
      </c>
      <c r="I103" s="118"/>
      <c r="J103" s="175">
        <f>H103/DAY(B2)</f>
        <v>0.10843086582690518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1774.7800000000061</v>
      </c>
      <c r="H104" s="99">
        <f>G104+'15'!H104</f>
        <v>26699.390000000007</v>
      </c>
      <c r="I104" s="118"/>
      <c r="J104" s="175">
        <f>H104/DAY(B2)</f>
        <v>1668.7118750000004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8.6376684067439966E-2</v>
      </c>
      <c r="H105" s="99">
        <f>G105+'15'!H105</f>
        <v>1.3264151001737241</v>
      </c>
      <c r="I105" s="187"/>
      <c r="J105" s="188">
        <f>H105/DAY(B2)</f>
        <v>8.2900943760857757E-2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495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5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'15'!F112</f>
        <v>59134.17</v>
      </c>
      <c r="F112" s="237">
        <v>59199.09</v>
      </c>
      <c r="G112" s="112">
        <f t="shared" ref="G112:G123" si="9">F112-E112</f>
        <v>64.919999999998254</v>
      </c>
      <c r="H112" s="99">
        <f>G112+'15'!H112</f>
        <v>1145.0899999999965</v>
      </c>
      <c r="I112" s="165"/>
      <c r="J112" s="328">
        <f>H112/DAY(B2)</f>
        <v>71.568124999999782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'15'!F113</f>
        <v>53456.1</v>
      </c>
      <c r="F113" s="237">
        <v>53919.91</v>
      </c>
      <c r="G113" s="112">
        <f t="shared" si="9"/>
        <v>463.81000000000495</v>
      </c>
      <c r="H113" s="99">
        <f>G113+'15'!H113</f>
        <v>7519.0200000000041</v>
      </c>
      <c r="I113" s="165"/>
      <c r="J113" s="328">
        <f>H113/DAY(B2)</f>
        <v>469.93875000000025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488">
        <f>'15'!F114</f>
        <v>38054.699999999997</v>
      </c>
      <c r="F114" s="499">
        <v>38315.300000000003</v>
      </c>
      <c r="G114" s="112">
        <f t="shared" si="9"/>
        <v>260.60000000000582</v>
      </c>
      <c r="H114" s="99">
        <f>G114+'15'!H114</f>
        <v>5155.3000000000029</v>
      </c>
      <c r="I114" s="165"/>
      <c r="J114" s="328">
        <f>H114/DAY(B2)</f>
        <v>322.20625000000018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488">
        <f>'15'!F115</f>
        <v>9254.9</v>
      </c>
      <c r="F115" s="499">
        <v>9277.64</v>
      </c>
      <c r="G115" s="236">
        <f t="shared" si="9"/>
        <v>22.739999999999782</v>
      </c>
      <c r="H115" s="99">
        <f>G115+'15'!H115</f>
        <v>182.98999999999978</v>
      </c>
      <c r="I115" s="165"/>
      <c r="J115" s="328">
        <f>H115/DAY(B2)</f>
        <v>11.436874999999986</v>
      </c>
      <c r="N115" s="599" t="s">
        <v>366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'15'!F116</f>
        <v>3286</v>
      </c>
      <c r="F116" s="237">
        <v>4151.45</v>
      </c>
      <c r="G116" s="112">
        <f t="shared" si="9"/>
        <v>865.44999999999982</v>
      </c>
      <c r="H116" s="99">
        <f>G116+'15'!H116</f>
        <v>4151.45</v>
      </c>
      <c r="I116" s="165"/>
      <c r="J116" s="328">
        <f>H116/DAY(B2)</f>
        <v>259.46562499999999</v>
      </c>
      <c r="Q116" s="871" t="s">
        <v>311</v>
      </c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'15'!F117</f>
        <v>5554.2</v>
      </c>
      <c r="F117" s="237">
        <v>5728.08</v>
      </c>
      <c r="G117" s="112">
        <f t="shared" si="9"/>
        <v>173.88000000000011</v>
      </c>
      <c r="H117" s="99">
        <f>G117+'15'!H117</f>
        <v>2390.13</v>
      </c>
      <c r="I117" s="165"/>
      <c r="J117" s="328">
        <f>H117/DAY(B2)</f>
        <v>149.38312500000001</v>
      </c>
      <c r="Q117" s="871" t="s">
        <v>312</v>
      </c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'15'!F118</f>
        <v>258080.43</v>
      </c>
      <c r="F118" s="237">
        <v>258465.09</v>
      </c>
      <c r="G118" s="112">
        <f t="shared" si="9"/>
        <v>384.66000000000349</v>
      </c>
      <c r="H118" s="99">
        <f>G118+'15'!H118</f>
        <v>6012.7799999999988</v>
      </c>
      <c r="I118" s="165"/>
      <c r="J118" s="328">
        <f>H118/DAY(B2)</f>
        <v>375.79874999999993</v>
      </c>
      <c r="Q118" s="871" t="s">
        <v>311</v>
      </c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488">
        <f>'15'!F119</f>
        <v>264445.81</v>
      </c>
      <c r="F119" s="499">
        <v>264901.93</v>
      </c>
      <c r="G119" s="112">
        <f t="shared" si="9"/>
        <v>456.11999999999534</v>
      </c>
      <c r="H119" s="99">
        <f>G119+'15'!H119</f>
        <v>6753.3800000000047</v>
      </c>
      <c r="I119" s="165"/>
      <c r="J119" s="328">
        <f>H119/DAY(B2)</f>
        <v>422.08625000000029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'15'!F120</f>
        <v>49314.85</v>
      </c>
      <c r="F120" s="237">
        <v>49754.879999999997</v>
      </c>
      <c r="G120" s="112">
        <f t="shared" si="9"/>
        <v>440.02999999999884</v>
      </c>
      <c r="H120" s="99">
        <f>G120+'15'!H120</f>
        <v>6795.2699999999968</v>
      </c>
      <c r="I120" s="165"/>
      <c r="J120" s="328">
        <f>H120/DAY(B2)</f>
        <v>424.7043749999998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'15'!F121</f>
        <v>409114.47</v>
      </c>
      <c r="F121" s="237">
        <v>409891.23</v>
      </c>
      <c r="G121" s="112">
        <f t="shared" si="9"/>
        <v>776.76000000000931</v>
      </c>
      <c r="H121" s="99">
        <f>G121+'15'!H121</f>
        <v>11856.799999999988</v>
      </c>
      <c r="I121" s="165"/>
      <c r="J121" s="328">
        <f>H121/DAY(B2)</f>
        <v>741.04999999999927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'15'!F122</f>
        <v>129495.8</v>
      </c>
      <c r="F122" s="237">
        <v>129741.69</v>
      </c>
      <c r="G122" s="112">
        <f t="shared" si="9"/>
        <v>245.88999999999942</v>
      </c>
      <c r="H122" s="99">
        <f>G122+'15'!H122</f>
        <v>3555.5100000000093</v>
      </c>
      <c r="I122" s="165"/>
      <c r="J122" s="328">
        <f>H122/DAY(B2)</f>
        <v>222.21937500000058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'15'!F123</f>
        <v>157881.95000000001</v>
      </c>
      <c r="F123" s="237">
        <v>158145.37</v>
      </c>
      <c r="G123" s="112">
        <f t="shared" si="9"/>
        <v>263.4199999999837</v>
      </c>
      <c r="H123" s="99">
        <f>G123+'15'!H123</f>
        <v>4098.4199999999837</v>
      </c>
      <c r="I123" s="165"/>
      <c r="J123" s="328">
        <f>H123/DAY(B2)</f>
        <v>256.15124999999898</v>
      </c>
    </row>
    <row r="124" spans="1:18" ht="29.25" customHeight="1" x14ac:dyDescent="0.5">
      <c r="A124" s="875"/>
      <c r="B124" s="876"/>
      <c r="C124" s="877"/>
      <c r="D124" s="165"/>
      <c r="E124" s="165"/>
      <c r="F124" s="155"/>
      <c r="G124" s="327"/>
      <c r="H124" s="156"/>
      <c r="I124" s="165"/>
      <c r="J124" s="327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4418.2799999999988</v>
      </c>
      <c r="H125" s="156"/>
      <c r="I125" s="327">
        <f>G125-(G39+G53)</f>
        <v>1291.5999999999913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'15'!F128</f>
        <v>52512.85</v>
      </c>
      <c r="F128" s="155">
        <v>52814.63</v>
      </c>
      <c r="G128" s="112">
        <f t="shared" ref="G128:G134" si="10">F128-E128</f>
        <v>301.77999999999884</v>
      </c>
      <c r="H128" s="99">
        <f>G128+'15'!H128</f>
        <v>5068.6299999999974</v>
      </c>
      <c r="I128" s="165"/>
      <c r="J128" s="328">
        <f>H128/DAY(B2)</f>
        <v>316.78937499999984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'15'!F129</f>
        <v>30308.83</v>
      </c>
      <c r="F129" s="155">
        <v>30545.66</v>
      </c>
      <c r="G129" s="112">
        <f t="shared" si="10"/>
        <v>236.82999999999811</v>
      </c>
      <c r="H129" s="99">
        <f>G129+'15'!H129</f>
        <v>3634.7900000000009</v>
      </c>
      <c r="I129" s="165"/>
      <c r="J129" s="328">
        <f>H129/DAY(B2)</f>
        <v>227.17437500000005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'15'!F130</f>
        <v>44492.2</v>
      </c>
      <c r="F130" s="155">
        <v>45188.36</v>
      </c>
      <c r="G130" s="112">
        <f t="shared" si="10"/>
        <v>696.16000000000349</v>
      </c>
      <c r="H130" s="99">
        <f>G130+'15'!H130</f>
        <v>9494.36</v>
      </c>
      <c r="I130" s="165"/>
      <c r="J130" s="328">
        <f>H130/DAY(B2)</f>
        <v>593.39750000000004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'15'!F131</f>
        <v>16879.32</v>
      </c>
      <c r="F131" s="155">
        <v>17009.689999999999</v>
      </c>
      <c r="G131" s="112">
        <f t="shared" si="10"/>
        <v>130.36999999999898</v>
      </c>
      <c r="H131" s="99">
        <f>G131+'15'!H131</f>
        <v>1702.0099999999984</v>
      </c>
      <c r="I131" s="165"/>
      <c r="J131" s="328">
        <f>H131/DAY(B2)</f>
        <v>106.3756249999999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'15'!F132</f>
        <v>57605.11</v>
      </c>
      <c r="F132" s="155">
        <v>58038.400000000001</v>
      </c>
      <c r="G132" s="112">
        <f t="shared" si="10"/>
        <v>433.29000000000087</v>
      </c>
      <c r="H132" s="99">
        <f>G132+'15'!H132</f>
        <v>6190.0999999999985</v>
      </c>
      <c r="I132" s="165"/>
      <c r="J132" s="328">
        <f>H132/DAY(B2)</f>
        <v>386.88124999999991</v>
      </c>
    </row>
    <row r="133" spans="1:15" ht="27.75" x14ac:dyDescent="0.5">
      <c r="A133" s="871" t="s">
        <v>362</v>
      </c>
      <c r="B133" s="872"/>
      <c r="C133" s="873"/>
      <c r="D133" s="151" t="s">
        <v>183</v>
      </c>
      <c r="E133" s="95">
        <f>'15'!F133</f>
        <v>114697.32</v>
      </c>
      <c r="F133" s="155">
        <v>115370.56</v>
      </c>
      <c r="G133" s="112">
        <f t="shared" si="10"/>
        <v>673.23999999999069</v>
      </c>
      <c r="H133" s="99">
        <f>G133+'15'!H133</f>
        <v>10026.86</v>
      </c>
      <c r="I133" s="165"/>
      <c r="J133" s="328">
        <f>H133/DAY(B2)</f>
        <v>626.67875000000004</v>
      </c>
    </row>
    <row r="134" spans="1:15" s="491" customFormat="1" ht="27.75" x14ac:dyDescent="0.5">
      <c r="A134" s="945" t="s">
        <v>340</v>
      </c>
      <c r="B134" s="946"/>
      <c r="C134" s="947"/>
      <c r="D134" s="233" t="s">
        <v>183</v>
      </c>
      <c r="E134" s="488">
        <f>'15'!F134</f>
        <v>11357.6</v>
      </c>
      <c r="F134" s="157">
        <v>11529.74</v>
      </c>
      <c r="G134" s="236">
        <f t="shared" si="10"/>
        <v>172.13999999999942</v>
      </c>
      <c r="H134" s="238">
        <f>G134+'15'!H134</f>
        <v>2928.51</v>
      </c>
      <c r="I134" s="158"/>
      <c r="J134" s="490">
        <f>H134/DAY(B2)</f>
        <v>183.03187500000001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55"/>
      <c r="G135" s="112">
        <f>SUM(G128:G134)</f>
        <v>2643.8099999999904</v>
      </c>
      <c r="H135" s="99">
        <f>G135+'10'!H135</f>
        <v>26100.029999999992</v>
      </c>
      <c r="I135" s="327">
        <f>G135-(G35+G49)</f>
        <v>-428.29000000000815</v>
      </c>
      <c r="J135" s="328"/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91" customFormat="1" ht="27.75" x14ac:dyDescent="0.5">
      <c r="A138" s="950" t="s">
        <v>185</v>
      </c>
      <c r="B138" s="950"/>
      <c r="C138" s="950"/>
      <c r="D138" s="233" t="s">
        <v>183</v>
      </c>
      <c r="E138" s="488">
        <f>'15'!F138</f>
        <v>867508</v>
      </c>
      <c r="F138" s="148">
        <v>867595</v>
      </c>
      <c r="G138" s="236">
        <f t="shared" ref="G138:G152" si="11">F138-E138</f>
        <v>87</v>
      </c>
      <c r="H138" s="238">
        <f>G138+'15'!H138</f>
        <v>1422</v>
      </c>
      <c r="I138" s="489"/>
      <c r="J138" s="490">
        <f>H138/DAY(B2)</f>
        <v>88.875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'15'!F139</f>
        <v>886675</v>
      </c>
      <c r="F139" s="148">
        <v>886676</v>
      </c>
      <c r="G139" s="112">
        <f t="shared" si="11"/>
        <v>1</v>
      </c>
      <c r="H139" s="99">
        <f>G139+'15'!H139</f>
        <v>103</v>
      </c>
      <c r="I139" s="118"/>
      <c r="J139" s="328">
        <f>H139/DAY(B2)</f>
        <v>6.4375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'15'!F140</f>
        <v>88948</v>
      </c>
      <c r="F140" s="149">
        <v>88948</v>
      </c>
      <c r="G140" s="112">
        <f t="shared" si="11"/>
        <v>0</v>
      </c>
      <c r="H140" s="99">
        <f>G140+'15'!H140</f>
        <v>26</v>
      </c>
      <c r="I140" s="118"/>
      <c r="J140" s="328">
        <f>H140/DAY(B2)</f>
        <v>1.625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'15'!F141</f>
        <v>57341.279999999999</v>
      </c>
      <c r="F141" s="149">
        <v>57513.79</v>
      </c>
      <c r="G141" s="112">
        <f t="shared" si="11"/>
        <v>172.51000000000204</v>
      </c>
      <c r="H141" s="99">
        <f>G141+'15'!H141</f>
        <v>2828.2099999999991</v>
      </c>
      <c r="I141" s="118"/>
      <c r="J141" s="328">
        <f>H141/DAY(B2)</f>
        <v>176.76312499999995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'15'!F142</f>
        <v>22312</v>
      </c>
      <c r="F142" s="148">
        <v>22391.64</v>
      </c>
      <c r="G142" s="112">
        <f t="shared" si="11"/>
        <v>79.639999999999418</v>
      </c>
      <c r="H142" s="99">
        <f>G142+'15'!H142</f>
        <v>1107.5400000000009</v>
      </c>
      <c r="I142" s="140"/>
      <c r="J142" s="328">
        <f>H142/DAY(B2)</f>
        <v>69.221250000000055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'15'!F143</f>
        <v>4257.01</v>
      </c>
      <c r="F143" s="149">
        <v>4287.7700000000004</v>
      </c>
      <c r="G143" s="112">
        <f t="shared" si="11"/>
        <v>30.760000000000218</v>
      </c>
      <c r="H143" s="99">
        <f>G143+'15'!H143</f>
        <v>452.38000000000056</v>
      </c>
      <c r="I143" s="140"/>
      <c r="J143" s="328">
        <f>H143/DAY(B2)</f>
        <v>28.273750000000035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'15'!F144</f>
        <v>879645</v>
      </c>
      <c r="F144" s="149">
        <v>879855</v>
      </c>
      <c r="G144" s="112">
        <f t="shared" si="11"/>
        <v>210</v>
      </c>
      <c r="H144" s="99">
        <f>G144+'15'!H144</f>
        <v>3368</v>
      </c>
      <c r="I144" s="140"/>
      <c r="J144" s="328">
        <f>H144/DAY(B2)</f>
        <v>210.5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'15'!F145</f>
        <v>5148.25</v>
      </c>
      <c r="F145" s="148">
        <v>5163</v>
      </c>
      <c r="G145" s="112">
        <f t="shared" si="11"/>
        <v>14.75</v>
      </c>
      <c r="H145" s="99">
        <f>G145+'15'!H145</f>
        <v>204.15999999999985</v>
      </c>
      <c r="I145" s="140"/>
      <c r="J145" s="328">
        <f>H145/DAY(B2)</f>
        <v>12.759999999999991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'15'!F146</f>
        <v>743877</v>
      </c>
      <c r="F146" s="148">
        <v>744360</v>
      </c>
      <c r="G146" s="112">
        <f t="shared" si="11"/>
        <v>483</v>
      </c>
      <c r="H146" s="99">
        <f>G146+'15'!H146</f>
        <v>7027</v>
      </c>
      <c r="I146" s="140"/>
      <c r="J146" s="328">
        <f>H146/DAY(B2)</f>
        <v>439.1875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'15'!F147</f>
        <v>632738.64</v>
      </c>
      <c r="F147" s="148">
        <v>633143</v>
      </c>
      <c r="G147" s="112">
        <f t="shared" si="11"/>
        <v>404.35999999998603</v>
      </c>
      <c r="H147" s="99">
        <f>G147+'15'!H147</f>
        <v>6530.4799999999814</v>
      </c>
      <c r="I147" s="140"/>
      <c r="J147" s="328">
        <f>H147/DAY(B2)</f>
        <v>408.15499999999884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'15'!F148</f>
        <v>693990.64</v>
      </c>
      <c r="F148" s="164">
        <v>694283.52</v>
      </c>
      <c r="G148" s="112">
        <f t="shared" si="11"/>
        <v>292.88000000000466</v>
      </c>
      <c r="H148" s="99">
        <f>G148+'15'!H148</f>
        <v>4840.5600000000559</v>
      </c>
      <c r="I148" s="124"/>
      <c r="J148" s="328">
        <f>H148/DAY(B2)</f>
        <v>302.53500000000349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'15'!F149</f>
        <v>33298.400000000001</v>
      </c>
      <c r="F149" s="233">
        <v>33882</v>
      </c>
      <c r="G149" s="112">
        <f t="shared" si="11"/>
        <v>583.59999999999854</v>
      </c>
      <c r="H149" s="99">
        <f>G149+'15'!H149</f>
        <v>9203.7999999999993</v>
      </c>
      <c r="I149" s="119"/>
      <c r="J149" s="328">
        <f>H149/DAY(B2)</f>
        <v>575.23749999999995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'15'!F150</f>
        <v>14241</v>
      </c>
      <c r="F150" s="233">
        <v>14476.39</v>
      </c>
      <c r="G150" s="112">
        <f t="shared" si="11"/>
        <v>235.38999999999942</v>
      </c>
      <c r="H150" s="99">
        <f>G150+'15'!H150</f>
        <v>3625.5599999999995</v>
      </c>
      <c r="I150" s="119"/>
      <c r="J150" s="328">
        <f>H150/DAY(B2)</f>
        <v>226.59749999999997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'15'!F151</f>
        <v>89115</v>
      </c>
      <c r="F151" s="233">
        <v>89389</v>
      </c>
      <c r="G151" s="112">
        <f t="shared" si="11"/>
        <v>274</v>
      </c>
      <c r="H151" s="99">
        <f>G151+'15'!H151</f>
        <v>3909</v>
      </c>
      <c r="I151" s="119"/>
      <c r="J151" s="328">
        <f>H151/DAY(B2)</f>
        <v>244.3125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'15'!F152</f>
        <v>2562.8000000000002</v>
      </c>
      <c r="F152" s="233">
        <v>2665.67</v>
      </c>
      <c r="G152" s="112">
        <f t="shared" si="11"/>
        <v>102.86999999999989</v>
      </c>
      <c r="H152" s="99">
        <f>G152+'15'!H152</f>
        <v>1005.6700000000001</v>
      </c>
      <c r="I152" s="119"/>
      <c r="J152" s="328">
        <f>H152/DAY(B2)</f>
        <v>62.854375000000005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2971.7599999999902</v>
      </c>
      <c r="H153" s="363"/>
      <c r="I153" s="119">
        <f>G153-(G38+G52)</f>
        <v>936.6199999999908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488">
        <f>'15'!F155</f>
        <v>42811</v>
      </c>
      <c r="F155" s="530">
        <v>43520</v>
      </c>
      <c r="G155" s="236">
        <f>F155-E155</f>
        <v>709</v>
      </c>
      <c r="H155" s="99">
        <f>G155+'15'!H155</f>
        <v>10575</v>
      </c>
      <c r="I155" s="364"/>
      <c r="J155" s="328">
        <f>H155/DAY(B2)</f>
        <v>660.9375</v>
      </c>
    </row>
    <row r="156" spans="1:10" ht="27.75" x14ac:dyDescent="0.5">
      <c r="A156" s="851" t="s">
        <v>347</v>
      </c>
      <c r="B156" s="851"/>
      <c r="C156" s="851"/>
      <c r="D156" s="117" t="s">
        <v>130</v>
      </c>
      <c r="E156" s="488">
        <f>'15'!F156</f>
        <v>3525</v>
      </c>
      <c r="F156" s="157">
        <v>3584</v>
      </c>
      <c r="G156" s="236">
        <f t="shared" ref="G156:G158" si="12">F156-E156</f>
        <v>59</v>
      </c>
      <c r="H156" s="99">
        <f>G156+'15'!H156</f>
        <v>796</v>
      </c>
      <c r="I156" s="165"/>
      <c r="J156" s="328">
        <f>H156/DAY(B2)</f>
        <v>49.75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488">
        <f>'15'!F157</f>
        <v>5604.4</v>
      </c>
      <c r="F157" s="157">
        <v>5721.33</v>
      </c>
      <c r="G157" s="236">
        <f t="shared" si="12"/>
        <v>116.93000000000029</v>
      </c>
      <c r="H157" s="99">
        <f>G157+'15'!H157</f>
        <v>441.32999999999993</v>
      </c>
      <c r="I157" s="165"/>
      <c r="J157" s="328">
        <f>H157/DAY(B2)</f>
        <v>27.583124999999995</v>
      </c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488">
        <f>'15'!F158</f>
        <v>70.599999999999994</v>
      </c>
      <c r="F158" s="157">
        <v>71.599999999999994</v>
      </c>
      <c r="G158" s="236">
        <f t="shared" si="12"/>
        <v>1</v>
      </c>
      <c r="H158" s="99">
        <f>G158+'15'!H158</f>
        <v>2.5999999999999943</v>
      </c>
      <c r="I158" s="165"/>
      <c r="J158" s="328">
        <f>H158/DAY(B2)</f>
        <v>0.16249999999999964</v>
      </c>
    </row>
    <row r="159" spans="1:10" ht="27.75" x14ac:dyDescent="0.5">
      <c r="A159" s="935"/>
      <c r="B159" s="936"/>
      <c r="C159" s="937"/>
      <c r="D159" s="117"/>
      <c r="E159" s="95"/>
      <c r="F159" s="155"/>
      <c r="G159" s="362">
        <f>SUM(G155:G158)</f>
        <v>885.93000000000029</v>
      </c>
      <c r="H159" s="99">
        <f>G159+'15'!H159</f>
        <v>885.93000000000029</v>
      </c>
      <c r="I159" s="165"/>
      <c r="J159" s="328">
        <f>H159/DAY(B2)</f>
        <v>55.370625000000018</v>
      </c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472575</v>
      </c>
      <c r="F161" s="235">
        <v>472592</v>
      </c>
      <c r="G161" s="238">
        <f t="shared" ref="G161:G165" si="13">F161-E161</f>
        <v>17</v>
      </c>
      <c r="H161" s="99">
        <f>G161+'15'!H161</f>
        <v>538.44000000000233</v>
      </c>
      <c r="I161" s="236"/>
      <c r="J161" s="239">
        <f>H161/DAY(B2)</f>
        <v>33.652500000000146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89045.8</v>
      </c>
      <c r="F162" s="235">
        <v>89092.4</v>
      </c>
      <c r="G162" s="238">
        <f t="shared" si="13"/>
        <v>46.599999999991269</v>
      </c>
      <c r="H162" s="99">
        <f>G162+'15'!H162</f>
        <v>576</v>
      </c>
      <c r="I162" s="236"/>
      <c r="J162" s="239">
        <f>H162/DAY(B2)</f>
        <v>36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80178.5</v>
      </c>
      <c r="F163" s="235">
        <v>80267.899999999994</v>
      </c>
      <c r="G163" s="238">
        <f t="shared" si="13"/>
        <v>89.399999999994179</v>
      </c>
      <c r="H163" s="99">
        <f>G163+'15'!H163</f>
        <v>1047.7999999999884</v>
      </c>
      <c r="I163" s="236"/>
      <c r="J163" s="239">
        <f>H163/DAY(B2)</f>
        <v>65.487499999999272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4340.8999999999996</v>
      </c>
      <c r="F164" s="235">
        <v>4340.8999999999996</v>
      </c>
      <c r="G164" s="238">
        <f t="shared" si="13"/>
        <v>0</v>
      </c>
      <c r="H164" s="99">
        <f>G164+'15'!H164</f>
        <v>20.899999999999636</v>
      </c>
      <c r="I164" s="236"/>
      <c r="J164" s="239">
        <f>H164/DAY(B2)</f>
        <v>1.3062499999999773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29986.01</v>
      </c>
      <c r="F165" s="235">
        <v>29994.94</v>
      </c>
      <c r="G165" s="238">
        <f t="shared" si="13"/>
        <v>8.930000000000291</v>
      </c>
      <c r="H165" s="99">
        <f>G165+'15'!H165</f>
        <v>137.68999999999869</v>
      </c>
      <c r="I165" s="236"/>
      <c r="J165" s="239">
        <f>H165/DAY(B2)</f>
        <v>8.6056249999999181</v>
      </c>
    </row>
    <row r="166" spans="1:10" ht="29.25" x14ac:dyDescent="0.5">
      <c r="A166" s="860"/>
      <c r="B166" s="860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'15'!F173</f>
        <v>8165</v>
      </c>
      <c r="F173" s="155">
        <v>8165</v>
      </c>
      <c r="G173" s="155">
        <f>F173-E173</f>
        <v>0</v>
      </c>
      <c r="H173" s="99">
        <f>G173+'15'!H173</f>
        <v>39</v>
      </c>
      <c r="I173" s="155"/>
      <c r="J173" s="178">
        <f>H173/DAY(B2)</f>
        <v>2.4375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'15'!F174</f>
        <v>38822</v>
      </c>
      <c r="F174" s="157">
        <v>38836</v>
      </c>
      <c r="G174" s="155">
        <f t="shared" ref="G174:G175" si="14">F174-E174</f>
        <v>14</v>
      </c>
      <c r="H174" s="99">
        <f>G174+'15'!H174</f>
        <v>221</v>
      </c>
      <c r="I174" s="155"/>
      <c r="J174" s="178">
        <f>H174/DAY(B2)</f>
        <v>13.8125</v>
      </c>
    </row>
    <row r="175" spans="1:10" ht="27.75" x14ac:dyDescent="0.5">
      <c r="A175" s="864" t="s">
        <v>76</v>
      </c>
      <c r="B175" s="904"/>
      <c r="C175" s="865"/>
      <c r="D175" s="228" t="s">
        <v>142</v>
      </c>
      <c r="E175" s="95">
        <f>'15'!F175</f>
        <v>21985</v>
      </c>
      <c r="F175" s="155">
        <v>21999</v>
      </c>
      <c r="G175" s="155">
        <f t="shared" si="14"/>
        <v>14</v>
      </c>
      <c r="H175" s="99">
        <f>G175+'15'!H175</f>
        <v>186</v>
      </c>
      <c r="I175" s="155"/>
      <c r="J175" s="178">
        <f>H175/DAY(B2)</f>
        <v>11.625</v>
      </c>
    </row>
    <row r="176" spans="1:10" ht="27.75" x14ac:dyDescent="0.5">
      <c r="A176" s="855" t="s">
        <v>196</v>
      </c>
      <c r="B176" s="856"/>
      <c r="C176" s="333"/>
      <c r="D176" s="228" t="s">
        <v>142</v>
      </c>
      <c r="E176" s="95">
        <f>'15'!F176</f>
        <v>0</v>
      </c>
      <c r="F176" s="155"/>
      <c r="G176" s="155">
        <f>SUM(G173:G175)</f>
        <v>28</v>
      </c>
      <c r="H176" s="99">
        <f>G176+'15'!H176</f>
        <v>446</v>
      </c>
      <c r="I176" s="155"/>
      <c r="J176" s="178">
        <f>H176/DAY(B2)</f>
        <v>27.875</v>
      </c>
    </row>
    <row r="177" spans="1:11" ht="27.75" x14ac:dyDescent="0.5">
      <c r="A177" s="864" t="s">
        <v>77</v>
      </c>
      <c r="B177" s="865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864" t="s">
        <v>210</v>
      </c>
      <c r="B178" s="865"/>
      <c r="C178" s="333"/>
      <c r="D178" s="228" t="s">
        <v>142</v>
      </c>
      <c r="E178" s="95">
        <f>'15'!F178</f>
        <v>82143</v>
      </c>
      <c r="F178" s="155">
        <v>82201</v>
      </c>
      <c r="G178" s="155">
        <f>F178-E178</f>
        <v>58</v>
      </c>
      <c r="H178" s="99">
        <f>G178+'15'!H178</f>
        <v>886</v>
      </c>
      <c r="I178" s="155"/>
      <c r="J178" s="178">
        <f>H178/DAY(B2)</f>
        <v>55.375</v>
      </c>
    </row>
    <row r="179" spans="1:11" ht="27.75" x14ac:dyDescent="0.5">
      <c r="A179" s="864" t="s">
        <v>211</v>
      </c>
      <c r="B179" s="865"/>
      <c r="C179" s="333"/>
      <c r="D179" s="228" t="s">
        <v>142</v>
      </c>
      <c r="E179" s="95">
        <f>'15'!F179</f>
        <v>35243</v>
      </c>
      <c r="F179" s="155">
        <v>35276</v>
      </c>
      <c r="G179" s="155">
        <f t="shared" ref="G179:G180" si="15">F179-E179</f>
        <v>33</v>
      </c>
      <c r="H179" s="99">
        <f>G179+'15'!H179</f>
        <v>473</v>
      </c>
      <c r="I179" s="155"/>
      <c r="J179" s="178">
        <f>H179/DAY(B2)</f>
        <v>29.5625</v>
      </c>
    </row>
    <row r="180" spans="1:11" ht="27.75" x14ac:dyDescent="0.5">
      <c r="A180" s="864" t="s">
        <v>212</v>
      </c>
      <c r="B180" s="865"/>
      <c r="C180" s="333"/>
      <c r="D180" s="228" t="s">
        <v>142</v>
      </c>
      <c r="E180" s="95">
        <f>'15'!F180</f>
        <v>5800</v>
      </c>
      <c r="F180" s="155">
        <v>5801</v>
      </c>
      <c r="G180" s="155">
        <f t="shared" si="15"/>
        <v>1</v>
      </c>
      <c r="H180" s="99">
        <f>G180+'15'!H180</f>
        <v>99</v>
      </c>
      <c r="I180" s="155"/>
      <c r="J180" s="178">
        <f>H180/DAY(B2)</f>
        <v>6.1875</v>
      </c>
    </row>
    <row r="181" spans="1:11" ht="27.75" x14ac:dyDescent="0.5">
      <c r="A181" s="866" t="s">
        <v>108</v>
      </c>
      <c r="B181" s="867"/>
      <c r="C181" s="333"/>
      <c r="D181" s="228" t="s">
        <v>142</v>
      </c>
      <c r="E181" s="95">
        <f>'15'!F181</f>
        <v>0</v>
      </c>
      <c r="F181" s="155"/>
      <c r="G181" s="155">
        <f>SUM(G178:G180)</f>
        <v>92</v>
      </c>
      <c r="H181" s="99">
        <f>G181+'15'!H181</f>
        <v>1458</v>
      </c>
      <c r="I181" s="155"/>
      <c r="J181" s="178">
        <f>H181/DAY(B2)</f>
        <v>91.125</v>
      </c>
    </row>
    <row r="182" spans="1:11" ht="27.75" x14ac:dyDescent="0.5">
      <c r="A182" s="864" t="s">
        <v>213</v>
      </c>
      <c r="B182" s="865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864" t="s">
        <v>214</v>
      </c>
      <c r="B183" s="865"/>
      <c r="C183" s="334"/>
      <c r="D183" s="228" t="s">
        <v>142</v>
      </c>
      <c r="E183" s="95">
        <f>'15'!F183</f>
        <v>15594</v>
      </c>
      <c r="F183" s="157">
        <v>15605</v>
      </c>
      <c r="G183" s="157">
        <f>F183-E183</f>
        <v>11</v>
      </c>
      <c r="H183" s="99">
        <f>G183+'15'!H183</f>
        <v>260</v>
      </c>
      <c r="I183" s="155"/>
      <c r="J183" s="178">
        <f>H183/DAY(B2)</f>
        <v>16.25</v>
      </c>
    </row>
    <row r="184" spans="1:11" ht="27.75" x14ac:dyDescent="0.5">
      <c r="A184" s="864" t="s">
        <v>215</v>
      </c>
      <c r="B184" s="865"/>
      <c r="C184" s="334"/>
      <c r="D184" s="228" t="s">
        <v>142</v>
      </c>
      <c r="E184" s="95">
        <f>'15'!F184</f>
        <v>10696</v>
      </c>
      <c r="F184" s="157">
        <v>10703</v>
      </c>
      <c r="G184" s="157">
        <f t="shared" ref="G184:G185" si="16">F184-E184</f>
        <v>7</v>
      </c>
      <c r="H184" s="99">
        <f>G184+'15'!H184</f>
        <v>185</v>
      </c>
      <c r="I184" s="155"/>
      <c r="J184" s="178">
        <f>H184/DAY(B2)</f>
        <v>11.5625</v>
      </c>
    </row>
    <row r="185" spans="1:11" ht="32.25" customHeight="1" x14ac:dyDescent="0.5">
      <c r="A185" s="864" t="s">
        <v>216</v>
      </c>
      <c r="B185" s="865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855" t="s">
        <v>196</v>
      </c>
      <c r="B186" s="856"/>
      <c r="C186" s="334"/>
      <c r="D186" s="228" t="s">
        <v>142</v>
      </c>
      <c r="E186" s="95">
        <f>'15'!F186</f>
        <v>0</v>
      </c>
      <c r="F186" s="157"/>
      <c r="G186" s="157">
        <f>SUM(G183:G185)</f>
        <v>18</v>
      </c>
      <c r="H186" s="99">
        <f>G186+'15'!H186</f>
        <v>445</v>
      </c>
      <c r="I186" s="157"/>
      <c r="J186" s="178">
        <f>H186/DAY(B2)</f>
        <v>27.8125</v>
      </c>
    </row>
    <row r="187" spans="1:11" ht="27.75" x14ac:dyDescent="0.5">
      <c r="A187" s="857" t="s">
        <v>217</v>
      </c>
      <c r="B187" s="858"/>
      <c r="C187" s="333"/>
      <c r="D187" s="230" t="s">
        <v>142</v>
      </c>
      <c r="E187" s="95">
        <f>'15'!F187</f>
        <v>0</v>
      </c>
      <c r="F187" s="159"/>
      <c r="G187" s="460">
        <f>G62+G19</f>
        <v>204</v>
      </c>
      <c r="H187" s="99">
        <f>G187+'15'!H187</f>
        <v>3019</v>
      </c>
      <c r="I187" s="158"/>
      <c r="J187" s="179">
        <f>H187/DAY(B2)</f>
        <v>188.6875</v>
      </c>
    </row>
    <row r="188" spans="1:11" ht="27.75" x14ac:dyDescent="0.5">
      <c r="A188" s="857" t="s">
        <v>218</v>
      </c>
      <c r="B188" s="858"/>
      <c r="C188" s="333"/>
      <c r="D188" s="230" t="s">
        <v>142</v>
      </c>
      <c r="E188" s="95">
        <f>'15'!F188</f>
        <v>0</v>
      </c>
      <c r="F188" s="159"/>
      <c r="G188" s="460">
        <f>G65+G66+G67+G69+G70</f>
        <v>198</v>
      </c>
      <c r="H188" s="99">
        <f>G188+'15'!H188</f>
        <v>460</v>
      </c>
      <c r="I188" s="158"/>
      <c r="J188" s="179">
        <f>H188/DAY(B2)</f>
        <v>28.75</v>
      </c>
    </row>
    <row r="189" spans="1:11" ht="23.25" customHeight="1" x14ac:dyDescent="0.5">
      <c r="A189" s="857" t="s">
        <v>219</v>
      </c>
      <c r="B189" s="858"/>
      <c r="C189" s="333"/>
      <c r="D189" s="230" t="s">
        <v>142</v>
      </c>
      <c r="E189" s="95">
        <f>'15'!F189</f>
        <v>0</v>
      </c>
      <c r="F189" s="157"/>
      <c r="G189" s="457">
        <f>G181</f>
        <v>92</v>
      </c>
      <c r="H189" s="99">
        <f>G189+'15'!H189</f>
        <v>1458</v>
      </c>
      <c r="I189" s="158"/>
      <c r="J189" s="179">
        <f>H189/DAY(B2)</f>
        <v>91.125</v>
      </c>
    </row>
    <row r="190" spans="1:11" ht="23.25" customHeight="1" x14ac:dyDescent="0.5">
      <c r="A190" s="948"/>
      <c r="B190" s="949"/>
      <c r="C190" s="553"/>
      <c r="D190" s="478"/>
      <c r="E190" s="478" t="s">
        <v>207</v>
      </c>
      <c r="F190" s="497"/>
      <c r="G190" s="478"/>
      <c r="H190" s="479"/>
      <c r="I190" s="478"/>
      <c r="J190" s="480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 x14ac:dyDescent="0.5">
      <c r="F192" s="496">
        <v>0</v>
      </c>
      <c r="G192" s="160" t="s">
        <v>369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zoomScale="55" zoomScaleSheetLayoutView="55" zoomScalePageLayoutView="60" workbookViewId="0">
      <selection activeCell="A58" sqref="A58:XFD58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.75" customHeight="1" x14ac:dyDescent="0.5">
      <c r="A2" s="191" t="s">
        <v>350</v>
      </c>
      <c r="B2" s="262">
        <v>44609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973868.58</v>
      </c>
      <c r="F7" s="95">
        <v>993845</v>
      </c>
      <c r="G7" s="112">
        <f>F7-E7</f>
        <v>19976.420000000042</v>
      </c>
      <c r="H7" s="99">
        <f>G7+'16'!H7</f>
        <v>342664.77</v>
      </c>
      <c r="I7" s="113">
        <f>'1'!I7</f>
        <v>12000</v>
      </c>
      <c r="J7" s="175">
        <f>H7/DAY(B2)</f>
        <v>20156.751176470589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33412.5</v>
      </c>
      <c r="F8" s="95">
        <v>53452.37</v>
      </c>
      <c r="G8" s="115">
        <f>F8-E8</f>
        <v>20039.870000000003</v>
      </c>
      <c r="H8" s="99">
        <f>G8+'16'!H8</f>
        <v>344930.81999999995</v>
      </c>
      <c r="I8" s="116"/>
      <c r="J8" s="175">
        <f>H8/DAY(B2)</f>
        <v>20290.048235294114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-63.44999999996071</v>
      </c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531216.71</v>
      </c>
      <c r="F9" s="598">
        <v>547983.79</v>
      </c>
      <c r="G9" s="112">
        <f>F9-E9</f>
        <v>16767.080000000075</v>
      </c>
      <c r="H9" s="99">
        <f>G9+'16'!H9</f>
        <v>265729.94000000006</v>
      </c>
      <c r="I9" s="124">
        <f>I7-J7</f>
        <v>-8156.7511764705887</v>
      </c>
      <c r="J9" s="175">
        <f>H9/DAY(B2)</f>
        <v>15631.172941176474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169919.93</v>
      </c>
      <c r="F10" s="353">
        <v>172539.43</v>
      </c>
      <c r="G10" s="112">
        <f t="shared" ref="G10:G12" si="0">F10-E10</f>
        <v>2619.5</v>
      </c>
      <c r="H10" s="99">
        <f>G10+'16'!H10</f>
        <v>67280.459999999992</v>
      </c>
      <c r="I10" s="282"/>
      <c r="J10" s="175">
        <f>H10/DAY(B2)</f>
        <v>3957.6741176470582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37170</v>
      </c>
      <c r="F11" s="95">
        <v>37170</v>
      </c>
      <c r="G11" s="112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19386.580000000075</v>
      </c>
      <c r="H13" s="99">
        <f>G13+'16'!H13</f>
        <v>316255.97000000003</v>
      </c>
      <c r="I13" s="120">
        <f>G7-G13</f>
        <v>589.8399999999674</v>
      </c>
      <c r="J13" s="175">
        <f>H13/DAY(B2)</f>
        <v>18603.292352941178</v>
      </c>
      <c r="K13" s="79"/>
      <c r="L13" s="66"/>
      <c r="N13" s="87"/>
      <c r="O13" s="71"/>
    </row>
    <row r="14" spans="1:15" ht="27.75" customHeight="1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'16'!F15</f>
        <v>1923793.1950000001</v>
      </c>
      <c r="F15" s="123">
        <v>1924816.575</v>
      </c>
      <c r="G15" s="112">
        <f>(F15-E15)</f>
        <v>1023.3799999998882</v>
      </c>
      <c r="H15" s="99">
        <f>G15+'16'!H15</f>
        <v>18179.807999999961</v>
      </c>
      <c r="I15" s="113">
        <f>'1'!I15</f>
        <v>800</v>
      </c>
      <c r="J15" s="175">
        <f>H15/DAY(B2)</f>
        <v>1069.400470588233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-269.40047058823302</v>
      </c>
      <c r="J16" s="176"/>
      <c r="K16" s="79"/>
      <c r="L16" s="66"/>
      <c r="N16" s="87"/>
      <c r="O16" s="71"/>
    </row>
    <row r="17" spans="1:15" ht="27.75" customHeight="1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92" t="s">
        <v>141</v>
      </c>
      <c r="B18" s="893"/>
      <c r="C18" s="894"/>
      <c r="D18" s="151" t="s">
        <v>142</v>
      </c>
      <c r="E18" s="95">
        <f>'16'!F18</f>
        <v>24</v>
      </c>
      <c r="F18" s="122">
        <v>25</v>
      </c>
      <c r="G18" s="119">
        <f>F18*10</f>
        <v>250</v>
      </c>
      <c r="H18" s="99">
        <f>G18+'16'!H18</f>
        <v>3780</v>
      </c>
      <c r="I18" s="113">
        <f>'1'!I18</f>
        <v>65</v>
      </c>
      <c r="J18" s="175">
        <f>H18/DAY(B2)</f>
        <v>222.35294117647058</v>
      </c>
      <c r="K18" s="79"/>
      <c r="L18" s="66"/>
      <c r="N18" s="87"/>
      <c r="O18" s="71"/>
    </row>
    <row r="19" spans="1:15" ht="27.75" customHeight="1" x14ac:dyDescent="0.5">
      <c r="A19" s="892" t="s">
        <v>69</v>
      </c>
      <c r="B19" s="893"/>
      <c r="C19" s="894"/>
      <c r="D19" s="151" t="s">
        <v>142</v>
      </c>
      <c r="E19" s="95">
        <f>'16'!F19</f>
        <v>154750</v>
      </c>
      <c r="F19" s="122">
        <v>154806</v>
      </c>
      <c r="G19" s="112">
        <f t="shared" ref="G19" si="1">F19-E19</f>
        <v>56</v>
      </c>
      <c r="H19" s="99">
        <f>G19+'16'!H19</f>
        <v>915</v>
      </c>
      <c r="I19" s="335"/>
      <c r="J19" s="175">
        <f>H19/DAY(B2)</f>
        <v>53.823529411764703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306</v>
      </c>
      <c r="H20" s="99">
        <f>G20+'16'!H20</f>
        <v>4695</v>
      </c>
      <c r="I20" s="336">
        <f>I18-J20</f>
        <v>-211.1764705882353</v>
      </c>
      <c r="J20" s="175">
        <f>H20/DAY(B2)</f>
        <v>276.1764705882353</v>
      </c>
      <c r="K20" s="79"/>
      <c r="L20" s="66"/>
      <c r="N20" s="87"/>
      <c r="O20" s="71"/>
    </row>
    <row r="21" spans="1:15" ht="27.75" customHeight="1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20039.870000000003</v>
      </c>
      <c r="F27" s="136">
        <v>9</v>
      </c>
      <c r="G27" s="137">
        <f>E27*F27</f>
        <v>180358.83000000002</v>
      </c>
      <c r="H27" s="99">
        <f>G27+'16'!H27</f>
        <v>3104377.38</v>
      </c>
      <c r="I27" s="138"/>
      <c r="J27" s="175">
        <f>H27/DAY(B2)</f>
        <v>182610.43411764706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1023.3799999998882</v>
      </c>
      <c r="F28" s="136">
        <v>52</v>
      </c>
      <c r="G28" s="137">
        <f>E28*F28</f>
        <v>53215.759999994189</v>
      </c>
      <c r="H28" s="99">
        <f>G28+'16'!H28</f>
        <v>1008278.015999998</v>
      </c>
      <c r="I28" s="140"/>
      <c r="J28" s="175">
        <f>H28/DAY(B2)</f>
        <v>59310.471529411647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G30+'16'!H30</f>
        <v>134445</v>
      </c>
      <c r="I30" s="140"/>
      <c r="J30" s="175">
        <f>H30/DAY(B2)</f>
        <v>7908.5294117647063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G31+'16'!H31</f>
        <v>302400</v>
      </c>
      <c r="I31" s="140"/>
      <c r="J31" s="175">
        <f>H31/DAY(B2)</f>
        <v>17788.235294117647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261750.5899999942</v>
      </c>
      <c r="H32" s="99">
        <f>G32+'16'!H32</f>
        <v>4549500.3959999979</v>
      </c>
      <c r="I32" s="144"/>
      <c r="J32" s="175">
        <f>H32/DAY(B2)</f>
        <v>267617.67035294103</v>
      </c>
      <c r="K32" s="63"/>
      <c r="L32" s="89"/>
      <c r="N32" s="87"/>
      <c r="O32" s="71"/>
    </row>
    <row r="33" spans="1:15" ht="27.7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56048.7</v>
      </c>
      <c r="F35" s="145">
        <v>57519.68</v>
      </c>
      <c r="G35" s="112">
        <f t="shared" ref="G35:G46" si="3">F35-E35</f>
        <v>1470.9800000000032</v>
      </c>
      <c r="H35" s="99">
        <f>G35+'16'!H35</f>
        <v>25514.7</v>
      </c>
      <c r="I35" s="95"/>
      <c r="J35" s="175">
        <f>H35/DAY(B2)</f>
        <v>1500.8647058823531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58343.39</v>
      </c>
      <c r="F36" s="145">
        <v>59248.61</v>
      </c>
      <c r="G36" s="112">
        <f t="shared" si="3"/>
        <v>905.22000000000116</v>
      </c>
      <c r="H36" s="99">
        <f>G36+'16'!H36</f>
        <v>15789.870000000003</v>
      </c>
      <c r="I36" s="95"/>
      <c r="J36" s="175">
        <f>H36/DAY(B2)</f>
        <v>928.81588235294134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62124.480000000003</v>
      </c>
      <c r="F37" s="145">
        <v>63882.18</v>
      </c>
      <c r="G37" s="112">
        <f t="shared" si="3"/>
        <v>1757.6999999999971</v>
      </c>
      <c r="H37" s="99">
        <f>G37+'16'!H37</f>
        <v>28457.090000000004</v>
      </c>
      <c r="I37" s="95"/>
      <c r="J37" s="175">
        <f>H37/DAY(B2)</f>
        <v>1673.9464705882356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69302.740000000005</v>
      </c>
      <c r="F38" s="108">
        <v>71344</v>
      </c>
      <c r="G38" s="112">
        <f t="shared" si="3"/>
        <v>2041.2599999999948</v>
      </c>
      <c r="H38" s="99">
        <f>G38+'16'!H38</f>
        <v>32967.57</v>
      </c>
      <c r="I38" s="95"/>
      <c r="J38" s="175">
        <f>H38/DAY(B2)</f>
        <v>1939.2688235294117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106480.88</v>
      </c>
      <c r="F39" s="145">
        <v>109495.02</v>
      </c>
      <c r="G39" s="112">
        <f t="shared" si="3"/>
        <v>3014.1399999999994</v>
      </c>
      <c r="H39" s="99">
        <f>G39+'16'!H39</f>
        <v>50321.73</v>
      </c>
      <c r="I39" s="95"/>
      <c r="J39" s="175">
        <f>H39/DAY(B2)</f>
        <v>2960.1017647058825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27923.39</v>
      </c>
      <c r="F40" s="549">
        <v>28147.47</v>
      </c>
      <c r="G40" s="112">
        <f t="shared" si="3"/>
        <v>224.08000000000175</v>
      </c>
      <c r="H40" s="99">
        <f>G40+'16'!H40</f>
        <v>6030.4799999999987</v>
      </c>
      <c r="I40" s="95"/>
      <c r="J40" s="175">
        <f>H40/DAY(B2)</f>
        <v>354.73411764705872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63</v>
      </c>
      <c r="F41" s="145">
        <v>63</v>
      </c>
      <c r="G41" s="112">
        <f t="shared" si="3"/>
        <v>0</v>
      </c>
      <c r="H41" s="99">
        <f>G41+'16'!H41</f>
        <v>0.27000000000000313</v>
      </c>
      <c r="I41" s="95"/>
      <c r="J41" s="175">
        <f>H41/DAY(B2)</f>
        <v>1.5882352941176653E-2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149398</v>
      </c>
      <c r="F42" s="145">
        <v>153553.38</v>
      </c>
      <c r="G42" s="112">
        <f t="shared" si="3"/>
        <v>4155.3800000000047</v>
      </c>
      <c r="H42" s="99">
        <f>G42+'16'!H42</f>
        <v>53423.64</v>
      </c>
      <c r="I42" s="95"/>
      <c r="J42" s="175">
        <f>H42/DAY(B2)</f>
        <v>3142.5670588235294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149061.35</v>
      </c>
      <c r="F43" s="145">
        <v>151114.07999999999</v>
      </c>
      <c r="G43" s="112">
        <f t="shared" si="3"/>
        <v>2052.7299999999814</v>
      </c>
      <c r="H43" s="99">
        <f>G43+'16'!H43</f>
        <v>36262.479999999981</v>
      </c>
      <c r="I43" s="95"/>
      <c r="J43" s="175">
        <f>H43/DAY(B2)</f>
        <v>2133.0870588235284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15621.489999999983</v>
      </c>
      <c r="H47" s="99">
        <f>G47+'16'!H47</f>
        <v>248767.83000000002</v>
      </c>
      <c r="I47" s="95"/>
      <c r="J47" s="175">
        <f>H47/DAY(B2)</f>
        <v>14633.401764705883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46591.43</v>
      </c>
      <c r="F49" s="145">
        <v>48028</v>
      </c>
      <c r="G49" s="112">
        <f t="shared" ref="G49:G58" si="4">F49-E49</f>
        <v>1436.5699999999997</v>
      </c>
      <c r="H49" s="99">
        <f>G49+'16'!H49</f>
        <v>23031.81</v>
      </c>
      <c r="I49" s="95"/>
      <c r="J49" s="175">
        <f>H49/DAY(B2)</f>
        <v>1354.8123529411766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76606.929999999993</v>
      </c>
      <c r="F50" s="145">
        <v>77706.53</v>
      </c>
      <c r="G50" s="112">
        <f t="shared" si="4"/>
        <v>1099.6000000000058</v>
      </c>
      <c r="H50" s="99">
        <f>G50+'16'!H50</f>
        <v>21319.9</v>
      </c>
      <c r="I50" s="95"/>
      <c r="J50" s="175">
        <f>H50/DAY(B2)</f>
        <v>1254.1117647058825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12850.75</v>
      </c>
      <c r="F54" s="145">
        <v>13381.39</v>
      </c>
      <c r="G54" s="112">
        <f t="shared" si="4"/>
        <v>530.63999999999942</v>
      </c>
      <c r="H54" s="99">
        <f>G54+'16'!H54</f>
        <v>8233.9699999999993</v>
      </c>
      <c r="I54" s="95"/>
      <c r="J54" s="175">
        <f>H54/DAY(B2)</f>
        <v>484.3511764705882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90578.89</v>
      </c>
      <c r="F55" s="145">
        <v>90578.89</v>
      </c>
      <c r="G55" s="112">
        <f t="shared" si="4"/>
        <v>0</v>
      </c>
      <c r="H55" s="99">
        <f>G55+'16'!H55</f>
        <v>16212.779999999999</v>
      </c>
      <c r="I55" s="95"/>
      <c r="J55" s="175">
        <f>H55/DAY(B2)</f>
        <v>953.69294117647053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8723.6299999999992</v>
      </c>
      <c r="F56" s="145">
        <v>8723.6299999999992</v>
      </c>
      <c r="G56" s="112">
        <f t="shared" si="4"/>
        <v>0</v>
      </c>
      <c r="H56" s="99">
        <f>G56+'16'!H56</f>
        <v>113.08999999999833</v>
      </c>
      <c r="I56" s="95"/>
      <c r="J56" s="175">
        <f>H56/DAY(B2)</f>
        <v>6.652352941176372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8204.93</v>
      </c>
      <c r="F58" s="549">
        <v>8428</v>
      </c>
      <c r="G58" s="112">
        <f t="shared" si="4"/>
        <v>223.06999999999971</v>
      </c>
      <c r="H58" s="99">
        <f>G58+'16'!H58</f>
        <v>3631.79</v>
      </c>
      <c r="I58" s="95"/>
      <c r="J58" s="175">
        <f>H58/DAY(B2)</f>
        <v>213.63470588235293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3289.8800000000047</v>
      </c>
      <c r="H59" s="99">
        <f>G59+'16'!H59</f>
        <v>72543.34</v>
      </c>
      <c r="I59" s="95">
        <f>G7-G60</f>
        <v>1065.0500000000538</v>
      </c>
      <c r="J59" s="175">
        <f>H59/DAY(B2)</f>
        <v>4267.2552941176473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18911.369999999988</v>
      </c>
      <c r="H60" s="99">
        <f>G60+'16'!H60</f>
        <v>321311.17000000004</v>
      </c>
      <c r="I60" s="95">
        <f>G13-G60</f>
        <v>475.21000000008644</v>
      </c>
      <c r="J60" s="175">
        <f>H60/DAY(B2)</f>
        <v>18900.657058823534</v>
      </c>
      <c r="K60" s="79"/>
      <c r="L60" s="66"/>
      <c r="N60" s="87"/>
      <c r="O60" s="71"/>
    </row>
    <row r="61" spans="1:15" s="68" customFormat="1" ht="27.75" customHeight="1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92" t="s">
        <v>198</v>
      </c>
      <c r="B62" s="893"/>
      <c r="C62" s="894"/>
      <c r="D62" s="151" t="s">
        <v>142</v>
      </c>
      <c r="E62" s="95">
        <f>'16'!F62</f>
        <v>271676</v>
      </c>
      <c r="F62" s="122">
        <v>271865</v>
      </c>
      <c r="G62" s="112">
        <f t="shared" ref="G62:G63" si="5">F62-E62</f>
        <v>189</v>
      </c>
      <c r="H62" s="99">
        <f>G62+'16'!H62</f>
        <v>2349</v>
      </c>
      <c r="I62" s="118"/>
      <c r="J62" s="175">
        <f>H62/DAY(B2)</f>
        <v>138.1764705882353</v>
      </c>
      <c r="K62" s="80"/>
      <c r="L62" s="66"/>
      <c r="N62" s="87"/>
      <c r="O62" s="71"/>
    </row>
    <row r="63" spans="1:15" ht="27.75" customHeight="1" x14ac:dyDescent="0.5">
      <c r="A63" s="892" t="s">
        <v>199</v>
      </c>
      <c r="B63" s="893"/>
      <c r="C63" s="894"/>
      <c r="D63" s="151" t="s">
        <v>142</v>
      </c>
      <c r="E63" s="95">
        <f>'16'!F63</f>
        <v>217846</v>
      </c>
      <c r="F63" s="122">
        <v>217964</v>
      </c>
      <c r="G63" s="112">
        <f t="shared" si="5"/>
        <v>118</v>
      </c>
      <c r="H63" s="99">
        <f>G63+'16'!H63</f>
        <v>2167</v>
      </c>
      <c r="I63" s="118"/>
      <c r="J63" s="175">
        <f>H63/DAY(B2)</f>
        <v>127.47058823529412</v>
      </c>
      <c r="K63" s="69"/>
      <c r="L63" s="66"/>
      <c r="N63" s="87"/>
      <c r="O63" s="71"/>
    </row>
    <row r="64" spans="1:15" ht="27.75" customHeight="1" x14ac:dyDescent="0.5">
      <c r="A64" s="901" t="s">
        <v>200</v>
      </c>
      <c r="B64" s="902"/>
      <c r="C64" s="903"/>
      <c r="D64" s="151"/>
      <c r="E64" s="95">
        <f>'16'!F64</f>
        <v>0</v>
      </c>
      <c r="F64" s="122"/>
      <c r="G64" s="112">
        <f>G62+G63</f>
        <v>307</v>
      </c>
      <c r="H64" s="99">
        <f>G64+'16'!H64</f>
        <v>4516</v>
      </c>
      <c r="I64" s="118"/>
      <c r="J64" s="175">
        <f>H64/DAY(B2)</f>
        <v>265.64705882352939</v>
      </c>
      <c r="K64" s="69"/>
      <c r="L64" s="66"/>
      <c r="N64" s="87"/>
      <c r="O64" s="71"/>
    </row>
    <row r="65" spans="1:15" ht="27.75" customHeight="1" x14ac:dyDescent="0.5">
      <c r="A65" s="892" t="s">
        <v>201</v>
      </c>
      <c r="B65" s="893"/>
      <c r="C65" s="894"/>
      <c r="D65" s="151" t="s">
        <v>142</v>
      </c>
      <c r="E65" s="95">
        <f>'16'!F65</f>
        <v>436551</v>
      </c>
      <c r="F65" s="122">
        <v>436667</v>
      </c>
      <c r="G65" s="112">
        <f t="shared" ref="G65:G70" si="6">F65-E65</f>
        <v>116</v>
      </c>
      <c r="H65" s="99">
        <f>G65+'16'!H65</f>
        <v>1744</v>
      </c>
      <c r="I65" s="118"/>
      <c r="J65" s="175">
        <f>H65/DAY(B2)</f>
        <v>102.58823529411765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'16'!F66</f>
        <v>108149</v>
      </c>
      <c r="F66" s="122">
        <v>108168</v>
      </c>
      <c r="G66" s="112">
        <f t="shared" si="6"/>
        <v>19</v>
      </c>
      <c r="H66" s="99">
        <f>G66+'16'!H66</f>
        <v>425</v>
      </c>
      <c r="I66" s="118"/>
      <c r="J66" s="175">
        <f>H66/DAY(B2)</f>
        <v>25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'16'!F67</f>
        <v>105364</v>
      </c>
      <c r="F67" s="122">
        <v>105450</v>
      </c>
      <c r="G67" s="112">
        <f t="shared" si="6"/>
        <v>86</v>
      </c>
      <c r="H67" s="99">
        <f>G67+'16'!H67</f>
        <v>802</v>
      </c>
      <c r="I67" s="118"/>
      <c r="J67" s="175">
        <f>H67/DAY(B2)</f>
        <v>47.176470588235297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'16'!F68</f>
        <v>158319</v>
      </c>
      <c r="F68" s="122">
        <v>158374</v>
      </c>
      <c r="G68" s="112">
        <f t="shared" si="6"/>
        <v>55</v>
      </c>
      <c r="H68" s="99">
        <f>G68+'16'!H68</f>
        <v>677</v>
      </c>
      <c r="I68" s="118"/>
      <c r="J68" s="175">
        <f>H68/DAY(B2)</f>
        <v>39.823529411764703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'16'!F69</f>
        <v>10759</v>
      </c>
      <c r="F69" s="122">
        <v>10772</v>
      </c>
      <c r="G69" s="112">
        <f t="shared" si="6"/>
        <v>13</v>
      </c>
      <c r="H69" s="99">
        <f>G69+'16'!H69</f>
        <v>231</v>
      </c>
      <c r="I69" s="118"/>
      <c r="J69" s="175">
        <f>H69/DAY(B2)</f>
        <v>13.588235294117647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'16'!F70</f>
        <v>8312</v>
      </c>
      <c r="F70" s="122">
        <v>8326</v>
      </c>
      <c r="G70" s="112">
        <f t="shared" si="6"/>
        <v>14</v>
      </c>
      <c r="H70" s="99">
        <f>G70+'16'!H70</f>
        <v>206</v>
      </c>
      <c r="I70" s="118"/>
      <c r="J70" s="175">
        <f>H70/DAY(B2)</f>
        <v>12.117647058823529</v>
      </c>
      <c r="K70" s="69"/>
      <c r="L70" s="66"/>
      <c r="N70" s="87"/>
      <c r="O70" s="71"/>
    </row>
    <row r="71" spans="1:15" ht="27.75" customHeight="1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303</v>
      </c>
      <c r="H71" s="99">
        <f>G71+'16'!H71</f>
        <v>4085</v>
      </c>
      <c r="I71" s="154"/>
      <c r="J71" s="175">
        <f>H71/DAY(B2)</f>
        <v>240.29411764705881</v>
      </c>
      <c r="K71" s="69"/>
      <c r="L71" s="66"/>
      <c r="N71" s="87"/>
      <c r="O71" s="71"/>
    </row>
    <row r="72" spans="1:15" s="88" customFormat="1" ht="27.75" customHeight="1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92" t="s">
        <v>220</v>
      </c>
      <c r="B74" s="893"/>
      <c r="C74" s="894"/>
      <c r="D74" s="151" t="s">
        <v>139</v>
      </c>
      <c r="E74" s="95">
        <f>'16'!F74</f>
        <v>906171.17</v>
      </c>
      <c r="F74" s="117">
        <v>906469.79</v>
      </c>
      <c r="G74" s="112">
        <f t="shared" ref="G74:G78" si="7">F74-E74</f>
        <v>298.61999999999534</v>
      </c>
      <c r="H74" s="99">
        <f>G74+'16'!H74</f>
        <v>5163.6410000000615</v>
      </c>
      <c r="I74" s="154"/>
      <c r="J74" s="175">
        <f>H74/DAY(B2)</f>
        <v>303.74358823529775</v>
      </c>
      <c r="K74" s="69"/>
      <c r="L74" s="66"/>
      <c r="N74" s="87"/>
      <c r="O74" s="71"/>
    </row>
    <row r="75" spans="1:15" ht="27.75" customHeight="1" x14ac:dyDescent="0.5">
      <c r="A75" s="892" t="s">
        <v>221</v>
      </c>
      <c r="B75" s="893"/>
      <c r="C75" s="894"/>
      <c r="D75" s="151" t="s">
        <v>139</v>
      </c>
      <c r="E75" s="95">
        <f>'16'!F75</f>
        <v>73586.8</v>
      </c>
      <c r="F75" s="123">
        <v>73586.8</v>
      </c>
      <c r="G75" s="112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89" t="s">
        <v>222</v>
      </c>
      <c r="B76" s="890"/>
      <c r="C76" s="891"/>
      <c r="D76" s="151" t="s">
        <v>139</v>
      </c>
      <c r="E76" s="95">
        <f>'16'!F76</f>
        <v>171798.83</v>
      </c>
      <c r="F76" s="123">
        <v>171894.23</v>
      </c>
      <c r="G76" s="112">
        <f t="shared" si="7"/>
        <v>95.400000000023283</v>
      </c>
      <c r="H76" s="99">
        <f>G76+'16'!H76</f>
        <v>1919.2300000000105</v>
      </c>
      <c r="I76" s="154"/>
      <c r="J76" s="175">
        <f>H76/DAY(B2)</f>
        <v>112.8958823529418</v>
      </c>
      <c r="K76" s="69"/>
      <c r="L76" s="66"/>
      <c r="N76" s="87"/>
      <c r="O76" s="71"/>
    </row>
    <row r="77" spans="1:15" ht="27.75" customHeight="1" x14ac:dyDescent="0.5">
      <c r="A77" s="889" t="s">
        <v>223</v>
      </c>
      <c r="B77" s="890"/>
      <c r="C77" s="891"/>
      <c r="D77" s="151" t="s">
        <v>139</v>
      </c>
      <c r="E77" s="95">
        <f>'16'!F77</f>
        <v>42069.599999999999</v>
      </c>
      <c r="F77" s="123">
        <v>42106.400000000001</v>
      </c>
      <c r="G77" s="112">
        <f t="shared" si="7"/>
        <v>36.80000000000291</v>
      </c>
      <c r="H77" s="99">
        <f>G77+'16'!H77</f>
        <v>804.20000000000437</v>
      </c>
      <c r="I77" s="154"/>
      <c r="J77" s="175">
        <f>H77/DAY(B2)</f>
        <v>47.305882352941431</v>
      </c>
      <c r="K77" s="69"/>
      <c r="L77" s="66"/>
      <c r="N77" s="87"/>
      <c r="O77" s="71"/>
    </row>
    <row r="78" spans="1:15" ht="27.75" customHeight="1" x14ac:dyDescent="0.5">
      <c r="A78" s="889" t="s">
        <v>224</v>
      </c>
      <c r="B78" s="890"/>
      <c r="C78" s="891"/>
      <c r="D78" s="151" t="s">
        <v>139</v>
      </c>
      <c r="E78" s="95">
        <f>'16'!F78</f>
        <v>9538</v>
      </c>
      <c r="F78" s="123">
        <v>9539.9</v>
      </c>
      <c r="G78" s="112">
        <f t="shared" si="7"/>
        <v>1.8999999999996362</v>
      </c>
      <c r="H78" s="99">
        <f>G78+'16'!H78</f>
        <v>26.899999999999636</v>
      </c>
      <c r="I78" s="118"/>
      <c r="J78" s="175">
        <f>H78/DAY(B2)</f>
        <v>1.5823529411764492</v>
      </c>
      <c r="K78" s="69"/>
      <c r="L78" s="66"/>
      <c r="N78" s="87"/>
      <c r="O78" s="71"/>
    </row>
    <row r="79" spans="1:15" s="57" customFormat="1" ht="27.75" customHeight="1" x14ac:dyDescent="0.5">
      <c r="A79" s="889" t="s">
        <v>225</v>
      </c>
      <c r="B79" s="890"/>
      <c r="C79" s="891"/>
      <c r="D79" s="151"/>
      <c r="E79" s="95">
        <f>'16'!F79</f>
        <v>0</v>
      </c>
      <c r="F79" s="123"/>
      <c r="G79" s="112">
        <f>G15-SUM(G74:G78)</f>
        <v>590.65999999986707</v>
      </c>
      <c r="H79" s="99">
        <f>G79+'16'!H79</f>
        <v>10265.836999999885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1023.3799999998882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</v>
      </c>
      <c r="G84" s="112">
        <f t="shared" si="8"/>
        <v>0</v>
      </c>
      <c r="H84" s="99">
        <f>G84+'16'!H84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'16'!F85</f>
        <v>2527.54</v>
      </c>
      <c r="F85" s="164">
        <v>2551.4</v>
      </c>
      <c r="G85" s="112">
        <f t="shared" si="8"/>
        <v>23.860000000000127</v>
      </c>
      <c r="H85" s="99">
        <f>G85+'16'!H85</f>
        <v>290.98</v>
      </c>
      <c r="I85" s="118">
        <f>G82+G83+G84+G85</f>
        <v>23.860000000000127</v>
      </c>
      <c r="J85" s="175">
        <f>H85/DAY(B2)</f>
        <v>17.116470588235295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'16'!F86</f>
        <v>43564</v>
      </c>
      <c r="F86" s="164">
        <v>43564</v>
      </c>
      <c r="G86" s="112">
        <f t="shared" si="8"/>
        <v>0</v>
      </c>
      <c r="H86" s="99">
        <f>G86+'16'!H86</f>
        <v>122</v>
      </c>
      <c r="I86" s="118"/>
      <c r="J86" s="175">
        <f>H86/DAY(B2)</f>
        <v>7.1764705882352944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'16'!F87</f>
        <v>34598.550000000003</v>
      </c>
      <c r="F87" s="164">
        <v>34598.550000000003</v>
      </c>
      <c r="G87" s="112">
        <f t="shared" si="8"/>
        <v>0</v>
      </c>
      <c r="H87" s="99">
        <f>G87+'16'!H87</f>
        <v>5.0000000002910383E-2</v>
      </c>
      <c r="I87" s="118"/>
      <c r="J87" s="175">
        <f>H87/DAY(B2)</f>
        <v>2.9411764707594342E-3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'16'!F88</f>
        <v>24067.759999999998</v>
      </c>
      <c r="F88" s="164">
        <v>24067.78</v>
      </c>
      <c r="G88" s="112">
        <f t="shared" si="8"/>
        <v>2.0000000000436557E-2</v>
      </c>
      <c r="H88" s="99">
        <f>G88+'16'!H88</f>
        <v>4.3499999999985448</v>
      </c>
      <c r="I88" s="118">
        <f>G86+G87+G88</f>
        <v>2.0000000000436557E-2</v>
      </c>
      <c r="J88" s="175">
        <f>H88/DAY(B2)</f>
        <v>0.25588235294109085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'16'!F89</f>
        <v>26056.47</v>
      </c>
      <c r="F89" s="164">
        <v>26068.16</v>
      </c>
      <c r="G89" s="112">
        <f t="shared" si="8"/>
        <v>11.68999999999869</v>
      </c>
      <c r="H89" s="99">
        <f>G89+'16'!H89</f>
        <v>177.04000000000087</v>
      </c>
      <c r="I89" s="118"/>
      <c r="J89" s="175">
        <f>H89/DAY(B2)</f>
        <v>10.414117647058875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'16'!F90</f>
        <v>71232.87</v>
      </c>
      <c r="F90" s="164">
        <v>71236.649999999994</v>
      </c>
      <c r="G90" s="112">
        <f t="shared" si="8"/>
        <v>3.7799999999988358</v>
      </c>
      <c r="H90" s="99">
        <f>G90+'16'!H90</f>
        <v>73.329999999987194</v>
      </c>
      <c r="I90" s="118">
        <f>G89+G90</f>
        <v>15.469999999997526</v>
      </c>
      <c r="J90" s="175">
        <f>H90/DAY(B2)</f>
        <v>4.3135294117639527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'16'!F91</f>
        <v>3431.42</v>
      </c>
      <c r="F91" s="122">
        <v>3442.75</v>
      </c>
      <c r="G91" s="112">
        <f t="shared" si="8"/>
        <v>11.329999999999927</v>
      </c>
      <c r="H91" s="99">
        <f>G91+'16'!H91</f>
        <v>191.65999999999985</v>
      </c>
      <c r="I91" s="165"/>
      <c r="J91" s="175">
        <f>H91/DAY(B2)</f>
        <v>11.274117647058816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'16'!F92</f>
        <v>5741</v>
      </c>
      <c r="F92" s="122">
        <v>5741</v>
      </c>
      <c r="G92" s="112">
        <f t="shared" si="8"/>
        <v>0</v>
      </c>
      <c r="H92" s="99">
        <f>G92+'16'!H92</f>
        <v>-6.9999999999708962E-2</v>
      </c>
      <c r="I92" s="165"/>
      <c r="J92" s="175">
        <f>H92/DAY(B2)</f>
        <v>-4.1176470588064097E-3</v>
      </c>
      <c r="O92" s="71"/>
    </row>
    <row r="93" spans="1:15" ht="27.75" customHeight="1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4960.2799999999843</v>
      </c>
      <c r="H94" s="99">
        <f>G94+'16'!H94</f>
        <v>84808.989999999976</v>
      </c>
      <c r="I94" s="118"/>
      <c r="J94" s="175">
        <f>H94/DAY(B2)</f>
        <v>4988.764117647057</v>
      </c>
      <c r="K94" s="69"/>
      <c r="L94" s="66"/>
      <c r="O94" s="71"/>
    </row>
    <row r="95" spans="1:15" ht="27.75" customHeight="1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0.24830675366256685</v>
      </c>
      <c r="H95" s="99">
        <f>G95+'16'!H95</f>
        <v>4.2115121869552414</v>
      </c>
      <c r="I95" s="167"/>
      <c r="J95" s="175">
        <f>H95/DAY(B2)</f>
        <v>0.24773601099736714</v>
      </c>
      <c r="K95" s="69"/>
      <c r="L95" s="66"/>
      <c r="O95" s="71"/>
    </row>
    <row r="96" spans="1:15" ht="27.75" customHeight="1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4155.3800000000047</v>
      </c>
      <c r="H96" s="99">
        <f>G96+'16'!H96</f>
        <v>69749.78</v>
      </c>
      <c r="I96" s="118"/>
      <c r="J96" s="175">
        <f>H96/DAY(B2)</f>
        <v>4102.9282352941173</v>
      </c>
      <c r="K96" s="69"/>
      <c r="L96" s="66"/>
      <c r="O96" s="71"/>
    </row>
    <row r="97" spans="1:15" ht="27.75" customHeight="1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0.20801424879933422</v>
      </c>
      <c r="H97" s="99">
        <f>G97+'16'!H97</f>
        <v>3.4523719436926776</v>
      </c>
      <c r="I97" s="167"/>
      <c r="J97" s="175">
        <f>H97/DAY(B2)</f>
        <v>0.20308070257015751</v>
      </c>
      <c r="K97" s="69"/>
      <c r="L97" s="66"/>
      <c r="O97" s="71"/>
    </row>
    <row r="98" spans="1:15" ht="27.75" customHeight="1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3014.1399999999994</v>
      </c>
      <c r="H98" s="99">
        <f>G98+'16'!H98</f>
        <v>50321.73</v>
      </c>
      <c r="I98" s="168"/>
      <c r="J98" s="175">
        <f>H98/DAY(B2)</f>
        <v>2960.1017647058825</v>
      </c>
      <c r="K98" s="69"/>
      <c r="L98" s="66"/>
      <c r="O98" s="71"/>
    </row>
    <row r="99" spans="1:15" ht="27.75" customHeight="1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0.15088489328918761</v>
      </c>
      <c r="H99" s="99">
        <f>G99+'16'!H99</f>
        <v>2.4966740910540164</v>
      </c>
      <c r="I99" s="168"/>
      <c r="J99" s="175">
        <f>H99/DAY(B2)</f>
        <v>0.14686318182670685</v>
      </c>
      <c r="O99" s="71"/>
    </row>
    <row r="100" spans="1:15" ht="27.75" customHeight="1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2041.2599999999948</v>
      </c>
      <c r="H100" s="99">
        <f>G100+'16'!H100</f>
        <v>32967.57</v>
      </c>
      <c r="I100" s="118"/>
      <c r="J100" s="175">
        <f>H100/DAY(B2)</f>
        <v>1939.2688235294117</v>
      </c>
      <c r="K100" s="70"/>
      <c r="O100" s="71"/>
    </row>
    <row r="101" spans="1:15" ht="27.75" customHeight="1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0.10218347431621834</v>
      </c>
      <c r="H101" s="99">
        <f>G101+'16'!H101</f>
        <v>1.6358263106457389</v>
      </c>
      <c r="I101" s="168"/>
      <c r="J101" s="175">
        <f>H101/DAY(B2)</f>
        <v>9.6225077096808165E-2</v>
      </c>
      <c r="O101" s="71"/>
    </row>
    <row r="102" spans="1:15" ht="27.75" customHeight="1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2004.820000000007</v>
      </c>
      <c r="H102" s="99">
        <f>G102+'16'!H102</f>
        <v>37109.770000000004</v>
      </c>
      <c r="I102" s="168"/>
      <c r="J102" s="175">
        <f>H102/DAY(B2)</f>
        <v>2182.9276470588238</v>
      </c>
      <c r="O102" s="71"/>
    </row>
    <row r="103" spans="1:15" ht="27.75" customHeight="1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0.10035932364257473</v>
      </c>
      <c r="H103" s="99">
        <f>G103+'16'!H103</f>
        <v>1.8352531768730578</v>
      </c>
      <c r="I103" s="118"/>
      <c r="J103" s="175">
        <f>H103/DAY(B2)</f>
        <v>0.10795606922782693</v>
      </c>
      <c r="O103" s="71"/>
    </row>
    <row r="104" spans="1:15" ht="27.75" customHeight="1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1757.6999999999971</v>
      </c>
      <c r="H104" s="99">
        <f>G104+'16'!H104</f>
        <v>28457.090000000004</v>
      </c>
      <c r="I104" s="118"/>
      <c r="J104" s="175">
        <f>H104/DAY(B2)</f>
        <v>1673.9464705882356</v>
      </c>
      <c r="O104" s="71"/>
    </row>
    <row r="105" spans="1:15" ht="27.75" customHeight="1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8.7988738722954027E-2</v>
      </c>
      <c r="H105" s="99">
        <f>G105+'16'!H105</f>
        <v>1.4144038388966782</v>
      </c>
      <c r="I105" s="187"/>
      <c r="J105" s="188">
        <f>H105/DAY(B2)</f>
        <v>8.3200225817451665E-2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7.75" customHeight="1" x14ac:dyDescent="0.5">
      <c r="A109" s="909"/>
      <c r="B109" s="909"/>
    </row>
    <row r="110" spans="1:15" ht="27.75" customHeight="1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customHeight="1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71" t="s">
        <v>252</v>
      </c>
      <c r="B112" s="872"/>
      <c r="C112" s="873"/>
      <c r="D112" s="146" t="s">
        <v>183</v>
      </c>
      <c r="E112" s="95">
        <f>'16'!F112</f>
        <v>59199.09</v>
      </c>
      <c r="F112" s="237">
        <v>59263.51</v>
      </c>
      <c r="G112" s="112">
        <f t="shared" ref="G112:G123" si="9">F112-E112</f>
        <v>64.42000000000553</v>
      </c>
      <c r="H112" s="99">
        <f>G112+'16'!H112</f>
        <v>1209.510000000002</v>
      </c>
      <c r="I112" s="165"/>
      <c r="J112" s="328">
        <f>H112/DAY(B2)</f>
        <v>71.147647058823651</v>
      </c>
    </row>
    <row r="113" spans="1:18" ht="27.75" customHeight="1" x14ac:dyDescent="0.5">
      <c r="A113" s="871" t="s">
        <v>253</v>
      </c>
      <c r="B113" s="872"/>
      <c r="C113" s="873"/>
      <c r="D113" s="146" t="s">
        <v>183</v>
      </c>
      <c r="E113" s="95">
        <f>'16'!F113</f>
        <v>53919.91</v>
      </c>
      <c r="F113" s="237">
        <v>54370.49</v>
      </c>
      <c r="G113" s="112">
        <f t="shared" si="9"/>
        <v>450.57999999999447</v>
      </c>
      <c r="H113" s="99">
        <f>G113+'16'!H113</f>
        <v>7969.5999999999985</v>
      </c>
      <c r="I113" s="165"/>
      <c r="J113" s="328">
        <f>H113/DAY(B2)</f>
        <v>468.7999999999999</v>
      </c>
    </row>
    <row r="114" spans="1:18" ht="27.75" customHeight="1" x14ac:dyDescent="0.5">
      <c r="A114" s="871" t="s">
        <v>254</v>
      </c>
      <c r="B114" s="872"/>
      <c r="C114" s="873"/>
      <c r="D114" s="146" t="s">
        <v>183</v>
      </c>
      <c r="E114" s="95">
        <f>'16'!F114</f>
        <v>38315.300000000003</v>
      </c>
      <c r="F114" s="499">
        <v>38573.800000000003</v>
      </c>
      <c r="G114" s="112">
        <f t="shared" si="9"/>
        <v>258.5</v>
      </c>
      <c r="H114" s="99">
        <f>G114+'16'!H114</f>
        <v>5413.8000000000029</v>
      </c>
      <c r="I114" s="165"/>
      <c r="J114" s="328">
        <f>H114/DAY(B2)</f>
        <v>318.45882352941192</v>
      </c>
    </row>
    <row r="115" spans="1:18" ht="27.75" customHeight="1" x14ac:dyDescent="0.5">
      <c r="A115" s="871" t="s">
        <v>255</v>
      </c>
      <c r="B115" s="872"/>
      <c r="C115" s="873"/>
      <c r="D115" s="146" t="s">
        <v>183</v>
      </c>
      <c r="E115" s="95">
        <f>'16'!F115</f>
        <v>9277.64</v>
      </c>
      <c r="F115" s="237">
        <v>9292.64</v>
      </c>
      <c r="G115" s="112">
        <f t="shared" si="9"/>
        <v>15</v>
      </c>
      <c r="H115" s="99">
        <f>G115+'16'!H115</f>
        <v>197.98999999999978</v>
      </c>
      <c r="I115" s="165"/>
      <c r="J115" s="328">
        <f>H115/DAY(B2)</f>
        <v>11.646470588235282</v>
      </c>
    </row>
    <row r="116" spans="1:18" ht="27.75" customHeight="1" x14ac:dyDescent="0.5">
      <c r="A116" s="878" t="s">
        <v>96</v>
      </c>
      <c r="B116" s="879"/>
      <c r="C116" s="880"/>
      <c r="D116" s="146" t="s">
        <v>183</v>
      </c>
      <c r="E116" s="95">
        <f>'16'!F116</f>
        <v>4151.45</v>
      </c>
      <c r="F116" s="237">
        <v>4594.79</v>
      </c>
      <c r="G116" s="112">
        <f t="shared" si="9"/>
        <v>443.34000000000015</v>
      </c>
      <c r="H116" s="99">
        <f>G116+'16'!H116</f>
        <v>4594.79</v>
      </c>
      <c r="I116" s="165"/>
      <c r="J116" s="328">
        <f>H116/DAY(B2)</f>
        <v>270.28176470588232</v>
      </c>
      <c r="Q116" s="871"/>
      <c r="R116" s="873"/>
    </row>
    <row r="117" spans="1:18" ht="27.75" customHeight="1" x14ac:dyDescent="0.5">
      <c r="A117" s="878" t="s">
        <v>184</v>
      </c>
      <c r="B117" s="879"/>
      <c r="C117" s="880"/>
      <c r="D117" s="146" t="s">
        <v>183</v>
      </c>
      <c r="E117" s="95">
        <f>'16'!F117</f>
        <v>5728.08</v>
      </c>
      <c r="F117" s="237">
        <v>5894.71</v>
      </c>
      <c r="G117" s="112">
        <f t="shared" si="9"/>
        <v>166.63000000000011</v>
      </c>
      <c r="H117" s="99">
        <f>G117+'16'!H117</f>
        <v>2556.7600000000002</v>
      </c>
      <c r="I117" s="165"/>
      <c r="J117" s="328">
        <f>H117/DAY(B2)</f>
        <v>150.39764705882354</v>
      </c>
      <c r="Q117" s="871"/>
      <c r="R117" s="873"/>
    </row>
    <row r="118" spans="1:18" ht="27.75" customHeight="1" x14ac:dyDescent="0.5">
      <c r="A118" s="870" t="s">
        <v>97</v>
      </c>
      <c r="B118" s="870"/>
      <c r="C118" s="870"/>
      <c r="D118" s="151" t="s">
        <v>183</v>
      </c>
      <c r="E118" s="95">
        <f>'16'!F118</f>
        <v>258465.09</v>
      </c>
      <c r="F118" s="237">
        <v>258853.88</v>
      </c>
      <c r="G118" s="112">
        <f t="shared" si="9"/>
        <v>388.79000000000815</v>
      </c>
      <c r="H118" s="99">
        <f>G118+'16'!H118</f>
        <v>6401.570000000007</v>
      </c>
      <c r="I118" s="165"/>
      <c r="J118" s="328">
        <f>H118/DAY(B2)</f>
        <v>376.56294117647099</v>
      </c>
      <c r="Q118" s="871"/>
      <c r="R118" s="873"/>
    </row>
    <row r="119" spans="1:18" ht="27.75" customHeight="1" x14ac:dyDescent="0.5">
      <c r="A119" s="870" t="s">
        <v>98</v>
      </c>
      <c r="B119" s="870"/>
      <c r="C119" s="870"/>
      <c r="D119" s="151" t="s">
        <v>183</v>
      </c>
      <c r="E119" s="95">
        <f>'16'!F119</f>
        <v>264901.93</v>
      </c>
      <c r="F119" s="237">
        <v>265321.09000000003</v>
      </c>
      <c r="G119" s="112">
        <f t="shared" si="9"/>
        <v>419.1600000000326</v>
      </c>
      <c r="H119" s="99">
        <f>G119+'16'!H119</f>
        <v>7172.5400000000373</v>
      </c>
      <c r="I119" s="165"/>
      <c r="J119" s="328">
        <f>H119/DAY(B2)</f>
        <v>421.914117647061</v>
      </c>
    </row>
    <row r="120" spans="1:18" ht="27.75" customHeight="1" x14ac:dyDescent="0.5">
      <c r="A120" s="870" t="s">
        <v>99</v>
      </c>
      <c r="B120" s="870"/>
      <c r="C120" s="870"/>
      <c r="D120" s="151" t="s">
        <v>183</v>
      </c>
      <c r="E120" s="95">
        <f>'16'!F120</f>
        <v>49754.879999999997</v>
      </c>
      <c r="F120" s="237">
        <v>50176.47</v>
      </c>
      <c r="G120" s="112">
        <f t="shared" si="9"/>
        <v>421.59000000000378</v>
      </c>
      <c r="H120" s="99">
        <f>G120+'16'!H120</f>
        <v>7216.8600000000006</v>
      </c>
      <c r="I120" s="165"/>
      <c r="J120" s="328">
        <f>H120/DAY(B2)</f>
        <v>424.52117647058827</v>
      </c>
    </row>
    <row r="121" spans="1:18" ht="27.75" customHeight="1" x14ac:dyDescent="0.5">
      <c r="A121" s="870" t="s">
        <v>100</v>
      </c>
      <c r="B121" s="870"/>
      <c r="C121" s="870"/>
      <c r="D121" s="151" t="s">
        <v>183</v>
      </c>
      <c r="E121" s="95">
        <f>'16'!F121</f>
        <v>409891.23</v>
      </c>
      <c r="F121" s="237">
        <v>410599.75</v>
      </c>
      <c r="G121" s="112">
        <f t="shared" si="9"/>
        <v>708.52000000001863</v>
      </c>
      <c r="H121" s="99">
        <f>G121+'16'!H121</f>
        <v>12565.320000000007</v>
      </c>
      <c r="I121" s="165"/>
      <c r="J121" s="328">
        <f>H121/DAY(B2)</f>
        <v>739.13647058823574</v>
      </c>
    </row>
    <row r="122" spans="1:18" ht="27.75" customHeight="1" x14ac:dyDescent="0.5">
      <c r="A122" s="870" t="s">
        <v>101</v>
      </c>
      <c r="B122" s="870"/>
      <c r="C122" s="870"/>
      <c r="D122" s="151" t="s">
        <v>183</v>
      </c>
      <c r="E122" s="95">
        <f>'16'!F122</f>
        <v>129741.69</v>
      </c>
      <c r="F122" s="237">
        <v>129958.97</v>
      </c>
      <c r="G122" s="112">
        <f t="shared" si="9"/>
        <v>217.27999999999884</v>
      </c>
      <c r="H122" s="99">
        <f>G122+'16'!H122</f>
        <v>3772.7900000000081</v>
      </c>
      <c r="I122" s="165"/>
      <c r="J122" s="328">
        <f>H122/DAY(B2)</f>
        <v>221.92882352941226</v>
      </c>
    </row>
    <row r="123" spans="1:18" ht="27.75" customHeight="1" x14ac:dyDescent="0.5">
      <c r="A123" s="870" t="s">
        <v>102</v>
      </c>
      <c r="B123" s="870"/>
      <c r="C123" s="870"/>
      <c r="D123" s="151" t="s">
        <v>183</v>
      </c>
      <c r="E123" s="95">
        <f>'16'!F123</f>
        <v>158145.37</v>
      </c>
      <c r="F123" s="237">
        <v>158400.78</v>
      </c>
      <c r="G123" s="112">
        <f t="shared" si="9"/>
        <v>255.41000000000349</v>
      </c>
      <c r="H123" s="99">
        <f>G123+'16'!H123</f>
        <v>4353.8299999999872</v>
      </c>
      <c r="I123" s="165"/>
      <c r="J123" s="328">
        <f>H123/DAY(B2)</f>
        <v>256.10764705882275</v>
      </c>
    </row>
    <row r="124" spans="1:18" ht="27.75" customHeight="1" x14ac:dyDescent="0.5">
      <c r="A124" s="875"/>
      <c r="B124" s="876"/>
      <c r="C124" s="877"/>
      <c r="D124" s="165"/>
      <c r="E124" s="95">
        <f>'16'!F124</f>
        <v>0</v>
      </c>
      <c r="F124" s="165"/>
      <c r="G124" s="327"/>
      <c r="H124" s="99">
        <f>G124+'16'!H124</f>
        <v>0</v>
      </c>
      <c r="I124" s="165"/>
      <c r="J124" s="327"/>
    </row>
    <row r="125" spans="1:18" ht="27.75" customHeight="1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3809.2200000000657</v>
      </c>
      <c r="H125" s="156"/>
      <c r="I125" s="327">
        <f>G125-(G39+G53)</f>
        <v>795.08000000006632</v>
      </c>
      <c r="J125" s="327"/>
    </row>
    <row r="126" spans="1:18" ht="27.75" customHeight="1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customHeight="1" x14ac:dyDescent="0.5">
      <c r="A127" s="860"/>
      <c r="B127" s="860"/>
      <c r="C127" s="245"/>
      <c r="D127" s="307"/>
      <c r="E127" s="308"/>
      <c r="F127" s="308"/>
      <c r="G127" s="309"/>
      <c r="H127" s="99">
        <f>G127+'16'!H127</f>
        <v>0</v>
      </c>
      <c r="I127" s="165"/>
      <c r="J127" s="328">
        <f>H127/DAY(B2)</f>
        <v>0</v>
      </c>
    </row>
    <row r="128" spans="1:18" ht="27.75" customHeight="1" x14ac:dyDescent="0.5">
      <c r="A128" s="871" t="s">
        <v>318</v>
      </c>
      <c r="B128" s="872"/>
      <c r="C128" s="873"/>
      <c r="D128" s="151" t="s">
        <v>183</v>
      </c>
      <c r="E128" s="95">
        <f>'16'!F128</f>
        <v>52814.63</v>
      </c>
      <c r="F128" s="165">
        <v>53102.75</v>
      </c>
      <c r="G128" s="112">
        <f t="shared" ref="G128:G133" si="10">F128-E128</f>
        <v>288.12000000000262</v>
      </c>
      <c r="H128" s="99">
        <f>G128+'16'!H128</f>
        <v>5356.75</v>
      </c>
      <c r="I128" s="165"/>
      <c r="J128" s="328">
        <f>H128/DAY(B2)</f>
        <v>315.10294117647061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'16'!F129</f>
        <v>30545.66</v>
      </c>
      <c r="F129" s="165">
        <v>30772.79</v>
      </c>
      <c r="G129" s="112">
        <f t="shared" si="10"/>
        <v>227.13000000000102</v>
      </c>
      <c r="H129" s="99">
        <f>G129+'16'!H129</f>
        <v>3861.9200000000019</v>
      </c>
      <c r="I129" s="165"/>
      <c r="J129" s="328">
        <f>H129/DAY(B2)</f>
        <v>227.17176470588245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'16'!F130</f>
        <v>45188.36</v>
      </c>
      <c r="F130" s="165">
        <v>45852.29</v>
      </c>
      <c r="G130" s="112">
        <f t="shared" si="10"/>
        <v>663.93000000000029</v>
      </c>
      <c r="H130" s="99">
        <f>G130+'16'!H130</f>
        <v>10158.290000000001</v>
      </c>
      <c r="I130" s="165"/>
      <c r="J130" s="328">
        <f>H130/DAY(B2)</f>
        <v>597.54647058823537</v>
      </c>
      <c r="N130" s="240"/>
      <c r="O130" s="241"/>
    </row>
    <row r="131" spans="1:15" ht="27.75" customHeight="1" x14ac:dyDescent="0.5">
      <c r="A131" s="871" t="s">
        <v>321</v>
      </c>
      <c r="B131" s="872"/>
      <c r="C131" s="873"/>
      <c r="D131" s="151" t="s">
        <v>183</v>
      </c>
      <c r="E131" s="95">
        <f>'16'!F131</f>
        <v>17009.689999999999</v>
      </c>
      <c r="F131" s="165">
        <v>17139.900000000001</v>
      </c>
      <c r="G131" s="112">
        <f t="shared" si="10"/>
        <v>130.21000000000276</v>
      </c>
      <c r="H131" s="99">
        <f>G131+'16'!H131</f>
        <v>1832.2200000000012</v>
      </c>
      <c r="I131" s="165"/>
      <c r="J131" s="328">
        <f>H131/DAY(B2)</f>
        <v>107.7776470588236</v>
      </c>
      <c r="N131" s="240"/>
      <c r="O131" s="241"/>
    </row>
    <row r="132" spans="1:15" ht="27.75" customHeight="1" x14ac:dyDescent="0.5">
      <c r="A132" s="871" t="s">
        <v>322</v>
      </c>
      <c r="B132" s="872"/>
      <c r="C132" s="873"/>
      <c r="D132" s="151" t="s">
        <v>183</v>
      </c>
      <c r="E132" s="95">
        <f>'16'!F132</f>
        <v>58038.400000000001</v>
      </c>
      <c r="F132" s="165">
        <v>58456.7</v>
      </c>
      <c r="G132" s="112">
        <f t="shared" si="10"/>
        <v>418.29999999999563</v>
      </c>
      <c r="H132" s="99">
        <f>G132+'16'!H132</f>
        <v>6608.3999999999942</v>
      </c>
      <c r="I132" s="165"/>
      <c r="J132" s="328">
        <f>H132/DAY(B2)</f>
        <v>388.72941176470556</v>
      </c>
    </row>
    <row r="133" spans="1:15" ht="27.75" customHeight="1" x14ac:dyDescent="0.5">
      <c r="A133" s="871" t="s">
        <v>362</v>
      </c>
      <c r="B133" s="872"/>
      <c r="C133" s="873"/>
      <c r="D133" s="151" t="s">
        <v>183</v>
      </c>
      <c r="E133" s="95">
        <f>'16'!F133</f>
        <v>115370.56</v>
      </c>
      <c r="F133" s="165">
        <v>116028.12</v>
      </c>
      <c r="G133" s="112">
        <f t="shared" si="10"/>
        <v>657.55999999999767</v>
      </c>
      <c r="H133" s="99">
        <f>G133+'16'!H133</f>
        <v>10684.419999999998</v>
      </c>
      <c r="I133" s="165"/>
      <c r="J133" s="328">
        <f>H133/DAY(B2)</f>
        <v>628.49529411764695</v>
      </c>
    </row>
    <row r="134" spans="1:15" ht="27.75" customHeight="1" x14ac:dyDescent="0.5">
      <c r="A134" s="871" t="s">
        <v>340</v>
      </c>
      <c r="B134" s="872"/>
      <c r="C134" s="873"/>
      <c r="D134" s="151" t="s">
        <v>183</v>
      </c>
      <c r="E134" s="95">
        <f>'16'!F134</f>
        <v>11529.74</v>
      </c>
      <c r="F134" s="165">
        <v>11601.75</v>
      </c>
      <c r="G134" s="112">
        <f>F134-E134</f>
        <v>72.010000000000218</v>
      </c>
      <c r="H134" s="99">
        <f>G134+'16'!H134</f>
        <v>3000.5200000000004</v>
      </c>
      <c r="I134" s="165"/>
      <c r="J134" s="328">
        <f>H134/DAY(B2)</f>
        <v>176.50117647058826</v>
      </c>
    </row>
    <row r="135" spans="1:15" ht="27.75" customHeight="1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2457.2600000000002</v>
      </c>
      <c r="H135" s="99">
        <f>G135+'10'!H135</f>
        <v>25913.480000000003</v>
      </c>
      <c r="I135" s="327">
        <f>G135-(G35+G49)</f>
        <v>-450.29000000000269</v>
      </c>
      <c r="J135" s="328"/>
    </row>
    <row r="136" spans="1:15" ht="27.75" customHeight="1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950" t="s">
        <v>185</v>
      </c>
      <c r="B138" s="950"/>
      <c r="C138" s="950"/>
      <c r="D138" s="233" t="s">
        <v>183</v>
      </c>
      <c r="E138" s="488">
        <f>'16'!F138</f>
        <v>867595</v>
      </c>
      <c r="F138" s="148">
        <v>867711</v>
      </c>
      <c r="G138" s="236">
        <f t="shared" ref="G138:G152" si="11">F138-E138</f>
        <v>116</v>
      </c>
      <c r="H138" s="238">
        <f>G138+'16'!H138</f>
        <v>1538</v>
      </c>
      <c r="I138" s="489"/>
      <c r="J138" s="490">
        <f>H138/DAY(B2)</f>
        <v>90.470588235294116</v>
      </c>
    </row>
    <row r="139" spans="1:15" ht="27.75" customHeight="1" x14ac:dyDescent="0.5">
      <c r="A139" s="950" t="s">
        <v>186</v>
      </c>
      <c r="B139" s="950"/>
      <c r="C139" s="950"/>
      <c r="D139" s="233" t="s">
        <v>183</v>
      </c>
      <c r="E139" s="488">
        <f>'16'!F139</f>
        <v>886676</v>
      </c>
      <c r="F139" s="148">
        <v>886678</v>
      </c>
      <c r="G139" s="236">
        <f t="shared" si="11"/>
        <v>2</v>
      </c>
      <c r="H139" s="238">
        <f>G139+'16'!H139</f>
        <v>105</v>
      </c>
      <c r="I139" s="489"/>
      <c r="J139" s="490">
        <f>H139/DAY(B2)</f>
        <v>6.1764705882352944</v>
      </c>
    </row>
    <row r="140" spans="1:15" ht="27.75" customHeight="1" x14ac:dyDescent="0.5">
      <c r="A140" s="950" t="s">
        <v>187</v>
      </c>
      <c r="B140" s="950"/>
      <c r="C140" s="950"/>
      <c r="D140" s="233" t="s">
        <v>183</v>
      </c>
      <c r="E140" s="488">
        <f>'16'!F140</f>
        <v>88948</v>
      </c>
      <c r="F140" s="148">
        <v>88948</v>
      </c>
      <c r="G140" s="236">
        <f t="shared" si="11"/>
        <v>0</v>
      </c>
      <c r="H140" s="238">
        <f>G140+'16'!H140</f>
        <v>26</v>
      </c>
      <c r="I140" s="489"/>
      <c r="J140" s="490">
        <f>H140/DAY(B2)</f>
        <v>1.5294117647058822</v>
      </c>
    </row>
    <row r="141" spans="1:15" ht="27.75" customHeight="1" x14ac:dyDescent="0.5">
      <c r="A141" s="951" t="s">
        <v>188</v>
      </c>
      <c r="B141" s="951"/>
      <c r="C141" s="951"/>
      <c r="D141" s="233" t="s">
        <v>183</v>
      </c>
      <c r="E141" s="488">
        <f>'16'!F141</f>
        <v>57513.79</v>
      </c>
      <c r="F141" s="148">
        <v>57697.48</v>
      </c>
      <c r="G141" s="236">
        <f t="shared" si="11"/>
        <v>183.69000000000233</v>
      </c>
      <c r="H141" s="238">
        <f>G141+'16'!H141</f>
        <v>3011.9000000000015</v>
      </c>
      <c r="I141" s="489"/>
      <c r="J141" s="490">
        <f>H141/DAY(B2)</f>
        <v>177.17058823529419</v>
      </c>
    </row>
    <row r="142" spans="1:15" ht="27.75" customHeight="1" x14ac:dyDescent="0.5">
      <c r="A142" s="951" t="s">
        <v>189</v>
      </c>
      <c r="B142" s="951"/>
      <c r="C142" s="951"/>
      <c r="D142" s="233" t="s">
        <v>183</v>
      </c>
      <c r="E142" s="488">
        <f>'16'!F142</f>
        <v>22391.64</v>
      </c>
      <c r="F142" s="148">
        <v>22455.97</v>
      </c>
      <c r="G142" s="236">
        <f t="shared" si="11"/>
        <v>64.330000000001746</v>
      </c>
      <c r="H142" s="238">
        <f>G142+'16'!H142</f>
        <v>1171.8700000000026</v>
      </c>
      <c r="I142" s="738"/>
      <c r="J142" s="490">
        <f>H142/DAY(B2)</f>
        <v>68.933529411764866</v>
      </c>
    </row>
    <row r="143" spans="1:15" ht="27.75" customHeight="1" x14ac:dyDescent="0.5">
      <c r="A143" s="950" t="s">
        <v>91</v>
      </c>
      <c r="B143" s="950"/>
      <c r="C143" s="950"/>
      <c r="D143" s="233" t="s">
        <v>183</v>
      </c>
      <c r="E143" s="488">
        <f>'16'!F143</f>
        <v>4287.7700000000004</v>
      </c>
      <c r="F143" s="148">
        <v>4313.3500000000004</v>
      </c>
      <c r="G143" s="236">
        <f t="shared" si="11"/>
        <v>25.579999999999927</v>
      </c>
      <c r="H143" s="238">
        <f>G143+'16'!H143</f>
        <v>477.96000000000049</v>
      </c>
      <c r="I143" s="738"/>
      <c r="J143" s="490">
        <f>H143/DAY(B2)</f>
        <v>28.115294117647089</v>
      </c>
    </row>
    <row r="144" spans="1:15" ht="27.75" customHeight="1" x14ac:dyDescent="0.5">
      <c r="A144" s="951" t="s">
        <v>90</v>
      </c>
      <c r="B144" s="951"/>
      <c r="C144" s="951"/>
      <c r="D144" s="233" t="s">
        <v>183</v>
      </c>
      <c r="E144" s="488">
        <f>'16'!F144</f>
        <v>879855</v>
      </c>
      <c r="F144" s="148">
        <v>880067</v>
      </c>
      <c r="G144" s="236">
        <f t="shared" si="11"/>
        <v>212</v>
      </c>
      <c r="H144" s="238">
        <f>G144+'16'!H144</f>
        <v>3580</v>
      </c>
      <c r="I144" s="738"/>
      <c r="J144" s="490">
        <f>H144/DAY(B2)</f>
        <v>210.58823529411765</v>
      </c>
    </row>
    <row r="145" spans="1:10" ht="27.75" customHeight="1" x14ac:dyDescent="0.5">
      <c r="A145" s="950" t="s">
        <v>190</v>
      </c>
      <c r="B145" s="950"/>
      <c r="C145" s="950"/>
      <c r="D145" s="233" t="s">
        <v>183</v>
      </c>
      <c r="E145" s="488">
        <f>'16'!F145</f>
        <v>5163</v>
      </c>
      <c r="F145" s="148">
        <v>5177.7299999999996</v>
      </c>
      <c r="G145" s="236">
        <f t="shared" si="11"/>
        <v>14.729999999999563</v>
      </c>
      <c r="H145" s="238">
        <f>G145+'16'!H145</f>
        <v>218.88999999999942</v>
      </c>
      <c r="I145" s="738"/>
      <c r="J145" s="490">
        <f>H145/DAY(B2)</f>
        <v>12.875882352941142</v>
      </c>
    </row>
    <row r="146" spans="1:10" ht="27.75" customHeight="1" x14ac:dyDescent="0.5">
      <c r="A146" s="955" t="s">
        <v>191</v>
      </c>
      <c r="B146" s="956"/>
      <c r="C146" s="957"/>
      <c r="D146" s="233" t="s">
        <v>183</v>
      </c>
      <c r="E146" s="488">
        <f>'16'!F146</f>
        <v>744360</v>
      </c>
      <c r="F146" s="148">
        <v>744789</v>
      </c>
      <c r="G146" s="236">
        <f t="shared" si="11"/>
        <v>429</v>
      </c>
      <c r="H146" s="238">
        <f>G146+'16'!H146</f>
        <v>7456</v>
      </c>
      <c r="I146" s="738"/>
      <c r="J146" s="490">
        <f>H146/DAY(B2)</f>
        <v>438.58823529411762</v>
      </c>
    </row>
    <row r="147" spans="1:10" ht="27.75" customHeight="1" x14ac:dyDescent="0.5">
      <c r="A147" s="951" t="s">
        <v>192</v>
      </c>
      <c r="B147" s="951"/>
      <c r="C147" s="951"/>
      <c r="D147" s="233" t="s">
        <v>183</v>
      </c>
      <c r="E147" s="488">
        <f>'16'!F147</f>
        <v>633143</v>
      </c>
      <c r="F147" s="148">
        <v>633517.04</v>
      </c>
      <c r="G147" s="236">
        <f t="shared" si="11"/>
        <v>374.04000000003725</v>
      </c>
      <c r="H147" s="238">
        <f>G147+'16'!H147</f>
        <v>6904.5200000000186</v>
      </c>
      <c r="I147" s="738"/>
      <c r="J147" s="490">
        <f>H147/DAY(B2)</f>
        <v>406.14823529411876</v>
      </c>
    </row>
    <row r="148" spans="1:10" ht="27.75" customHeight="1" x14ac:dyDescent="0.5">
      <c r="A148" s="952" t="s">
        <v>193</v>
      </c>
      <c r="B148" s="953"/>
      <c r="C148" s="954"/>
      <c r="D148" s="492" t="s">
        <v>130</v>
      </c>
      <c r="E148" s="488">
        <f>'16'!F148</f>
        <v>694283.52</v>
      </c>
      <c r="F148" s="164">
        <v>694582.48</v>
      </c>
      <c r="G148" s="236">
        <f t="shared" si="11"/>
        <v>298.95999999996275</v>
      </c>
      <c r="H148" s="238">
        <f>G148+'16'!H148</f>
        <v>5139.5200000000186</v>
      </c>
      <c r="I148" s="238"/>
      <c r="J148" s="490">
        <f>H148/DAY(B2)</f>
        <v>302.32470588235401</v>
      </c>
    </row>
    <row r="149" spans="1:10" ht="27.75" customHeight="1" x14ac:dyDescent="0.5">
      <c r="A149" s="952" t="s">
        <v>336</v>
      </c>
      <c r="B149" s="953"/>
      <c r="C149" s="954"/>
      <c r="D149" s="498" t="s">
        <v>130</v>
      </c>
      <c r="E149" s="488">
        <f>'16'!F149</f>
        <v>33882</v>
      </c>
      <c r="F149" s="498">
        <v>34562.660000000003</v>
      </c>
      <c r="G149" s="236">
        <f t="shared" si="11"/>
        <v>680.66000000000349</v>
      </c>
      <c r="H149" s="238">
        <f>G149+'16'!H149</f>
        <v>9884.4600000000028</v>
      </c>
      <c r="I149" s="236"/>
      <c r="J149" s="490">
        <f>H149/DAY(B2)</f>
        <v>581.43882352941193</v>
      </c>
    </row>
    <row r="150" spans="1:10" ht="27.75" customHeight="1" x14ac:dyDescent="0.5">
      <c r="A150" s="952" t="s">
        <v>337</v>
      </c>
      <c r="B150" s="953"/>
      <c r="C150" s="954"/>
      <c r="D150" s="492" t="s">
        <v>130</v>
      </c>
      <c r="E150" s="488">
        <f>'16'!F150</f>
        <v>14476.39</v>
      </c>
      <c r="F150" s="233">
        <v>14707.88</v>
      </c>
      <c r="G150" s="236">
        <f t="shared" si="11"/>
        <v>231.48999999999978</v>
      </c>
      <c r="H150" s="238">
        <f>G150+'16'!H150</f>
        <v>3857.0499999999993</v>
      </c>
      <c r="I150" s="236"/>
      <c r="J150" s="490">
        <f>H150/DAY(B2)</f>
        <v>226.88529411764702</v>
      </c>
    </row>
    <row r="151" spans="1:10" ht="27.75" customHeight="1" x14ac:dyDescent="0.5">
      <c r="A151" s="952" t="s">
        <v>338</v>
      </c>
      <c r="B151" s="953"/>
      <c r="C151" s="954"/>
      <c r="D151" s="492" t="s">
        <v>130</v>
      </c>
      <c r="E151" s="488">
        <f>'16'!F151</f>
        <v>89389</v>
      </c>
      <c r="F151" s="233">
        <v>89609</v>
      </c>
      <c r="G151" s="236">
        <f t="shared" si="11"/>
        <v>220</v>
      </c>
      <c r="H151" s="238">
        <f>G151+'16'!H151</f>
        <v>4129</v>
      </c>
      <c r="I151" s="236"/>
      <c r="J151" s="490">
        <f>H151/DAY(B2)</f>
        <v>242.88235294117646</v>
      </c>
    </row>
    <row r="152" spans="1:10" ht="27.75" customHeight="1" x14ac:dyDescent="0.5">
      <c r="A152" s="952" t="s">
        <v>339</v>
      </c>
      <c r="B152" s="953"/>
      <c r="C152" s="954"/>
      <c r="D152" s="492" t="s">
        <v>130</v>
      </c>
      <c r="E152" s="488">
        <f>'16'!F152</f>
        <v>2665.67</v>
      </c>
      <c r="F152" s="233">
        <v>2762.3</v>
      </c>
      <c r="G152" s="236">
        <f t="shared" si="11"/>
        <v>96.630000000000109</v>
      </c>
      <c r="H152" s="238">
        <f>G152+'16'!H152</f>
        <v>1102.3000000000002</v>
      </c>
      <c r="I152" s="236"/>
      <c r="J152" s="490">
        <f>H152/DAY(B2)</f>
        <v>64.841176470588252</v>
      </c>
    </row>
    <row r="153" spans="1:10" ht="27.75" customHeight="1" x14ac:dyDescent="0.5">
      <c r="A153" s="959" t="s">
        <v>196</v>
      </c>
      <c r="B153" s="960"/>
      <c r="C153" s="739"/>
      <c r="D153" s="740"/>
      <c r="E153" s="741"/>
      <c r="F153" s="361"/>
      <c r="G153" s="742">
        <f>SUM(G138:G152)</f>
        <v>2949.1100000000069</v>
      </c>
      <c r="H153" s="743"/>
      <c r="I153" s="236">
        <f>G153-(G38+G52)</f>
        <v>907.85000000001219</v>
      </c>
      <c r="J153" s="744"/>
    </row>
    <row r="154" spans="1:10" ht="27.75" customHeight="1" x14ac:dyDescent="0.55000000000000004">
      <c r="A154" s="958" t="s">
        <v>344</v>
      </c>
      <c r="B154" s="958"/>
      <c r="C154" s="958"/>
      <c r="D154" s="958"/>
      <c r="E154" s="958"/>
      <c r="F154" s="958"/>
      <c r="G154" s="958"/>
      <c r="H154" s="958"/>
      <c r="I154" s="958"/>
      <c r="J154" s="958"/>
    </row>
    <row r="155" spans="1:10" ht="27.75" customHeight="1" x14ac:dyDescent="0.55000000000000004">
      <c r="A155" s="951" t="s">
        <v>345</v>
      </c>
      <c r="B155" s="951"/>
      <c r="C155" s="951"/>
      <c r="D155" s="492" t="s">
        <v>130</v>
      </c>
      <c r="E155" s="488">
        <f>'16'!F155</f>
        <v>43520</v>
      </c>
      <c r="F155" s="503">
        <v>44199.87</v>
      </c>
      <c r="G155" s="236">
        <f t="shared" ref="G155:G156" si="12">F155-E155</f>
        <v>679.87000000000262</v>
      </c>
      <c r="H155" s="238">
        <f>G155+'16'!H155</f>
        <v>11254.870000000003</v>
      </c>
      <c r="I155" s="745"/>
      <c r="J155" s="490">
        <f>H155/DAY(B2)</f>
        <v>662.05117647058842</v>
      </c>
    </row>
    <row r="156" spans="1:10" ht="27.75" customHeight="1" x14ac:dyDescent="0.5">
      <c r="A156" s="951" t="s">
        <v>347</v>
      </c>
      <c r="B156" s="951"/>
      <c r="C156" s="951"/>
      <c r="D156" s="492" t="s">
        <v>130</v>
      </c>
      <c r="E156" s="488">
        <f>'16'!F156</f>
        <v>3584</v>
      </c>
      <c r="F156" s="157">
        <v>3634.4</v>
      </c>
      <c r="G156" s="236">
        <f t="shared" si="12"/>
        <v>50.400000000000091</v>
      </c>
      <c r="H156" s="238">
        <f>G156+'16'!H156</f>
        <v>846.40000000000009</v>
      </c>
      <c r="I156" s="158"/>
      <c r="J156" s="490">
        <f>H156/DAY(B2)</f>
        <v>49.788235294117655</v>
      </c>
    </row>
    <row r="157" spans="1:10" ht="27.75" customHeight="1" x14ac:dyDescent="0.5">
      <c r="A157" s="952" t="s">
        <v>363</v>
      </c>
      <c r="B157" s="953"/>
      <c r="C157" s="954"/>
      <c r="D157" s="492" t="s">
        <v>130</v>
      </c>
      <c r="E157" s="488">
        <f>'16'!F157</f>
        <v>5721.33</v>
      </c>
      <c r="F157" s="157">
        <v>5861</v>
      </c>
      <c r="G157" s="236">
        <f>F157-E157</f>
        <v>139.67000000000007</v>
      </c>
      <c r="H157" s="238">
        <f>G157+'16'!H157</f>
        <v>581</v>
      </c>
      <c r="I157" s="158"/>
      <c r="J157" s="490">
        <f>H157/DAY(B2)</f>
        <v>34.176470588235297</v>
      </c>
    </row>
    <row r="158" spans="1:10" ht="27.75" customHeight="1" x14ac:dyDescent="0.5">
      <c r="A158" s="952" t="s">
        <v>364</v>
      </c>
      <c r="B158" s="953"/>
      <c r="C158" s="954"/>
      <c r="D158" s="492" t="s">
        <v>130</v>
      </c>
      <c r="E158" s="488">
        <f>'16'!F158</f>
        <v>71.599999999999994</v>
      </c>
      <c r="F158" s="158">
        <v>71.7</v>
      </c>
      <c r="G158" s="236">
        <f>F158-E158</f>
        <v>0.10000000000000853</v>
      </c>
      <c r="H158" s="238">
        <f>G158+'16'!H158</f>
        <v>2.7000000000000028</v>
      </c>
      <c r="I158" s="158"/>
      <c r="J158" s="490">
        <f>H158/DAY(B2)</f>
        <v>0.15882352941176486</v>
      </c>
    </row>
    <row r="159" spans="1:10" ht="27.75" customHeight="1" x14ac:dyDescent="0.5">
      <c r="A159" s="961"/>
      <c r="B159" s="962"/>
      <c r="C159" s="963"/>
      <c r="D159" s="492"/>
      <c r="E159" s="488"/>
      <c r="F159" s="158"/>
      <c r="G159" s="236"/>
      <c r="H159" s="238"/>
      <c r="I159" s="158"/>
      <c r="J159" s="490"/>
    </row>
    <row r="160" spans="1:10" ht="27.75" customHeight="1" x14ac:dyDescent="0.55000000000000004">
      <c r="A160" s="958" t="s">
        <v>326</v>
      </c>
      <c r="B160" s="958"/>
      <c r="C160" s="958"/>
      <c r="D160" s="958"/>
      <c r="E160" s="958"/>
      <c r="F160" s="958"/>
      <c r="G160" s="958"/>
      <c r="H160" s="958"/>
      <c r="I160" s="958"/>
      <c r="J160" s="958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488">
        <f>'16'!F161</f>
        <v>472592</v>
      </c>
      <c r="F161" s="235">
        <v>472608.92</v>
      </c>
      <c r="G161" s="238">
        <f t="shared" ref="G161:G165" si="13">F161-E161</f>
        <v>16.919999999983702</v>
      </c>
      <c r="H161" s="238">
        <f>G161+'16'!H161</f>
        <v>555.35999999998603</v>
      </c>
      <c r="I161" s="236"/>
      <c r="J161" s="239">
        <f>H161/DAY(B2)</f>
        <v>32.668235294116826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89092.4</v>
      </c>
      <c r="F162" s="235">
        <v>89135.6</v>
      </c>
      <c r="G162" s="238">
        <f t="shared" si="13"/>
        <v>43.200000000011642</v>
      </c>
      <c r="H162" s="99">
        <f>G162+'16'!H162</f>
        <v>619.20000000001164</v>
      </c>
      <c r="I162" s="236"/>
      <c r="J162" s="239">
        <f>H162/DAY(B2)</f>
        <v>36.423529411765394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80267.899999999994</v>
      </c>
      <c r="F163" s="235">
        <v>80353</v>
      </c>
      <c r="G163" s="238">
        <f t="shared" si="13"/>
        <v>85.100000000005821</v>
      </c>
      <c r="H163" s="99">
        <f>G163+'16'!H163</f>
        <v>1132.8999999999942</v>
      </c>
      <c r="I163" s="236"/>
      <c r="J163" s="239">
        <f>H163/DAY(B2)</f>
        <v>66.641176470587894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4340.8999999999996</v>
      </c>
      <c r="F164" s="235">
        <v>4342</v>
      </c>
      <c r="G164" s="238">
        <f t="shared" si="13"/>
        <v>1.1000000000003638</v>
      </c>
      <c r="H164" s="99">
        <f>G164+'16'!H164</f>
        <v>22</v>
      </c>
      <c r="I164" s="236"/>
      <c r="J164" s="239">
        <f>H164/DAY(B2)</f>
        <v>1.2941176470588236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29994.94</v>
      </c>
      <c r="F165" s="235">
        <v>30003.71</v>
      </c>
      <c r="G165" s="238">
        <f t="shared" si="13"/>
        <v>8.7700000000004366</v>
      </c>
      <c r="H165" s="99">
        <f>G165+'16'!H165</f>
        <v>146.45999999999913</v>
      </c>
      <c r="I165" s="236"/>
      <c r="J165" s="239">
        <f>H165/DAY(B2)</f>
        <v>8.6152941176470073</v>
      </c>
    </row>
    <row r="166" spans="1:10" ht="27.75" customHeight="1" x14ac:dyDescent="0.5">
      <c r="A166" s="860"/>
      <c r="B166" s="860"/>
      <c r="C166" s="246"/>
      <c r="D166" s="244"/>
      <c r="E166" s="95"/>
      <c r="F166" s="165"/>
      <c r="G166" s="165"/>
      <c r="H166" s="99"/>
      <c r="I166" s="165"/>
      <c r="J166" s="239"/>
    </row>
    <row r="167" spans="1:10" ht="27.75" customHeight="1" x14ac:dyDescent="0.5">
      <c r="A167" s="860"/>
      <c r="B167" s="860"/>
      <c r="C167" s="246"/>
      <c r="D167" s="244"/>
      <c r="E167" s="95"/>
      <c r="F167" s="165"/>
      <c r="G167" s="165"/>
      <c r="H167" s="99"/>
      <c r="I167" s="165"/>
      <c r="J167" s="239"/>
    </row>
    <row r="168" spans="1:10" ht="27.75" customHeight="1" x14ac:dyDescent="0.5">
      <c r="A168" s="860"/>
      <c r="B168" s="860"/>
      <c r="C168" s="246"/>
      <c r="D168" s="244"/>
      <c r="E168" s="95"/>
      <c r="F168" s="165"/>
      <c r="G168" s="165"/>
      <c r="H168" s="99"/>
      <c r="I168" s="165"/>
      <c r="J168" s="239"/>
    </row>
    <row r="171" spans="1:10" ht="27.75" customHeight="1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customHeight="1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64" t="s">
        <v>209</v>
      </c>
      <c r="B173" s="865"/>
      <c r="C173" s="333"/>
      <c r="D173" s="228" t="s">
        <v>142</v>
      </c>
      <c r="E173" s="95">
        <f>'16'!F173</f>
        <v>8165</v>
      </c>
      <c r="F173" s="157">
        <v>8183</v>
      </c>
      <c r="G173" s="155">
        <f>F173-E173</f>
        <v>18</v>
      </c>
      <c r="H173" s="99">
        <f>G173+'16'!H173</f>
        <v>57</v>
      </c>
      <c r="I173" s="155"/>
      <c r="J173" s="178">
        <f>H173/DAY(B2)</f>
        <v>3.3529411764705883</v>
      </c>
    </row>
    <row r="174" spans="1:10" ht="27.75" customHeight="1" x14ac:dyDescent="0.5">
      <c r="A174" s="864" t="s">
        <v>75</v>
      </c>
      <c r="B174" s="865"/>
      <c r="C174" s="333"/>
      <c r="D174" s="228" t="s">
        <v>142</v>
      </c>
      <c r="E174" s="95">
        <f>'16'!F174</f>
        <v>38836</v>
      </c>
      <c r="F174" s="157">
        <v>38848</v>
      </c>
      <c r="G174" s="155">
        <f t="shared" ref="G174:G175" si="14">F174-E174</f>
        <v>12</v>
      </c>
      <c r="H174" s="99">
        <f>G174+'16'!H174</f>
        <v>233</v>
      </c>
      <c r="I174" s="155"/>
      <c r="J174" s="178">
        <f>H174/DAY(B2)</f>
        <v>13.705882352941176</v>
      </c>
    </row>
    <row r="175" spans="1:10" ht="27.75" customHeight="1" x14ac:dyDescent="0.5">
      <c r="A175" s="864" t="s">
        <v>76</v>
      </c>
      <c r="B175" s="904"/>
      <c r="C175" s="865"/>
      <c r="D175" s="228" t="s">
        <v>142</v>
      </c>
      <c r="E175" s="95">
        <f>'16'!F175</f>
        <v>21999</v>
      </c>
      <c r="F175" s="155">
        <v>22010</v>
      </c>
      <c r="G175" s="155">
        <f t="shared" si="14"/>
        <v>11</v>
      </c>
      <c r="H175" s="99">
        <f>G175+'16'!H175</f>
        <v>197</v>
      </c>
      <c r="I175" s="155"/>
      <c r="J175" s="178">
        <f>H175/DAY(B2)</f>
        <v>11.588235294117647</v>
      </c>
    </row>
    <row r="176" spans="1:10" ht="27.75" customHeight="1" x14ac:dyDescent="0.5">
      <c r="A176" s="855" t="s">
        <v>196</v>
      </c>
      <c r="B176" s="856"/>
      <c r="C176" s="333"/>
      <c r="D176" s="228" t="s">
        <v>142</v>
      </c>
      <c r="E176" s="95"/>
      <c r="F176" s="155"/>
      <c r="G176" s="155">
        <f>SUM(G173:G175)</f>
        <v>41</v>
      </c>
      <c r="H176" s="99">
        <f>G176+'16'!H176</f>
        <v>487</v>
      </c>
      <c r="I176" s="155"/>
      <c r="J176" s="178">
        <f>H176/DAY(B2)</f>
        <v>28.647058823529413</v>
      </c>
    </row>
    <row r="177" spans="1:11" ht="27.75" customHeight="1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864" t="s">
        <v>210</v>
      </c>
      <c r="B178" s="865"/>
      <c r="C178" s="333"/>
      <c r="D178" s="228" t="s">
        <v>142</v>
      </c>
      <c r="E178" s="95">
        <f>'16'!F178</f>
        <v>82201</v>
      </c>
      <c r="F178" s="155">
        <v>82268</v>
      </c>
      <c r="G178" s="155">
        <f>F178-E178</f>
        <v>67</v>
      </c>
      <c r="H178" s="99">
        <f>G178+'16'!H178</f>
        <v>953</v>
      </c>
      <c r="I178" s="155"/>
      <c r="J178" s="178">
        <f>H178/DAY(B2)</f>
        <v>56.058823529411768</v>
      </c>
    </row>
    <row r="179" spans="1:11" ht="27.75" customHeight="1" x14ac:dyDescent="0.5">
      <c r="A179" s="864" t="s">
        <v>211</v>
      </c>
      <c r="B179" s="865"/>
      <c r="C179" s="333"/>
      <c r="D179" s="228" t="s">
        <v>142</v>
      </c>
      <c r="E179" s="95">
        <f>'16'!F179</f>
        <v>35276</v>
      </c>
      <c r="F179" s="155">
        <v>35276</v>
      </c>
      <c r="G179" s="155">
        <f t="shared" ref="G179:G180" si="15">F179-E179</f>
        <v>0</v>
      </c>
      <c r="H179" s="99">
        <f>G179+'16'!H179</f>
        <v>473</v>
      </c>
      <c r="I179" s="155"/>
      <c r="J179" s="178">
        <f>H179/DAY(B2)</f>
        <v>27.823529411764707</v>
      </c>
    </row>
    <row r="180" spans="1:11" ht="27.75" customHeight="1" x14ac:dyDescent="0.5">
      <c r="A180" s="864" t="s">
        <v>212</v>
      </c>
      <c r="B180" s="865"/>
      <c r="C180" s="333"/>
      <c r="D180" s="228" t="s">
        <v>142</v>
      </c>
      <c r="E180" s="95">
        <f>'16'!F180</f>
        <v>5801</v>
      </c>
      <c r="F180" s="155">
        <v>5801</v>
      </c>
      <c r="G180" s="155">
        <f t="shared" si="15"/>
        <v>0</v>
      </c>
      <c r="H180" s="99">
        <f>G180+'16'!H180</f>
        <v>99</v>
      </c>
      <c r="I180" s="155"/>
      <c r="J180" s="178">
        <f>H180/DAY(B2)</f>
        <v>5.8235294117647056</v>
      </c>
    </row>
    <row r="181" spans="1:11" ht="27.75" customHeight="1" x14ac:dyDescent="0.5">
      <c r="A181" s="866" t="s">
        <v>108</v>
      </c>
      <c r="B181" s="867"/>
      <c r="C181" s="333"/>
      <c r="D181" s="228" t="s">
        <v>142</v>
      </c>
      <c r="E181" s="95"/>
      <c r="F181" s="155"/>
      <c r="G181" s="155">
        <f>SUM(G178:G180)</f>
        <v>67</v>
      </c>
      <c r="H181" s="99">
        <f>G181+'16'!H181</f>
        <v>1525</v>
      </c>
      <c r="I181" s="155"/>
      <c r="J181" s="178">
        <f>H181/DAY(B2)</f>
        <v>89.705882352941174</v>
      </c>
    </row>
    <row r="182" spans="1:11" ht="27.75" customHeight="1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864" t="s">
        <v>214</v>
      </c>
      <c r="B183" s="865"/>
      <c r="C183" s="334"/>
      <c r="D183" s="228" t="s">
        <v>142</v>
      </c>
      <c r="E183" s="95">
        <f>'16'!F183</f>
        <v>15605</v>
      </c>
      <c r="F183" s="157">
        <v>15621</v>
      </c>
      <c r="G183" s="157">
        <f>F183-E183</f>
        <v>16</v>
      </c>
      <c r="H183" s="99">
        <f>G183+'16'!H183</f>
        <v>276</v>
      </c>
      <c r="I183" s="155"/>
      <c r="J183" s="178">
        <f>H183/DAY(B2)</f>
        <v>16.235294117647058</v>
      </c>
    </row>
    <row r="184" spans="1:11" ht="27.75" customHeight="1" x14ac:dyDescent="0.5">
      <c r="A184" s="864" t="s">
        <v>215</v>
      </c>
      <c r="B184" s="865"/>
      <c r="C184" s="334"/>
      <c r="D184" s="228" t="s">
        <v>142</v>
      </c>
      <c r="E184" s="95">
        <f>'16'!F184</f>
        <v>10703</v>
      </c>
      <c r="F184" s="157">
        <v>10711</v>
      </c>
      <c r="G184" s="157">
        <f t="shared" ref="G184:G185" si="16">F184-E184</f>
        <v>8</v>
      </c>
      <c r="H184" s="99">
        <f>G184+'16'!H184</f>
        <v>193</v>
      </c>
      <c r="I184" s="155"/>
      <c r="J184" s="178">
        <f>H184/DAY(B2)</f>
        <v>11.352941176470589</v>
      </c>
    </row>
    <row r="185" spans="1:11" ht="27.75" customHeight="1" x14ac:dyDescent="0.5">
      <c r="A185" s="864" t="s">
        <v>216</v>
      </c>
      <c r="B185" s="865"/>
      <c r="C185" s="33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855" t="s">
        <v>196</v>
      </c>
      <c r="B186" s="856"/>
      <c r="C186" s="334"/>
      <c r="D186" s="228" t="s">
        <v>142</v>
      </c>
      <c r="E186" s="95"/>
      <c r="F186" s="157"/>
      <c r="G186" s="157">
        <f>SUM(G183:G185)</f>
        <v>24</v>
      </c>
      <c r="H186" s="99">
        <f>G186+'16'!H186</f>
        <v>469</v>
      </c>
      <c r="I186" s="157"/>
      <c r="J186" s="178">
        <f>H186/DAY(B2)</f>
        <v>27.588235294117649</v>
      </c>
    </row>
    <row r="187" spans="1:11" ht="27.75" customHeight="1" x14ac:dyDescent="0.5">
      <c r="A187" s="857" t="s">
        <v>217</v>
      </c>
      <c r="B187" s="858"/>
      <c r="C187" s="333"/>
      <c r="D187" s="228" t="s">
        <v>142</v>
      </c>
      <c r="E187" s="95"/>
      <c r="F187" s="159"/>
      <c r="G187" s="460">
        <f>G62+G19</f>
        <v>245</v>
      </c>
      <c r="H187" s="99">
        <f>G187+'16'!H187</f>
        <v>3264</v>
      </c>
      <c r="I187" s="158"/>
      <c r="J187" s="179">
        <f>H187/DAY(B2)</f>
        <v>192</v>
      </c>
    </row>
    <row r="188" spans="1:11" ht="27.75" customHeight="1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248</v>
      </c>
      <c r="H188" s="99">
        <f>G188+'16'!H188</f>
        <v>708</v>
      </c>
      <c r="I188" s="158"/>
      <c r="J188" s="179">
        <f>H188/DAY(B2)</f>
        <v>41.647058823529413</v>
      </c>
    </row>
    <row r="189" spans="1:11" ht="27.75" customHeight="1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457">
        <f>G181</f>
        <v>67</v>
      </c>
      <c r="H189" s="99">
        <f>G189+'16'!H189</f>
        <v>1525</v>
      </c>
      <c r="I189" s="158"/>
      <c r="J189" s="179">
        <f>H189/DAY(B2)</f>
        <v>89.705882352941174</v>
      </c>
    </row>
    <row r="190" spans="1:11" ht="27.75" customHeight="1" x14ac:dyDescent="0.5">
      <c r="A190" s="778"/>
      <c r="B190" s="779"/>
      <c r="C190" s="481"/>
      <c r="D190" s="478"/>
      <c r="E190" s="478"/>
      <c r="F190" s="478"/>
      <c r="G190" s="478"/>
      <c r="H190" s="479"/>
      <c r="I190" s="478"/>
      <c r="J190" s="480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165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60" zoomScale="55" zoomScaleNormal="68" zoomScaleSheetLayoutView="55" workbookViewId="0">
      <selection activeCell="A18" sqref="A18:C18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577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.75" customHeight="1" x14ac:dyDescent="0.5">
      <c r="A2" s="191" t="s">
        <v>350</v>
      </c>
      <c r="B2" s="262">
        <v>44610</v>
      </c>
      <c r="C2" s="348" t="s">
        <v>67</v>
      </c>
      <c r="D2" s="218">
        <v>0.51</v>
      </c>
      <c r="E2" s="100"/>
      <c r="F2" s="100"/>
      <c r="G2" s="554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19" t="s">
        <v>119</v>
      </c>
      <c r="F3" s="920"/>
      <c r="G3" s="555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555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556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13" t="s">
        <v>128</v>
      </c>
      <c r="B6" s="914"/>
      <c r="C6" s="915"/>
      <c r="D6" s="110"/>
      <c r="E6" s="110"/>
      <c r="F6" s="110"/>
      <c r="G6" s="557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993845</v>
      </c>
      <c r="F7" s="95">
        <v>1014407</v>
      </c>
      <c r="G7" s="558">
        <f>F7-E7</f>
        <v>20562</v>
      </c>
      <c r="H7" s="99">
        <f>G7+'17'!H7</f>
        <v>363226.77</v>
      </c>
      <c r="I7" s="113">
        <f>'1'!I7</f>
        <v>12000</v>
      </c>
      <c r="J7" s="175">
        <f>H7/DAY(B2)</f>
        <v>20179.264999999999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53452.37</v>
      </c>
      <c r="F8" s="95">
        <v>74078.8</v>
      </c>
      <c r="G8" s="559">
        <f>F8-E8</f>
        <v>20626.43</v>
      </c>
      <c r="H8" s="99">
        <f>G8+'17'!H8</f>
        <v>365557.24999999994</v>
      </c>
      <c r="I8" s="116"/>
      <c r="J8" s="175">
        <f>H8/DAY(B2)</f>
        <v>20308.736111111109</v>
      </c>
      <c r="K8" s="172">
        <v>1715917</v>
      </c>
      <c r="L8" s="76">
        <v>1728480</v>
      </c>
      <c r="M8" s="87">
        <f>L8-K8</f>
        <v>12563</v>
      </c>
      <c r="N8" s="87">
        <f>G8-64</f>
        <v>20562.43</v>
      </c>
      <c r="O8" s="71">
        <f>G7-N8</f>
        <v>-0.43000000000029104</v>
      </c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547983.79</v>
      </c>
      <c r="F9" s="598">
        <v>565303.59</v>
      </c>
      <c r="G9" s="558">
        <f>F9-E9</f>
        <v>17319.79999999993</v>
      </c>
      <c r="H9" s="99">
        <f>G9+'17'!H9</f>
        <v>283049.74</v>
      </c>
      <c r="I9" s="124">
        <f>I7-J7</f>
        <v>-8179.2649999999994</v>
      </c>
      <c r="J9" s="175">
        <f>H9/DAY(B2)</f>
        <v>15724.985555555555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172539.43</v>
      </c>
      <c r="F10" s="353">
        <v>175134.59</v>
      </c>
      <c r="G10" s="558">
        <f>F10-E10</f>
        <v>2595.1600000000035</v>
      </c>
      <c r="H10" s="99">
        <f>G10+'17'!H10</f>
        <v>69875.62</v>
      </c>
      <c r="I10" s="282"/>
      <c r="J10" s="175">
        <f>H10/DAY(B2)</f>
        <v>3881.9788888888888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37170</v>
      </c>
      <c r="F11" s="95">
        <v>37170</v>
      </c>
      <c r="G11" s="558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558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560">
        <f>G9+G10+G11+G12</f>
        <v>19914.959999999934</v>
      </c>
      <c r="H13" s="99">
        <f>G13+'17'!H13</f>
        <v>336170.92999999993</v>
      </c>
      <c r="I13" s="120">
        <f>G7-G13</f>
        <v>647.04000000006636</v>
      </c>
      <c r="J13" s="175">
        <f>H13/DAY(B2)</f>
        <v>18676.162777777776</v>
      </c>
      <c r="K13" s="79"/>
      <c r="L13" s="66"/>
      <c r="N13" s="87"/>
      <c r="O13" s="71"/>
    </row>
    <row r="14" spans="1:15" ht="27.75" customHeight="1" x14ac:dyDescent="0.5">
      <c r="A14" s="916" t="s">
        <v>137</v>
      </c>
      <c r="B14" s="917"/>
      <c r="C14" s="918"/>
      <c r="D14" s="111"/>
      <c r="E14" s="111"/>
      <c r="F14" s="111"/>
      <c r="G14" s="56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'17'!F15</f>
        <v>1924816.575</v>
      </c>
      <c r="F15" s="123">
        <v>1925873.38</v>
      </c>
      <c r="G15" s="558">
        <f>(F15-E15)</f>
        <v>1056.8049999999348</v>
      </c>
      <c r="H15" s="99">
        <f>G15+'17'!H15</f>
        <v>19236.612999999896</v>
      </c>
      <c r="I15" s="113">
        <f>'1'!I15</f>
        <v>800</v>
      </c>
      <c r="J15" s="175">
        <f>H15/DAY(B2)</f>
        <v>1068.7007222222164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558"/>
      <c r="H16" s="124"/>
      <c r="I16" s="120">
        <f>I15-J15</f>
        <v>-268.70072222221643</v>
      </c>
      <c r="J16" s="176"/>
      <c r="K16" s="79"/>
      <c r="L16" s="66"/>
      <c r="N16" s="87"/>
      <c r="O16" s="71"/>
    </row>
    <row r="17" spans="1:15" ht="27.75" customHeight="1" x14ac:dyDescent="0.5">
      <c r="A17" s="916" t="s">
        <v>140</v>
      </c>
      <c r="B17" s="917"/>
      <c r="C17" s="918"/>
      <c r="D17" s="111"/>
      <c r="E17" s="111"/>
      <c r="F17" s="111"/>
      <c r="G17" s="561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92" t="s">
        <v>141</v>
      </c>
      <c r="B18" s="893"/>
      <c r="C18" s="894"/>
      <c r="D18" s="151" t="s">
        <v>142</v>
      </c>
      <c r="E18" s="95">
        <f>'17'!F18</f>
        <v>25</v>
      </c>
      <c r="F18" s="122">
        <v>25</v>
      </c>
      <c r="G18" s="560">
        <f>F18*10</f>
        <v>250</v>
      </c>
      <c r="H18" s="99">
        <f>G18+'17'!H18</f>
        <v>4030</v>
      </c>
      <c r="I18" s="113">
        <f>'1'!I18</f>
        <v>65</v>
      </c>
      <c r="J18" s="175">
        <f>H18/DAY(B2)</f>
        <v>223.88888888888889</v>
      </c>
      <c r="K18" s="79"/>
      <c r="L18" s="66"/>
      <c r="N18" s="87"/>
      <c r="O18" s="71"/>
    </row>
    <row r="19" spans="1:15" ht="27.75" customHeight="1" x14ac:dyDescent="0.5">
      <c r="A19" s="892" t="s">
        <v>69</v>
      </c>
      <c r="B19" s="893"/>
      <c r="C19" s="894"/>
      <c r="D19" s="151" t="s">
        <v>142</v>
      </c>
      <c r="E19" s="95">
        <f>'17'!F19</f>
        <v>154806</v>
      </c>
      <c r="F19" s="122">
        <v>154854</v>
      </c>
      <c r="G19" s="558">
        <f t="shared" ref="G19" si="1">F19-E19</f>
        <v>48</v>
      </c>
      <c r="H19" s="99">
        <f>G19+'17'!H19</f>
        <v>963</v>
      </c>
      <c r="I19" s="335"/>
      <c r="J19" s="175">
        <f>H19/DAY(B2)</f>
        <v>53.5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562">
        <f>G18+G19</f>
        <v>298</v>
      </c>
      <c r="H20" s="99">
        <f>G20+'17'!H20</f>
        <v>4993</v>
      </c>
      <c r="I20" s="336">
        <f>I18-J20</f>
        <v>-212.38888888888891</v>
      </c>
      <c r="J20" s="175">
        <f>H20/DAY(B2)</f>
        <v>277.38888888888891</v>
      </c>
      <c r="K20" s="79"/>
      <c r="L20" s="66"/>
      <c r="N20" s="87"/>
      <c r="O20" s="71"/>
    </row>
    <row r="21" spans="1:15" ht="27.75" customHeight="1" x14ac:dyDescent="0.5">
      <c r="A21" s="916" t="s">
        <v>144</v>
      </c>
      <c r="B21" s="917"/>
      <c r="C21" s="918"/>
      <c r="D21" s="111"/>
      <c r="E21" s="111"/>
      <c r="F21" s="111"/>
      <c r="G21" s="56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560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488">
        <f>'17'!F23</f>
        <v>1500</v>
      </c>
      <c r="F23" s="164">
        <v>1500</v>
      </c>
      <c r="G23" s="682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683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4970</v>
      </c>
      <c r="G24" s="560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21" t="s">
        <v>149</v>
      </c>
      <c r="B25" s="922"/>
      <c r="C25" s="923"/>
      <c r="D25" s="110"/>
      <c r="E25" s="110"/>
      <c r="F25" s="110"/>
      <c r="G25" s="563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564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20626.43</v>
      </c>
      <c r="F27" s="136">
        <v>9</v>
      </c>
      <c r="G27" s="565">
        <f>E27*F27</f>
        <v>185637.87</v>
      </c>
      <c r="H27" s="99">
        <f>G27+'17'!H27</f>
        <v>3290015.25</v>
      </c>
      <c r="I27" s="138"/>
      <c r="J27" s="175">
        <f>H27/DAY(B2)</f>
        <v>182778.625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1056.8049999999348</v>
      </c>
      <c r="F28" s="136">
        <v>52</v>
      </c>
      <c r="G28" s="565">
        <f>E28*F28</f>
        <v>54953.85999999661</v>
      </c>
      <c r="H28" s="99">
        <f>G28+'17'!H28</f>
        <v>1063231.8759999946</v>
      </c>
      <c r="I28" s="140"/>
      <c r="J28" s="175">
        <f>H28/DAY(B2)</f>
        <v>59068.437555555254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565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565">
        <f>E30*F30</f>
        <v>7008</v>
      </c>
      <c r="H30" s="99">
        <f>G30+'17'!H30</f>
        <v>141453</v>
      </c>
      <c r="I30" s="140"/>
      <c r="J30" s="175">
        <f>H30/DAY(B2)</f>
        <v>7858.5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565">
        <f>E31*F31</f>
        <v>20000</v>
      </c>
      <c r="H31" s="99">
        <f>G31+'17'!H31</f>
        <v>322400</v>
      </c>
      <c r="I31" s="140"/>
      <c r="J31" s="175">
        <f>H31/DAY(B2)</f>
        <v>17911.111111111109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566">
        <f>G27+G28+G29+G30+G31</f>
        <v>267599.72999999661</v>
      </c>
      <c r="H32" s="99">
        <f>G32+'17'!H32</f>
        <v>4817100.1259999946</v>
      </c>
      <c r="I32" s="144"/>
      <c r="J32" s="175">
        <f>H32/DAY(B2)</f>
        <v>267616.67366666638</v>
      </c>
      <c r="K32" s="63"/>
      <c r="L32" s="89"/>
      <c r="N32" s="87"/>
      <c r="O32" s="71"/>
    </row>
    <row r="33" spans="1:15" ht="27.75" customHeight="1" x14ac:dyDescent="0.35">
      <c r="A33" s="924" t="s">
        <v>331</v>
      </c>
      <c r="B33" s="925"/>
      <c r="C33" s="925"/>
      <c r="D33" s="337"/>
      <c r="E33" s="337"/>
      <c r="F33" s="337"/>
      <c r="G33" s="56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568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57519.68</v>
      </c>
      <c r="F35" s="145">
        <v>59147.9</v>
      </c>
      <c r="G35" s="558">
        <f t="shared" ref="G35:G46" si="2">F35-E35</f>
        <v>1628.2200000000012</v>
      </c>
      <c r="H35" s="99">
        <f>G35+'17'!H35</f>
        <v>27142.920000000002</v>
      </c>
      <c r="I35" s="95"/>
      <c r="J35" s="175">
        <f>H35/DAY(B2)</f>
        <v>1507.94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59248.61</v>
      </c>
      <c r="F36" s="145">
        <v>60231.6</v>
      </c>
      <c r="G36" s="558">
        <f t="shared" si="2"/>
        <v>982.98999999999796</v>
      </c>
      <c r="H36" s="99">
        <f>G36+'17'!H36</f>
        <v>16772.86</v>
      </c>
      <c r="I36" s="95"/>
      <c r="J36" s="175">
        <f>H36/DAY(B2)</f>
        <v>931.82555555555564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63882.18</v>
      </c>
      <c r="F37" s="145">
        <v>65615.02</v>
      </c>
      <c r="G37" s="558">
        <f t="shared" si="2"/>
        <v>1732.8400000000038</v>
      </c>
      <c r="H37" s="99">
        <f>G37+'17'!H37</f>
        <v>30189.930000000008</v>
      </c>
      <c r="I37" s="95"/>
      <c r="J37" s="175">
        <f>H37/DAY(B2)</f>
        <v>1677.2183333333337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71344</v>
      </c>
      <c r="F38" s="108">
        <v>73446.5</v>
      </c>
      <c r="G38" s="558">
        <f t="shared" si="2"/>
        <v>2102.5</v>
      </c>
      <c r="H38" s="99">
        <f>G38+'17'!H38</f>
        <v>35070.07</v>
      </c>
      <c r="I38" s="95"/>
      <c r="J38" s="175">
        <f>H38/DAY(B2)</f>
        <v>1948.3372222222222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109495.02</v>
      </c>
      <c r="F39" s="145">
        <v>112584.7</v>
      </c>
      <c r="G39" s="558">
        <f t="shared" si="2"/>
        <v>3089.679999999993</v>
      </c>
      <c r="H39" s="99">
        <f>G39+'17'!H39</f>
        <v>53411.409999999996</v>
      </c>
      <c r="I39" s="95"/>
      <c r="J39" s="175">
        <f>H39/DAY(B2)</f>
        <v>2967.3005555555555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488">
        <f>'17'!F40</f>
        <v>28147.47</v>
      </c>
      <c r="F40" s="549">
        <v>28995.39</v>
      </c>
      <c r="G40" s="682">
        <f t="shared" si="2"/>
        <v>847.91999999999825</v>
      </c>
      <c r="H40" s="99">
        <f>G40+'17'!H40</f>
        <v>6878.3999999999969</v>
      </c>
      <c r="I40" s="95"/>
      <c r="J40" s="175">
        <f>H40/DAY(B2)</f>
        <v>382.13333333333316</v>
      </c>
      <c r="K40" s="80"/>
      <c r="L40" s="66"/>
      <c r="N40" s="87">
        <v>7285</v>
      </c>
      <c r="O40" s="71" t="s">
        <v>367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63</v>
      </c>
      <c r="F41" s="145">
        <v>63</v>
      </c>
      <c r="G41" s="558">
        <f t="shared" si="2"/>
        <v>0</v>
      </c>
      <c r="H41" s="99">
        <f>G41+'17'!H41</f>
        <v>0.27000000000000313</v>
      </c>
      <c r="I41" s="95"/>
      <c r="J41" s="175">
        <f>H41/DAY(B2)</f>
        <v>1.5000000000000173E-2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153553.38</v>
      </c>
      <c r="F42" s="145">
        <v>157907.43</v>
      </c>
      <c r="G42" s="558">
        <f t="shared" si="2"/>
        <v>4354.0499999999884</v>
      </c>
      <c r="H42" s="99">
        <f>G42+'17'!H42</f>
        <v>57777.689999999988</v>
      </c>
      <c r="I42" s="95"/>
      <c r="J42" s="175">
        <f>H42/DAY(B2)</f>
        <v>3209.871666666666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151114.07999999999</v>
      </c>
      <c r="F43" s="145">
        <v>153193.76</v>
      </c>
      <c r="G43" s="558">
        <f t="shared" si="2"/>
        <v>2079.6800000000221</v>
      </c>
      <c r="H43" s="99">
        <f>G43+'17'!H43</f>
        <v>38342.160000000003</v>
      </c>
      <c r="I43" s="95"/>
      <c r="J43" s="175">
        <f>H43/DAY(B2)</f>
        <v>2130.1200000000003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558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558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558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560">
        <f>G35+G36+G37+G38+G39+G40+G41+G42+G43+G44+G45+G46</f>
        <v>16817.880000000005</v>
      </c>
      <c r="H47" s="99">
        <f>G47+'17'!H47</f>
        <v>265585.71000000002</v>
      </c>
      <c r="I47" s="95"/>
      <c r="J47" s="175">
        <f>H47/DAY(B2)</f>
        <v>14754.761666666667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568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48028</v>
      </c>
      <c r="F49" s="145">
        <v>49514.54</v>
      </c>
      <c r="G49" s="558">
        <f t="shared" ref="G49:G58" si="3">F49-E49</f>
        <v>1486.5400000000009</v>
      </c>
      <c r="H49" s="99">
        <f>G49+'17'!H49</f>
        <v>24518.350000000002</v>
      </c>
      <c r="I49" s="95"/>
      <c r="J49" s="175">
        <f>H49/DAY(B2)</f>
        <v>1362.1305555555557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77706.53</v>
      </c>
      <c r="F50" s="145">
        <v>78778.45</v>
      </c>
      <c r="G50" s="558">
        <f t="shared" si="3"/>
        <v>1071.9199999999983</v>
      </c>
      <c r="H50" s="99">
        <f>G50+'17'!H50</f>
        <v>22391.82</v>
      </c>
      <c r="I50" s="95"/>
      <c r="J50" s="175">
        <f>H50/DAY(B2)</f>
        <v>1243.99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558">
        <f t="shared" si="3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558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558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13381.39</v>
      </c>
      <c r="F54" s="145">
        <v>13916.45</v>
      </c>
      <c r="G54" s="558">
        <f t="shared" si="3"/>
        <v>535.06000000000131</v>
      </c>
      <c r="H54" s="99">
        <f>G54+'17'!H54</f>
        <v>8769.0300000000007</v>
      </c>
      <c r="I54" s="95"/>
      <c r="J54" s="175">
        <f>H54/DAY(B2)</f>
        <v>487.16833333333335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90578.89</v>
      </c>
      <c r="F55" s="145">
        <v>90578.89</v>
      </c>
      <c r="G55" s="558">
        <f t="shared" si="3"/>
        <v>0</v>
      </c>
      <c r="H55" s="99">
        <f>G55+'17'!H55</f>
        <v>16212.779999999999</v>
      </c>
      <c r="I55" s="95"/>
      <c r="J55" s="175">
        <f>H55/DAY(B2)</f>
        <v>900.70999999999992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8723.6299999999992</v>
      </c>
      <c r="F56" s="145">
        <v>8723.6299999999992</v>
      </c>
      <c r="G56" s="558">
        <f t="shared" si="3"/>
        <v>0</v>
      </c>
      <c r="H56" s="99">
        <f>G56+'17'!H56</f>
        <v>113.08999999999833</v>
      </c>
      <c r="I56" s="95"/>
      <c r="J56" s="175">
        <f>H56/DAY(B2)</f>
        <v>6.2827777777776852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558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8428</v>
      </c>
      <c r="F58" s="549">
        <v>8647</v>
      </c>
      <c r="G58" s="558">
        <f t="shared" si="3"/>
        <v>219</v>
      </c>
      <c r="H58" s="99">
        <f>G58+'17'!H58</f>
        <v>3850.79</v>
      </c>
      <c r="I58" s="95"/>
      <c r="J58" s="175">
        <f>H58/DAY(B2)</f>
        <v>213.93277777777777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560">
        <f>G49+G50+G51+G52+G53+G54+G55+G56+G57+G58</f>
        <v>3312.5200000000004</v>
      </c>
      <c r="H59" s="99">
        <f>G59+'17'!H59</f>
        <v>75855.86</v>
      </c>
      <c r="I59" s="95">
        <f>G7-G60</f>
        <v>431.59999999999491</v>
      </c>
      <c r="J59" s="175">
        <f>H59/DAY(B2)</f>
        <v>4214.2144444444448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560">
        <f>G47+G59</f>
        <v>20130.400000000005</v>
      </c>
      <c r="H60" s="99">
        <f>G60+'17'!H60</f>
        <v>341441.57000000007</v>
      </c>
      <c r="I60" s="95">
        <f>G13-G60</f>
        <v>-215.44000000007145</v>
      </c>
      <c r="J60" s="175">
        <f>H60/DAY(B2)</f>
        <v>18968.976111111115</v>
      </c>
      <c r="K60" s="79"/>
      <c r="L60" s="66"/>
      <c r="N60" s="87"/>
      <c r="O60" s="71"/>
    </row>
    <row r="61" spans="1:15" s="68" customFormat="1" ht="27.75" customHeight="1" x14ac:dyDescent="0.5">
      <c r="A61" s="926" t="s">
        <v>332</v>
      </c>
      <c r="B61" s="927"/>
      <c r="C61" s="928"/>
      <c r="D61" s="339"/>
      <c r="E61" s="339"/>
      <c r="F61" s="339"/>
      <c r="G61" s="569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92" t="s">
        <v>198</v>
      </c>
      <c r="B62" s="893"/>
      <c r="C62" s="894"/>
      <c r="D62" s="151" t="s">
        <v>142</v>
      </c>
      <c r="E62" s="95">
        <f>'17'!F62</f>
        <v>271865</v>
      </c>
      <c r="F62" s="122">
        <v>272020</v>
      </c>
      <c r="G62" s="558">
        <f t="shared" ref="G62:G63" si="4">F62-E62</f>
        <v>155</v>
      </c>
      <c r="H62" s="99">
        <f>G62+'17'!H62</f>
        <v>2504</v>
      </c>
      <c r="I62" s="118"/>
      <c r="J62" s="175">
        <f>H62/DAY(B2)</f>
        <v>139.11111111111111</v>
      </c>
      <c r="K62" s="80"/>
      <c r="L62" s="66"/>
      <c r="N62" s="87"/>
      <c r="O62" s="71"/>
    </row>
    <row r="63" spans="1:15" ht="27.75" customHeight="1" x14ac:dyDescent="0.5">
      <c r="A63" s="892" t="s">
        <v>199</v>
      </c>
      <c r="B63" s="893"/>
      <c r="C63" s="894"/>
      <c r="D63" s="151" t="s">
        <v>142</v>
      </c>
      <c r="E63" s="95">
        <f>'17'!F63</f>
        <v>217964</v>
      </c>
      <c r="F63" s="122">
        <v>218097</v>
      </c>
      <c r="G63" s="558">
        <f t="shared" si="4"/>
        <v>133</v>
      </c>
      <c r="H63" s="99">
        <f>G63+'17'!H63</f>
        <v>2300</v>
      </c>
      <c r="I63" s="118"/>
      <c r="J63" s="175">
        <f>H63/DAY(B2)</f>
        <v>127.77777777777777</v>
      </c>
      <c r="K63" s="69"/>
      <c r="L63" s="66"/>
      <c r="N63" s="87"/>
      <c r="O63" s="71"/>
    </row>
    <row r="64" spans="1:15" ht="27.75" customHeight="1" x14ac:dyDescent="0.5">
      <c r="A64" s="901" t="s">
        <v>200</v>
      </c>
      <c r="B64" s="902"/>
      <c r="C64" s="903"/>
      <c r="D64" s="151"/>
      <c r="E64" s="95">
        <f>'17'!F64</f>
        <v>0</v>
      </c>
      <c r="F64" s="122"/>
      <c r="G64" s="558">
        <f>G62+G63</f>
        <v>288</v>
      </c>
      <c r="H64" s="99">
        <f>G64+'17'!H64</f>
        <v>4804</v>
      </c>
      <c r="I64" s="118"/>
      <c r="J64" s="175">
        <f>H64/DAY(B2)</f>
        <v>266.88888888888891</v>
      </c>
      <c r="K64" s="69"/>
      <c r="L64" s="66"/>
      <c r="N64" s="87"/>
      <c r="O64" s="71"/>
    </row>
    <row r="65" spans="1:15" ht="27.75" customHeight="1" x14ac:dyDescent="0.5">
      <c r="A65" s="892" t="s">
        <v>201</v>
      </c>
      <c r="B65" s="893"/>
      <c r="C65" s="894"/>
      <c r="D65" s="151" t="s">
        <v>142</v>
      </c>
      <c r="E65" s="95">
        <f>'17'!F65</f>
        <v>436667</v>
      </c>
      <c r="F65" s="122">
        <v>436751</v>
      </c>
      <c r="G65" s="558">
        <f t="shared" ref="G65:G70" si="5">F65-E65</f>
        <v>84</v>
      </c>
      <c r="H65" s="99">
        <f>G65+'17'!H65</f>
        <v>1828</v>
      </c>
      <c r="I65" s="118"/>
      <c r="J65" s="175">
        <f>H65/DAY(B2)</f>
        <v>101.55555555555556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'17'!F66</f>
        <v>108168</v>
      </c>
      <c r="F66" s="122">
        <v>108187</v>
      </c>
      <c r="G66" s="558">
        <f t="shared" si="5"/>
        <v>19</v>
      </c>
      <c r="H66" s="99">
        <f>G66+'17'!H66</f>
        <v>444</v>
      </c>
      <c r="I66" s="118"/>
      <c r="J66" s="175">
        <f>H66/DAY(B2)</f>
        <v>24.666666666666668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'17'!F67</f>
        <v>105450</v>
      </c>
      <c r="F67" s="122">
        <v>105525</v>
      </c>
      <c r="G67" s="558">
        <f t="shared" si="5"/>
        <v>75</v>
      </c>
      <c r="H67" s="99">
        <f>G67+'17'!H67</f>
        <v>877</v>
      </c>
      <c r="I67" s="118"/>
      <c r="J67" s="175">
        <f>H67/DAY(B2)</f>
        <v>48.722222222222221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'17'!F68</f>
        <v>158374</v>
      </c>
      <c r="F68" s="122">
        <v>158437</v>
      </c>
      <c r="G68" s="558">
        <f t="shared" si="5"/>
        <v>63</v>
      </c>
      <c r="H68" s="99">
        <f>G68+'17'!H68</f>
        <v>740</v>
      </c>
      <c r="I68" s="118"/>
      <c r="J68" s="175">
        <f>H68/DAY(B2)</f>
        <v>41.111111111111114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'17'!F69</f>
        <v>10772</v>
      </c>
      <c r="F69" s="122">
        <v>10778</v>
      </c>
      <c r="G69" s="558">
        <f t="shared" si="5"/>
        <v>6</v>
      </c>
      <c r="H69" s="99">
        <f>G69+'17'!H69</f>
        <v>237</v>
      </c>
      <c r="I69" s="118"/>
      <c r="J69" s="175">
        <f>H69/DAY(B2)</f>
        <v>13.166666666666666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'17'!F70</f>
        <v>8326</v>
      </c>
      <c r="F70" s="122">
        <v>8338</v>
      </c>
      <c r="G70" s="558">
        <f t="shared" si="5"/>
        <v>12</v>
      </c>
      <c r="H70" s="99">
        <f>G70+'17'!H70</f>
        <v>218</v>
      </c>
      <c r="I70" s="118"/>
      <c r="J70" s="175">
        <f>H70/DAY(B2)</f>
        <v>12.111111111111111</v>
      </c>
      <c r="K70" s="69"/>
      <c r="L70" s="66"/>
      <c r="N70" s="87"/>
      <c r="O70" s="71"/>
    </row>
    <row r="71" spans="1:15" ht="27.75" customHeight="1" x14ac:dyDescent="0.5">
      <c r="A71" s="901" t="s">
        <v>208</v>
      </c>
      <c r="B71" s="902"/>
      <c r="C71" s="903"/>
      <c r="D71" s="152"/>
      <c r="E71" s="152"/>
      <c r="F71" s="152"/>
      <c r="G71" s="570">
        <f>SUM(G65:G70)</f>
        <v>259</v>
      </c>
      <c r="H71" s="99">
        <f>G71+'17'!H71</f>
        <v>4344</v>
      </c>
      <c r="I71" s="154"/>
      <c r="J71" s="175">
        <f>H71/DAY(B2)</f>
        <v>241.33333333333334</v>
      </c>
      <c r="K71" s="69"/>
      <c r="L71" s="66"/>
      <c r="N71" s="87"/>
      <c r="O71" s="71"/>
    </row>
    <row r="72" spans="1:15" s="88" customFormat="1" ht="27.75" customHeight="1" x14ac:dyDescent="0.5">
      <c r="A72" s="888"/>
      <c r="B72" s="873"/>
      <c r="C72" s="347"/>
      <c r="D72" s="180"/>
      <c r="E72" s="180" t="s">
        <v>207</v>
      </c>
      <c r="F72" s="180"/>
      <c r="G72" s="571"/>
      <c r="H72" s="181"/>
      <c r="I72" s="180"/>
      <c r="J72" s="182"/>
      <c r="N72" s="87"/>
      <c r="O72" s="71"/>
    </row>
    <row r="73" spans="1:15" ht="27.75" customHeight="1" x14ac:dyDescent="0.5">
      <c r="A73" s="898" t="s">
        <v>333</v>
      </c>
      <c r="B73" s="899"/>
      <c r="C73" s="900"/>
      <c r="D73" s="339"/>
      <c r="E73" s="339"/>
      <c r="F73" s="339"/>
      <c r="G73" s="569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92" t="s">
        <v>220</v>
      </c>
      <c r="B74" s="893"/>
      <c r="C74" s="894"/>
      <c r="D74" s="151" t="s">
        <v>139</v>
      </c>
      <c r="E74" s="95">
        <f>'17'!F74</f>
        <v>906469.79</v>
      </c>
      <c r="F74" s="123">
        <v>906768.18</v>
      </c>
      <c r="G74" s="558">
        <f>F74-E74</f>
        <v>298.39000000001397</v>
      </c>
      <c r="H74" s="99">
        <f>G74+'17'!H74</f>
        <v>5462.0310000000754</v>
      </c>
      <c r="I74" s="154"/>
      <c r="J74" s="175">
        <f>H74/DAY(B2)</f>
        <v>303.44616666667088</v>
      </c>
      <c r="K74" s="69"/>
      <c r="L74" s="66"/>
      <c r="N74" s="87"/>
      <c r="O74" s="71"/>
    </row>
    <row r="75" spans="1:15" ht="27.75" customHeight="1" x14ac:dyDescent="0.5">
      <c r="A75" s="892" t="s">
        <v>221</v>
      </c>
      <c r="B75" s="893"/>
      <c r="C75" s="894"/>
      <c r="D75" s="151" t="s">
        <v>139</v>
      </c>
      <c r="E75" s="95">
        <f>'17'!F75</f>
        <v>73586.8</v>
      </c>
      <c r="F75" s="492">
        <v>73586.8</v>
      </c>
      <c r="G75" s="558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89" t="s">
        <v>222</v>
      </c>
      <c r="B76" s="890"/>
      <c r="C76" s="891"/>
      <c r="D76" s="151" t="s">
        <v>139</v>
      </c>
      <c r="E76" s="95">
        <f>'17'!F76</f>
        <v>171894.23</v>
      </c>
      <c r="F76" s="123">
        <v>172006.88</v>
      </c>
      <c r="G76" s="558">
        <f>F76-E76</f>
        <v>112.64999999999418</v>
      </c>
      <c r="H76" s="99">
        <f>G76+'17'!H76</f>
        <v>2031.8800000000047</v>
      </c>
      <c r="I76" s="154"/>
      <c r="J76" s="175">
        <f>H76/DAY(B2)</f>
        <v>112.88222222222248</v>
      </c>
      <c r="K76" s="69"/>
      <c r="L76" s="66"/>
      <c r="N76" s="87"/>
      <c r="O76" s="71"/>
    </row>
    <row r="77" spans="1:15" ht="27.75" customHeight="1" x14ac:dyDescent="0.5">
      <c r="A77" s="889" t="s">
        <v>223</v>
      </c>
      <c r="B77" s="890"/>
      <c r="C77" s="891"/>
      <c r="D77" s="151" t="s">
        <v>139</v>
      </c>
      <c r="E77" s="95">
        <f>'17'!F77</f>
        <v>42106.400000000001</v>
      </c>
      <c r="F77" s="123">
        <v>42157</v>
      </c>
      <c r="G77" s="558">
        <f t="shared" si="6"/>
        <v>50.599999999998545</v>
      </c>
      <c r="H77" s="99">
        <f>G77+'17'!H77</f>
        <v>854.80000000000291</v>
      </c>
      <c r="I77" s="154"/>
      <c r="J77" s="175">
        <f>H77/DAY(B2)</f>
        <v>47.488888888889051</v>
      </c>
      <c r="K77" s="69"/>
      <c r="L77" s="66"/>
      <c r="N77" s="87"/>
      <c r="O77" s="71"/>
    </row>
    <row r="78" spans="1:15" ht="27.75" customHeight="1" x14ac:dyDescent="0.5">
      <c r="A78" s="889" t="s">
        <v>224</v>
      </c>
      <c r="B78" s="890"/>
      <c r="C78" s="891"/>
      <c r="D78" s="151" t="s">
        <v>139</v>
      </c>
      <c r="E78" s="95">
        <f>'17'!F78</f>
        <v>9539.9</v>
      </c>
      <c r="F78" s="123">
        <v>9541.1</v>
      </c>
      <c r="G78" s="558">
        <f t="shared" si="6"/>
        <v>1.2000000000007276</v>
      </c>
      <c r="H78" s="99">
        <f>G78+'17'!H78</f>
        <v>28.100000000000364</v>
      </c>
      <c r="I78" s="118"/>
      <c r="J78" s="175">
        <f>H78/DAY(B2)</f>
        <v>1.5611111111111313</v>
      </c>
      <c r="K78" s="69"/>
      <c r="L78" s="66"/>
      <c r="N78" s="87"/>
      <c r="O78" s="71"/>
    </row>
    <row r="79" spans="1:15" s="57" customFormat="1" ht="27.75" customHeight="1" x14ac:dyDescent="0.5">
      <c r="A79" s="889" t="s">
        <v>225</v>
      </c>
      <c r="B79" s="890"/>
      <c r="C79" s="891"/>
      <c r="D79" s="151"/>
      <c r="E79" s="95">
        <f>'17'!F79</f>
        <v>0</v>
      </c>
      <c r="F79" s="123">
        <v>0</v>
      </c>
      <c r="G79" s="558">
        <f>G15-SUM(G74:G78)</f>
        <v>593.96499999992739</v>
      </c>
      <c r="H79" s="99">
        <f>G79+'17'!H79</f>
        <v>10859.801999999812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901" t="s">
        <v>329</v>
      </c>
      <c r="B80" s="902"/>
      <c r="C80" s="903"/>
      <c r="D80" s="151"/>
      <c r="E80" s="117"/>
      <c r="F80" s="117"/>
      <c r="G80" s="558">
        <f>SUM(G74:G79)</f>
        <v>1056.8049999999348</v>
      </c>
      <c r="H80" s="99">
        <f>G80+'17'!H80</f>
        <v>1056.8049999999348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906" t="s">
        <v>226</v>
      </c>
      <c r="B81" s="907"/>
      <c r="C81" s="908"/>
      <c r="D81" s="110"/>
      <c r="E81" s="110"/>
      <c r="F81" s="110"/>
      <c r="G81" s="572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558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558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'17'!F84</f>
        <v>41675</v>
      </c>
      <c r="F84" s="164">
        <v>41675.26</v>
      </c>
      <c r="G84" s="558">
        <f>F84-E84</f>
        <v>0.26000000000203727</v>
      </c>
      <c r="H84" s="99">
        <f>G84+'17'!H84</f>
        <v>0.26000000000203727</v>
      </c>
      <c r="I84" s="118"/>
      <c r="J84" s="175">
        <f>H84/DAY(B2)</f>
        <v>1.4444444444557626E-2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'17'!F85</f>
        <v>2551.4</v>
      </c>
      <c r="F85" s="164">
        <v>2575.29</v>
      </c>
      <c r="G85" s="558">
        <f t="shared" si="7"/>
        <v>23.889999999999873</v>
      </c>
      <c r="H85" s="99">
        <f>G85+'17'!H85</f>
        <v>314.86999999999989</v>
      </c>
      <c r="I85" s="118">
        <f>G82+G83+G84+G85</f>
        <v>24.15000000000191</v>
      </c>
      <c r="J85" s="175">
        <f>H85/DAY(B2)</f>
        <v>17.492777777777771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'17'!F86</f>
        <v>43564</v>
      </c>
      <c r="F86" s="164">
        <v>43564</v>
      </c>
      <c r="G86" s="558">
        <f t="shared" si="7"/>
        <v>0</v>
      </c>
      <c r="H86" s="99">
        <f>G86+'17'!H86</f>
        <v>122</v>
      </c>
      <c r="I86" s="118"/>
      <c r="J86" s="175">
        <f>H86/DAY(B2)</f>
        <v>6.7777777777777777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'17'!F87</f>
        <v>34598.550000000003</v>
      </c>
      <c r="F87" s="164">
        <v>34598.550000000003</v>
      </c>
      <c r="G87" s="558">
        <f t="shared" si="7"/>
        <v>0</v>
      </c>
      <c r="H87" s="99">
        <f>G87+'17'!H87</f>
        <v>5.0000000002910383E-2</v>
      </c>
      <c r="I87" s="118"/>
      <c r="J87" s="175">
        <f>H87/DAY(B2)</f>
        <v>2.7777777779394658E-3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'17'!F88</f>
        <v>24067.78</v>
      </c>
      <c r="F88" s="164">
        <v>24067.78</v>
      </c>
      <c r="G88" s="558">
        <f t="shared" si="7"/>
        <v>0</v>
      </c>
      <c r="H88" s="99">
        <f>G88+'17'!H88</f>
        <v>4.3499999999985448</v>
      </c>
      <c r="I88" s="118">
        <f>G86+G87+G88</f>
        <v>0</v>
      </c>
      <c r="J88" s="175">
        <f>H88/DAY(B2)</f>
        <v>0.24166666666658582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'17'!F89</f>
        <v>26068.16</v>
      </c>
      <c r="F89" s="164">
        <v>26079.119999999999</v>
      </c>
      <c r="G89" s="558">
        <f t="shared" si="7"/>
        <v>10.959999999999127</v>
      </c>
      <c r="H89" s="99">
        <f>G89+'17'!H89</f>
        <v>188</v>
      </c>
      <c r="I89" s="118"/>
      <c r="J89" s="175">
        <f>H89/DAY(B2)</f>
        <v>10.444444444444445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'17'!F90</f>
        <v>71236.649999999994</v>
      </c>
      <c r="F90" s="164">
        <v>71240.67</v>
      </c>
      <c r="G90" s="558">
        <f t="shared" si="7"/>
        <v>4.0200000000040745</v>
      </c>
      <c r="H90" s="99">
        <f>G90+'17'!H90</f>
        <v>77.349999999991269</v>
      </c>
      <c r="I90" s="118">
        <f>G89+G90</f>
        <v>14.980000000003201</v>
      </c>
      <c r="J90" s="175">
        <f>H90/DAY(B2)</f>
        <v>4.2972222222217376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'17'!F91</f>
        <v>3442.75</v>
      </c>
      <c r="F91" s="122">
        <v>3454.07</v>
      </c>
      <c r="G91" s="558">
        <f t="shared" si="7"/>
        <v>11.320000000000164</v>
      </c>
      <c r="H91" s="99">
        <f>G91+'17'!H91</f>
        <v>202.98000000000002</v>
      </c>
      <c r="I91" s="165"/>
      <c r="J91" s="175">
        <f>H91/DAY(B2)</f>
        <v>11.276666666666667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'17'!F92</f>
        <v>5741</v>
      </c>
      <c r="F92" s="122">
        <v>5741</v>
      </c>
      <c r="G92" s="558">
        <f t="shared" si="7"/>
        <v>0</v>
      </c>
      <c r="H92" s="99">
        <f>G92+'17'!H92</f>
        <v>-6.9999999999708962E-2</v>
      </c>
      <c r="I92" s="165"/>
      <c r="J92" s="175">
        <f>H92/DAY(B2)</f>
        <v>-3.8888888888727203E-3</v>
      </c>
      <c r="O92" s="71"/>
    </row>
    <row r="93" spans="1:15" ht="27.75" customHeight="1" x14ac:dyDescent="0.5">
      <c r="A93" s="895" t="s">
        <v>239</v>
      </c>
      <c r="B93" s="896"/>
      <c r="C93" s="897"/>
      <c r="D93" s="111"/>
      <c r="E93" s="111"/>
      <c r="F93" s="111"/>
      <c r="G93" s="561"/>
      <c r="H93" s="121"/>
      <c r="I93" s="121"/>
      <c r="J93" s="183"/>
      <c r="K93" s="69"/>
      <c r="L93" s="66"/>
      <c r="O93" s="71"/>
    </row>
    <row r="94" spans="1:15" ht="27.75" customHeight="1" x14ac:dyDescent="0.5">
      <c r="A94" s="892" t="s">
        <v>240</v>
      </c>
      <c r="B94" s="893"/>
      <c r="C94" s="894"/>
      <c r="D94" s="151" t="s">
        <v>130</v>
      </c>
      <c r="E94" s="151"/>
      <c r="F94" s="151"/>
      <c r="G94" s="573">
        <f>G35+G43+G49+G57</f>
        <v>5194.4400000000242</v>
      </c>
      <c r="H94" s="99">
        <f>G94+'17'!H94</f>
        <v>90003.43</v>
      </c>
      <c r="I94" s="118"/>
      <c r="J94" s="175">
        <f>H94/DAY(B2)</f>
        <v>5000.190555555555</v>
      </c>
      <c r="K94" s="69"/>
      <c r="L94" s="66"/>
      <c r="O94" s="71"/>
    </row>
    <row r="95" spans="1:15" ht="27.75" customHeight="1" x14ac:dyDescent="0.5">
      <c r="A95" s="892" t="s">
        <v>241</v>
      </c>
      <c r="B95" s="893"/>
      <c r="C95" s="894"/>
      <c r="D95" s="151" t="s">
        <v>23</v>
      </c>
      <c r="E95" s="146"/>
      <c r="F95" s="146"/>
      <c r="G95" s="574">
        <f>G94/G7</f>
        <v>0.25262328567260112</v>
      </c>
      <c r="H95" s="99">
        <f>G95+'17'!H95</f>
        <v>4.4641354726278424</v>
      </c>
      <c r="I95" s="167"/>
      <c r="J95" s="175">
        <f>H95/DAY(B2)</f>
        <v>0.24800752625710235</v>
      </c>
      <c r="K95" s="69"/>
      <c r="L95" s="66"/>
      <c r="O95" s="71"/>
    </row>
    <row r="96" spans="1:15" ht="27.75" customHeight="1" x14ac:dyDescent="0.5">
      <c r="A96" s="892" t="s">
        <v>242</v>
      </c>
      <c r="B96" s="893"/>
      <c r="C96" s="894"/>
      <c r="D96" s="151" t="s">
        <v>130</v>
      </c>
      <c r="E96" s="95"/>
      <c r="F96" s="95"/>
      <c r="G96" s="573">
        <f>G41+G42+G55+G56</f>
        <v>4354.0499999999884</v>
      </c>
      <c r="H96" s="99">
        <f>G96+'17'!H96</f>
        <v>74103.829999999987</v>
      </c>
      <c r="I96" s="118"/>
      <c r="J96" s="175">
        <f>H96/DAY(B2)</f>
        <v>4116.8794444444438</v>
      </c>
      <c r="K96" s="69"/>
      <c r="L96" s="66"/>
      <c r="O96" s="71"/>
    </row>
    <row r="97" spans="1:15" ht="27.75" customHeight="1" x14ac:dyDescent="0.5">
      <c r="A97" s="892" t="s">
        <v>243</v>
      </c>
      <c r="B97" s="893"/>
      <c r="C97" s="894"/>
      <c r="D97" s="151" t="s">
        <v>23</v>
      </c>
      <c r="E97" s="95"/>
      <c r="F97" s="95"/>
      <c r="G97" s="574">
        <f>G96/G7</f>
        <v>0.21175226145316547</v>
      </c>
      <c r="H97" s="99">
        <f>G97+'17'!H97</f>
        <v>3.6641242051458431</v>
      </c>
      <c r="I97" s="167"/>
      <c r="J97" s="175">
        <f>H97/DAY(B2)</f>
        <v>0.20356245584143573</v>
      </c>
      <c r="K97" s="69"/>
      <c r="L97" s="66"/>
      <c r="O97" s="71"/>
    </row>
    <row r="98" spans="1:15" ht="27.75" customHeight="1" x14ac:dyDescent="0.5">
      <c r="A98" s="892" t="s">
        <v>244</v>
      </c>
      <c r="B98" s="893"/>
      <c r="C98" s="894"/>
      <c r="D98" s="151" t="s">
        <v>130</v>
      </c>
      <c r="E98" s="95"/>
      <c r="F98" s="95"/>
      <c r="G98" s="573">
        <f>G39+G53</f>
        <v>3089.679999999993</v>
      </c>
      <c r="H98" s="99">
        <f>G98+'17'!H98</f>
        <v>53411.409999999996</v>
      </c>
      <c r="I98" s="168"/>
      <c r="J98" s="175">
        <f>H98/DAY(B2)</f>
        <v>2967.3005555555555</v>
      </c>
      <c r="K98" s="69"/>
      <c r="L98" s="66"/>
      <c r="O98" s="71"/>
    </row>
    <row r="99" spans="1:15" ht="27.75" customHeight="1" x14ac:dyDescent="0.5">
      <c r="A99" s="892" t="s">
        <v>245</v>
      </c>
      <c r="B99" s="893"/>
      <c r="C99" s="894"/>
      <c r="D99" s="151" t="s">
        <v>23</v>
      </c>
      <c r="E99" s="95"/>
      <c r="F99" s="95"/>
      <c r="G99" s="574">
        <f>G98/G7</f>
        <v>0.15026164769963976</v>
      </c>
      <c r="H99" s="99">
        <f>G99+'17'!H99</f>
        <v>2.6469357387536561</v>
      </c>
      <c r="I99" s="168"/>
      <c r="J99" s="175">
        <f>H99/DAY(B2)</f>
        <v>0.14705198548631424</v>
      </c>
      <c r="O99" s="71"/>
    </row>
    <row r="100" spans="1:15" ht="27.75" customHeight="1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573">
        <f>G38+G52</f>
        <v>2102.5</v>
      </c>
      <c r="H100" s="99">
        <f>G100+'17'!H100</f>
        <v>35070.07</v>
      </c>
      <c r="I100" s="118"/>
      <c r="J100" s="175">
        <f>H100/DAY(B2)</f>
        <v>1948.3372222222222</v>
      </c>
      <c r="K100" s="70"/>
      <c r="O100" s="71"/>
    </row>
    <row r="101" spans="1:15" ht="27.75" customHeight="1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574">
        <f>G100/G7</f>
        <v>0.10225172648575041</v>
      </c>
      <c r="H101" s="99">
        <f>G101+'17'!H101</f>
        <v>1.7380780371314892</v>
      </c>
      <c r="I101" s="168"/>
      <c r="J101" s="175">
        <f>H101/DAY(B2)</f>
        <v>9.6559890951749397E-2</v>
      </c>
      <c r="O101" s="71"/>
    </row>
    <row r="102" spans="1:15" ht="27.75" customHeight="1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573">
        <f>G36+G50</f>
        <v>2054.9099999999962</v>
      </c>
      <c r="H102" s="99">
        <f>G102+'17'!H102</f>
        <v>39164.68</v>
      </c>
      <c r="I102" s="168"/>
      <c r="J102" s="175">
        <f>H102/DAY(B2)</f>
        <v>2175.8155555555554</v>
      </c>
      <c r="O102" s="71"/>
    </row>
    <row r="103" spans="1:15" ht="27.75" customHeight="1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574">
        <f>G102/G7</f>
        <v>9.9937262912167896E-2</v>
      </c>
      <c r="H103" s="99">
        <f>G103+'17'!H103</f>
        <v>1.9351904397852258</v>
      </c>
      <c r="I103" s="118"/>
      <c r="J103" s="175">
        <f>H103/DAY(B2)</f>
        <v>0.10751057998806809</v>
      </c>
      <c r="O103" s="71"/>
    </row>
    <row r="104" spans="1:15" ht="27.75" customHeight="1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573">
        <f>G37+G51</f>
        <v>1732.8400000000038</v>
      </c>
      <c r="H104" s="99">
        <f>G104+'17'!H104</f>
        <v>30189.930000000008</v>
      </c>
      <c r="I104" s="118"/>
      <c r="J104" s="175">
        <f>H104/DAY(B2)</f>
        <v>1677.2183333333337</v>
      </c>
      <c r="O104" s="71"/>
    </row>
    <row r="105" spans="1:15" ht="27.75" customHeight="1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575">
        <f>G104/G7</f>
        <v>8.4273903316798154E-2</v>
      </c>
      <c r="H105" s="99">
        <f>G105+'17'!H105</f>
        <v>1.4986777422134763</v>
      </c>
      <c r="I105" s="187"/>
      <c r="J105" s="188">
        <f>H105/DAY(B2)</f>
        <v>8.3259874567415348E-2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576"/>
      <c r="H106" s="170"/>
      <c r="I106" s="169"/>
      <c r="J106" s="171"/>
      <c r="O106" s="71"/>
    </row>
    <row r="108" spans="1:15" ht="27.75" customHeight="1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7.75" customHeight="1" x14ac:dyDescent="0.5">
      <c r="A109" s="909"/>
      <c r="B109" s="909"/>
    </row>
    <row r="110" spans="1:15" ht="27.75" customHeight="1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customHeight="1" x14ac:dyDescent="0.5">
      <c r="A111" s="875"/>
      <c r="B111" s="876"/>
      <c r="C111" s="877"/>
      <c r="D111" s="165"/>
      <c r="E111" s="165"/>
      <c r="F111" s="165"/>
      <c r="G111" s="578"/>
      <c r="H111" s="156"/>
      <c r="I111" s="165"/>
      <c r="J111" s="327"/>
    </row>
    <row r="112" spans="1:15" ht="27.75" customHeight="1" x14ac:dyDescent="0.5">
      <c r="A112" s="871" t="s">
        <v>252</v>
      </c>
      <c r="B112" s="872"/>
      <c r="C112" s="873"/>
      <c r="D112" s="146" t="s">
        <v>183</v>
      </c>
      <c r="E112" s="95">
        <f>'17'!F112</f>
        <v>59263.51</v>
      </c>
      <c r="F112" s="237">
        <v>59328.77</v>
      </c>
      <c r="G112" s="558">
        <f t="shared" ref="G112:G123" si="8">F112-E112</f>
        <v>65.259999999994761</v>
      </c>
      <c r="H112" s="99">
        <f>G112+'17'!H112</f>
        <v>1274.7699999999968</v>
      </c>
      <c r="I112" s="165"/>
      <c r="J112" s="328">
        <f>H112/DAY(B2)</f>
        <v>70.820555555555373</v>
      </c>
    </row>
    <row r="113" spans="1:18" ht="27.75" customHeight="1" x14ac:dyDescent="0.5">
      <c r="A113" s="871" t="s">
        <v>253</v>
      </c>
      <c r="B113" s="872"/>
      <c r="C113" s="873"/>
      <c r="D113" s="146" t="s">
        <v>183</v>
      </c>
      <c r="E113" s="95">
        <f>'17'!F113</f>
        <v>54370.49</v>
      </c>
      <c r="F113" s="237">
        <v>54851.91</v>
      </c>
      <c r="G113" s="558">
        <f t="shared" si="8"/>
        <v>481.42000000000553</v>
      </c>
      <c r="H113" s="99">
        <f>G113+'17'!H113</f>
        <v>8451.0200000000041</v>
      </c>
      <c r="I113" s="165"/>
      <c r="J113" s="328">
        <f>H113/DAY(B2)</f>
        <v>469.50111111111136</v>
      </c>
    </row>
    <row r="114" spans="1:18" ht="27.75" customHeight="1" x14ac:dyDescent="0.5">
      <c r="A114" s="871" t="s">
        <v>254</v>
      </c>
      <c r="B114" s="872"/>
      <c r="C114" s="873"/>
      <c r="D114" s="146" t="s">
        <v>183</v>
      </c>
      <c r="E114" s="95">
        <f>'17'!F114</f>
        <v>38573.800000000003</v>
      </c>
      <c r="F114" s="237">
        <v>38835.699999999997</v>
      </c>
      <c r="G114" s="558">
        <f t="shared" si="8"/>
        <v>261.89999999999418</v>
      </c>
      <c r="H114" s="99">
        <f>G114+'17'!H114</f>
        <v>5675.6999999999971</v>
      </c>
      <c r="I114" s="165"/>
      <c r="J114" s="328">
        <f>H114/DAY(B2)</f>
        <v>315.31666666666649</v>
      </c>
    </row>
    <row r="115" spans="1:18" ht="27.75" customHeight="1" x14ac:dyDescent="0.5">
      <c r="A115" s="871" t="s">
        <v>255</v>
      </c>
      <c r="B115" s="872"/>
      <c r="C115" s="873"/>
      <c r="D115" s="146" t="s">
        <v>183</v>
      </c>
      <c r="E115" s="95">
        <f>'17'!F115</f>
        <v>9292.64</v>
      </c>
      <c r="F115" s="237">
        <v>9305.8700000000008</v>
      </c>
      <c r="G115" s="558">
        <f t="shared" si="8"/>
        <v>13.230000000001382</v>
      </c>
      <c r="H115" s="99">
        <f>G115+'17'!H115</f>
        <v>211.22000000000116</v>
      </c>
      <c r="I115" s="165"/>
      <c r="J115" s="328">
        <f>H115/DAY(B2)</f>
        <v>11.73444444444451</v>
      </c>
    </row>
    <row r="116" spans="1:18" ht="27.75" customHeight="1" x14ac:dyDescent="0.5">
      <c r="A116" s="878" t="s">
        <v>96</v>
      </c>
      <c r="B116" s="879"/>
      <c r="C116" s="880"/>
      <c r="D116" s="146" t="s">
        <v>183</v>
      </c>
      <c r="E116" s="95">
        <f>'17'!F116</f>
        <v>4594.79</v>
      </c>
      <c r="F116" s="237">
        <v>4994.12</v>
      </c>
      <c r="G116" s="558">
        <f t="shared" si="8"/>
        <v>399.32999999999993</v>
      </c>
      <c r="H116" s="99">
        <f>G116+'17'!H116</f>
        <v>4994.12</v>
      </c>
      <c r="I116" s="165"/>
      <c r="J116" s="328">
        <f>H116/DAY(B2)</f>
        <v>277.45111111111112</v>
      </c>
      <c r="Q116" s="871" t="s">
        <v>311</v>
      </c>
      <c r="R116" s="873"/>
    </row>
    <row r="117" spans="1:18" ht="27.75" customHeight="1" x14ac:dyDescent="0.5">
      <c r="A117" s="878" t="s">
        <v>184</v>
      </c>
      <c r="B117" s="879"/>
      <c r="C117" s="880"/>
      <c r="D117" s="146" t="s">
        <v>183</v>
      </c>
      <c r="E117" s="95">
        <f>'17'!F117</f>
        <v>5894.71</v>
      </c>
      <c r="F117" s="237">
        <v>6071.16</v>
      </c>
      <c r="G117" s="558">
        <f t="shared" si="8"/>
        <v>176.44999999999982</v>
      </c>
      <c r="H117" s="99">
        <f>G117+'17'!H117</f>
        <v>2733.21</v>
      </c>
      <c r="I117" s="165"/>
      <c r="J117" s="328">
        <f>H117/DAY(B2)</f>
        <v>151.845</v>
      </c>
      <c r="Q117" s="871" t="s">
        <v>312</v>
      </c>
      <c r="R117" s="873"/>
    </row>
    <row r="118" spans="1:18" ht="27.75" customHeight="1" x14ac:dyDescent="0.5">
      <c r="A118" s="870" t="s">
        <v>97</v>
      </c>
      <c r="B118" s="870"/>
      <c r="C118" s="870"/>
      <c r="D118" s="151" t="s">
        <v>183</v>
      </c>
      <c r="E118" s="95">
        <f>'17'!F118</f>
        <v>258853.88</v>
      </c>
      <c r="F118" s="237">
        <v>259259.27</v>
      </c>
      <c r="G118" s="558">
        <f t="shared" si="8"/>
        <v>405.38999999998487</v>
      </c>
      <c r="H118" s="99">
        <f>G118+'17'!H118</f>
        <v>6806.9599999999919</v>
      </c>
      <c r="I118" s="165"/>
      <c r="J118" s="328">
        <f>H118/DAY(B2)</f>
        <v>378.16444444444397</v>
      </c>
      <c r="Q118" s="871" t="s">
        <v>311</v>
      </c>
      <c r="R118" s="873"/>
    </row>
    <row r="119" spans="1:18" ht="27.75" customHeight="1" x14ac:dyDescent="0.5">
      <c r="A119" s="870" t="s">
        <v>98</v>
      </c>
      <c r="B119" s="870"/>
      <c r="C119" s="870"/>
      <c r="D119" s="151" t="s">
        <v>183</v>
      </c>
      <c r="E119" s="95">
        <f>'17'!F119</f>
        <v>265321.09000000003</v>
      </c>
      <c r="F119" s="237">
        <v>265753.33</v>
      </c>
      <c r="G119" s="558">
        <f t="shared" si="8"/>
        <v>432.23999999999069</v>
      </c>
      <c r="H119" s="99">
        <f>G119+'17'!H119</f>
        <v>7604.7800000000279</v>
      </c>
      <c r="I119" s="165"/>
      <c r="J119" s="328">
        <f>H119/DAY(B2)</f>
        <v>422.48777777777934</v>
      </c>
    </row>
    <row r="120" spans="1:18" ht="27.75" customHeight="1" x14ac:dyDescent="0.5">
      <c r="A120" s="870" t="s">
        <v>99</v>
      </c>
      <c r="B120" s="870"/>
      <c r="C120" s="870"/>
      <c r="D120" s="151" t="s">
        <v>183</v>
      </c>
      <c r="E120" s="95">
        <f>'17'!F120</f>
        <v>50176.47</v>
      </c>
      <c r="F120" s="237">
        <v>50618.01</v>
      </c>
      <c r="G120" s="558">
        <f t="shared" si="8"/>
        <v>441.54000000000087</v>
      </c>
      <c r="H120" s="99">
        <f>G120+'17'!H120</f>
        <v>7658.4000000000015</v>
      </c>
      <c r="I120" s="165"/>
      <c r="J120" s="328">
        <f>H120/DAY(B2)</f>
        <v>425.46666666666675</v>
      </c>
    </row>
    <row r="121" spans="1:18" ht="27.75" customHeight="1" x14ac:dyDescent="0.5">
      <c r="A121" s="870" t="s">
        <v>100</v>
      </c>
      <c r="B121" s="870"/>
      <c r="C121" s="870"/>
      <c r="D121" s="151" t="s">
        <v>183</v>
      </c>
      <c r="E121" s="95">
        <f>'17'!F121</f>
        <v>410599.75</v>
      </c>
      <c r="F121" s="237">
        <v>411343.51</v>
      </c>
      <c r="G121" s="558">
        <f t="shared" si="8"/>
        <v>743.76000000000931</v>
      </c>
      <c r="H121" s="99">
        <f>G121+'17'!H121</f>
        <v>13309.080000000016</v>
      </c>
      <c r="I121" s="165"/>
      <c r="J121" s="328">
        <f>H121/DAY(B2)</f>
        <v>739.39333333333423</v>
      </c>
    </row>
    <row r="122" spans="1:18" ht="27.75" customHeight="1" x14ac:dyDescent="0.5">
      <c r="A122" s="870" t="s">
        <v>101</v>
      </c>
      <c r="B122" s="870"/>
      <c r="C122" s="870"/>
      <c r="D122" s="151" t="s">
        <v>183</v>
      </c>
      <c r="E122" s="95">
        <f>'17'!F122</f>
        <v>129958.97</v>
      </c>
      <c r="F122" s="237">
        <v>130173.65</v>
      </c>
      <c r="G122" s="558">
        <f t="shared" si="8"/>
        <v>214.67999999999302</v>
      </c>
      <c r="H122" s="99">
        <f>G122+'17'!H122</f>
        <v>3987.4700000000012</v>
      </c>
      <c r="I122" s="165"/>
      <c r="J122" s="328">
        <f>H122/DAY(B2)</f>
        <v>221.52611111111116</v>
      </c>
    </row>
    <row r="123" spans="1:18" ht="27.75" customHeight="1" x14ac:dyDescent="0.5">
      <c r="A123" s="870" t="s">
        <v>102</v>
      </c>
      <c r="B123" s="870"/>
      <c r="C123" s="870"/>
      <c r="D123" s="151" t="s">
        <v>183</v>
      </c>
      <c r="E123" s="95">
        <f>'17'!F123</f>
        <v>158400.78</v>
      </c>
      <c r="F123" s="237">
        <v>158658.81</v>
      </c>
      <c r="G123" s="558">
        <f t="shared" si="8"/>
        <v>258.02999999999884</v>
      </c>
      <c r="H123" s="99">
        <f>G123+'17'!H123</f>
        <v>4611.859999999986</v>
      </c>
      <c r="I123" s="165"/>
      <c r="J123" s="328">
        <f>H123/DAY(B2)</f>
        <v>256.21444444444364</v>
      </c>
    </row>
    <row r="124" spans="1:18" ht="27.75" customHeight="1" x14ac:dyDescent="0.5">
      <c r="A124" s="875"/>
      <c r="B124" s="876"/>
      <c r="C124" s="877"/>
      <c r="D124" s="165"/>
      <c r="E124" s="95">
        <f>'17'!F124</f>
        <v>0</v>
      </c>
      <c r="F124" s="165"/>
      <c r="G124" s="578"/>
      <c r="H124" s="99">
        <f>G124+'17'!H124</f>
        <v>0</v>
      </c>
      <c r="I124" s="165"/>
      <c r="J124" s="327"/>
    </row>
    <row r="125" spans="1:18" ht="27.75" customHeight="1" x14ac:dyDescent="0.5">
      <c r="A125" s="855" t="s">
        <v>196</v>
      </c>
      <c r="B125" s="856"/>
      <c r="C125" s="245"/>
      <c r="D125" s="307"/>
      <c r="E125" s="308"/>
      <c r="F125" s="308"/>
      <c r="G125" s="579">
        <f>SUM(G112:G124)</f>
        <v>3893.2299999999732</v>
      </c>
      <c r="H125" s="156"/>
      <c r="I125" s="327">
        <f>G125-(G39+G53)</f>
        <v>803.54999999998017</v>
      </c>
      <c r="J125" s="327"/>
    </row>
    <row r="126" spans="1:18" ht="27.75" customHeight="1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customHeight="1" x14ac:dyDescent="0.5">
      <c r="A127" s="860"/>
      <c r="B127" s="860"/>
      <c r="C127" s="245"/>
      <c r="D127" s="307"/>
      <c r="E127" s="308"/>
      <c r="F127" s="308"/>
      <c r="G127" s="579"/>
      <c r="H127" s="99">
        <f>G127+'17'!H127</f>
        <v>0</v>
      </c>
      <c r="I127" s="165"/>
      <c r="J127" s="328">
        <f>H127/DAY(B2)</f>
        <v>0</v>
      </c>
    </row>
    <row r="128" spans="1:18" ht="27.75" customHeight="1" x14ac:dyDescent="0.5">
      <c r="A128" s="871" t="s">
        <v>318</v>
      </c>
      <c r="B128" s="872"/>
      <c r="C128" s="873"/>
      <c r="D128" s="151" t="s">
        <v>183</v>
      </c>
      <c r="E128" s="95">
        <f>'17'!F128</f>
        <v>53102.75</v>
      </c>
      <c r="F128" s="165">
        <v>53396.87</v>
      </c>
      <c r="G128" s="558">
        <f t="shared" ref="G128:G134" si="9">F128-E128</f>
        <v>294.12000000000262</v>
      </c>
      <c r="H128" s="99">
        <f>G128+'17'!H128</f>
        <v>5650.8700000000026</v>
      </c>
      <c r="I128" s="165"/>
      <c r="J128" s="328">
        <f>H128/DAY(B2)</f>
        <v>313.93722222222237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'17'!F129</f>
        <v>30772.79</v>
      </c>
      <c r="F129" s="165">
        <v>30997.7</v>
      </c>
      <c r="G129" s="558">
        <f t="shared" si="9"/>
        <v>224.90999999999985</v>
      </c>
      <c r="H129" s="99">
        <f>G129+'17'!H129</f>
        <v>4086.8300000000017</v>
      </c>
      <c r="I129" s="165"/>
      <c r="J129" s="328">
        <f>H129/DAY(B2)</f>
        <v>227.0461111111112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'17'!F130</f>
        <v>45852.29</v>
      </c>
      <c r="F130" s="165">
        <v>46618.43</v>
      </c>
      <c r="G130" s="558">
        <f t="shared" si="9"/>
        <v>766.13999999999942</v>
      </c>
      <c r="H130" s="99">
        <f>G130+'17'!H130</f>
        <v>10924.43</v>
      </c>
      <c r="I130" s="165"/>
      <c r="J130" s="328">
        <f>H130/DAY(B2)</f>
        <v>606.91277777777782</v>
      </c>
      <c r="N130" s="240"/>
      <c r="O130" s="241"/>
    </row>
    <row r="131" spans="1:15" ht="27.75" customHeight="1" x14ac:dyDescent="0.5">
      <c r="A131" s="871" t="s">
        <v>321</v>
      </c>
      <c r="B131" s="872"/>
      <c r="C131" s="873"/>
      <c r="D131" s="151" t="s">
        <v>183</v>
      </c>
      <c r="E131" s="95">
        <f>'17'!F131</f>
        <v>17139.900000000001</v>
      </c>
      <c r="F131" s="158">
        <v>17305</v>
      </c>
      <c r="G131" s="558">
        <f t="shared" si="9"/>
        <v>165.09999999999854</v>
      </c>
      <c r="H131" s="99">
        <f>G131+'17'!H131</f>
        <v>1997.3199999999997</v>
      </c>
      <c r="I131" s="165"/>
      <c r="J131" s="328">
        <f>H131/DAY(B2)</f>
        <v>110.96222222222221</v>
      </c>
      <c r="N131" s="240"/>
      <c r="O131" s="241"/>
    </row>
    <row r="132" spans="1:15" ht="27.75" customHeight="1" x14ac:dyDescent="0.5">
      <c r="A132" s="871" t="s">
        <v>322</v>
      </c>
      <c r="B132" s="872"/>
      <c r="C132" s="873"/>
      <c r="D132" s="151" t="s">
        <v>183</v>
      </c>
      <c r="E132" s="95">
        <f>'17'!F132</f>
        <v>58456.7</v>
      </c>
      <c r="F132" s="158">
        <v>58879.7</v>
      </c>
      <c r="G132" s="558">
        <f t="shared" si="9"/>
        <v>423</v>
      </c>
      <c r="H132" s="99">
        <f>G132+'17'!H132</f>
        <v>7031.3999999999942</v>
      </c>
      <c r="I132" s="165"/>
      <c r="J132" s="328">
        <f>H132/DAY(B2)</f>
        <v>390.63333333333298</v>
      </c>
    </row>
    <row r="133" spans="1:15" ht="27.75" customHeight="1" x14ac:dyDescent="0.5">
      <c r="A133" s="871" t="s">
        <v>362</v>
      </c>
      <c r="B133" s="872"/>
      <c r="C133" s="873"/>
      <c r="D133" s="151" t="s">
        <v>183</v>
      </c>
      <c r="E133" s="95">
        <f>'17'!F133</f>
        <v>116028.12</v>
      </c>
      <c r="F133" s="165">
        <v>116693.31</v>
      </c>
      <c r="G133" s="558">
        <f t="shared" si="9"/>
        <v>665.19000000000233</v>
      </c>
      <c r="H133" s="99">
        <f>G133+'17'!H133</f>
        <v>11349.61</v>
      </c>
      <c r="I133" s="165"/>
      <c r="J133" s="328">
        <f>H133/DAY(B2)</f>
        <v>630.5338888888889</v>
      </c>
    </row>
    <row r="134" spans="1:15" ht="27.75" customHeight="1" x14ac:dyDescent="0.5">
      <c r="A134" s="871" t="s">
        <v>340</v>
      </c>
      <c r="B134" s="872"/>
      <c r="C134" s="873"/>
      <c r="D134" s="151" t="s">
        <v>183</v>
      </c>
      <c r="E134" s="95">
        <f>'17'!F134</f>
        <v>11601.75</v>
      </c>
      <c r="F134" s="158">
        <v>11834.8</v>
      </c>
      <c r="G134" s="558">
        <f t="shared" si="9"/>
        <v>233.04999999999927</v>
      </c>
      <c r="H134" s="99">
        <f>G134+'17'!H134</f>
        <v>3233.5699999999997</v>
      </c>
      <c r="I134" s="165"/>
      <c r="J134" s="328">
        <f>H134/DAY(B2)</f>
        <v>179.64277777777775</v>
      </c>
    </row>
    <row r="135" spans="1:15" ht="27.75" customHeight="1" x14ac:dyDescent="0.5">
      <c r="A135" s="855" t="s">
        <v>196</v>
      </c>
      <c r="B135" s="856"/>
      <c r="C135" s="331"/>
      <c r="D135" s="151"/>
      <c r="E135" s="95"/>
      <c r="F135" s="165"/>
      <c r="G135" s="558">
        <f>SUM(G128:G134)</f>
        <v>2771.510000000002</v>
      </c>
      <c r="H135" s="99">
        <f>G135+'10'!H135</f>
        <v>26227.730000000003</v>
      </c>
      <c r="I135" s="327">
        <f>G135-(G35+G49)</f>
        <v>-343.25</v>
      </c>
      <c r="J135" s="328"/>
    </row>
    <row r="136" spans="1:15" ht="27.75" customHeight="1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578"/>
      <c r="H137" s="156"/>
      <c r="I137" s="165"/>
      <c r="J137" s="327"/>
    </row>
    <row r="138" spans="1:15" ht="27.75" customHeight="1" x14ac:dyDescent="0.5">
      <c r="A138" s="870" t="s">
        <v>185</v>
      </c>
      <c r="B138" s="870"/>
      <c r="C138" s="870"/>
      <c r="D138" s="151" t="s">
        <v>183</v>
      </c>
      <c r="E138" s="95">
        <f>'17'!F138</f>
        <v>867711</v>
      </c>
      <c r="F138" s="147">
        <v>867792</v>
      </c>
      <c r="G138" s="558">
        <f t="shared" ref="G138:G152" si="10">F138-E138</f>
        <v>81</v>
      </c>
      <c r="H138" s="99">
        <f>G138+'17'!H138</f>
        <v>1619</v>
      </c>
      <c r="I138" s="118"/>
      <c r="J138" s="328">
        <f>H138/DAY(B2)</f>
        <v>89.944444444444443</v>
      </c>
    </row>
    <row r="139" spans="1:15" ht="27.75" customHeight="1" x14ac:dyDescent="0.5">
      <c r="A139" s="870" t="s">
        <v>186</v>
      </c>
      <c r="B139" s="870"/>
      <c r="C139" s="870"/>
      <c r="D139" s="151" t="s">
        <v>183</v>
      </c>
      <c r="E139" s="95">
        <f>'17'!F139</f>
        <v>886678</v>
      </c>
      <c r="F139" s="148">
        <v>886679</v>
      </c>
      <c r="G139" s="558">
        <f t="shared" si="10"/>
        <v>1</v>
      </c>
      <c r="H139" s="99">
        <f>G139+'17'!H139</f>
        <v>106</v>
      </c>
      <c r="I139" s="118"/>
      <c r="J139" s="328">
        <f>H139/DAY(B2)</f>
        <v>5.8888888888888893</v>
      </c>
    </row>
    <row r="140" spans="1:15" ht="27.75" customHeight="1" x14ac:dyDescent="0.5">
      <c r="A140" s="870" t="s">
        <v>187</v>
      </c>
      <c r="B140" s="870"/>
      <c r="C140" s="870"/>
      <c r="D140" s="151" t="s">
        <v>183</v>
      </c>
      <c r="E140" s="95">
        <f>'17'!F140</f>
        <v>88948</v>
      </c>
      <c r="F140" s="149">
        <v>88948.4</v>
      </c>
      <c r="G140" s="558">
        <f t="shared" si="10"/>
        <v>0.39999999999417923</v>
      </c>
      <c r="H140" s="99">
        <f>G140+'17'!H140</f>
        <v>26.399999999994179</v>
      </c>
      <c r="I140" s="118"/>
      <c r="J140" s="328">
        <f>H140/DAY(B2)</f>
        <v>1.4666666666663433</v>
      </c>
    </row>
    <row r="141" spans="1:15" ht="27.75" customHeight="1" x14ac:dyDescent="0.5">
      <c r="A141" s="851" t="s">
        <v>188</v>
      </c>
      <c r="B141" s="851"/>
      <c r="C141" s="851"/>
      <c r="D141" s="151" t="s">
        <v>183</v>
      </c>
      <c r="E141" s="95">
        <f>'17'!F141</f>
        <v>57697.48</v>
      </c>
      <c r="F141" s="149">
        <v>57886.32</v>
      </c>
      <c r="G141" s="558">
        <f t="shared" si="10"/>
        <v>188.83999999999651</v>
      </c>
      <c r="H141" s="99">
        <f>G141+'17'!H141</f>
        <v>3200.739999999998</v>
      </c>
      <c r="I141" s="118"/>
      <c r="J141" s="328">
        <f>H141/DAY(B2)</f>
        <v>177.81888888888878</v>
      </c>
    </row>
    <row r="142" spans="1:15" ht="27.75" customHeight="1" x14ac:dyDescent="0.5">
      <c r="A142" s="851" t="s">
        <v>189</v>
      </c>
      <c r="B142" s="851"/>
      <c r="C142" s="851"/>
      <c r="D142" s="151" t="s">
        <v>183</v>
      </c>
      <c r="E142" s="95">
        <f>'17'!F142</f>
        <v>22455.97</v>
      </c>
      <c r="F142" s="148">
        <v>22520.2</v>
      </c>
      <c r="G142" s="558">
        <f t="shared" si="10"/>
        <v>64.229999999999563</v>
      </c>
      <c r="H142" s="99">
        <f>G142+'17'!H142</f>
        <v>1236.1000000000022</v>
      </c>
      <c r="I142" s="140"/>
      <c r="J142" s="328">
        <f>H142/DAY(B2)</f>
        <v>68.672222222222345</v>
      </c>
    </row>
    <row r="143" spans="1:15" ht="27.75" customHeight="1" x14ac:dyDescent="0.5">
      <c r="A143" s="870" t="s">
        <v>91</v>
      </c>
      <c r="B143" s="870"/>
      <c r="C143" s="870"/>
      <c r="D143" s="151" t="s">
        <v>183</v>
      </c>
      <c r="E143" s="95">
        <f>'17'!F143</f>
        <v>4313.3500000000004</v>
      </c>
      <c r="F143" s="149">
        <v>4338.46</v>
      </c>
      <c r="G143" s="558">
        <f t="shared" si="10"/>
        <v>25.109999999999673</v>
      </c>
      <c r="H143" s="99">
        <f>G143+'17'!H143</f>
        <v>503.07000000000016</v>
      </c>
      <c r="I143" s="140"/>
      <c r="J143" s="328">
        <f>H143/DAY(B2)</f>
        <v>27.948333333333341</v>
      </c>
    </row>
    <row r="144" spans="1:15" ht="27.75" customHeight="1" x14ac:dyDescent="0.5">
      <c r="A144" s="851" t="s">
        <v>90</v>
      </c>
      <c r="B144" s="851"/>
      <c r="C144" s="851"/>
      <c r="D144" s="151" t="s">
        <v>183</v>
      </c>
      <c r="E144" s="95">
        <f>'17'!F144</f>
        <v>880067</v>
      </c>
      <c r="F144" s="148">
        <v>880277</v>
      </c>
      <c r="G144" s="558">
        <f t="shared" si="10"/>
        <v>210</v>
      </c>
      <c r="H144" s="99">
        <f>G144+'17'!H144</f>
        <v>3790</v>
      </c>
      <c r="I144" s="140"/>
      <c r="J144" s="328">
        <f>H144/DAY(B2)</f>
        <v>210.55555555555554</v>
      </c>
    </row>
    <row r="145" spans="1:10" ht="27.75" customHeight="1" x14ac:dyDescent="0.5">
      <c r="A145" s="870" t="s">
        <v>190</v>
      </c>
      <c r="B145" s="870"/>
      <c r="C145" s="870"/>
      <c r="D145" s="152" t="s">
        <v>183</v>
      </c>
      <c r="E145" s="95">
        <f>'17'!F145</f>
        <v>5177.7299999999996</v>
      </c>
      <c r="F145" s="149">
        <v>5192.3</v>
      </c>
      <c r="G145" s="558">
        <f t="shared" si="10"/>
        <v>14.570000000000618</v>
      </c>
      <c r="H145" s="99">
        <f>G145+'17'!H145</f>
        <v>233.46000000000004</v>
      </c>
      <c r="I145" s="140"/>
      <c r="J145" s="328">
        <f>H145/DAY(B2)</f>
        <v>12.970000000000002</v>
      </c>
    </row>
    <row r="146" spans="1:10" ht="27.75" customHeight="1" x14ac:dyDescent="0.5">
      <c r="A146" s="905" t="s">
        <v>191</v>
      </c>
      <c r="B146" s="890"/>
      <c r="C146" s="891"/>
      <c r="D146" s="152" t="s">
        <v>183</v>
      </c>
      <c r="E146" s="95">
        <f>'17'!F146</f>
        <v>744789</v>
      </c>
      <c r="F146" s="148">
        <v>745187</v>
      </c>
      <c r="G146" s="558">
        <f t="shared" si="10"/>
        <v>398</v>
      </c>
      <c r="H146" s="99">
        <f>G146+'17'!H146</f>
        <v>7854</v>
      </c>
      <c r="I146" s="140"/>
      <c r="J146" s="328">
        <f>H146/DAY(B2)</f>
        <v>436.33333333333331</v>
      </c>
    </row>
    <row r="147" spans="1:10" ht="27.75" customHeight="1" x14ac:dyDescent="0.5">
      <c r="A147" s="851" t="s">
        <v>192</v>
      </c>
      <c r="B147" s="851"/>
      <c r="C147" s="851"/>
      <c r="D147" s="152" t="s">
        <v>183</v>
      </c>
      <c r="E147" s="95">
        <f>'17'!F147</f>
        <v>633517.04</v>
      </c>
      <c r="F147" s="148">
        <v>633840</v>
      </c>
      <c r="G147" s="558">
        <f t="shared" si="10"/>
        <v>322.95999999996275</v>
      </c>
      <c r="H147" s="99">
        <f>G147+'17'!H147</f>
        <v>7227.4799999999814</v>
      </c>
      <c r="I147" s="140"/>
      <c r="J147" s="328">
        <f>H147/DAY(B2)</f>
        <v>401.52666666666562</v>
      </c>
    </row>
    <row r="148" spans="1:10" ht="27.75" customHeight="1" x14ac:dyDescent="0.5">
      <c r="A148" s="852" t="s">
        <v>193</v>
      </c>
      <c r="B148" s="853"/>
      <c r="C148" s="854"/>
      <c r="D148" s="123" t="s">
        <v>130</v>
      </c>
      <c r="E148" s="95">
        <f>'17'!F148</f>
        <v>694582.48</v>
      </c>
      <c r="F148" s="150">
        <v>694826.8</v>
      </c>
      <c r="G148" s="558">
        <f t="shared" si="10"/>
        <v>244.32000000006519</v>
      </c>
      <c r="H148" s="99">
        <f>G148+'17'!H148</f>
        <v>5383.8400000000838</v>
      </c>
      <c r="I148" s="124"/>
      <c r="J148" s="328">
        <f>H148/DAY(B2)</f>
        <v>299.10222222222689</v>
      </c>
    </row>
    <row r="149" spans="1:10" ht="27.75" customHeight="1" x14ac:dyDescent="0.5">
      <c r="A149" s="852" t="s">
        <v>336</v>
      </c>
      <c r="B149" s="853"/>
      <c r="C149" s="854"/>
      <c r="D149" s="227" t="s">
        <v>130</v>
      </c>
      <c r="E149" s="95">
        <f>'17'!F149</f>
        <v>34562.660000000003</v>
      </c>
      <c r="F149" s="498">
        <v>35220.400000000001</v>
      </c>
      <c r="G149" s="558">
        <f t="shared" si="10"/>
        <v>657.73999999999796</v>
      </c>
      <c r="H149" s="99">
        <f>G149+'17'!H149</f>
        <v>10542.2</v>
      </c>
      <c r="I149" s="119"/>
      <c r="J149" s="328">
        <f>H149/DAY(B2)</f>
        <v>585.67777777777781</v>
      </c>
    </row>
    <row r="150" spans="1:10" ht="27.75" customHeight="1" x14ac:dyDescent="0.5">
      <c r="A150" s="852" t="s">
        <v>337</v>
      </c>
      <c r="B150" s="853"/>
      <c r="C150" s="854"/>
      <c r="D150" s="117" t="s">
        <v>130</v>
      </c>
      <c r="E150" s="95">
        <f>'17'!F150</f>
        <v>14707.88</v>
      </c>
      <c r="F150" s="233">
        <v>14914.52</v>
      </c>
      <c r="G150" s="558">
        <f t="shared" si="10"/>
        <v>206.64000000000124</v>
      </c>
      <c r="H150" s="99">
        <f>G150+'17'!H150</f>
        <v>4063.6900000000005</v>
      </c>
      <c r="I150" s="119"/>
      <c r="J150" s="328">
        <f>H150/DAY(B2)</f>
        <v>225.76055555555558</v>
      </c>
    </row>
    <row r="151" spans="1:10" ht="27.75" customHeight="1" x14ac:dyDescent="0.5">
      <c r="A151" s="852" t="s">
        <v>338</v>
      </c>
      <c r="B151" s="853"/>
      <c r="C151" s="854"/>
      <c r="D151" s="117" t="s">
        <v>130</v>
      </c>
      <c r="E151" s="95">
        <f>'17'!F151</f>
        <v>89609</v>
      </c>
      <c r="F151" s="233">
        <v>89887</v>
      </c>
      <c r="G151" s="558">
        <f t="shared" si="10"/>
        <v>278</v>
      </c>
      <c r="H151" s="99">
        <f>G151+'17'!H151</f>
        <v>4407</v>
      </c>
      <c r="I151" s="119"/>
      <c r="J151" s="328">
        <f>H151/DAY(B2)</f>
        <v>244.83333333333334</v>
      </c>
    </row>
    <row r="152" spans="1:10" ht="27.75" customHeight="1" x14ac:dyDescent="0.5">
      <c r="A152" s="852" t="s">
        <v>339</v>
      </c>
      <c r="B152" s="853"/>
      <c r="C152" s="854"/>
      <c r="D152" s="117" t="s">
        <v>130</v>
      </c>
      <c r="E152" s="95">
        <f>'17'!F152</f>
        <v>2762.3</v>
      </c>
      <c r="F152" s="233">
        <v>2874.33</v>
      </c>
      <c r="G152" s="558">
        <f t="shared" si="10"/>
        <v>112.02999999999975</v>
      </c>
      <c r="H152" s="99">
        <f>G152+'17'!H152</f>
        <v>1214.33</v>
      </c>
      <c r="I152" s="119"/>
      <c r="J152" s="328">
        <f>H152/DAY(B2)</f>
        <v>67.462777777777774</v>
      </c>
    </row>
    <row r="153" spans="1:10" ht="27.75" customHeight="1" x14ac:dyDescent="0.5">
      <c r="A153" s="855" t="s">
        <v>196</v>
      </c>
      <c r="B153" s="856"/>
      <c r="C153" s="365"/>
      <c r="D153" s="358"/>
      <c r="E153" s="360"/>
      <c r="F153" s="361"/>
      <c r="G153" s="580">
        <f>SUM(G138:G152)</f>
        <v>2804.8400000000174</v>
      </c>
      <c r="H153" s="363"/>
      <c r="I153" s="119">
        <f>G153-(G38+G52)</f>
        <v>702.34000000001743</v>
      </c>
      <c r="J153" s="366"/>
    </row>
    <row r="154" spans="1:10" ht="27.75" customHeight="1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27.75" customHeight="1" x14ac:dyDescent="0.55000000000000004">
      <c r="A155" s="851" t="s">
        <v>345</v>
      </c>
      <c r="B155" s="851"/>
      <c r="C155" s="851"/>
      <c r="D155" s="117" t="s">
        <v>130</v>
      </c>
      <c r="E155" s="95">
        <f>'17'!F155</f>
        <v>44199.87</v>
      </c>
      <c r="F155" s="471">
        <v>44914.618999999999</v>
      </c>
      <c r="G155" s="558">
        <f t="shared" ref="G155:G157" si="11">F155-E155</f>
        <v>714.74899999999616</v>
      </c>
      <c r="H155" s="99">
        <f>G155+'17'!H155</f>
        <v>11969.618999999999</v>
      </c>
      <c r="I155" s="364"/>
      <c r="J155" s="328">
        <f>H155/DAY(B2)</f>
        <v>664.97883333333323</v>
      </c>
    </row>
    <row r="156" spans="1:10" ht="27.75" customHeight="1" x14ac:dyDescent="0.5">
      <c r="A156" s="851" t="s">
        <v>347</v>
      </c>
      <c r="B156" s="851"/>
      <c r="C156" s="851"/>
      <c r="D156" s="117" t="s">
        <v>130</v>
      </c>
      <c r="E156" s="95">
        <f>'17'!F156</f>
        <v>3634.4</v>
      </c>
      <c r="F156" s="165">
        <v>3693</v>
      </c>
      <c r="G156" s="558">
        <f t="shared" si="11"/>
        <v>58.599999999999909</v>
      </c>
      <c r="H156" s="99">
        <f>G156+'17'!H156</f>
        <v>905</v>
      </c>
      <c r="I156" s="165"/>
      <c r="J156" s="328">
        <f>H156/DAY(B2)</f>
        <v>50.277777777777779</v>
      </c>
    </row>
    <row r="157" spans="1:10" ht="27.75" customHeight="1" x14ac:dyDescent="0.5">
      <c r="A157" s="852" t="s">
        <v>363</v>
      </c>
      <c r="B157" s="853"/>
      <c r="C157" s="854"/>
      <c r="D157" s="117" t="s">
        <v>130</v>
      </c>
      <c r="E157" s="95">
        <f>'17'!F157</f>
        <v>5861</v>
      </c>
      <c r="F157" s="165">
        <v>6015.67</v>
      </c>
      <c r="G157" s="558">
        <f t="shared" si="11"/>
        <v>154.67000000000007</v>
      </c>
      <c r="H157" s="99">
        <f>G157+'17'!H157</f>
        <v>735.67000000000007</v>
      </c>
      <c r="I157" s="165"/>
      <c r="J157" s="328">
        <f>H157/DAY(B2)</f>
        <v>40.870555555555562</v>
      </c>
    </row>
    <row r="158" spans="1:10" ht="27.75" customHeight="1" x14ac:dyDescent="0.5">
      <c r="A158" s="852" t="s">
        <v>364</v>
      </c>
      <c r="B158" s="853"/>
      <c r="C158" s="854"/>
      <c r="D158" s="117" t="s">
        <v>130</v>
      </c>
      <c r="E158" s="95">
        <f>'17'!F158</f>
        <v>71.7</v>
      </c>
      <c r="F158" s="165">
        <v>73.599999999999994</v>
      </c>
      <c r="G158" s="558">
        <f t="shared" ref="G158" si="12">F158-E158</f>
        <v>1.8999999999999915</v>
      </c>
      <c r="H158" s="99">
        <f>G158+'17'!H158</f>
        <v>4.5999999999999943</v>
      </c>
      <c r="I158" s="165"/>
      <c r="J158" s="328">
        <f>H158/DAY(B2)</f>
        <v>0.25555555555555526</v>
      </c>
    </row>
    <row r="159" spans="1:10" ht="27.75" customHeight="1" x14ac:dyDescent="0.5">
      <c r="A159" s="935"/>
      <c r="B159" s="936"/>
      <c r="C159" s="937"/>
      <c r="D159" s="117"/>
      <c r="E159" s="95"/>
      <c r="F159" s="165"/>
      <c r="G159" s="558"/>
      <c r="H159" s="99"/>
      <c r="I159" s="165"/>
      <c r="J159" s="328"/>
    </row>
    <row r="160" spans="1:10" ht="27.75" customHeight="1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472608.92</v>
      </c>
      <c r="F161" s="235">
        <v>472622.2</v>
      </c>
      <c r="G161" s="581">
        <f t="shared" ref="G161:G165" si="13">F161-E161</f>
        <v>13.28000000002794</v>
      </c>
      <c r="H161" s="99">
        <f>G161+'17'!H161</f>
        <v>568.64000000001397</v>
      </c>
      <c r="I161" s="236"/>
      <c r="J161" s="239">
        <f>H161/DAY(B2)</f>
        <v>31.591111111111886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89135.6</v>
      </c>
      <c r="F162" s="235">
        <v>89186.4</v>
      </c>
      <c r="G162" s="581">
        <f t="shared" si="13"/>
        <v>50.799999999988358</v>
      </c>
      <c r="H162" s="99">
        <f>G162+'17'!H162</f>
        <v>670</v>
      </c>
      <c r="I162" s="236"/>
      <c r="J162" s="239">
        <f>H162/DAY(B2)</f>
        <v>37.222222222222221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80353</v>
      </c>
      <c r="F163" s="235">
        <v>80461.2</v>
      </c>
      <c r="G163" s="581">
        <f t="shared" si="13"/>
        <v>108.19999999999709</v>
      </c>
      <c r="H163" s="99">
        <f>G163+'17'!H163</f>
        <v>1241.0999999999913</v>
      </c>
      <c r="I163" s="236"/>
      <c r="J163" s="239">
        <f>H163/DAY(B2)</f>
        <v>68.94999999999952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4342</v>
      </c>
      <c r="F164" s="235">
        <v>4350.2</v>
      </c>
      <c r="G164" s="581">
        <f t="shared" si="13"/>
        <v>8.1999999999998181</v>
      </c>
      <c r="H164" s="99">
        <f>G164+'17'!H164</f>
        <v>30.199999999999818</v>
      </c>
      <c r="I164" s="236"/>
      <c r="J164" s="239">
        <f>H164/DAY(B2)</f>
        <v>1.6777777777777676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30003.71</v>
      </c>
      <c r="F165" s="235">
        <v>30013.360000000001</v>
      </c>
      <c r="G165" s="581">
        <f t="shared" si="13"/>
        <v>9.6500000000014552</v>
      </c>
      <c r="H165" s="99">
        <f>G165+'17'!H165</f>
        <v>156.11000000000058</v>
      </c>
      <c r="I165" s="236"/>
      <c r="J165" s="239">
        <f>H165/DAY(B2)</f>
        <v>8.6727777777778101</v>
      </c>
    </row>
    <row r="166" spans="1:10" ht="27.75" customHeight="1" x14ac:dyDescent="0.5">
      <c r="A166" s="860"/>
      <c r="B166" s="860"/>
      <c r="C166" s="246"/>
      <c r="D166" s="244" t="s">
        <v>180</v>
      </c>
      <c r="E166" s="95">
        <f>'17'!F166</f>
        <v>0</v>
      </c>
      <c r="F166" s="165"/>
      <c r="G166" s="578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860"/>
      <c r="B167" s="860"/>
      <c r="C167" s="246"/>
      <c r="D167" s="244" t="s">
        <v>180</v>
      </c>
      <c r="E167" s="95">
        <f>'17'!F167</f>
        <v>0</v>
      </c>
      <c r="F167" s="165"/>
      <c r="G167" s="578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860"/>
      <c r="B168" s="860"/>
      <c r="C168" s="246"/>
      <c r="D168" s="244" t="s">
        <v>180</v>
      </c>
      <c r="E168" s="95">
        <f>'17'!F168</f>
        <v>0</v>
      </c>
      <c r="F168" s="165"/>
      <c r="G168" s="578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customHeight="1" x14ac:dyDescent="0.5">
      <c r="A172" s="868"/>
      <c r="B172" s="869"/>
      <c r="C172" s="332"/>
      <c r="D172" s="228"/>
      <c r="E172" s="155"/>
      <c r="F172" s="155"/>
      <c r="G172" s="582"/>
      <c r="H172" s="156"/>
      <c r="I172" s="155"/>
      <c r="J172" s="178"/>
    </row>
    <row r="173" spans="1:10" ht="27.75" customHeight="1" x14ac:dyDescent="0.5">
      <c r="A173" s="864" t="s">
        <v>209</v>
      </c>
      <c r="B173" s="865"/>
      <c r="C173" s="333"/>
      <c r="D173" s="228" t="s">
        <v>142</v>
      </c>
      <c r="E173" s="95">
        <f>'17'!F173</f>
        <v>8183</v>
      </c>
      <c r="F173" s="155">
        <v>8183</v>
      </c>
      <c r="G173" s="582">
        <f>F173-E173</f>
        <v>0</v>
      </c>
      <c r="H173" s="99">
        <f>G173+'17'!H173</f>
        <v>57</v>
      </c>
      <c r="I173" s="155"/>
      <c r="J173" s="178">
        <f>H173/DAY(B2)</f>
        <v>3.1666666666666665</v>
      </c>
    </row>
    <row r="174" spans="1:10" ht="27.75" customHeight="1" x14ac:dyDescent="0.5">
      <c r="A174" s="864" t="s">
        <v>75</v>
      </c>
      <c r="B174" s="865"/>
      <c r="C174" s="333"/>
      <c r="D174" s="228" t="s">
        <v>142</v>
      </c>
      <c r="E174" s="95">
        <f>'17'!F174</f>
        <v>38848</v>
      </c>
      <c r="F174" s="157">
        <v>38864</v>
      </c>
      <c r="G174" s="582">
        <f t="shared" ref="G174:G175" si="14">F174-E174</f>
        <v>16</v>
      </c>
      <c r="H174" s="99">
        <f>G174+'17'!H174</f>
        <v>249</v>
      </c>
      <c r="I174" s="155"/>
      <c r="J174" s="178">
        <f>H174/DAY(B2)</f>
        <v>13.833333333333334</v>
      </c>
    </row>
    <row r="175" spans="1:10" ht="27.75" customHeight="1" x14ac:dyDescent="0.5">
      <c r="A175" s="864" t="s">
        <v>76</v>
      </c>
      <c r="B175" s="904"/>
      <c r="C175" s="865"/>
      <c r="D175" s="228" t="s">
        <v>142</v>
      </c>
      <c r="E175" s="95">
        <f>'17'!F175</f>
        <v>22010</v>
      </c>
      <c r="F175" s="155">
        <v>22023</v>
      </c>
      <c r="G175" s="582">
        <f t="shared" si="14"/>
        <v>13</v>
      </c>
      <c r="H175" s="99">
        <f>G175+'17'!H175</f>
        <v>210</v>
      </c>
      <c r="I175" s="155"/>
      <c r="J175" s="178">
        <f>H175/DAY(B2)</f>
        <v>11.666666666666666</v>
      </c>
    </row>
    <row r="176" spans="1:10" ht="27.75" customHeight="1" x14ac:dyDescent="0.5">
      <c r="A176" s="855" t="s">
        <v>196</v>
      </c>
      <c r="B176" s="856"/>
      <c r="C176" s="483"/>
      <c r="D176" s="228" t="s">
        <v>142</v>
      </c>
      <c r="E176" s="95"/>
      <c r="F176" s="155"/>
      <c r="G176" s="582">
        <f>SUM(G173:G175)</f>
        <v>29</v>
      </c>
      <c r="H176" s="99">
        <f>G176+'17'!H176</f>
        <v>516</v>
      </c>
      <c r="I176" s="155"/>
      <c r="J176" s="178">
        <f>H176/DAY(B2)</f>
        <v>28.666666666666668</v>
      </c>
    </row>
    <row r="177" spans="1:11" ht="27.75" customHeight="1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582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864" t="s">
        <v>210</v>
      </c>
      <c r="B178" s="865"/>
      <c r="C178" s="333"/>
      <c r="D178" s="228" t="s">
        <v>142</v>
      </c>
      <c r="E178" s="95">
        <f>'17'!F178</f>
        <v>82268</v>
      </c>
      <c r="F178" s="155">
        <v>82334</v>
      </c>
      <c r="G178" s="582">
        <f>F178-E178</f>
        <v>66</v>
      </c>
      <c r="H178" s="99">
        <f>G178+'17'!H178</f>
        <v>1019</v>
      </c>
      <c r="I178" s="155"/>
      <c r="J178" s="178">
        <f>H178/DAY(B2)</f>
        <v>56.611111111111114</v>
      </c>
    </row>
    <row r="179" spans="1:11" ht="27.75" customHeight="1" x14ac:dyDescent="0.5">
      <c r="A179" s="864" t="s">
        <v>211</v>
      </c>
      <c r="B179" s="865"/>
      <c r="C179" s="333"/>
      <c r="D179" s="228" t="s">
        <v>142</v>
      </c>
      <c r="E179" s="95">
        <f>'17'!F179</f>
        <v>35276</v>
      </c>
      <c r="F179" s="155">
        <v>35289</v>
      </c>
      <c r="G179" s="582">
        <f t="shared" ref="G179:G180" si="15">F179-E179</f>
        <v>13</v>
      </c>
      <c r="H179" s="99">
        <f>G179+'17'!H179</f>
        <v>486</v>
      </c>
      <c r="I179" s="155"/>
      <c r="J179" s="178">
        <f>H179/DAY(B2)</f>
        <v>27</v>
      </c>
    </row>
    <row r="180" spans="1:11" ht="27.75" customHeight="1" x14ac:dyDescent="0.5">
      <c r="A180" s="864" t="s">
        <v>212</v>
      </c>
      <c r="B180" s="865"/>
      <c r="C180" s="333"/>
      <c r="D180" s="228" t="s">
        <v>142</v>
      </c>
      <c r="E180" s="95">
        <f>'17'!F180</f>
        <v>5801</v>
      </c>
      <c r="F180" s="155">
        <v>5806</v>
      </c>
      <c r="G180" s="582">
        <f t="shared" si="15"/>
        <v>5</v>
      </c>
      <c r="H180" s="99">
        <f>G180+'17'!H180</f>
        <v>104</v>
      </c>
      <c r="I180" s="155"/>
      <c r="J180" s="178">
        <f>H180/DAY(B2)</f>
        <v>5.7777777777777777</v>
      </c>
    </row>
    <row r="181" spans="1:11" ht="27.75" customHeight="1" x14ac:dyDescent="0.5">
      <c r="A181" s="866" t="s">
        <v>108</v>
      </c>
      <c r="B181" s="867"/>
      <c r="C181" s="483"/>
      <c r="D181" s="228" t="s">
        <v>142</v>
      </c>
      <c r="E181" s="95"/>
      <c r="F181" s="155"/>
      <c r="G181" s="582">
        <f>SUM(G178:G180)</f>
        <v>84</v>
      </c>
      <c r="H181" s="99">
        <f>G181+'17'!H181</f>
        <v>1609</v>
      </c>
      <c r="I181" s="155"/>
      <c r="J181" s="178">
        <f>H181/DAY(B2)</f>
        <v>89.388888888888886</v>
      </c>
    </row>
    <row r="182" spans="1:11" ht="27.75" customHeight="1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582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864" t="s">
        <v>214</v>
      </c>
      <c r="B183" s="865"/>
      <c r="C183" s="334"/>
      <c r="D183" s="228" t="s">
        <v>142</v>
      </c>
      <c r="E183" s="95">
        <f>'17'!F183</f>
        <v>15621</v>
      </c>
      <c r="F183" s="157">
        <v>15628</v>
      </c>
      <c r="G183" s="583">
        <f>F183-E183</f>
        <v>7</v>
      </c>
      <c r="H183" s="99">
        <f>G183+'17'!H183</f>
        <v>283</v>
      </c>
      <c r="I183" s="155"/>
      <c r="J183" s="178">
        <f>H183/DAY(B2)</f>
        <v>15.722222222222221</v>
      </c>
    </row>
    <row r="184" spans="1:11" ht="27.75" customHeight="1" x14ac:dyDescent="0.5">
      <c r="A184" s="864" t="s">
        <v>215</v>
      </c>
      <c r="B184" s="865"/>
      <c r="C184" s="334"/>
      <c r="D184" s="228" t="s">
        <v>142</v>
      </c>
      <c r="E184" s="95">
        <f>'17'!F184</f>
        <v>10711</v>
      </c>
      <c r="F184" s="157">
        <v>10721</v>
      </c>
      <c r="G184" s="583">
        <f t="shared" ref="G184:G185" si="16">F184-E184</f>
        <v>10</v>
      </c>
      <c r="H184" s="99">
        <f>G184+'17'!H184</f>
        <v>203</v>
      </c>
      <c r="I184" s="155"/>
      <c r="J184" s="178">
        <f>H184/DAY(B2)</f>
        <v>11.277777777777779</v>
      </c>
    </row>
    <row r="185" spans="1:11" ht="27.75" customHeight="1" x14ac:dyDescent="0.5">
      <c r="A185" s="864" t="s">
        <v>216</v>
      </c>
      <c r="B185" s="865"/>
      <c r="C185" s="334"/>
      <c r="D185" s="228" t="s">
        <v>142</v>
      </c>
      <c r="E185" s="95">
        <f>'17'!F185</f>
        <v>0</v>
      </c>
      <c r="F185" s="157"/>
      <c r="G185" s="583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855" t="s">
        <v>196</v>
      </c>
      <c r="B186" s="856"/>
      <c r="C186" s="482"/>
      <c r="D186" s="228" t="s">
        <v>142</v>
      </c>
      <c r="E186" s="95"/>
      <c r="F186" s="157"/>
      <c r="G186" s="583">
        <f>SUM(G183:G185)</f>
        <v>17</v>
      </c>
      <c r="H186" s="99">
        <f>G186+'17'!H186</f>
        <v>486</v>
      </c>
      <c r="I186" s="157"/>
      <c r="J186" s="178">
        <f>H186/DAY(B2)</f>
        <v>27</v>
      </c>
    </row>
    <row r="187" spans="1:11" ht="27.75" customHeight="1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584">
        <f>G62+G19</f>
        <v>203</v>
      </c>
      <c r="H187" s="99">
        <f>G187+'17'!H187</f>
        <v>3467</v>
      </c>
      <c r="I187" s="158"/>
      <c r="J187" s="179">
        <f>H187/DAY(B2)</f>
        <v>192.61111111111111</v>
      </c>
    </row>
    <row r="188" spans="1:11" ht="27.75" customHeight="1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584">
        <f>G65+G66+G67+G69+G70</f>
        <v>196</v>
      </c>
      <c r="H188" s="99">
        <f>G188+'17'!H188</f>
        <v>904</v>
      </c>
      <c r="I188" s="158"/>
      <c r="J188" s="179">
        <f>H188/DAY(B2)</f>
        <v>50.222222222222221</v>
      </c>
    </row>
    <row r="189" spans="1:11" ht="27.75" customHeight="1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584">
        <f>G181</f>
        <v>84</v>
      </c>
      <c r="H189" s="99">
        <f>G189+'17'!H189</f>
        <v>1609</v>
      </c>
      <c r="I189" s="158"/>
      <c r="J189" s="179">
        <f>H189/DAY(B2)</f>
        <v>89.388888888888886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578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67" zoomScale="55" zoomScaleNormal="40" zoomScaleSheetLayoutView="55" zoomScalePageLayoutView="60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25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356</v>
      </c>
      <c r="B2" s="262">
        <v>44611</v>
      </c>
      <c r="C2" s="348" t="s">
        <v>67</v>
      </c>
      <c r="D2" s="218">
        <v>0.92979999999999996</v>
      </c>
      <c r="E2" s="100"/>
      <c r="F2" s="100"/>
      <c r="G2" s="60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9" t="s">
        <v>119</v>
      </c>
      <c r="F3" s="920"/>
      <c r="G3" s="602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602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0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604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14348</v>
      </c>
      <c r="F7" s="95">
        <v>35551.65</v>
      </c>
      <c r="G7" s="605">
        <f>F7-E7</f>
        <v>21203.65</v>
      </c>
      <c r="H7" s="99">
        <f>G7+'18 '!H7</f>
        <v>384430.42000000004</v>
      </c>
      <c r="I7" s="113">
        <f>'1'!I7</f>
        <v>12000</v>
      </c>
      <c r="J7" s="175">
        <f>H7/DAY(B2)</f>
        <v>20233.180000000004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74078.8</v>
      </c>
      <c r="F8" s="95">
        <v>95375.98</v>
      </c>
      <c r="G8" s="606">
        <f>F8-E8</f>
        <v>21297.179999999993</v>
      </c>
      <c r="H8" s="99">
        <f>G8+'18 '!H8</f>
        <v>386854.42999999993</v>
      </c>
      <c r="I8" s="116"/>
      <c r="J8" s="175">
        <f>H8/DAY(B2)</f>
        <v>20360.759473684207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565303.59</v>
      </c>
      <c r="F9" s="598">
        <v>583231.63</v>
      </c>
      <c r="G9" s="605">
        <f>F9-E9</f>
        <v>17928.040000000037</v>
      </c>
      <c r="H9" s="99">
        <f>G9+'18 '!H9</f>
        <v>300977.78000000003</v>
      </c>
      <c r="I9" s="124">
        <f>I7-J7</f>
        <v>-8233.1800000000039</v>
      </c>
      <c r="J9" s="175">
        <f>H9/DAY(B2)</f>
        <v>15840.935789473686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175134.59</v>
      </c>
      <c r="F10" s="353">
        <v>177814.65</v>
      </c>
      <c r="G10" s="605">
        <f t="shared" ref="G10:G12" si="0">F10-E10</f>
        <v>2680.0599999999977</v>
      </c>
      <c r="H10" s="99">
        <f>G10+'18 '!H10</f>
        <v>72555.679999999993</v>
      </c>
      <c r="I10" s="282"/>
      <c r="J10" s="175">
        <f>H10/DAY(B2)</f>
        <v>3818.72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37170</v>
      </c>
      <c r="F11" s="95">
        <v>37170</v>
      </c>
      <c r="G11" s="605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605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607">
        <f>G9+G10+G11+G12</f>
        <v>20608.100000000035</v>
      </c>
      <c r="H13" s="99">
        <f>G13+'18 '!H13</f>
        <v>356779.02999999997</v>
      </c>
      <c r="I13" s="120">
        <f>G7-G13</f>
        <v>595.54999999996653</v>
      </c>
      <c r="J13" s="175">
        <f>H13/DAY(B2)</f>
        <v>18777.843684210526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608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'18 '!F15</f>
        <v>1925873.38</v>
      </c>
      <c r="F15" s="598">
        <v>1926906.17</v>
      </c>
      <c r="G15" s="605">
        <f>(F15-E15)</f>
        <v>1032.7900000000373</v>
      </c>
      <c r="H15" s="99">
        <f>G15+'18 '!H15</f>
        <v>20269.402999999933</v>
      </c>
      <c r="I15" s="113">
        <f>'1'!I15</f>
        <v>800</v>
      </c>
      <c r="J15" s="175">
        <f>H15/DAY(B2)</f>
        <v>1066.8106842105228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605"/>
      <c r="H16" s="124"/>
      <c r="I16" s="120">
        <f>I15-J15</f>
        <v>-266.81068421052282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608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'18 '!F18</f>
        <v>25</v>
      </c>
      <c r="F18" s="122">
        <v>28</v>
      </c>
      <c r="G18" s="607">
        <f>F18*10</f>
        <v>280</v>
      </c>
      <c r="H18" s="99">
        <f>G18+'18 '!H18</f>
        <v>4310</v>
      </c>
      <c r="I18" s="113">
        <f>'1'!I18</f>
        <v>65</v>
      </c>
      <c r="J18" s="175">
        <f>H18/DAY(B2)</f>
        <v>226.84210526315789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'18 '!F19</f>
        <v>154854</v>
      </c>
      <c r="F19" s="746">
        <v>154902</v>
      </c>
      <c r="G19" s="605">
        <f t="shared" ref="G19" si="1">F19-E19</f>
        <v>48</v>
      </c>
      <c r="H19" s="99">
        <f>G19+'18 '!H19</f>
        <v>1011</v>
      </c>
      <c r="I19" s="335"/>
      <c r="J19" s="175">
        <f>H19/DAY(B2)</f>
        <v>53.210526315789473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609">
        <f>G18+G19</f>
        <v>328</v>
      </c>
      <c r="H20" s="99">
        <f>G20+'18 '!H20</f>
        <v>5321</v>
      </c>
      <c r="I20" s="336">
        <f>I18-J20</f>
        <v>-215.05263157894734</v>
      </c>
      <c r="J20" s="175">
        <f>H20/DAY(B2)</f>
        <v>280.05263157894734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608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07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607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07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610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611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21297.179999999993</v>
      </c>
      <c r="F27" s="136">
        <v>9</v>
      </c>
      <c r="G27" s="612">
        <f>E27*F27</f>
        <v>191674.61999999994</v>
      </c>
      <c r="H27" s="99">
        <f>G27+'18 '!H27</f>
        <v>3481689.87</v>
      </c>
      <c r="I27" s="138"/>
      <c r="J27" s="175">
        <f>H27/DAY(B2)</f>
        <v>183246.8352631579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1032.7900000000373</v>
      </c>
      <c r="F28" s="136">
        <v>52</v>
      </c>
      <c r="G28" s="612">
        <f>E28*F28</f>
        <v>53705.080000001937</v>
      </c>
      <c r="H28" s="99">
        <f>G28+'18 '!H28</f>
        <v>1116936.9559999965</v>
      </c>
      <c r="I28" s="140"/>
      <c r="J28" s="175">
        <f>H28/DAY(B2)</f>
        <v>58786.155578947182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12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612">
        <f>E30*F30</f>
        <v>7008</v>
      </c>
      <c r="H30" s="99">
        <f>G30+'18 '!H30</f>
        <v>148461</v>
      </c>
      <c r="I30" s="140"/>
      <c r="J30" s="175">
        <f>H30/DAY(B2)</f>
        <v>7813.7368421052633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612">
        <f>E31*F31</f>
        <v>22400</v>
      </c>
      <c r="H31" s="99">
        <f>G31+'18 '!H31</f>
        <v>344800</v>
      </c>
      <c r="I31" s="140"/>
      <c r="J31" s="175">
        <f>H31/DAY(B2)</f>
        <v>18147.36842105263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613">
        <f>G27+G28+G29+G30+G31</f>
        <v>274787.70000000187</v>
      </c>
      <c r="H32" s="99">
        <f>G32+'18 '!H32</f>
        <v>5091887.8259999966</v>
      </c>
      <c r="I32" s="144"/>
      <c r="J32" s="175">
        <f>H32/DAY(B2)</f>
        <v>267994.09610526299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614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615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59147.9</v>
      </c>
      <c r="F35" s="145">
        <v>60682.61</v>
      </c>
      <c r="G35" s="605">
        <f t="shared" ref="G35:G46" si="3">F35-E35</f>
        <v>1534.7099999999991</v>
      </c>
      <c r="H35" s="99">
        <f>G35+'18 '!H35</f>
        <v>28677.63</v>
      </c>
      <c r="I35" s="95"/>
      <c r="J35" s="175">
        <f>H35/DAY(B2)</f>
        <v>1509.348947368421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60231.6</v>
      </c>
      <c r="F36" s="145">
        <v>61252.57</v>
      </c>
      <c r="G36" s="605">
        <f t="shared" si="3"/>
        <v>1020.9700000000012</v>
      </c>
      <c r="H36" s="99">
        <f>G36+'18 '!H36</f>
        <v>17793.830000000002</v>
      </c>
      <c r="I36" s="95"/>
      <c r="J36" s="175">
        <f>H36/DAY(B2)</f>
        <v>936.51736842105277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65615.02</v>
      </c>
      <c r="F37" s="145">
        <v>67405.06</v>
      </c>
      <c r="G37" s="605">
        <f t="shared" si="3"/>
        <v>1790.0399999999936</v>
      </c>
      <c r="H37" s="99">
        <f>G37+'18 '!H37</f>
        <v>31979.97</v>
      </c>
      <c r="I37" s="95"/>
      <c r="J37" s="175">
        <f>H37/DAY(B2)</f>
        <v>1683.1563157894736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73446.5</v>
      </c>
      <c r="F38" s="108">
        <v>75694.89</v>
      </c>
      <c r="G38" s="605">
        <f t="shared" si="3"/>
        <v>2248.3899999999994</v>
      </c>
      <c r="H38" s="99">
        <f>G38+'18 '!H38</f>
        <v>37318.46</v>
      </c>
      <c r="I38" s="95"/>
      <c r="J38" s="175">
        <f>H38/DAY(B2)</f>
        <v>1964.1294736842106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112584.7</v>
      </c>
      <c r="F39" s="145">
        <v>115723.3</v>
      </c>
      <c r="G39" s="605">
        <f t="shared" si="3"/>
        <v>3138.6000000000058</v>
      </c>
      <c r="H39" s="99">
        <f>G39+'18 '!H39</f>
        <v>56550.01</v>
      </c>
      <c r="I39" s="95"/>
      <c r="J39" s="175">
        <f>H39/DAY(B2)</f>
        <v>2976.3163157894737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600">
        <f>'18 '!F40</f>
        <v>28995.39</v>
      </c>
      <c r="F40" s="376">
        <v>29724.7</v>
      </c>
      <c r="G40" s="616">
        <f t="shared" si="3"/>
        <v>729.31000000000131</v>
      </c>
      <c r="H40" s="99">
        <f>G40+'18 '!H40</f>
        <v>7607.7099999999982</v>
      </c>
      <c r="I40" s="95"/>
      <c r="J40" s="175">
        <f>H40/DAY(B2)</f>
        <v>400.40578947368414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63</v>
      </c>
      <c r="F41" s="145">
        <v>63</v>
      </c>
      <c r="G41" s="605">
        <f t="shared" si="3"/>
        <v>0</v>
      </c>
      <c r="H41" s="99">
        <f>G41+'18 '!H41</f>
        <v>0.27000000000000313</v>
      </c>
      <c r="I41" s="95"/>
      <c r="J41" s="175">
        <f>H41/DAY(B2)</f>
        <v>1.4210526315789639E-2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157907.43</v>
      </c>
      <c r="F42" s="145">
        <v>162583.96</v>
      </c>
      <c r="G42" s="605">
        <f t="shared" si="3"/>
        <v>4676.5299999999988</v>
      </c>
      <c r="H42" s="99">
        <f>G42+'18 '!H42</f>
        <v>62454.219999999987</v>
      </c>
      <c r="I42" s="95"/>
      <c r="J42" s="175">
        <f>H42/DAY(B2)</f>
        <v>3287.064210526315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153193.76</v>
      </c>
      <c r="F43" s="145">
        <v>155325.21</v>
      </c>
      <c r="G43" s="605">
        <f t="shared" si="3"/>
        <v>2131.4499999999825</v>
      </c>
      <c r="H43" s="99">
        <f>G43+'18 '!H43</f>
        <v>40473.609999999986</v>
      </c>
      <c r="I43" s="95"/>
      <c r="J43" s="175">
        <f>H43/DAY(B2)</f>
        <v>2130.1899999999991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05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05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05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607">
        <f>G35+G36+G37+G38+G39+G40+G41+G42+G43+G44+G45+G46</f>
        <v>17269.999999999982</v>
      </c>
      <c r="H47" s="99">
        <f>G47+'18 '!H47</f>
        <v>282855.71000000002</v>
      </c>
      <c r="I47" s="95"/>
      <c r="J47" s="175">
        <f>H47/DAY(B2)</f>
        <v>14887.142631578949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615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49514.54</v>
      </c>
      <c r="F49" s="145">
        <v>51062.45</v>
      </c>
      <c r="G49" s="605">
        <f t="shared" ref="G49:G58" si="4">F49-E49</f>
        <v>1547.9099999999962</v>
      </c>
      <c r="H49" s="99">
        <f>G49+'18 '!H49</f>
        <v>26066.26</v>
      </c>
      <c r="I49" s="95"/>
      <c r="J49" s="175">
        <f>H49/DAY(B2)</f>
        <v>1371.9084210526314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78778.45</v>
      </c>
      <c r="F50" s="145">
        <v>79875.100000000006</v>
      </c>
      <c r="G50" s="605">
        <f t="shared" si="4"/>
        <v>1096.6500000000087</v>
      </c>
      <c r="H50" s="99">
        <f>G50+'18 '!H50</f>
        <v>23488.470000000008</v>
      </c>
      <c r="I50" s="95"/>
      <c r="J50" s="175">
        <f>H50/DAY(B2)</f>
        <v>1236.2352631578951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05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05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05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13916.45</v>
      </c>
      <c r="F54" s="145">
        <v>14469.28</v>
      </c>
      <c r="G54" s="605">
        <f t="shared" si="4"/>
        <v>552.82999999999993</v>
      </c>
      <c r="H54" s="99">
        <f>G54+'18 '!H54</f>
        <v>9321.86</v>
      </c>
      <c r="I54" s="95"/>
      <c r="J54" s="175">
        <f>H54/DAY(B2)</f>
        <v>490.62421052631584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90578.89</v>
      </c>
      <c r="F55" s="145">
        <v>90578.89</v>
      </c>
      <c r="G55" s="605">
        <f t="shared" si="4"/>
        <v>0</v>
      </c>
      <c r="H55" s="99">
        <f>G55+'18 '!H55</f>
        <v>16212.779999999999</v>
      </c>
      <c r="I55" s="95"/>
      <c r="J55" s="175">
        <f>H55/DAY(B2)</f>
        <v>853.30421052631573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8723.6299999999992</v>
      </c>
      <c r="F56" s="145">
        <v>8723.6299999999992</v>
      </c>
      <c r="G56" s="605">
        <f t="shared" si="4"/>
        <v>0</v>
      </c>
      <c r="H56" s="99">
        <f>G56+'18 '!H56</f>
        <v>113.08999999999833</v>
      </c>
      <c r="I56" s="95"/>
      <c r="J56" s="175">
        <f>H56/DAY(B2)</f>
        <v>5.9521052631578071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05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8647</v>
      </c>
      <c r="F58" s="145">
        <v>8860.99</v>
      </c>
      <c r="G58" s="605">
        <f t="shared" si="4"/>
        <v>213.98999999999978</v>
      </c>
      <c r="H58" s="99">
        <f>G58+'18 '!H58</f>
        <v>4064.7799999999997</v>
      </c>
      <c r="I58" s="95"/>
      <c r="J58" s="175">
        <f>H58/DAY(B2)</f>
        <v>213.9357894736842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607">
        <f>G49+G50+G51+G52+G53+G54+G55+G56+G57+G58</f>
        <v>3411.3800000000047</v>
      </c>
      <c r="H59" s="99">
        <f>G59+'18 '!H59</f>
        <v>79267.240000000005</v>
      </c>
      <c r="I59" s="95">
        <f>G7-G60</f>
        <v>522.27000000001499</v>
      </c>
      <c r="J59" s="175">
        <f>H59/DAY(B2)</f>
        <v>4171.96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607">
        <f>G47+G59</f>
        <v>20681.379999999986</v>
      </c>
      <c r="H60" s="99">
        <f>G60+'18 '!H60</f>
        <v>362122.95000000007</v>
      </c>
      <c r="I60" s="95">
        <f>G13-G60</f>
        <v>-73.279999999951542</v>
      </c>
      <c r="J60" s="175">
        <f>H60/DAY(B2)</f>
        <v>19059.10263157895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617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'18 '!F62</f>
        <v>272020</v>
      </c>
      <c r="F62" s="122">
        <v>272180</v>
      </c>
      <c r="G62" s="605">
        <f t="shared" ref="G62:G63" si="5">F62-E62</f>
        <v>160</v>
      </c>
      <c r="H62" s="99">
        <f>G62+'18 '!H62</f>
        <v>2664</v>
      </c>
      <c r="I62" s="118"/>
      <c r="J62" s="175">
        <f>H62/DAY(B2)</f>
        <v>140.21052631578948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'18 '!F63</f>
        <v>218097</v>
      </c>
      <c r="F63" s="122">
        <v>218238</v>
      </c>
      <c r="G63" s="605">
        <f t="shared" si="5"/>
        <v>141</v>
      </c>
      <c r="H63" s="99">
        <f>G63+'18 '!H63</f>
        <v>2441</v>
      </c>
      <c r="I63" s="118"/>
      <c r="J63" s="175">
        <f>H63/DAY(B2)</f>
        <v>128.47368421052633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'18 '!F64</f>
        <v>0</v>
      </c>
      <c r="F64" s="122"/>
      <c r="G64" s="605">
        <f>G62+G63</f>
        <v>301</v>
      </c>
      <c r="H64" s="99">
        <f>G64+'18 '!H64</f>
        <v>5105</v>
      </c>
      <c r="I64" s="118"/>
      <c r="J64" s="175">
        <f>H64/DAY(B2)</f>
        <v>268.68421052631578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'18 '!F65</f>
        <v>436751</v>
      </c>
      <c r="F65" s="122">
        <v>436864</v>
      </c>
      <c r="G65" s="605">
        <f t="shared" ref="G65:G70" si="6">F65-E65</f>
        <v>113</v>
      </c>
      <c r="H65" s="99">
        <f>G65+'18 '!H65</f>
        <v>1941</v>
      </c>
      <c r="I65" s="118"/>
      <c r="J65" s="175">
        <f>H65/DAY(B2)</f>
        <v>102.15789473684211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'18 '!F66</f>
        <v>108187</v>
      </c>
      <c r="F66" s="122">
        <v>108225</v>
      </c>
      <c r="G66" s="605">
        <f t="shared" si="6"/>
        <v>38</v>
      </c>
      <c r="H66" s="99">
        <f>G66+'18 '!H66</f>
        <v>482</v>
      </c>
      <c r="I66" s="118"/>
      <c r="J66" s="175">
        <f>H66/DAY(B2)</f>
        <v>25.368421052631579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'18 '!F67</f>
        <v>105525</v>
      </c>
      <c r="F67" s="122">
        <v>105602</v>
      </c>
      <c r="G67" s="605">
        <f t="shared" si="6"/>
        <v>77</v>
      </c>
      <c r="H67" s="99">
        <f>G67+'18 '!H67</f>
        <v>954</v>
      </c>
      <c r="I67" s="118"/>
      <c r="J67" s="175">
        <f>H67/DAY(B2)</f>
        <v>50.210526315789473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'18 '!F68</f>
        <v>158437</v>
      </c>
      <c r="F68" s="122">
        <v>158519</v>
      </c>
      <c r="G68" s="605">
        <f t="shared" si="6"/>
        <v>82</v>
      </c>
      <c r="H68" s="99">
        <f>G68+'18 '!H68</f>
        <v>822</v>
      </c>
      <c r="I68" s="118"/>
      <c r="J68" s="175">
        <f>H68/DAY(B2)</f>
        <v>43.263157894736842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'18 '!F69</f>
        <v>10778</v>
      </c>
      <c r="F69" s="122">
        <v>10790</v>
      </c>
      <c r="G69" s="605">
        <f t="shared" si="6"/>
        <v>12</v>
      </c>
      <c r="H69" s="99">
        <f>G69+'18 '!H69</f>
        <v>249</v>
      </c>
      <c r="I69" s="118"/>
      <c r="J69" s="175">
        <f>H69/DAY(B2)</f>
        <v>13.105263157894736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'18 '!F70</f>
        <v>8338</v>
      </c>
      <c r="F70" s="122">
        <v>8351</v>
      </c>
      <c r="G70" s="605">
        <f t="shared" si="6"/>
        <v>13</v>
      </c>
      <c r="H70" s="99">
        <f>G70+'18 '!H70</f>
        <v>231</v>
      </c>
      <c r="I70" s="118"/>
      <c r="J70" s="175">
        <f>H70/DAY(B2)</f>
        <v>12.157894736842104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95">
        <f>'18 '!F71</f>
        <v>0</v>
      </c>
      <c r="F71" s="152"/>
      <c r="G71" s="618">
        <f>SUM(G65:G70)</f>
        <v>335</v>
      </c>
      <c r="H71" s="99">
        <f>G71+'18 '!H71</f>
        <v>4679</v>
      </c>
      <c r="I71" s="154"/>
      <c r="J71" s="175">
        <f>H71/DAY(B2)</f>
        <v>246.26315789473685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619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617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'18 '!F74</f>
        <v>906768.18</v>
      </c>
      <c r="F74" s="117">
        <v>907067.16</v>
      </c>
      <c r="G74" s="605">
        <f t="shared" ref="G74:G78" si="7">F74-E74</f>
        <v>298.97999999998137</v>
      </c>
      <c r="H74" s="99">
        <f>G74+'18 '!H74</f>
        <v>5761.0110000000568</v>
      </c>
      <c r="I74" s="154"/>
      <c r="J74" s="175">
        <f>H74/DAY(B2)</f>
        <v>303.2111052631609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'18 '!F75</f>
        <v>73586.8</v>
      </c>
      <c r="F75" s="123">
        <v>73586.8</v>
      </c>
      <c r="G75" s="605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'18 '!F76</f>
        <v>172006.88</v>
      </c>
      <c r="F76" s="123">
        <v>172098.92</v>
      </c>
      <c r="G76" s="605">
        <f t="shared" si="7"/>
        <v>92.040000000008149</v>
      </c>
      <c r="H76" s="99">
        <f>G76+'18 '!H76</f>
        <v>2123.9200000000128</v>
      </c>
      <c r="I76" s="154"/>
      <c r="J76" s="175">
        <f>H76/DAY(B2)</f>
        <v>111.78526315789541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'18 '!F77</f>
        <v>42157</v>
      </c>
      <c r="F77" s="123">
        <v>42205.8</v>
      </c>
      <c r="G77" s="605">
        <f t="shared" si="7"/>
        <v>48.80000000000291</v>
      </c>
      <c r="H77" s="99">
        <f>G77+'18 '!H77</f>
        <v>903.60000000000582</v>
      </c>
      <c r="I77" s="154"/>
      <c r="J77" s="175">
        <f>H77/DAY(B2)</f>
        <v>47.557894736842414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'18 '!F78</f>
        <v>9541.1</v>
      </c>
      <c r="F78" s="123">
        <v>9541.9</v>
      </c>
      <c r="G78" s="605">
        <f t="shared" si="7"/>
        <v>0.7999999999992724</v>
      </c>
      <c r="H78" s="99">
        <f>G78+'18 '!H78</f>
        <v>28.899999999999636</v>
      </c>
      <c r="I78" s="118"/>
      <c r="J78" s="175">
        <f>H78/DAY(B2)</f>
        <v>1.5210526315789281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'18 '!F79</f>
        <v>0</v>
      </c>
      <c r="F79" s="123"/>
      <c r="G79" s="605">
        <f>G15-SUM(G74:G78)</f>
        <v>592.17000000004555</v>
      </c>
      <c r="H79" s="99">
        <f>G79+'18 '!H79</f>
        <v>11451.971999999858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605">
        <f>SUM(G74:G79)</f>
        <v>1032.7900000000373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620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605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605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41675.49</v>
      </c>
      <c r="G84" s="605">
        <f t="shared" si="8"/>
        <v>0.22999999999592546</v>
      </c>
      <c r="H84" s="99">
        <f>G84+'18 '!H84</f>
        <v>0.48999999999796273</v>
      </c>
      <c r="I84" s="118"/>
      <c r="J84" s="175">
        <f>H84/DAY(B2)</f>
        <v>2.5789473684103302E-2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'18 '!F85</f>
        <v>2575.29</v>
      </c>
      <c r="F85" s="164">
        <v>2599.4299999999998</v>
      </c>
      <c r="G85" s="605">
        <f t="shared" si="8"/>
        <v>24.139999999999873</v>
      </c>
      <c r="H85" s="99">
        <f>G85+'18 '!H85</f>
        <v>339.00999999999976</v>
      </c>
      <c r="I85" s="118">
        <f>G82+G83+G84+G85</f>
        <v>24.369999999995798</v>
      </c>
      <c r="J85" s="175">
        <f>H85/DAY(B2)</f>
        <v>17.842631578947355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'18 '!F86</f>
        <v>43564</v>
      </c>
      <c r="F86" s="164">
        <v>43564</v>
      </c>
      <c r="G86" s="605">
        <f t="shared" si="8"/>
        <v>0</v>
      </c>
      <c r="H86" s="99">
        <f>G86+'18 '!H86</f>
        <v>122</v>
      </c>
      <c r="I86" s="118"/>
      <c r="J86" s="175">
        <f>H86/DAY(B2)</f>
        <v>6.4210526315789478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'18 '!F87</f>
        <v>34598.550000000003</v>
      </c>
      <c r="F87" s="164">
        <v>34598.550000000003</v>
      </c>
      <c r="G87" s="605">
        <f t="shared" si="8"/>
        <v>0</v>
      </c>
      <c r="H87" s="99">
        <f>G87+'18 '!H87</f>
        <v>5.0000000002910383E-2</v>
      </c>
      <c r="I87" s="118"/>
      <c r="J87" s="175">
        <f>H87/DAY(B2)</f>
        <v>2.6315789475215992E-3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'18 '!F88</f>
        <v>24067.78</v>
      </c>
      <c r="F88" s="164">
        <v>24067.78</v>
      </c>
      <c r="G88" s="605">
        <f t="shared" si="8"/>
        <v>0</v>
      </c>
      <c r="H88" s="99">
        <f>G88+'18 '!H88</f>
        <v>4.3499999999985448</v>
      </c>
      <c r="I88" s="118">
        <f>G86+G87+G88</f>
        <v>0</v>
      </c>
      <c r="J88" s="175">
        <f>H88/DAY(B2)</f>
        <v>0.22894736842097604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'18 '!F89</f>
        <v>26079.119999999999</v>
      </c>
      <c r="F89" s="164">
        <v>26089.91</v>
      </c>
      <c r="G89" s="605">
        <f t="shared" si="8"/>
        <v>10.790000000000873</v>
      </c>
      <c r="H89" s="99">
        <f>G89+'18 '!H89</f>
        <v>198.79000000000087</v>
      </c>
      <c r="I89" s="118"/>
      <c r="J89" s="175">
        <f>H89/DAY(B2)</f>
        <v>10.462631578947414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'18 '!F90</f>
        <v>71240.67</v>
      </c>
      <c r="F90" s="164">
        <v>71247</v>
      </c>
      <c r="G90" s="605">
        <f t="shared" si="8"/>
        <v>6.3300000000017462</v>
      </c>
      <c r="H90" s="99">
        <f>G90+'18 '!H90</f>
        <v>83.679999999993015</v>
      </c>
      <c r="I90" s="118">
        <f>G89+G90</f>
        <v>17.120000000002619</v>
      </c>
      <c r="J90" s="175">
        <f>H90/DAY(B2)</f>
        <v>4.4042105263154214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'18 '!F91</f>
        <v>3454.07</v>
      </c>
      <c r="F91" s="122">
        <v>3465.41</v>
      </c>
      <c r="G91" s="605">
        <f t="shared" si="8"/>
        <v>11.339999999999691</v>
      </c>
      <c r="H91" s="99">
        <f>G91+'18 '!H91</f>
        <v>214.31999999999971</v>
      </c>
      <c r="I91" s="165"/>
      <c r="J91" s="175">
        <f>H91/DAY(B2)</f>
        <v>11.279999999999985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'18 '!F92</f>
        <v>5741</v>
      </c>
      <c r="F92" s="122">
        <v>5741</v>
      </c>
      <c r="G92" s="605">
        <f t="shared" si="8"/>
        <v>0</v>
      </c>
      <c r="H92" s="99">
        <f>G92+'18 '!H92</f>
        <v>-6.9999999999708962E-2</v>
      </c>
      <c r="I92" s="165"/>
      <c r="J92" s="175">
        <f>H92/DAY(B2)</f>
        <v>-3.6842105263004718E-3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608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621">
        <f>G35+G43+G49+G57</f>
        <v>5214.0699999999779</v>
      </c>
      <c r="H94" s="99">
        <f>G94+'18 '!H94</f>
        <v>95217.499999999971</v>
      </c>
      <c r="I94" s="118"/>
      <c r="J94" s="175">
        <f>H94/DAY(B2)</f>
        <v>5011.4473684210507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622">
        <f>G94/G7</f>
        <v>0.24590436080580361</v>
      </c>
      <c r="H95" s="99">
        <f>G95+'18 '!H95</f>
        <v>4.7100398334336457</v>
      </c>
      <c r="I95" s="167"/>
      <c r="J95" s="175">
        <f>H95/DAY(B2)</f>
        <v>0.24789683333861293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621">
        <f>G41+G42+G55+G56</f>
        <v>4676.5299999999988</v>
      </c>
      <c r="H96" s="99">
        <f>G96+'18 '!H96</f>
        <v>78780.359999999986</v>
      </c>
      <c r="I96" s="118"/>
      <c r="J96" s="175">
        <f>H96/DAY(B2)</f>
        <v>4146.3347368421046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622">
        <f>G96/G7</f>
        <v>0.22055306515623482</v>
      </c>
      <c r="H97" s="99">
        <f>G97+'18 '!H97</f>
        <v>3.884677270302078</v>
      </c>
      <c r="I97" s="167"/>
      <c r="J97" s="175">
        <f>H97/DAY(B2)</f>
        <v>0.20445669843695147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621">
        <f>G39+G53</f>
        <v>3138.6000000000058</v>
      </c>
      <c r="H98" s="99">
        <f>G98+'18 '!H98</f>
        <v>56550.01</v>
      </c>
      <c r="I98" s="168"/>
      <c r="J98" s="175">
        <f>H98/DAY(B2)</f>
        <v>2976.3163157894737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622">
        <f>G98/G7</f>
        <v>0.14802168494575252</v>
      </c>
      <c r="H99" s="99">
        <f>G99+'18 '!H99</f>
        <v>2.7949574236994086</v>
      </c>
      <c r="I99" s="168"/>
      <c r="J99" s="175">
        <f>H99/DAY(B2)</f>
        <v>0.14710302229996888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621">
        <f>G38+G52</f>
        <v>2248.3899999999994</v>
      </c>
      <c r="H100" s="99">
        <f>G100+'18 '!H100</f>
        <v>37318.46</v>
      </c>
      <c r="I100" s="118"/>
      <c r="J100" s="175">
        <f>H100/DAY(B2)</f>
        <v>1964.1294736842106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622">
        <f>G100/G7</f>
        <v>0.1060378755544446</v>
      </c>
      <c r="H101" s="99">
        <f>G101+'18 '!H101</f>
        <v>1.8441159126859339</v>
      </c>
      <c r="I101" s="168"/>
      <c r="J101" s="175">
        <f>H101/DAY(B2)</f>
        <v>9.7058732246628102E-2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621">
        <f>G36+G50</f>
        <v>2117.6200000000099</v>
      </c>
      <c r="H102" s="99">
        <f>G102+'18 '!H102</f>
        <v>41282.30000000001</v>
      </c>
      <c r="I102" s="168"/>
      <c r="J102" s="175">
        <f>H102/DAY(B2)</f>
        <v>2172.7526315789478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622">
        <f>G102/G7</f>
        <v>9.9870541156829584E-2</v>
      </c>
      <c r="H103" s="99">
        <f>G103+'18 '!H103</f>
        <v>2.0350609809420552</v>
      </c>
      <c r="I103" s="118"/>
      <c r="J103" s="175">
        <f>H103/DAY(B2)</f>
        <v>0.1071084726811608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621">
        <f>G37+G51</f>
        <v>1790.0399999999936</v>
      </c>
      <c r="H104" s="99">
        <f>G104+'18 '!H104</f>
        <v>31979.97</v>
      </c>
      <c r="I104" s="118"/>
      <c r="J104" s="175">
        <f>H104/DAY(B2)</f>
        <v>1683.1563157894736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623">
        <f>G104/G7</f>
        <v>8.4421314254856758E-2</v>
      </c>
      <c r="H105" s="99">
        <f>G105+'18 '!H105</f>
        <v>1.5830990564683329</v>
      </c>
      <c r="I105" s="187"/>
      <c r="J105" s="188">
        <f>H105/DAY(B2)</f>
        <v>8.3321002972017527E-2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624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626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'18 '!F112</f>
        <v>59328.77</v>
      </c>
      <c r="F112" s="237">
        <v>59395.96</v>
      </c>
      <c r="G112" s="605">
        <f t="shared" ref="G112:G123" si="9">F112-E112</f>
        <v>67.190000000002328</v>
      </c>
      <c r="H112" s="99">
        <f>G112+'18 '!H112</f>
        <v>1341.9599999999991</v>
      </c>
      <c r="I112" s="165"/>
      <c r="J112" s="328">
        <f>H112/DAY(B2)</f>
        <v>70.629473684210481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'18 '!F113</f>
        <v>54851.91</v>
      </c>
      <c r="F113" s="237">
        <v>55355.54</v>
      </c>
      <c r="G113" s="605">
        <f t="shared" si="9"/>
        <v>503.62999999999738</v>
      </c>
      <c r="H113" s="99">
        <f>G113+'18 '!H113</f>
        <v>8954.6500000000015</v>
      </c>
      <c r="I113" s="165"/>
      <c r="J113" s="328">
        <f>H113/DAY(B2)</f>
        <v>471.29736842105268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'18 '!F114</f>
        <v>38835.699999999997</v>
      </c>
      <c r="F114" s="237">
        <v>39101.279999999999</v>
      </c>
      <c r="G114" s="605">
        <f t="shared" si="9"/>
        <v>265.58000000000175</v>
      </c>
      <c r="H114" s="99">
        <f>G114+'18 '!H114</f>
        <v>5941.2799999999988</v>
      </c>
      <c r="I114" s="165"/>
      <c r="J114" s="328">
        <f>H114/DAY(B2)</f>
        <v>312.69894736842099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'18 '!F115</f>
        <v>9305.8700000000008</v>
      </c>
      <c r="F115" s="237">
        <v>9321.02</v>
      </c>
      <c r="G115" s="605">
        <f t="shared" si="9"/>
        <v>15.149999999999636</v>
      </c>
      <c r="H115" s="99">
        <f>G115+'18 '!H115</f>
        <v>226.3700000000008</v>
      </c>
      <c r="I115" s="165"/>
      <c r="J115" s="328">
        <f>H115/DAY(B2)</f>
        <v>11.914210526315832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'18 '!F116</f>
        <v>4994.12</v>
      </c>
      <c r="F116" s="237">
        <v>5346.52</v>
      </c>
      <c r="G116" s="605">
        <f t="shared" si="9"/>
        <v>352.40000000000055</v>
      </c>
      <c r="H116" s="99">
        <f>G116+'18 '!H116</f>
        <v>5346.52</v>
      </c>
      <c r="I116" s="165"/>
      <c r="J116" s="328">
        <f>H116/DAY(B2)</f>
        <v>281.39578947368426</v>
      </c>
      <c r="Q116" s="871" t="s">
        <v>311</v>
      </c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'18 '!F117</f>
        <v>6071.16</v>
      </c>
      <c r="F117" s="237">
        <v>6272.27</v>
      </c>
      <c r="G117" s="605">
        <f t="shared" si="9"/>
        <v>201.11000000000058</v>
      </c>
      <c r="H117" s="99">
        <f>G117+'18 '!H117</f>
        <v>2934.3200000000006</v>
      </c>
      <c r="I117" s="165"/>
      <c r="J117" s="328">
        <f>H117/DAY(B2)</f>
        <v>154.43789473684214</v>
      </c>
      <c r="Q117" s="871" t="s">
        <v>312</v>
      </c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'18 '!F118</f>
        <v>259259.27</v>
      </c>
      <c r="F118" s="237">
        <v>259664.85</v>
      </c>
      <c r="G118" s="605">
        <f t="shared" si="9"/>
        <v>405.5800000000163</v>
      </c>
      <c r="H118" s="99">
        <f>G118+'18 '!H118</f>
        <v>7212.5400000000081</v>
      </c>
      <c r="I118" s="165"/>
      <c r="J118" s="328">
        <f>H118/DAY(B2)</f>
        <v>379.60736842105308</v>
      </c>
      <c r="Q118" s="871" t="s">
        <v>311</v>
      </c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'18 '!F119</f>
        <v>265753.33</v>
      </c>
      <c r="F119" s="237">
        <v>266196.93</v>
      </c>
      <c r="G119" s="605">
        <f t="shared" si="9"/>
        <v>443.59999999997672</v>
      </c>
      <c r="H119" s="99">
        <f>G119+'18 '!H119</f>
        <v>8048.3800000000047</v>
      </c>
      <c r="I119" s="165"/>
      <c r="J119" s="328">
        <f>H119/DAY(B2)</f>
        <v>423.59894736842131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'18 '!F120</f>
        <v>50618.01</v>
      </c>
      <c r="F120" s="237">
        <v>51068.31</v>
      </c>
      <c r="G120" s="605">
        <f t="shared" si="9"/>
        <v>450.29999999999563</v>
      </c>
      <c r="H120" s="99">
        <f>G120+'18 '!H120</f>
        <v>8108.6999999999971</v>
      </c>
      <c r="I120" s="165"/>
      <c r="J120" s="328">
        <f>H120/DAY(B2)</f>
        <v>426.77368421052614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'18 '!F121</f>
        <v>411343.51</v>
      </c>
      <c r="F121" s="237">
        <v>412143.15</v>
      </c>
      <c r="G121" s="605">
        <f t="shared" si="9"/>
        <v>799.64000000001397</v>
      </c>
      <c r="H121" s="99">
        <f>G121+'18 '!H121</f>
        <v>14108.72000000003</v>
      </c>
      <c r="I121" s="165"/>
      <c r="J121" s="328">
        <f>H121/DAY(B2)</f>
        <v>742.56421052631742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'18 '!F122</f>
        <v>130173.65</v>
      </c>
      <c r="F122" s="237">
        <v>130393.85</v>
      </c>
      <c r="G122" s="605">
        <f t="shared" si="9"/>
        <v>220.20000000001164</v>
      </c>
      <c r="H122" s="99">
        <f>G122+'18 '!H122</f>
        <v>4207.6700000000128</v>
      </c>
      <c r="I122" s="165"/>
      <c r="J122" s="328">
        <f>H122/DAY(B2)</f>
        <v>221.45631578947436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'18 '!F123</f>
        <v>158658.81</v>
      </c>
      <c r="F123" s="237">
        <v>158927.59</v>
      </c>
      <c r="G123" s="605">
        <f t="shared" si="9"/>
        <v>268.77999999999884</v>
      </c>
      <c r="H123" s="99">
        <f>G123+'18 '!H123</f>
        <v>4880.6399999999849</v>
      </c>
      <c r="I123" s="165"/>
      <c r="J123" s="328">
        <f>H123/DAY(B2)</f>
        <v>256.87578947368343</v>
      </c>
    </row>
    <row r="124" spans="1:18" ht="29.25" customHeight="1" x14ac:dyDescent="0.5">
      <c r="A124" s="875"/>
      <c r="B124" s="876"/>
      <c r="C124" s="877"/>
      <c r="D124" s="165"/>
      <c r="E124" s="95">
        <f>'18 '!F124</f>
        <v>0</v>
      </c>
      <c r="F124" s="165"/>
      <c r="G124" s="626"/>
      <c r="H124" s="156"/>
      <c r="I124" s="165"/>
      <c r="J124" s="327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627">
        <f>SUM(G112:G124)</f>
        <v>3993.1600000000153</v>
      </c>
      <c r="H125" s="156"/>
      <c r="I125" s="327">
        <f>G125-(G39+G53)</f>
        <v>854.5600000000095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627"/>
      <c r="H127" s="99">
        <f>G127+'18 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'18 '!F128</f>
        <v>53396.87</v>
      </c>
      <c r="F128" s="165">
        <v>53699.14</v>
      </c>
      <c r="G128" s="605">
        <f t="shared" ref="G128:G134" si="10">F128-E128</f>
        <v>302.2699999999968</v>
      </c>
      <c r="H128" s="99">
        <f>G128+'18 '!H128</f>
        <v>5953.1399999999994</v>
      </c>
      <c r="I128" s="165"/>
      <c r="J128" s="328">
        <f>H128/DAY(B2)</f>
        <v>313.32315789473682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'18 '!F129</f>
        <v>30997.7</v>
      </c>
      <c r="F129" s="165">
        <v>31265.18</v>
      </c>
      <c r="G129" s="605">
        <f t="shared" si="10"/>
        <v>267.47999999999956</v>
      </c>
      <c r="H129" s="99">
        <f>G129+'18 '!H129</f>
        <v>4354.3100000000013</v>
      </c>
      <c r="I129" s="165"/>
      <c r="J129" s="328">
        <f>H129/DAY(B2)</f>
        <v>229.17421052631585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'18 '!F130</f>
        <v>46618.43</v>
      </c>
      <c r="F130" s="158">
        <v>47331.66</v>
      </c>
      <c r="G130" s="605">
        <f t="shared" si="10"/>
        <v>713.2300000000032</v>
      </c>
      <c r="H130" s="99">
        <f>G130+'18 '!H130</f>
        <v>11637.660000000003</v>
      </c>
      <c r="I130" s="165"/>
      <c r="J130" s="328">
        <f>H130/DAY(B2)</f>
        <v>612.50842105263177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'18 '!F131</f>
        <v>17305</v>
      </c>
      <c r="F131" s="165">
        <v>17424.330000000002</v>
      </c>
      <c r="G131" s="605">
        <f t="shared" si="10"/>
        <v>119.33000000000175</v>
      </c>
      <c r="H131" s="99">
        <f>G131+'18 '!H131</f>
        <v>2116.6500000000015</v>
      </c>
      <c r="I131" s="165"/>
      <c r="J131" s="328">
        <f>H131/DAY(B2)</f>
        <v>111.40263157894745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'18 '!F132</f>
        <v>58879.7</v>
      </c>
      <c r="F132" s="165">
        <v>59315.59</v>
      </c>
      <c r="G132" s="605">
        <f t="shared" si="10"/>
        <v>435.88999999999942</v>
      </c>
      <c r="H132" s="99">
        <f>G132+'18 '!H132</f>
        <v>7467.2899999999936</v>
      </c>
      <c r="I132" s="165"/>
      <c r="J132" s="328">
        <f>H132/DAY(B2)</f>
        <v>393.01526315789442</v>
      </c>
    </row>
    <row r="133" spans="1:15" ht="27.75" x14ac:dyDescent="0.5">
      <c r="A133" s="871" t="s">
        <v>362</v>
      </c>
      <c r="B133" s="872"/>
      <c r="C133" s="873"/>
      <c r="D133" s="151" t="s">
        <v>183</v>
      </c>
      <c r="E133" s="95">
        <f>'18 '!F133</f>
        <v>116693.31</v>
      </c>
      <c r="F133" s="165">
        <v>117377.44</v>
      </c>
      <c r="G133" s="605">
        <f t="shared" si="10"/>
        <v>684.13000000000466</v>
      </c>
      <c r="H133" s="99">
        <f>G133+'18 '!H133</f>
        <v>12033.740000000005</v>
      </c>
      <c r="I133" s="165"/>
      <c r="J133" s="328">
        <f>H133/DAY(B2)</f>
        <v>633.35473684210558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'18 '!F134</f>
        <v>11834.8</v>
      </c>
      <c r="F134" s="165">
        <v>11991.51</v>
      </c>
      <c r="G134" s="605">
        <f t="shared" si="10"/>
        <v>156.71000000000095</v>
      </c>
      <c r="H134" s="99">
        <f>G134+'18 '!H134</f>
        <v>3390.2800000000007</v>
      </c>
      <c r="I134" s="165"/>
      <c r="J134" s="328">
        <f>H134/DAY(B2)</f>
        <v>178.43578947368425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65"/>
      <c r="G135" s="605">
        <f>SUM(G128:G134)</f>
        <v>2679.0400000000063</v>
      </c>
      <c r="H135" s="99">
        <f>G135+'10'!H135</f>
        <v>26135.260000000009</v>
      </c>
      <c r="I135" s="327">
        <f>G135-(G35+G49)</f>
        <v>-403.57999999998901</v>
      </c>
      <c r="J135" s="328"/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626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'18 '!F138</f>
        <v>867792</v>
      </c>
      <c r="F138" s="147">
        <v>867942</v>
      </c>
      <c r="G138" s="605">
        <f t="shared" ref="G138:G152" si="11">F138-E138</f>
        <v>150</v>
      </c>
      <c r="H138" s="99">
        <f>G138+'18 '!H138</f>
        <v>1769</v>
      </c>
      <c r="I138" s="118"/>
      <c r="J138" s="328">
        <f>H138/DAY(B2)</f>
        <v>93.10526315789474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'18 '!F139</f>
        <v>886679</v>
      </c>
      <c r="F139" s="148">
        <v>886680</v>
      </c>
      <c r="G139" s="605">
        <f t="shared" si="11"/>
        <v>1</v>
      </c>
      <c r="H139" s="99">
        <f>G139+'18 '!H139</f>
        <v>107</v>
      </c>
      <c r="I139" s="118"/>
      <c r="J139" s="328">
        <f>H139/DAY(B2)</f>
        <v>5.6315789473684212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'18 '!F140</f>
        <v>88948.4</v>
      </c>
      <c r="F140" s="149">
        <v>88948.4</v>
      </c>
      <c r="G140" s="605">
        <f t="shared" si="11"/>
        <v>0</v>
      </c>
      <c r="H140" s="99">
        <f>G140+'18 '!H140</f>
        <v>26.399999999994179</v>
      </c>
      <c r="I140" s="118"/>
      <c r="J140" s="328">
        <f>H140/DAY(B2)</f>
        <v>1.38947368421022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'18 '!F141</f>
        <v>57886.32</v>
      </c>
      <c r="F141" s="149">
        <v>58071.41</v>
      </c>
      <c r="G141" s="605">
        <f t="shared" si="11"/>
        <v>185.09000000000378</v>
      </c>
      <c r="H141" s="99">
        <f>G141+'18 '!H141</f>
        <v>3385.8300000000017</v>
      </c>
      <c r="I141" s="118"/>
      <c r="J141" s="328">
        <f>H141/DAY(B2)</f>
        <v>178.20157894736852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'18 '!F142</f>
        <v>22520.2</v>
      </c>
      <c r="F142" s="148">
        <v>22589.37</v>
      </c>
      <c r="G142" s="605">
        <f t="shared" si="11"/>
        <v>69.169999999998254</v>
      </c>
      <c r="H142" s="99">
        <f>G142+'18 '!H142</f>
        <v>1305.2700000000004</v>
      </c>
      <c r="I142" s="140"/>
      <c r="J142" s="328">
        <f>H142/DAY(B2)</f>
        <v>68.698421052631602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'18 '!F143</f>
        <v>4338.46</v>
      </c>
      <c r="F143" s="149">
        <v>4365.22</v>
      </c>
      <c r="G143" s="605">
        <f t="shared" si="11"/>
        <v>26.760000000000218</v>
      </c>
      <c r="H143" s="99">
        <f>G143+'18 '!H143</f>
        <v>529.83000000000038</v>
      </c>
      <c r="I143" s="140"/>
      <c r="J143" s="328">
        <f>H143/DAY(B2)</f>
        <v>27.88578947368423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'18 '!F144</f>
        <v>880277</v>
      </c>
      <c r="F144" s="149">
        <v>880489</v>
      </c>
      <c r="G144" s="605">
        <f t="shared" si="11"/>
        <v>212</v>
      </c>
      <c r="H144" s="99">
        <f>G144+'18 '!H144</f>
        <v>4002</v>
      </c>
      <c r="I144" s="140"/>
      <c r="J144" s="328">
        <f>H144/DAY(B2)</f>
        <v>210.63157894736841</v>
      </c>
    </row>
    <row r="145" spans="1:17" ht="27.75" x14ac:dyDescent="0.5">
      <c r="A145" s="870" t="s">
        <v>190</v>
      </c>
      <c r="B145" s="870"/>
      <c r="C145" s="870"/>
      <c r="D145" s="152" t="s">
        <v>183</v>
      </c>
      <c r="E145" s="95">
        <f>'18 '!F145</f>
        <v>5192.3</v>
      </c>
      <c r="F145" s="149">
        <v>5207.76</v>
      </c>
      <c r="G145" s="605">
        <f t="shared" si="11"/>
        <v>15.460000000000036</v>
      </c>
      <c r="H145" s="99">
        <f>G145+'18 '!H145</f>
        <v>248.92000000000007</v>
      </c>
      <c r="I145" s="140"/>
      <c r="J145" s="328">
        <f>H145/DAY(B2)</f>
        <v>13.101052631578952</v>
      </c>
    </row>
    <row r="146" spans="1:17" ht="27.75" x14ac:dyDescent="0.5">
      <c r="A146" s="905" t="s">
        <v>191</v>
      </c>
      <c r="B146" s="890"/>
      <c r="C146" s="891"/>
      <c r="D146" s="152" t="s">
        <v>183</v>
      </c>
      <c r="E146" s="95">
        <f>'18 '!F146</f>
        <v>745187</v>
      </c>
      <c r="F146" s="148">
        <v>745649</v>
      </c>
      <c r="G146" s="605">
        <f t="shared" si="11"/>
        <v>462</v>
      </c>
      <c r="H146" s="99">
        <f>G146+'18 '!H146</f>
        <v>8316</v>
      </c>
      <c r="I146" s="140"/>
      <c r="J146" s="328">
        <f>H146/DAY(B2)</f>
        <v>437.68421052631578</v>
      </c>
    </row>
    <row r="147" spans="1:17" ht="27.75" x14ac:dyDescent="0.5">
      <c r="A147" s="851" t="s">
        <v>192</v>
      </c>
      <c r="B147" s="851"/>
      <c r="C147" s="851"/>
      <c r="D147" s="152" t="s">
        <v>183</v>
      </c>
      <c r="E147" s="95">
        <f>'18 '!F147</f>
        <v>633840</v>
      </c>
      <c r="F147" s="148">
        <v>634248.84</v>
      </c>
      <c r="G147" s="605">
        <f t="shared" si="11"/>
        <v>408.8399999999674</v>
      </c>
      <c r="H147" s="99">
        <f>G147+'18 '!H147</f>
        <v>7636.3199999999488</v>
      </c>
      <c r="I147" s="140"/>
      <c r="J147" s="328">
        <f>H147/DAY(B2)</f>
        <v>401.91157894736574</v>
      </c>
    </row>
    <row r="148" spans="1:17" ht="27.75" x14ac:dyDescent="0.5">
      <c r="A148" s="852" t="s">
        <v>193</v>
      </c>
      <c r="B148" s="853"/>
      <c r="C148" s="854"/>
      <c r="D148" s="123" t="s">
        <v>130</v>
      </c>
      <c r="E148" s="95">
        <f>'18 '!F148</f>
        <v>694826.8</v>
      </c>
      <c r="F148" s="150">
        <v>695221.04</v>
      </c>
      <c r="G148" s="605">
        <f t="shared" si="11"/>
        <v>394.23999999999069</v>
      </c>
      <c r="H148" s="99">
        <f>G148+'18 '!H148</f>
        <v>5778.0800000000745</v>
      </c>
      <c r="I148" s="124"/>
      <c r="J148" s="328">
        <f>H148/DAY(B2)</f>
        <v>304.10947368421444</v>
      </c>
    </row>
    <row r="149" spans="1:17" ht="27.75" x14ac:dyDescent="0.5">
      <c r="A149" s="852" t="s">
        <v>336</v>
      </c>
      <c r="B149" s="853"/>
      <c r="C149" s="854"/>
      <c r="D149" s="227" t="s">
        <v>130</v>
      </c>
      <c r="E149" s="95">
        <f>'18 '!F149</f>
        <v>35220.400000000001</v>
      </c>
      <c r="F149" s="498">
        <v>35897.57</v>
      </c>
      <c r="G149" s="605">
        <f t="shared" si="11"/>
        <v>677.16999999999825</v>
      </c>
      <c r="H149" s="99">
        <f>G149+'18 '!H149</f>
        <v>11219.369999999999</v>
      </c>
      <c r="I149" s="119"/>
      <c r="J149" s="328">
        <f>H149/DAY(B2)</f>
        <v>590.49315789473678</v>
      </c>
    </row>
    <row r="150" spans="1:17" ht="27.75" x14ac:dyDescent="0.5">
      <c r="A150" s="852" t="s">
        <v>337</v>
      </c>
      <c r="B150" s="853"/>
      <c r="C150" s="854"/>
      <c r="D150" s="117" t="s">
        <v>130</v>
      </c>
      <c r="E150" s="95">
        <f>'18 '!F150</f>
        <v>14914.52</v>
      </c>
      <c r="F150" s="233">
        <v>15142.86</v>
      </c>
      <c r="G150" s="605">
        <f t="shared" si="11"/>
        <v>228.34000000000015</v>
      </c>
      <c r="H150" s="99">
        <f>G150+'18 '!H150</f>
        <v>4292.0300000000007</v>
      </c>
      <c r="I150" s="119"/>
      <c r="J150" s="328">
        <f>H150/DAY(B2)</f>
        <v>225.89631578947373</v>
      </c>
    </row>
    <row r="151" spans="1:17" ht="27.75" x14ac:dyDescent="0.5">
      <c r="A151" s="852" t="s">
        <v>338</v>
      </c>
      <c r="B151" s="853"/>
      <c r="C151" s="854"/>
      <c r="D151" s="117" t="s">
        <v>130</v>
      </c>
      <c r="E151" s="95">
        <f>'18 '!F151</f>
        <v>89887</v>
      </c>
      <c r="F151" s="233">
        <v>90155</v>
      </c>
      <c r="G151" s="605">
        <f t="shared" si="11"/>
        <v>268</v>
      </c>
      <c r="H151" s="99">
        <f>G151+'18 '!H151</f>
        <v>4675</v>
      </c>
      <c r="I151" s="119"/>
      <c r="J151" s="328">
        <f>H151/DAY(B2)</f>
        <v>246.05263157894737</v>
      </c>
    </row>
    <row r="152" spans="1:17" ht="27.75" x14ac:dyDescent="0.5">
      <c r="A152" s="852" t="s">
        <v>339</v>
      </c>
      <c r="B152" s="853"/>
      <c r="C152" s="854"/>
      <c r="D152" s="117" t="s">
        <v>130</v>
      </c>
      <c r="E152" s="95">
        <f>'18 '!F152</f>
        <v>2874.33</v>
      </c>
      <c r="F152" s="233">
        <v>3008.89</v>
      </c>
      <c r="G152" s="605">
        <f t="shared" si="11"/>
        <v>134.55999999999995</v>
      </c>
      <c r="H152" s="99">
        <f>G152+'18 '!H152</f>
        <v>1348.8899999999999</v>
      </c>
      <c r="I152" s="119"/>
      <c r="J152" s="328">
        <f>H152/DAY(B2)</f>
        <v>70.994210526315783</v>
      </c>
    </row>
    <row r="153" spans="1:17" ht="27.75" x14ac:dyDescent="0.5">
      <c r="A153" s="855" t="s">
        <v>196</v>
      </c>
      <c r="B153" s="856"/>
      <c r="C153" s="365"/>
      <c r="D153" s="358"/>
      <c r="E153" s="360"/>
      <c r="F153" s="361"/>
      <c r="G153" s="628">
        <f>SUM(G138:G152)</f>
        <v>3232.6299999999587</v>
      </c>
      <c r="H153" s="363"/>
      <c r="I153" s="119">
        <f>G153-(G38+G52)</f>
        <v>984.23999999995931</v>
      </c>
      <c r="J153" s="366"/>
    </row>
    <row r="154" spans="1:17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7" ht="31.5" x14ac:dyDescent="0.55000000000000004">
      <c r="A155" s="851" t="s">
        <v>345</v>
      </c>
      <c r="B155" s="851"/>
      <c r="C155" s="851"/>
      <c r="D155" s="117" t="s">
        <v>130</v>
      </c>
      <c r="E155" s="95">
        <f>'18 '!F155</f>
        <v>44914.618999999999</v>
      </c>
      <c r="F155" s="157">
        <v>45622.15</v>
      </c>
      <c r="G155" s="605">
        <f t="shared" ref="G155:G158" si="12">F155-E155</f>
        <v>707.53100000000268</v>
      </c>
      <c r="H155" s="99">
        <f>G155+'18 '!H155</f>
        <v>12677.150000000001</v>
      </c>
      <c r="I155" s="364"/>
      <c r="J155" s="328">
        <f>H155/DAY(B2)</f>
        <v>667.2184210526317</v>
      </c>
    </row>
    <row r="156" spans="1:17" ht="27.75" x14ac:dyDescent="0.5">
      <c r="A156" s="851" t="s">
        <v>347</v>
      </c>
      <c r="B156" s="851"/>
      <c r="C156" s="851"/>
      <c r="D156" s="117" t="s">
        <v>130</v>
      </c>
      <c r="E156" s="95">
        <f>'18 '!F156</f>
        <v>3693</v>
      </c>
      <c r="F156" s="157">
        <v>3758.34</v>
      </c>
      <c r="G156" s="605">
        <f t="shared" si="12"/>
        <v>65.340000000000146</v>
      </c>
      <c r="H156" s="99">
        <f>G156+'18 '!H156</f>
        <v>970.34000000000015</v>
      </c>
      <c r="I156" s="165"/>
      <c r="J156" s="328">
        <f>H156/DAY(B2)</f>
        <v>51.070526315789479</v>
      </c>
      <c r="P156" s="65">
        <v>164.5</v>
      </c>
      <c r="Q156" s="65" t="s">
        <v>370</v>
      </c>
    </row>
    <row r="157" spans="1:17" ht="27.75" x14ac:dyDescent="0.5">
      <c r="A157" s="852" t="s">
        <v>363</v>
      </c>
      <c r="B157" s="853"/>
      <c r="C157" s="854"/>
      <c r="D157" s="117" t="s">
        <v>130</v>
      </c>
      <c r="E157" s="95">
        <f>'18 '!F157</f>
        <v>6015.67</v>
      </c>
      <c r="F157" s="374">
        <v>6191.46</v>
      </c>
      <c r="G157" s="605">
        <f t="shared" si="12"/>
        <v>175.78999999999996</v>
      </c>
      <c r="H157" s="99"/>
      <c r="I157" s="165"/>
      <c r="J157" s="328"/>
    </row>
    <row r="158" spans="1:17" ht="27.75" x14ac:dyDescent="0.5">
      <c r="A158" s="852" t="s">
        <v>364</v>
      </c>
      <c r="B158" s="853"/>
      <c r="C158" s="854"/>
      <c r="D158" s="117" t="s">
        <v>130</v>
      </c>
      <c r="E158" s="95">
        <f>'18 '!F158</f>
        <v>73.599999999999994</v>
      </c>
      <c r="F158" s="374">
        <v>74.17</v>
      </c>
      <c r="G158" s="605">
        <f t="shared" si="12"/>
        <v>0.57000000000000739</v>
      </c>
      <c r="H158" s="99"/>
      <c r="I158" s="165"/>
      <c r="J158" s="328"/>
    </row>
    <row r="159" spans="1:17" ht="27.75" x14ac:dyDescent="0.5">
      <c r="A159" s="935"/>
      <c r="B159" s="936"/>
      <c r="C159" s="937"/>
      <c r="D159" s="117"/>
      <c r="E159" s="95"/>
      <c r="F159" s="165"/>
      <c r="G159" s="605"/>
      <c r="H159" s="99"/>
      <c r="I159" s="165"/>
      <c r="J159" s="328"/>
    </row>
    <row r="160" spans="1:17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472622.2</v>
      </c>
      <c r="F161" s="235">
        <v>472639.16</v>
      </c>
      <c r="G161" s="629">
        <f t="shared" ref="G161:G165" si="13">F161-E161</f>
        <v>16.959999999962747</v>
      </c>
      <c r="H161" s="99">
        <f>G161+'18 '!H161</f>
        <v>585.59999999997672</v>
      </c>
      <c r="I161" s="236"/>
      <c r="J161" s="239">
        <f>H161/DAY(B2)</f>
        <v>30.821052631577722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89186.4</v>
      </c>
      <c r="F162" s="235">
        <v>89228.1</v>
      </c>
      <c r="G162" s="629">
        <f t="shared" si="13"/>
        <v>41.700000000011642</v>
      </c>
      <c r="H162" s="99">
        <f>G162+'18 '!H162</f>
        <v>711.70000000001164</v>
      </c>
      <c r="I162" s="236"/>
      <c r="J162" s="239">
        <f>H162/DAY(B2)</f>
        <v>37.457894736842718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80461.2</v>
      </c>
      <c r="F163" s="235">
        <v>80554</v>
      </c>
      <c r="G163" s="629">
        <f t="shared" si="13"/>
        <v>92.80000000000291</v>
      </c>
      <c r="H163" s="99">
        <f>G163+'18 '!H163</f>
        <v>1333.8999999999942</v>
      </c>
      <c r="I163" s="236"/>
      <c r="J163" s="239">
        <f>H163/DAY(B2)</f>
        <v>70.205263157894436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4350.2</v>
      </c>
      <c r="F164" s="235">
        <v>4350.7</v>
      </c>
      <c r="G164" s="629">
        <f t="shared" si="13"/>
        <v>0.5</v>
      </c>
      <c r="H164" s="99">
        <f>G164+'18 '!H164</f>
        <v>30.699999999999818</v>
      </c>
      <c r="I164" s="236"/>
      <c r="J164" s="239">
        <f>H164/DAY(B2)</f>
        <v>1.6157894736842009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30013.360000000001</v>
      </c>
      <c r="F165" s="235">
        <v>30021.1</v>
      </c>
      <c r="G165" s="629">
        <f t="shared" si="13"/>
        <v>7.7399999999979627</v>
      </c>
      <c r="H165" s="99">
        <f>G165+'18 '!H165</f>
        <v>163.84999999999854</v>
      </c>
      <c r="I165" s="236"/>
      <c r="J165" s="239">
        <f>H165/DAY(B2)</f>
        <v>8.623684210526239</v>
      </c>
    </row>
    <row r="166" spans="1:10" ht="29.25" x14ac:dyDescent="0.5">
      <c r="A166" s="860"/>
      <c r="B166" s="860"/>
      <c r="C166" s="246"/>
      <c r="D166" s="244"/>
      <c r="E166" s="95"/>
      <c r="F166" s="165"/>
      <c r="G166" s="626"/>
      <c r="H166" s="99"/>
      <c r="I166" s="165"/>
      <c r="J166" s="239"/>
    </row>
    <row r="167" spans="1:10" ht="29.25" x14ac:dyDescent="0.5">
      <c r="A167" s="860"/>
      <c r="B167" s="860"/>
      <c r="C167" s="246"/>
      <c r="D167" s="244"/>
      <c r="E167" s="95"/>
      <c r="F167" s="165"/>
      <c r="G167" s="626"/>
      <c r="H167" s="99"/>
      <c r="I167" s="165"/>
      <c r="J167" s="239"/>
    </row>
    <row r="168" spans="1:10" ht="29.25" x14ac:dyDescent="0.5">
      <c r="A168" s="860"/>
      <c r="B168" s="860"/>
      <c r="C168" s="246"/>
      <c r="D168" s="244"/>
      <c r="E168" s="95"/>
      <c r="F168" s="165"/>
      <c r="G168" s="626"/>
      <c r="H168" s="99"/>
      <c r="I168" s="165"/>
      <c r="J168" s="239"/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630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'18 '!F173</f>
        <v>8183</v>
      </c>
      <c r="F173" s="157">
        <v>8183</v>
      </c>
      <c r="G173" s="630">
        <f>F173-E173</f>
        <v>0</v>
      </c>
      <c r="H173" s="99">
        <f>G173+'18 '!H173</f>
        <v>57</v>
      </c>
      <c r="I173" s="155"/>
      <c r="J173" s="178">
        <f>H173/DAY(B2)</f>
        <v>3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'18 '!F174</f>
        <v>38864</v>
      </c>
      <c r="F174" s="157">
        <v>38880</v>
      </c>
      <c r="G174" s="630">
        <f t="shared" ref="G174:G175" si="14">F174-E174</f>
        <v>16</v>
      </c>
      <c r="H174" s="99">
        <f>G174+'18 '!H174</f>
        <v>265</v>
      </c>
      <c r="I174" s="155"/>
      <c r="J174" s="178">
        <f>H174/DAY(B2)</f>
        <v>13.947368421052632</v>
      </c>
    </row>
    <row r="175" spans="1:10" ht="27.75" x14ac:dyDescent="0.5">
      <c r="A175" s="864" t="s">
        <v>76</v>
      </c>
      <c r="B175" s="904"/>
      <c r="C175" s="865"/>
      <c r="D175" s="228" t="s">
        <v>142</v>
      </c>
      <c r="E175" s="95">
        <f>'18 '!F175</f>
        <v>22023</v>
      </c>
      <c r="F175" s="155">
        <v>22035</v>
      </c>
      <c r="G175" s="630">
        <f t="shared" si="14"/>
        <v>12</v>
      </c>
      <c r="H175" s="99">
        <f>G175+'18 '!H175</f>
        <v>222</v>
      </c>
      <c r="I175" s="155"/>
      <c r="J175" s="178">
        <f>H175/DAY(B2)</f>
        <v>11.684210526315789</v>
      </c>
    </row>
    <row r="176" spans="1:10" ht="27.75" x14ac:dyDescent="0.5">
      <c r="A176" s="855" t="s">
        <v>196</v>
      </c>
      <c r="B176" s="856"/>
      <c r="C176" s="483"/>
      <c r="D176" s="228" t="s">
        <v>142</v>
      </c>
      <c r="E176" s="95"/>
      <c r="F176" s="155"/>
      <c r="G176" s="630">
        <f>SUM(G173:G175)</f>
        <v>28</v>
      </c>
      <c r="H176" s="99">
        <f>G176+'18 '!H176</f>
        <v>544</v>
      </c>
      <c r="I176" s="155"/>
      <c r="J176" s="178">
        <f>H176/DAY(B2)</f>
        <v>28.631578947368421</v>
      </c>
    </row>
    <row r="177" spans="1:11" ht="27.75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630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864" t="s">
        <v>210</v>
      </c>
      <c r="B178" s="865"/>
      <c r="C178" s="333"/>
      <c r="D178" s="228" t="s">
        <v>142</v>
      </c>
      <c r="E178" s="95">
        <f>'18 '!F178</f>
        <v>82334</v>
      </c>
      <c r="F178" s="155">
        <v>82377</v>
      </c>
      <c r="G178" s="630">
        <f>F178-E178</f>
        <v>43</v>
      </c>
      <c r="H178" s="99">
        <f>G178+'18 '!H178</f>
        <v>1062</v>
      </c>
      <c r="I178" s="155"/>
      <c r="J178" s="178">
        <f>H178/DAY(B2)</f>
        <v>55.89473684210526</v>
      </c>
    </row>
    <row r="179" spans="1:11" ht="27.75" x14ac:dyDescent="0.5">
      <c r="A179" s="864" t="s">
        <v>211</v>
      </c>
      <c r="B179" s="865"/>
      <c r="C179" s="333"/>
      <c r="D179" s="228" t="s">
        <v>142</v>
      </c>
      <c r="E179" s="95">
        <f>'18 '!F179</f>
        <v>35289</v>
      </c>
      <c r="F179" s="155">
        <v>35296</v>
      </c>
      <c r="G179" s="630">
        <f t="shared" ref="G179:G180" si="15">F179-E179</f>
        <v>7</v>
      </c>
      <c r="H179" s="99">
        <f>G179+'18 '!H179</f>
        <v>493</v>
      </c>
      <c r="I179" s="155"/>
      <c r="J179" s="178">
        <f>H179/DAY(B2)</f>
        <v>25.94736842105263</v>
      </c>
    </row>
    <row r="180" spans="1:11" ht="27.75" x14ac:dyDescent="0.5">
      <c r="A180" s="864" t="s">
        <v>212</v>
      </c>
      <c r="B180" s="865"/>
      <c r="C180" s="333"/>
      <c r="D180" s="228" t="s">
        <v>142</v>
      </c>
      <c r="E180" s="95">
        <f>'18 '!F180</f>
        <v>5806</v>
      </c>
      <c r="F180" s="155">
        <v>5811</v>
      </c>
      <c r="G180" s="630">
        <f t="shared" si="15"/>
        <v>5</v>
      </c>
      <c r="H180" s="99">
        <f>G180+'18 '!H180</f>
        <v>109</v>
      </c>
      <c r="I180" s="155"/>
      <c r="J180" s="178">
        <f>H180/DAY(B2)</f>
        <v>5.7368421052631575</v>
      </c>
    </row>
    <row r="181" spans="1:11" ht="27.75" x14ac:dyDescent="0.5">
      <c r="A181" s="866" t="s">
        <v>108</v>
      </c>
      <c r="B181" s="867"/>
      <c r="C181" s="483"/>
      <c r="D181" s="228" t="s">
        <v>142</v>
      </c>
      <c r="E181" s="95"/>
      <c r="F181" s="155"/>
      <c r="G181" s="630">
        <f>SUM(G178:G180)</f>
        <v>55</v>
      </c>
      <c r="H181" s="99">
        <f>G181+'18 '!H181</f>
        <v>1664</v>
      </c>
      <c r="I181" s="155"/>
      <c r="J181" s="178">
        <f>H181/DAY(B2)</f>
        <v>87.578947368421055</v>
      </c>
    </row>
    <row r="182" spans="1:11" ht="27.75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630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864" t="s">
        <v>214</v>
      </c>
      <c r="B183" s="865"/>
      <c r="C183" s="334"/>
      <c r="D183" s="228" t="s">
        <v>142</v>
      </c>
      <c r="E183" s="95">
        <f>'18 '!F183</f>
        <v>15628</v>
      </c>
      <c r="F183" s="157">
        <v>15643</v>
      </c>
      <c r="G183" s="631">
        <f>F183-E183</f>
        <v>15</v>
      </c>
      <c r="H183" s="99">
        <f>G183+'18 '!H183</f>
        <v>298</v>
      </c>
      <c r="I183" s="155"/>
      <c r="J183" s="178">
        <f>H183/DAY(B2)</f>
        <v>15.684210526315789</v>
      </c>
    </row>
    <row r="184" spans="1:11" ht="27.75" x14ac:dyDescent="0.5">
      <c r="A184" s="864" t="s">
        <v>215</v>
      </c>
      <c r="B184" s="865"/>
      <c r="C184" s="334"/>
      <c r="D184" s="228" t="s">
        <v>142</v>
      </c>
      <c r="E184" s="95">
        <f>'18 '!F184</f>
        <v>10721</v>
      </c>
      <c r="F184" s="157">
        <v>10728</v>
      </c>
      <c r="G184" s="631">
        <f t="shared" ref="G184:G185" si="16">F184-E184</f>
        <v>7</v>
      </c>
      <c r="H184" s="99">
        <f>G184+'18 '!H184</f>
        <v>210</v>
      </c>
      <c r="I184" s="155"/>
      <c r="J184" s="178">
        <f>H184/DAY(B2)</f>
        <v>11.052631578947368</v>
      </c>
    </row>
    <row r="185" spans="1:11" ht="30.75" customHeight="1" x14ac:dyDescent="0.5">
      <c r="A185" s="864" t="s">
        <v>216</v>
      </c>
      <c r="B185" s="865"/>
      <c r="C185" s="334"/>
      <c r="D185" s="228" t="s">
        <v>142</v>
      </c>
      <c r="E185" s="95">
        <f>'18 '!F185</f>
        <v>0</v>
      </c>
      <c r="F185" s="157"/>
      <c r="G185" s="631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855" t="s">
        <v>196</v>
      </c>
      <c r="B186" s="856"/>
      <c r="C186" s="482"/>
      <c r="D186" s="228" t="s">
        <v>142</v>
      </c>
      <c r="E186" s="95"/>
      <c r="F186" s="157"/>
      <c r="G186" s="631">
        <f>SUM(G183:G185)</f>
        <v>22</v>
      </c>
      <c r="H186" s="99">
        <f>G186+'18 '!H186</f>
        <v>508</v>
      </c>
      <c r="I186" s="157"/>
      <c r="J186" s="178">
        <f>H186/DAY(B2)</f>
        <v>26.736842105263158</v>
      </c>
    </row>
    <row r="187" spans="1:11" ht="27.75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632">
        <f>G62+G19</f>
        <v>208</v>
      </c>
      <c r="H187" s="99">
        <f>G187+'18 '!H187</f>
        <v>3675</v>
      </c>
      <c r="I187" s="158"/>
      <c r="J187" s="179">
        <f>H187/DAY(B2)</f>
        <v>193.42105263157896</v>
      </c>
    </row>
    <row r="188" spans="1:11" ht="27.75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632">
        <f>G65+G66+G67+G69+G70</f>
        <v>253</v>
      </c>
      <c r="H188" s="99">
        <f>G188+'18 '!H188</f>
        <v>1157</v>
      </c>
      <c r="I188" s="158"/>
      <c r="J188" s="179">
        <f>H188/DAY(B2)</f>
        <v>60.89473684210526</v>
      </c>
    </row>
    <row r="189" spans="1:11" ht="27.75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632">
        <f>G181</f>
        <v>55</v>
      </c>
      <c r="H189" s="99">
        <f>G189+'30'!H238</f>
        <v>55</v>
      </c>
      <c r="I189" s="158"/>
      <c r="J189" s="179">
        <f>H189/DAY(B2)</f>
        <v>2.8947368421052633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582">
        <f>'18 '!G190</f>
        <v>52871</v>
      </c>
      <c r="G190" s="626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70" zoomScale="55" zoomScaleSheetLayoutView="55" zoomScalePageLayoutView="78" workbookViewId="0">
      <selection activeCell="D3" sqref="D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356</v>
      </c>
      <c r="B2" s="262">
        <v>44612</v>
      </c>
      <c r="C2" s="348" t="s">
        <v>67</v>
      </c>
      <c r="D2" s="218">
        <v>0.68310000000000004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35551.65</v>
      </c>
      <c r="F7" s="95">
        <v>56156.53</v>
      </c>
      <c r="G7" s="112">
        <f>F7-E7</f>
        <v>20604.879999999997</v>
      </c>
      <c r="H7" s="99">
        <f>G7+'19'!H7</f>
        <v>405035.30000000005</v>
      </c>
      <c r="I7" s="113">
        <v>24000</v>
      </c>
      <c r="J7" s="175">
        <f>H7/DAY(B2)</f>
        <v>20251.765000000003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95375.98</v>
      </c>
      <c r="F8" s="95">
        <v>116071.78</v>
      </c>
      <c r="G8" s="115">
        <f>F8-E8</f>
        <v>20695.800000000003</v>
      </c>
      <c r="H8" s="99">
        <f>G8+'19'!H8</f>
        <v>407550.22999999992</v>
      </c>
      <c r="I8" s="116"/>
      <c r="J8" s="175">
        <f>H8/DAY(B2)</f>
        <v>20377.511499999997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583231.63</v>
      </c>
      <c r="F9" s="598">
        <v>600536.71</v>
      </c>
      <c r="G9" s="112">
        <f>F9-E9</f>
        <v>17305.079999999958</v>
      </c>
      <c r="H9" s="99">
        <f>G9+'19'!H9</f>
        <v>318282.86</v>
      </c>
      <c r="I9" s="124">
        <f>I7-J7</f>
        <v>3748.2349999999969</v>
      </c>
      <c r="J9" s="175">
        <f>H9/DAY(B2)</f>
        <v>15914.143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177814.65</v>
      </c>
      <c r="F10" s="353">
        <v>180429.79</v>
      </c>
      <c r="G10" s="112">
        <f t="shared" ref="G10:G12" si="0">F10-E10</f>
        <v>2615.140000000014</v>
      </c>
      <c r="H10" s="99">
        <f>G10+'19'!H10</f>
        <v>75170.820000000007</v>
      </c>
      <c r="I10" s="282"/>
      <c r="J10" s="175">
        <f>H10/DAY(B2)</f>
        <v>3758.5410000000002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37170</v>
      </c>
      <c r="F11" s="95">
        <v>37170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19920.219999999972</v>
      </c>
      <c r="H13" s="99">
        <f>G13+'19'!H13</f>
        <v>376699.24999999994</v>
      </c>
      <c r="I13" s="120">
        <f>G7-G13</f>
        <v>684.66000000002532</v>
      </c>
      <c r="J13" s="175">
        <f>H13/DAY(B2)</f>
        <v>18834.962499999998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'19'!F15</f>
        <v>1926906.17</v>
      </c>
      <c r="F15" s="598">
        <v>1927951.77</v>
      </c>
      <c r="G15" s="112">
        <f>(F15-E15)</f>
        <v>1045.6000000000931</v>
      </c>
      <c r="H15" s="99">
        <f>G15+'19'!H15</f>
        <v>21315.003000000026</v>
      </c>
      <c r="I15" s="113">
        <f>'1'!I15</f>
        <v>800</v>
      </c>
      <c r="J15" s="175">
        <f>H15/DAY(B2)</f>
        <v>1065.7501500000012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-265.75015000000121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'19'!F18</f>
        <v>28</v>
      </c>
      <c r="F18" s="122">
        <v>31</v>
      </c>
      <c r="G18" s="119">
        <f>F18*10</f>
        <v>310</v>
      </c>
      <c r="H18" s="99">
        <f>G18+'19'!H18</f>
        <v>4620</v>
      </c>
      <c r="I18" s="113">
        <f>'1'!I18</f>
        <v>65</v>
      </c>
      <c r="J18" s="175">
        <f>H18/DAY(B2)</f>
        <v>231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'19'!F19</f>
        <v>154902</v>
      </c>
      <c r="F19" s="746">
        <v>154952</v>
      </c>
      <c r="G19" s="112">
        <f t="shared" ref="G19" si="1">F19-E19</f>
        <v>50</v>
      </c>
      <c r="H19" s="99">
        <f>G19+'19'!H19</f>
        <v>1061</v>
      </c>
      <c r="I19" s="335"/>
      <c r="J19" s="175">
        <f>H19/DAY(B2)</f>
        <v>53.05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360</v>
      </c>
      <c r="H20" s="99">
        <f>G20+'19'!H20</f>
        <v>5681</v>
      </c>
      <c r="I20" s="336">
        <f>I18-J20</f>
        <v>-219.05</v>
      </c>
      <c r="J20" s="175">
        <f>H20/DAY(B2)</f>
        <v>284.05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20695.800000000003</v>
      </c>
      <c r="F27" s="136">
        <v>9</v>
      </c>
      <c r="G27" s="137">
        <f>E27*F27</f>
        <v>186262.2</v>
      </c>
      <c r="H27" s="99">
        <f>G27+'19'!H27</f>
        <v>3667952.0700000003</v>
      </c>
      <c r="I27" s="138"/>
      <c r="J27" s="175">
        <f>H27/DAY(B2)</f>
        <v>183397.60350000003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1045.6000000000931</v>
      </c>
      <c r="F28" s="136">
        <v>52</v>
      </c>
      <c r="G28" s="137">
        <f>E28*F28</f>
        <v>54371.200000004843</v>
      </c>
      <c r="H28" s="99">
        <f>G28+'19'!H28</f>
        <v>1171308.1560000014</v>
      </c>
      <c r="I28" s="140"/>
      <c r="J28" s="175">
        <f>H28/DAY(B2)</f>
        <v>58565.407800000066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G30+'19'!H30</f>
        <v>155761</v>
      </c>
      <c r="I30" s="140"/>
      <c r="J30" s="175">
        <f>H30/DAY(B2)</f>
        <v>7788.05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137">
        <f>E31*F31</f>
        <v>24800</v>
      </c>
      <c r="H31" s="99">
        <f>G31+'19'!H31</f>
        <v>369600</v>
      </c>
      <c r="I31" s="140"/>
      <c r="J31" s="175">
        <f>H31/DAY(B2)</f>
        <v>18480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272733.40000000485</v>
      </c>
      <c r="H32" s="99">
        <f>G32+'19'!H32</f>
        <v>5364621.2260000017</v>
      </c>
      <c r="I32" s="144"/>
      <c r="J32" s="175">
        <f>H32/DAY(B2)</f>
        <v>268231.06130000006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60682.61</v>
      </c>
      <c r="F35" s="145">
        <v>62207.86</v>
      </c>
      <c r="G35" s="112">
        <f t="shared" ref="G35:G46" si="3">F35-E35</f>
        <v>1525.25</v>
      </c>
      <c r="H35" s="99">
        <f>G35+'19'!H35</f>
        <v>30202.880000000001</v>
      </c>
      <c r="I35" s="95"/>
      <c r="J35" s="175">
        <f>H35/DAY(B2)</f>
        <v>1510.144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61252.57</v>
      </c>
      <c r="F36" s="145">
        <v>62249.760000000002</v>
      </c>
      <c r="G36" s="112">
        <f t="shared" si="3"/>
        <v>997.19000000000233</v>
      </c>
      <c r="H36" s="99">
        <f>G36+'19'!H36</f>
        <v>18791.020000000004</v>
      </c>
      <c r="I36" s="95"/>
      <c r="J36" s="175">
        <f>H36/DAY(B2)</f>
        <v>939.55100000000016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67405.06</v>
      </c>
      <c r="F37" s="502">
        <v>69022.59</v>
      </c>
      <c r="G37" s="112">
        <f t="shared" si="3"/>
        <v>1617.5299999999988</v>
      </c>
      <c r="H37" s="99">
        <f>G37+'19'!H37</f>
        <v>33597.5</v>
      </c>
      <c r="I37" s="95"/>
      <c r="J37" s="175">
        <f>H37/DAY(B2)</f>
        <v>1679.875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75694.89</v>
      </c>
      <c r="F38" s="106">
        <v>77792.59</v>
      </c>
      <c r="G38" s="112">
        <f t="shared" si="3"/>
        <v>2097.6999999999971</v>
      </c>
      <c r="H38" s="99">
        <f>G38+'19'!H38</f>
        <v>39416.159999999996</v>
      </c>
      <c r="I38" s="95"/>
      <c r="J38" s="175">
        <f>H38/DAY(B2)</f>
        <v>1970.8079999999998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115723.3</v>
      </c>
      <c r="F39" s="502">
        <v>118753</v>
      </c>
      <c r="G39" s="112">
        <f t="shared" si="3"/>
        <v>3029.6999999999971</v>
      </c>
      <c r="H39" s="99">
        <f>G39+'19'!H39</f>
        <v>59579.71</v>
      </c>
      <c r="I39" s="95"/>
      <c r="J39" s="175">
        <f>H39/DAY(B2)</f>
        <v>2978.9854999999998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'19'!F40</f>
        <v>29724.7</v>
      </c>
      <c r="F40" s="145">
        <v>29847.26</v>
      </c>
      <c r="G40" s="112">
        <f t="shared" si="3"/>
        <v>122.55999999999767</v>
      </c>
      <c r="H40" s="99">
        <f>G40+'19'!H40</f>
        <v>7730.2699999999959</v>
      </c>
      <c r="I40" s="95"/>
      <c r="J40" s="175">
        <f>H40/DAY(B2)</f>
        <v>386.51349999999979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63</v>
      </c>
      <c r="F41" s="145">
        <v>63</v>
      </c>
      <c r="G41" s="112">
        <f t="shared" si="3"/>
        <v>0</v>
      </c>
      <c r="H41" s="99">
        <f>G41+'19'!H41</f>
        <v>0.27000000000000313</v>
      </c>
      <c r="I41" s="95"/>
      <c r="J41" s="175">
        <f>H41/DAY(B2)</f>
        <v>1.3500000000000156E-2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162583.96</v>
      </c>
      <c r="F42" s="145">
        <v>167132.07999999999</v>
      </c>
      <c r="G42" s="112">
        <f t="shared" si="3"/>
        <v>4548.1199999999953</v>
      </c>
      <c r="H42" s="99">
        <f>G42+'19'!H42</f>
        <v>67002.339999999982</v>
      </c>
      <c r="I42" s="95"/>
      <c r="J42" s="175">
        <f>H42/DAY(B2)</f>
        <v>3350.1169999999993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155325.21</v>
      </c>
      <c r="F43" s="145">
        <v>157411.59</v>
      </c>
      <c r="G43" s="112">
        <f t="shared" si="3"/>
        <v>2086.3800000000047</v>
      </c>
      <c r="H43" s="99">
        <f>G43+'19'!H43</f>
        <v>42559.989999999991</v>
      </c>
      <c r="I43" s="95"/>
      <c r="J43" s="175">
        <f>H43/DAY(B2)</f>
        <v>2127.9994999999994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16024.429999999993</v>
      </c>
      <c r="H47" s="99">
        <f>G47+'19'!H47</f>
        <v>298880.14</v>
      </c>
      <c r="I47" s="95"/>
      <c r="J47" s="175">
        <f>H47/DAY(B2)</f>
        <v>14944.007000000001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51062.45</v>
      </c>
      <c r="F49" s="145">
        <v>52543.58</v>
      </c>
      <c r="G49" s="112">
        <f t="shared" ref="G49:G58" si="4">F49-E49</f>
        <v>1481.1300000000047</v>
      </c>
      <c r="H49" s="99">
        <f>G49+'19'!H49</f>
        <v>27547.390000000003</v>
      </c>
      <c r="I49" s="95"/>
      <c r="J49" s="175">
        <f>H49/DAY(B2)</f>
        <v>1377.3695000000002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79875.100000000006</v>
      </c>
      <c r="F50" s="145">
        <v>80959.899999999994</v>
      </c>
      <c r="G50" s="112">
        <f t="shared" si="4"/>
        <v>1084.7999999999884</v>
      </c>
      <c r="H50" s="99">
        <f>G50+'19'!H50</f>
        <v>24573.269999999997</v>
      </c>
      <c r="I50" s="95"/>
      <c r="J50" s="175">
        <f>H50/DAY(B2)</f>
        <v>1228.6634999999999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14469.28</v>
      </c>
      <c r="F54" s="145">
        <v>15008.91</v>
      </c>
      <c r="G54" s="112">
        <f t="shared" si="4"/>
        <v>539.6299999999992</v>
      </c>
      <c r="H54" s="99">
        <f>G54+'19'!H54</f>
        <v>9861.49</v>
      </c>
      <c r="I54" s="95"/>
      <c r="J54" s="175">
        <f>H54/DAY(B2)</f>
        <v>493.0745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90578.89</v>
      </c>
      <c r="F55" s="145">
        <v>90578.89</v>
      </c>
      <c r="G55" s="112">
        <f t="shared" si="4"/>
        <v>0</v>
      </c>
      <c r="H55" s="99">
        <f>G55+'19'!H55</f>
        <v>16212.779999999999</v>
      </c>
      <c r="I55" s="95"/>
      <c r="J55" s="175">
        <f>H55/DAY(B2)</f>
        <v>810.6389999999999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8723.6299999999992</v>
      </c>
      <c r="F56" s="145">
        <v>8723.6299999999992</v>
      </c>
      <c r="G56" s="112">
        <f t="shared" si="4"/>
        <v>0</v>
      </c>
      <c r="H56" s="99">
        <f>G56+'19'!H56</f>
        <v>113.08999999999833</v>
      </c>
      <c r="I56" s="95"/>
      <c r="J56" s="175">
        <f>H56/DAY(B2)</f>
        <v>5.6544999999999161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8860.99</v>
      </c>
      <c r="F58" s="145">
        <v>9076.65</v>
      </c>
      <c r="G58" s="112">
        <f t="shared" si="4"/>
        <v>215.65999999999985</v>
      </c>
      <c r="H58" s="99">
        <f>G58+'19'!H58</f>
        <v>4280.4399999999996</v>
      </c>
      <c r="I58" s="95"/>
      <c r="J58" s="175">
        <f>H58/DAY(B2)</f>
        <v>214.02199999999999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3321.2199999999921</v>
      </c>
      <c r="H59" s="99">
        <f>G59+'19'!H59</f>
        <v>82588.459999999992</v>
      </c>
      <c r="I59" s="95">
        <f>G7-G60</f>
        <v>1259.2300000000105</v>
      </c>
      <c r="J59" s="175">
        <f>H59/DAY(B2)</f>
        <v>4129.4229999999998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19345.649999999987</v>
      </c>
      <c r="H60" s="99">
        <f>G60+'19'!H60</f>
        <v>381468.60000000003</v>
      </c>
      <c r="I60" s="95">
        <f>G13-G60</f>
        <v>574.56999999998516</v>
      </c>
      <c r="J60" s="175">
        <f>H60/DAY(B2)</f>
        <v>19073.43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'19'!F62</f>
        <v>272180</v>
      </c>
      <c r="F62" s="122">
        <v>272349</v>
      </c>
      <c r="G62" s="112">
        <f t="shared" ref="G62:G63" si="5">F62-E62</f>
        <v>169</v>
      </c>
      <c r="H62" s="99">
        <f>G62+'19'!H62</f>
        <v>2833</v>
      </c>
      <c r="I62" s="118"/>
      <c r="J62" s="175">
        <f>H62/DAY(B2)</f>
        <v>141.65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'19'!F63</f>
        <v>218238</v>
      </c>
      <c r="F63" s="122">
        <v>218355</v>
      </c>
      <c r="G63" s="112">
        <f t="shared" si="5"/>
        <v>117</v>
      </c>
      <c r="H63" s="99">
        <f>G63+'19'!H63</f>
        <v>2558</v>
      </c>
      <c r="I63" s="118"/>
      <c r="J63" s="175">
        <f>H63/DAY(B2)</f>
        <v>127.9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'19'!F64</f>
        <v>0</v>
      </c>
      <c r="F64" s="122"/>
      <c r="G64" s="112">
        <f>G62+G63</f>
        <v>286</v>
      </c>
      <c r="H64" s="99">
        <f>G64+'19'!H64</f>
        <v>5391</v>
      </c>
      <c r="I64" s="118"/>
      <c r="J64" s="175">
        <f>H64/DAY(B2)</f>
        <v>269.55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'19'!F65</f>
        <v>436864</v>
      </c>
      <c r="F65" s="122">
        <v>436967</v>
      </c>
      <c r="G65" s="112">
        <f t="shared" ref="G65:G70" si="6">F65-E65</f>
        <v>103</v>
      </c>
      <c r="H65" s="99">
        <f>G65+'19'!H65</f>
        <v>2044</v>
      </c>
      <c r="I65" s="118"/>
      <c r="J65" s="175">
        <f>H65/DAY(B2)</f>
        <v>102.2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'19'!F66</f>
        <v>108225</v>
      </c>
      <c r="F66" s="122">
        <v>108256</v>
      </c>
      <c r="G66" s="112">
        <f t="shared" si="6"/>
        <v>31</v>
      </c>
      <c r="H66" s="99">
        <f>G66+'19'!H66</f>
        <v>513</v>
      </c>
      <c r="I66" s="118"/>
      <c r="J66" s="175">
        <f>H66/DAY(B2)</f>
        <v>25.65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'19'!F67</f>
        <v>105602</v>
      </c>
      <c r="F67" s="122">
        <v>105672</v>
      </c>
      <c r="G67" s="112">
        <f t="shared" si="6"/>
        <v>70</v>
      </c>
      <c r="H67" s="99">
        <f>G67+'19'!H67</f>
        <v>1024</v>
      </c>
      <c r="I67" s="118"/>
      <c r="J67" s="175">
        <f>H67/DAY(B2)</f>
        <v>51.2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'19'!F68</f>
        <v>158519</v>
      </c>
      <c r="F68" s="122">
        <v>158568</v>
      </c>
      <c r="G68" s="112">
        <f t="shared" si="6"/>
        <v>49</v>
      </c>
      <c r="H68" s="99">
        <f>G68+'19'!H68</f>
        <v>871</v>
      </c>
      <c r="I68" s="118"/>
      <c r="J68" s="175">
        <f>H68/DAY(B2)</f>
        <v>43.55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'19'!F69</f>
        <v>10790</v>
      </c>
      <c r="F69" s="122">
        <v>10803</v>
      </c>
      <c r="G69" s="112">
        <f t="shared" si="6"/>
        <v>13</v>
      </c>
      <c r="H69" s="99">
        <f>G69+'19'!H69</f>
        <v>262</v>
      </c>
      <c r="I69" s="118"/>
      <c r="J69" s="175">
        <f>H69/DAY(B2)</f>
        <v>13.1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'19'!F70</f>
        <v>8351</v>
      </c>
      <c r="F70" s="122">
        <v>8358</v>
      </c>
      <c r="G70" s="112">
        <f t="shared" si="6"/>
        <v>7</v>
      </c>
      <c r="H70" s="99">
        <f>G70+'19'!H70</f>
        <v>238</v>
      </c>
      <c r="I70" s="118"/>
      <c r="J70" s="175">
        <f>H70/DAY(B2)</f>
        <v>11.9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273</v>
      </c>
      <c r="H71" s="99">
        <f>G71+'19'!H71</f>
        <v>4952</v>
      </c>
      <c r="I71" s="154"/>
      <c r="J71" s="175">
        <f>H71/DAY(B2)</f>
        <v>247.6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'19'!F74</f>
        <v>907067.16</v>
      </c>
      <c r="F74" s="117">
        <v>907357.28</v>
      </c>
      <c r="G74" s="112">
        <f t="shared" ref="G74:G78" si="7">F74-E74</f>
        <v>290.11999999999534</v>
      </c>
      <c r="H74" s="99">
        <f>G74+'19'!H74</f>
        <v>6051.1310000000522</v>
      </c>
      <c r="I74" s="154"/>
      <c r="J74" s="175">
        <f>H74/DAY(B2)</f>
        <v>302.55655000000263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'19'!F76</f>
        <v>172098.92</v>
      </c>
      <c r="F76" s="123">
        <v>172200.97</v>
      </c>
      <c r="G76" s="112">
        <f t="shared" si="7"/>
        <v>102.04999999998836</v>
      </c>
      <c r="H76" s="99">
        <f>G76+'19'!H76</f>
        <v>2225.9700000000012</v>
      </c>
      <c r="I76" s="154"/>
      <c r="J76" s="175">
        <f>H76/DAY(B2)</f>
        <v>111.29850000000006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'19'!F77</f>
        <v>42205.8</v>
      </c>
      <c r="F77" s="123">
        <v>42252</v>
      </c>
      <c r="G77" s="112">
        <f t="shared" si="7"/>
        <v>46.19999999999709</v>
      </c>
      <c r="H77" s="99">
        <f>G77+'19'!H77</f>
        <v>949.80000000000291</v>
      </c>
      <c r="I77" s="154"/>
      <c r="J77" s="175">
        <f>H77/DAY(B2)</f>
        <v>47.490000000000144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'19'!F78</f>
        <v>9541.9</v>
      </c>
      <c r="F78" s="123">
        <v>9542</v>
      </c>
      <c r="G78" s="112">
        <f t="shared" si="7"/>
        <v>0.1000000000003638</v>
      </c>
      <c r="H78" s="99">
        <f>G78+'19'!H78</f>
        <v>29</v>
      </c>
      <c r="I78" s="118"/>
      <c r="J78" s="175">
        <f>H78/DAY(B2)</f>
        <v>1.45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'19'!F79</f>
        <v>0</v>
      </c>
      <c r="F79" s="117"/>
      <c r="G79" s="112">
        <f>G15-SUM(G74:G78)</f>
        <v>607.13000000011198</v>
      </c>
      <c r="H79" s="99">
        <f>G79+'19'!H79</f>
        <v>12059.10199999997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66" t="s">
        <v>329</v>
      </c>
      <c r="B80" s="967"/>
      <c r="C80" s="968"/>
      <c r="D80" s="151"/>
      <c r="E80" s="117"/>
      <c r="F80" s="117"/>
      <c r="G80" s="112">
        <f>SUM(G74:G79)</f>
        <v>1045.6000000000931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'19'!F84</f>
        <v>41675.49</v>
      </c>
      <c r="F84" s="164">
        <v>41675.49</v>
      </c>
      <c r="G84" s="112">
        <f t="shared" si="8"/>
        <v>0</v>
      </c>
      <c r="H84" s="99">
        <f>G84+'19'!H84</f>
        <v>0.48999999999796273</v>
      </c>
      <c r="I84" s="118"/>
      <c r="J84" s="175">
        <f>H84/DAY(B2)</f>
        <v>2.4499999999898138E-2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'19'!F85</f>
        <v>2599.4299999999998</v>
      </c>
      <c r="F85" s="164">
        <v>2623.49</v>
      </c>
      <c r="G85" s="112">
        <f t="shared" si="8"/>
        <v>24.059999999999945</v>
      </c>
      <c r="H85" s="99">
        <f>G85+'19'!H85</f>
        <v>363.06999999999971</v>
      </c>
      <c r="I85" s="118">
        <f>G82+G83+G84+G85</f>
        <v>24.059999999999945</v>
      </c>
      <c r="J85" s="175">
        <f>H85/DAY(B2)</f>
        <v>18.153499999999987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'19'!F86</f>
        <v>43564</v>
      </c>
      <c r="F86" s="164">
        <v>43564</v>
      </c>
      <c r="G86" s="112">
        <f t="shared" si="8"/>
        <v>0</v>
      </c>
      <c r="H86" s="99">
        <f>G86+'19'!H86</f>
        <v>122</v>
      </c>
      <c r="I86" s="118"/>
      <c r="J86" s="175">
        <f>H86/DAY(B2)</f>
        <v>6.1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5.0000000002910383E-2</v>
      </c>
      <c r="I87" s="118"/>
      <c r="J87" s="175">
        <f>H87/DAY(B2)</f>
        <v>2.5000000001455191E-3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'19'!F88</f>
        <v>24067.78</v>
      </c>
      <c r="F88" s="164">
        <v>24067.759999999998</v>
      </c>
      <c r="G88" s="112">
        <f t="shared" si="8"/>
        <v>-2.0000000000436557E-2</v>
      </c>
      <c r="H88" s="99">
        <f>G88+'19'!H88</f>
        <v>4.3299999999981083</v>
      </c>
      <c r="I88" s="118">
        <f>G86+G87+G88</f>
        <v>-2.0000000000436557E-2</v>
      </c>
      <c r="J88" s="175">
        <f>H88/DAY(B2)</f>
        <v>0.21649999999990541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'19'!F89</f>
        <v>26089.91</v>
      </c>
      <c r="F89" s="164">
        <v>26100.14</v>
      </c>
      <c r="G89" s="112">
        <f t="shared" si="8"/>
        <v>10.229999999999563</v>
      </c>
      <c r="H89" s="99">
        <f>G89+'19'!H89</f>
        <v>209.02000000000044</v>
      </c>
      <c r="I89" s="118"/>
      <c r="J89" s="175">
        <f>H89/DAY(B2)</f>
        <v>10.451000000000022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'19'!F90</f>
        <v>71247</v>
      </c>
      <c r="F90" s="164">
        <v>71252.52</v>
      </c>
      <c r="G90" s="112">
        <f t="shared" si="8"/>
        <v>5.5200000000040745</v>
      </c>
      <c r="H90" s="99">
        <f>G90+'19'!H90</f>
        <v>89.19999999999709</v>
      </c>
      <c r="I90" s="118">
        <f>G89+G90</f>
        <v>15.750000000003638</v>
      </c>
      <c r="J90" s="175">
        <f>H90/DAY(B2)</f>
        <v>4.4599999999998543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'19'!F91</f>
        <v>3465.41</v>
      </c>
      <c r="F91" s="122">
        <v>3476.44</v>
      </c>
      <c r="G91" s="112">
        <f t="shared" si="8"/>
        <v>11.0300000000002</v>
      </c>
      <c r="H91" s="99">
        <f>G91+'19'!H91</f>
        <v>225.34999999999991</v>
      </c>
      <c r="I91" s="165"/>
      <c r="J91" s="175">
        <f>H91/DAY(B2)</f>
        <v>11.267499999999995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'19'!F92</f>
        <v>5741</v>
      </c>
      <c r="F92" s="122">
        <v>5741</v>
      </c>
      <c r="G92" s="112">
        <f t="shared" si="8"/>
        <v>0</v>
      </c>
      <c r="H92" s="99">
        <f>G92+'19'!H92</f>
        <v>-6.9999999999708962E-2</v>
      </c>
      <c r="I92" s="165"/>
      <c r="J92" s="175">
        <f>H92/DAY(B2)</f>
        <v>-3.4999999999854479E-3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5092.7600000000093</v>
      </c>
      <c r="H94" s="99">
        <f>G94+'19'!H94</f>
        <v>100310.25999999998</v>
      </c>
      <c r="I94" s="118"/>
      <c r="J94" s="175">
        <f>H94/DAY(B2)</f>
        <v>5015.512999999999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0.24716280803382548</v>
      </c>
      <c r="H95" s="99">
        <f>G95+'19'!H95</f>
        <v>4.9572026414674708</v>
      </c>
      <c r="I95" s="167"/>
      <c r="J95" s="175">
        <f>H95/DAY(B2)</f>
        <v>0.24786013207337354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4548.1199999999953</v>
      </c>
      <c r="H96" s="99">
        <f>G96+'19'!H96</f>
        <v>83328.479999999981</v>
      </c>
      <c r="I96" s="118"/>
      <c r="J96" s="175">
        <f>H96/DAY(B2)</f>
        <v>4166.4239999999991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0.22073023477933362</v>
      </c>
      <c r="H97" s="99">
        <f>G97+'19'!H97</f>
        <v>4.1054075050814118</v>
      </c>
      <c r="I97" s="167"/>
      <c r="J97" s="175">
        <f>H97/DAY(B2)</f>
        <v>0.2052703752540706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3029.6999999999971</v>
      </c>
      <c r="H98" s="99">
        <f>G98+'19'!H98</f>
        <v>59579.71</v>
      </c>
      <c r="I98" s="168"/>
      <c r="J98" s="175">
        <f>H98/DAY(B2)</f>
        <v>2978.9854999999998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0.14703798323503933</v>
      </c>
      <c r="H99" s="99">
        <f>G99+'19'!H99</f>
        <v>2.9419954069344478</v>
      </c>
      <c r="I99" s="168"/>
      <c r="J99" s="175">
        <f>H99/DAY(B2)</f>
        <v>0.14709977034672239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2097.6999999999971</v>
      </c>
      <c r="H100" s="99">
        <f>G100+'19'!H100</f>
        <v>39416.159999999996</v>
      </c>
      <c r="I100" s="118"/>
      <c r="J100" s="175">
        <f>H100/DAY(B2)</f>
        <v>1970.8079999999998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0.10180597994261541</v>
      </c>
      <c r="H101" s="99">
        <f>G101+'19'!H101</f>
        <v>1.9459218926285493</v>
      </c>
      <c r="I101" s="168"/>
      <c r="J101" s="175">
        <f>H101/DAY(B2)</f>
        <v>9.7296094631427466E-2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2081.9899999999907</v>
      </c>
      <c r="H102" s="99">
        <f>G102+'19'!H102</f>
        <v>43364.29</v>
      </c>
      <c r="I102" s="168"/>
      <c r="J102" s="175">
        <f>H102/DAY(B2)</f>
        <v>2168.2145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0.10104353920042199</v>
      </c>
      <c r="H103" s="99">
        <f>G103+'19'!H103</f>
        <v>2.1361045201424771</v>
      </c>
      <c r="I103" s="118"/>
      <c r="J103" s="175">
        <f>H103/DAY(B2)</f>
        <v>0.10680522600712386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1617.5299999999988</v>
      </c>
      <c r="H104" s="99">
        <f>G104+'19'!H104</f>
        <v>33597.5</v>
      </c>
      <c r="I104" s="118"/>
      <c r="J104" s="175">
        <f>H104/DAY(B2)</f>
        <v>1679.875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7.8502277130466133E-2</v>
      </c>
      <c r="H105" s="99">
        <f>G105+'19'!H105</f>
        <v>1.6616013335987991</v>
      </c>
      <c r="I105" s="187"/>
      <c r="J105" s="188">
        <f>H105/DAY(B2)</f>
        <v>8.308006667993996E-2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'19'!F112</f>
        <v>59395.96</v>
      </c>
      <c r="F112" s="237">
        <v>59461.47</v>
      </c>
      <c r="G112" s="112">
        <f t="shared" ref="G112:G123" si="9">F112-E112</f>
        <v>65.510000000002037</v>
      </c>
      <c r="H112" s="99">
        <f>G112+'19'!H112</f>
        <v>1407.4700000000012</v>
      </c>
      <c r="I112" s="165"/>
      <c r="J112" s="328">
        <f>H112/DAY(B2)</f>
        <v>70.373500000000064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'19'!F113</f>
        <v>55355.54</v>
      </c>
      <c r="F113" s="237">
        <v>55808.41</v>
      </c>
      <c r="G113" s="112">
        <f t="shared" si="9"/>
        <v>452.87000000000262</v>
      </c>
      <c r="H113" s="99">
        <f>G113+'19'!H113</f>
        <v>9407.5200000000041</v>
      </c>
      <c r="I113" s="165"/>
      <c r="J113" s="328">
        <f>H113/DAY(B2)</f>
        <v>470.3760000000002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'19'!F114</f>
        <v>39101.279999999999</v>
      </c>
      <c r="F114" s="237">
        <v>39356.22</v>
      </c>
      <c r="G114" s="112">
        <f t="shared" si="9"/>
        <v>254.94000000000233</v>
      </c>
      <c r="H114" s="99">
        <f>G114+'19'!H114</f>
        <v>6196.2200000000012</v>
      </c>
      <c r="I114" s="165"/>
      <c r="J114" s="328">
        <f>H114/DAY(B2)</f>
        <v>309.81100000000004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'19'!F115</f>
        <v>9321.02</v>
      </c>
      <c r="F115" s="237">
        <v>9332.8700000000008</v>
      </c>
      <c r="G115" s="112">
        <f t="shared" si="9"/>
        <v>11.850000000000364</v>
      </c>
      <c r="H115" s="99">
        <f>G115+'19'!H115</f>
        <v>238.22000000000116</v>
      </c>
      <c r="I115" s="165"/>
      <c r="J115" s="328">
        <f>H115/DAY(B2)</f>
        <v>11.911000000000058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'19'!F116</f>
        <v>5346.52</v>
      </c>
      <c r="F116" s="237">
        <v>5794.22</v>
      </c>
      <c r="G116" s="112">
        <f t="shared" si="9"/>
        <v>447.69999999999982</v>
      </c>
      <c r="H116" s="99">
        <f>G116+'19'!H116</f>
        <v>5794.22</v>
      </c>
      <c r="I116" s="165"/>
      <c r="J116" s="328">
        <f>H116/DAY(B2)</f>
        <v>289.71100000000001</v>
      </c>
      <c r="Q116" s="871"/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'19'!F117</f>
        <v>6272.27</v>
      </c>
      <c r="F117" s="237">
        <v>6428.51</v>
      </c>
      <c r="G117" s="112">
        <f t="shared" si="9"/>
        <v>156.23999999999978</v>
      </c>
      <c r="H117" s="99">
        <f>G117+'19'!H117</f>
        <v>3090.5600000000004</v>
      </c>
      <c r="I117" s="165"/>
      <c r="J117" s="328">
        <f>H117/DAY(B2)</f>
        <v>154.52800000000002</v>
      </c>
      <c r="Q117" s="871"/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'19'!F118</f>
        <v>259664.85</v>
      </c>
      <c r="F118" s="237">
        <v>260044.13</v>
      </c>
      <c r="G118" s="112">
        <f t="shared" si="9"/>
        <v>379.27999999999884</v>
      </c>
      <c r="H118" s="99">
        <f>G118+'19'!H118</f>
        <v>7591.820000000007</v>
      </c>
      <c r="I118" s="165"/>
      <c r="J118" s="328">
        <f>H118/DAY(B2)</f>
        <v>379.59100000000035</v>
      </c>
      <c r="Q118" s="871"/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'19'!F119</f>
        <v>266196.93</v>
      </c>
      <c r="F119" s="237">
        <v>266637.63</v>
      </c>
      <c r="G119" s="112">
        <f t="shared" si="9"/>
        <v>440.70000000001164</v>
      </c>
      <c r="H119" s="99">
        <f>G119+'19'!H119</f>
        <v>8489.0800000000163</v>
      </c>
      <c r="I119" s="165"/>
      <c r="J119" s="328">
        <f>H119/DAY(B2)</f>
        <v>424.4540000000008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'19'!F120</f>
        <v>51068.31</v>
      </c>
      <c r="F120" s="237">
        <v>51502.43</v>
      </c>
      <c r="G120" s="112">
        <f t="shared" si="9"/>
        <v>434.12000000000262</v>
      </c>
      <c r="H120" s="99">
        <f>G120+'19'!H120</f>
        <v>8542.82</v>
      </c>
      <c r="I120" s="165"/>
      <c r="J120" s="328">
        <f>H120/DAY(B2)</f>
        <v>427.14099999999996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'19'!F121</f>
        <v>412143.15</v>
      </c>
      <c r="F121" s="237">
        <v>412889.87</v>
      </c>
      <c r="G121" s="112">
        <f t="shared" si="9"/>
        <v>746.71999999997206</v>
      </c>
      <c r="H121" s="99">
        <f>G121+'19'!H121</f>
        <v>14855.440000000002</v>
      </c>
      <c r="I121" s="165"/>
      <c r="J121" s="328">
        <f>H121/DAY(B2)</f>
        <v>742.77200000000016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'19'!F122</f>
        <v>130393.85</v>
      </c>
      <c r="F122" s="237">
        <v>130616.35</v>
      </c>
      <c r="G122" s="112">
        <f t="shared" si="9"/>
        <v>222.5</v>
      </c>
      <c r="H122" s="99">
        <f>G122+'19'!H122</f>
        <v>4430.1700000000128</v>
      </c>
      <c r="I122" s="165"/>
      <c r="J122" s="328">
        <f>H122/DAY(B2)</f>
        <v>221.50850000000065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'19'!F123</f>
        <v>158927.59</v>
      </c>
      <c r="F123" s="237">
        <v>159191.29999999999</v>
      </c>
      <c r="G123" s="112">
        <f t="shared" si="9"/>
        <v>263.70999999999185</v>
      </c>
      <c r="H123" s="99">
        <f>G123+'19'!H123</f>
        <v>5144.3499999999767</v>
      </c>
      <c r="I123" s="165"/>
      <c r="J123" s="328">
        <f>H123/DAY(B2)</f>
        <v>257.21749999999884</v>
      </c>
    </row>
    <row r="124" spans="1:18" ht="29.25" customHeight="1" x14ac:dyDescent="0.5">
      <c r="A124" s="875"/>
      <c r="B124" s="876"/>
      <c r="C124" s="877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 x14ac:dyDescent="0.5">
      <c r="A125" s="943" t="s">
        <v>108</v>
      </c>
      <c r="B125" s="943"/>
      <c r="C125" s="245"/>
      <c r="D125" s="307"/>
      <c r="E125" s="308"/>
      <c r="F125" s="308"/>
      <c r="G125" s="309">
        <f>SUM(G112:G124)</f>
        <v>3876.139999999984</v>
      </c>
      <c r="H125" s="156"/>
      <c r="I125" s="327">
        <f>G125-(G39+G53)</f>
        <v>846.43999999998687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'19'!F128</f>
        <v>53699.14</v>
      </c>
      <c r="F128" s="165">
        <v>53993.7</v>
      </c>
      <c r="G128" s="112">
        <f t="shared" ref="G128:G134" si="10">F128-E128</f>
        <v>294.55999999999767</v>
      </c>
      <c r="H128" s="99">
        <f>G128+'19'!H128</f>
        <v>6247.6999999999971</v>
      </c>
      <c r="I128" s="165"/>
      <c r="J128" s="328">
        <f>H128/DAY(B2)</f>
        <v>312.38499999999988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'19'!F129</f>
        <v>31265.18</v>
      </c>
      <c r="F129" s="165">
        <v>31491.71</v>
      </c>
      <c r="G129" s="112">
        <f t="shared" si="10"/>
        <v>226.52999999999884</v>
      </c>
      <c r="H129" s="99">
        <f>G129+'19'!H129</f>
        <v>4580.84</v>
      </c>
      <c r="I129" s="165"/>
      <c r="J129" s="328">
        <f>H129/DAY(B2)</f>
        <v>229.042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'19'!F130</f>
        <v>47331.66</v>
      </c>
      <c r="F130" s="165">
        <v>48046.76</v>
      </c>
      <c r="G130" s="112">
        <f t="shared" si="10"/>
        <v>715.09999999999854</v>
      </c>
      <c r="H130" s="99">
        <f>G130+'19'!H130</f>
        <v>12352.760000000002</v>
      </c>
      <c r="I130" s="165"/>
      <c r="J130" s="328">
        <f>H130/DAY(B2)</f>
        <v>617.63800000000015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'19'!F131</f>
        <v>17424.330000000002</v>
      </c>
      <c r="F131" s="165">
        <v>17549.98</v>
      </c>
      <c r="G131" s="112">
        <f t="shared" si="10"/>
        <v>125.64999999999782</v>
      </c>
      <c r="H131" s="99">
        <f>G131+'19'!H131</f>
        <v>2242.2999999999993</v>
      </c>
      <c r="I131" s="165"/>
      <c r="J131" s="328">
        <f>H131/DAY(B2)</f>
        <v>112.11499999999997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'19'!F132</f>
        <v>59315.59</v>
      </c>
      <c r="F132" s="165">
        <v>59743.7</v>
      </c>
      <c r="G132" s="112">
        <f t="shared" si="10"/>
        <v>428.11000000000058</v>
      </c>
      <c r="H132" s="99">
        <f>G132+'19'!H132</f>
        <v>7895.3999999999942</v>
      </c>
      <c r="I132" s="165"/>
      <c r="J132" s="328">
        <f>H132/DAY(B2)</f>
        <v>394.7699999999997</v>
      </c>
    </row>
    <row r="133" spans="1:15" ht="27.75" x14ac:dyDescent="0.5">
      <c r="A133" s="871" t="s">
        <v>362</v>
      </c>
      <c r="B133" s="872"/>
      <c r="C133" s="873"/>
      <c r="D133" s="151" t="s">
        <v>183</v>
      </c>
      <c r="E133" s="95">
        <f>'19'!F133</f>
        <v>117377.44</v>
      </c>
      <c r="F133" s="165">
        <v>118049.71</v>
      </c>
      <c r="G133" s="112">
        <f t="shared" si="10"/>
        <v>672.27000000000407</v>
      </c>
      <c r="H133" s="99">
        <f>G133+'19'!H133</f>
        <v>12706.010000000009</v>
      </c>
      <c r="I133" s="165"/>
      <c r="J133" s="328">
        <f>H133/DAY(B2)</f>
        <v>635.30050000000051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'19'!F134</f>
        <v>11991.51</v>
      </c>
      <c r="F134" s="591">
        <v>12143.56</v>
      </c>
      <c r="G134" s="112">
        <f t="shared" si="10"/>
        <v>152.04999999999927</v>
      </c>
      <c r="H134" s="99">
        <f>G134+'19'!H134</f>
        <v>3542.33</v>
      </c>
      <c r="I134" s="165"/>
      <c r="J134" s="328">
        <f>H134/DAY(B2)</f>
        <v>177.1165</v>
      </c>
    </row>
    <row r="135" spans="1:15" ht="27.75" x14ac:dyDescent="0.5">
      <c r="A135" s="964" t="s">
        <v>108</v>
      </c>
      <c r="B135" s="965"/>
      <c r="C135" s="867"/>
      <c r="D135" s="151"/>
      <c r="E135" s="95"/>
      <c r="F135" s="165"/>
      <c r="G135" s="112">
        <f>SUM(G128:G134)</f>
        <v>2614.2699999999968</v>
      </c>
      <c r="H135" s="99"/>
      <c r="I135" s="327">
        <f>G135-(G35+G49)</f>
        <v>-392.11000000000786</v>
      </c>
      <c r="J135" s="328"/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'19'!F138</f>
        <v>867942</v>
      </c>
      <c r="F138" s="147">
        <v>868082</v>
      </c>
      <c r="G138" s="112">
        <f t="shared" ref="G138:G152" si="11">F138-E138</f>
        <v>140</v>
      </c>
      <c r="H138" s="99">
        <f>G138+'19'!H138</f>
        <v>1909</v>
      </c>
      <c r="I138" s="118"/>
      <c r="J138" s="328">
        <f>H138/DAY(B2)</f>
        <v>95.45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'19'!F139</f>
        <v>886680</v>
      </c>
      <c r="F139" s="148">
        <v>886682</v>
      </c>
      <c r="G139" s="112">
        <f t="shared" si="11"/>
        <v>2</v>
      </c>
      <c r="H139" s="99">
        <f>G139+'19'!H139</f>
        <v>109</v>
      </c>
      <c r="I139" s="118"/>
      <c r="J139" s="328">
        <f>H139/DAY(B2)</f>
        <v>5.45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'19'!F140</f>
        <v>88948.4</v>
      </c>
      <c r="F140" s="149">
        <v>88949.7</v>
      </c>
      <c r="G140" s="112">
        <f>F140-E140</f>
        <v>1.3000000000029104</v>
      </c>
      <c r="H140" s="99">
        <f>G140+'19'!H140</f>
        <v>27.69999999999709</v>
      </c>
      <c r="I140" s="118"/>
      <c r="J140" s="328">
        <f>H140/DAY(B2)</f>
        <v>1.3849999999998546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'19'!F141</f>
        <v>58071.41</v>
      </c>
      <c r="F141" s="149">
        <v>58255.14</v>
      </c>
      <c r="G141" s="112">
        <f t="shared" si="11"/>
        <v>183.72999999999593</v>
      </c>
      <c r="H141" s="99">
        <f>G141+'19'!H141</f>
        <v>3569.5599999999977</v>
      </c>
      <c r="I141" s="118"/>
      <c r="J141" s="328">
        <f>H141/DAY(B2)</f>
        <v>178.47799999999989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'19'!F142</f>
        <v>22589.37</v>
      </c>
      <c r="F142" s="148">
        <v>22657.05</v>
      </c>
      <c r="G142" s="112">
        <f t="shared" si="11"/>
        <v>67.680000000000291</v>
      </c>
      <c r="H142" s="99">
        <f>G142+'19'!H142</f>
        <v>1372.9500000000007</v>
      </c>
      <c r="I142" s="140"/>
      <c r="J142" s="328">
        <f>H142/DAY(B2)</f>
        <v>68.647500000000036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'19'!F143</f>
        <v>4365.22</v>
      </c>
      <c r="F143" s="149">
        <v>4394.3100000000004</v>
      </c>
      <c r="G143" s="112">
        <f t="shared" si="11"/>
        <v>29.090000000000146</v>
      </c>
      <c r="H143" s="99">
        <f>G143+'19'!H143</f>
        <v>558.92000000000053</v>
      </c>
      <c r="I143" s="140"/>
      <c r="J143" s="328">
        <f>H143/DAY(B2)</f>
        <v>27.946000000000026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'19'!F144</f>
        <v>880489</v>
      </c>
      <c r="F144" s="149">
        <v>880710</v>
      </c>
      <c r="G144" s="112">
        <f t="shared" si="11"/>
        <v>221</v>
      </c>
      <c r="H144" s="99">
        <f>G144+'19'!H144</f>
        <v>4223</v>
      </c>
      <c r="I144" s="140"/>
      <c r="J144" s="328">
        <f>H144/DAY(B2)</f>
        <v>211.15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'19'!F145</f>
        <v>5207.76</v>
      </c>
      <c r="F145" s="149">
        <v>5222.34</v>
      </c>
      <c r="G145" s="112">
        <f t="shared" si="11"/>
        <v>14.579999999999927</v>
      </c>
      <c r="H145" s="99">
        <f>G145+'19'!H145</f>
        <v>263.5</v>
      </c>
      <c r="I145" s="140"/>
      <c r="J145" s="328">
        <f>H145/DAY(B2)</f>
        <v>13.175000000000001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'19'!F146</f>
        <v>745649</v>
      </c>
      <c r="F146" s="148">
        <v>746090</v>
      </c>
      <c r="G146" s="112">
        <f t="shared" si="11"/>
        <v>441</v>
      </c>
      <c r="H146" s="99">
        <f>G146+'19'!H146</f>
        <v>8757</v>
      </c>
      <c r="I146" s="140"/>
      <c r="J146" s="328">
        <f>H146/DAY(B2)</f>
        <v>437.85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'19'!F147</f>
        <v>634248.84</v>
      </c>
      <c r="F147" s="148">
        <v>634608.12</v>
      </c>
      <c r="G147" s="112">
        <f t="shared" si="11"/>
        <v>359.28000000002794</v>
      </c>
      <c r="H147" s="99">
        <f>G147+'19'!H147</f>
        <v>7995.5999999999767</v>
      </c>
      <c r="I147" s="140"/>
      <c r="J147" s="328">
        <f>H147/DAY(B2)</f>
        <v>399.77999999999884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'19'!F148</f>
        <v>695221.04</v>
      </c>
      <c r="F148" s="150">
        <v>695546.8</v>
      </c>
      <c r="G148" s="112">
        <f t="shared" si="11"/>
        <v>325.76000000000931</v>
      </c>
      <c r="H148" s="99">
        <f>G148+'19'!H148</f>
        <v>6103.8400000000838</v>
      </c>
      <c r="I148" s="124"/>
      <c r="J148" s="328">
        <f>H148/DAY(B2)</f>
        <v>305.19200000000421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'19'!F149</f>
        <v>35897.57</v>
      </c>
      <c r="F149" s="146">
        <v>36553.33</v>
      </c>
      <c r="G149" s="112">
        <f t="shared" si="11"/>
        <v>655.76000000000204</v>
      </c>
      <c r="H149" s="99">
        <f>G149+'19'!H149</f>
        <v>11875.130000000001</v>
      </c>
      <c r="I149" s="119"/>
      <c r="J149" s="328">
        <f>H149/DAY(B2)</f>
        <v>593.75650000000007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'19'!F150</f>
        <v>15142.86</v>
      </c>
      <c r="F150" s="233">
        <v>15371.77</v>
      </c>
      <c r="G150" s="112">
        <f t="shared" si="11"/>
        <v>228.90999999999985</v>
      </c>
      <c r="H150" s="99">
        <f>G150+'19'!H150</f>
        <v>4520.9400000000005</v>
      </c>
      <c r="I150" s="119"/>
      <c r="J150" s="328">
        <f>H150/DAY(B2)</f>
        <v>226.04700000000003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'19'!F151</f>
        <v>90155</v>
      </c>
      <c r="F151" s="233">
        <v>90387</v>
      </c>
      <c r="G151" s="112">
        <f t="shared" si="11"/>
        <v>232</v>
      </c>
      <c r="H151" s="99">
        <f>G151+'19'!H151</f>
        <v>4907</v>
      </c>
      <c r="I151" s="119"/>
      <c r="J151" s="328">
        <f>H151/DAY(B2)</f>
        <v>245.35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'19'!F152</f>
        <v>3008.89</v>
      </c>
      <c r="F152" s="233">
        <v>3118.03</v>
      </c>
      <c r="G152" s="112">
        <f t="shared" si="11"/>
        <v>109.14000000000033</v>
      </c>
      <c r="H152" s="99">
        <f>G152+'19'!H152</f>
        <v>1458.0300000000002</v>
      </c>
      <c r="I152" s="119"/>
      <c r="J152" s="328">
        <f>H152/DAY(B2)</f>
        <v>72.901500000000013</v>
      </c>
    </row>
    <row r="153" spans="1:10" ht="27.75" x14ac:dyDescent="0.5">
      <c r="A153" s="585" t="s">
        <v>108</v>
      </c>
      <c r="B153" s="365"/>
      <c r="C153" s="365"/>
      <c r="D153" s="117"/>
      <c r="E153" s="95"/>
      <c r="F153" s="233"/>
      <c r="G153" s="112">
        <f>SUM(G138:G152)</f>
        <v>3011.2300000000387</v>
      </c>
      <c r="H153" s="99"/>
      <c r="I153" s="119">
        <f>G153-(G38+G52)</f>
        <v>913.53000000004158</v>
      </c>
      <c r="J153" s="328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'19'!F155</f>
        <v>45622.15</v>
      </c>
      <c r="F155" s="374">
        <v>46299.85</v>
      </c>
      <c r="G155" s="112">
        <f t="shared" ref="G155:G158" si="12">F155-E155</f>
        <v>677.69999999999709</v>
      </c>
      <c r="H155" s="99">
        <f>G155+'19'!H155</f>
        <v>13354.849999999999</v>
      </c>
      <c r="I155" s="364"/>
      <c r="J155" s="328">
        <f>H155/DAY(B2)</f>
        <v>667.74249999999995</v>
      </c>
    </row>
    <row r="156" spans="1:10" ht="27.75" x14ac:dyDescent="0.5">
      <c r="A156" s="851" t="s">
        <v>347</v>
      </c>
      <c r="B156" s="851"/>
      <c r="C156" s="851"/>
      <c r="D156" s="117" t="s">
        <v>130</v>
      </c>
      <c r="E156" s="95">
        <f>'19'!F156</f>
        <v>3758.34</v>
      </c>
      <c r="F156" s="155">
        <v>3821.72</v>
      </c>
      <c r="G156" s="112">
        <f t="shared" si="12"/>
        <v>63.379999999999654</v>
      </c>
      <c r="H156" s="99">
        <f>G156+'19'!H156</f>
        <v>1033.7199999999998</v>
      </c>
      <c r="I156" s="165"/>
      <c r="J156" s="328">
        <f>H156/DAY(B2)</f>
        <v>51.685999999999993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>
        <f>'19'!F157</f>
        <v>6191.46</v>
      </c>
      <c r="F157" s="155">
        <v>6307.19</v>
      </c>
      <c r="G157" s="112">
        <f t="shared" si="12"/>
        <v>115.72999999999956</v>
      </c>
      <c r="H157" s="99">
        <f>G157+'19'!H157</f>
        <v>115.72999999999956</v>
      </c>
      <c r="I157" s="165"/>
      <c r="J157" s="328">
        <f>H157/DAY(B2)</f>
        <v>5.786499999999978</v>
      </c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>
        <f>'19'!F158</f>
        <v>74.17</v>
      </c>
      <c r="F158" s="155">
        <v>74.2</v>
      </c>
      <c r="G158" s="112">
        <f t="shared" si="12"/>
        <v>3.0000000000001137E-2</v>
      </c>
      <c r="H158" s="99">
        <f>G158+'19'!H158</f>
        <v>3.0000000000001137E-2</v>
      </c>
      <c r="I158" s="165"/>
      <c r="J158" s="328">
        <f>H158/DAY(B2)</f>
        <v>1.5000000000000568E-3</v>
      </c>
    </row>
    <row r="159" spans="1:10" ht="27.75" x14ac:dyDescent="0.5">
      <c r="A159" s="935"/>
      <c r="B159" s="936"/>
      <c r="C159" s="93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472639.16</v>
      </c>
      <c r="F161" s="235">
        <v>472653.48</v>
      </c>
      <c r="G161" s="238">
        <f t="shared" ref="G161:G166" si="13">F161-E161</f>
        <v>14.320000000006985</v>
      </c>
      <c r="H161" s="99">
        <f>G161+'19'!H161</f>
        <v>599.9199999999837</v>
      </c>
      <c r="I161" s="236"/>
      <c r="J161" s="239">
        <f>H161/DAY(B2)</f>
        <v>29.995999999999185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89228.1</v>
      </c>
      <c r="F162" s="235">
        <v>89248.7</v>
      </c>
      <c r="G162" s="238">
        <f t="shared" si="13"/>
        <v>20.599999999991269</v>
      </c>
      <c r="H162" s="99">
        <f>G162+'19'!H162</f>
        <v>732.30000000000291</v>
      </c>
      <c r="I162" s="236"/>
      <c r="J162" s="239">
        <f>H162/DAY(B2)</f>
        <v>36.615000000000144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80554</v>
      </c>
      <c r="F163" s="235">
        <v>80608.3</v>
      </c>
      <c r="G163" s="238">
        <f t="shared" si="13"/>
        <v>54.30000000000291</v>
      </c>
      <c r="H163" s="99">
        <f>G163+'19'!H163</f>
        <v>1388.1999999999971</v>
      </c>
      <c r="I163" s="236"/>
      <c r="J163" s="239">
        <f>H163/DAY(B2)</f>
        <v>69.409999999999854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4350.7</v>
      </c>
      <c r="F164" s="235">
        <v>4350.7</v>
      </c>
      <c r="G164" s="238">
        <f t="shared" si="13"/>
        <v>0</v>
      </c>
      <c r="H164" s="99">
        <f>G164+'19'!H164</f>
        <v>30.699999999999818</v>
      </c>
      <c r="I164" s="236"/>
      <c r="J164" s="239">
        <f>H164/DAY(B2)</f>
        <v>1.5349999999999908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30021.1</v>
      </c>
      <c r="F165" s="235">
        <v>30024.38</v>
      </c>
      <c r="G165" s="238">
        <f t="shared" si="13"/>
        <v>3.2800000000024738</v>
      </c>
      <c r="H165" s="99">
        <f>G165+'19'!H165</f>
        <v>167.13000000000102</v>
      </c>
      <c r="I165" s="236"/>
      <c r="J165" s="239">
        <f>H165/DAY(B2)</f>
        <v>8.3565000000000502</v>
      </c>
    </row>
    <row r="166" spans="1:10" ht="29.25" x14ac:dyDescent="0.5">
      <c r="A166" s="860"/>
      <c r="B166" s="860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'19'!F173</f>
        <v>8183</v>
      </c>
      <c r="F173" s="155">
        <v>8183</v>
      </c>
      <c r="G173" s="155">
        <f>F173-E173</f>
        <v>0</v>
      </c>
      <c r="H173" s="99">
        <f>G173+'19'!H173</f>
        <v>57</v>
      </c>
      <c r="I173" s="155"/>
      <c r="J173" s="178">
        <f>H173/DAY(B2)</f>
        <v>2.85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'19'!F174</f>
        <v>38880</v>
      </c>
      <c r="F174" s="157">
        <v>38896</v>
      </c>
      <c r="G174" s="155">
        <f t="shared" ref="G174:G175" si="14">F174-E174</f>
        <v>16</v>
      </c>
      <c r="H174" s="99">
        <f>G174+'19'!H174</f>
        <v>281</v>
      </c>
      <c r="I174" s="155"/>
      <c r="J174" s="178">
        <f>H174/DAY(B2)</f>
        <v>14.05</v>
      </c>
    </row>
    <row r="175" spans="1:10" ht="27.75" x14ac:dyDescent="0.5">
      <c r="A175" s="864" t="s">
        <v>76</v>
      </c>
      <c r="B175" s="904"/>
      <c r="C175" s="865"/>
      <c r="D175" s="228" t="s">
        <v>142</v>
      </c>
      <c r="E175" s="95">
        <f>'19'!F175</f>
        <v>22035</v>
      </c>
      <c r="F175" s="155">
        <v>22045</v>
      </c>
      <c r="G175" s="155">
        <f t="shared" si="14"/>
        <v>10</v>
      </c>
      <c r="H175" s="99">
        <f>G175+'19'!H175</f>
        <v>232</v>
      </c>
      <c r="I175" s="155"/>
      <c r="J175" s="178">
        <f>H175/DAY(B2)</f>
        <v>11.6</v>
      </c>
    </row>
    <row r="176" spans="1:10" ht="27.75" x14ac:dyDescent="0.5">
      <c r="A176" s="855" t="s">
        <v>196</v>
      </c>
      <c r="B176" s="856"/>
      <c r="C176" s="483"/>
      <c r="D176" s="228" t="s">
        <v>142</v>
      </c>
      <c r="E176" s="95"/>
      <c r="F176" s="155"/>
      <c r="G176" s="155">
        <f>SUM(G173:G175)</f>
        <v>26</v>
      </c>
      <c r="H176" s="99">
        <f>G176+'19'!H176</f>
        <v>570</v>
      </c>
      <c r="I176" s="155"/>
      <c r="J176" s="178">
        <f>H176/DAY(B2)</f>
        <v>28.5</v>
      </c>
    </row>
    <row r="177" spans="1:10" ht="27.75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864" t="s">
        <v>210</v>
      </c>
      <c r="B178" s="865"/>
      <c r="C178" s="333"/>
      <c r="D178" s="228" t="s">
        <v>142</v>
      </c>
      <c r="E178" s="95">
        <f>'19'!F178</f>
        <v>82377</v>
      </c>
      <c r="F178" s="155">
        <v>82441</v>
      </c>
      <c r="G178" s="155">
        <f>F178-E178</f>
        <v>64</v>
      </c>
      <c r="H178" s="99">
        <f>G178+'19'!H178</f>
        <v>1126</v>
      </c>
      <c r="I178" s="155"/>
      <c r="J178" s="178">
        <f>H178/DAY(B2)</f>
        <v>56.3</v>
      </c>
    </row>
    <row r="179" spans="1:10" ht="27.75" x14ac:dyDescent="0.5">
      <c r="A179" s="864" t="s">
        <v>211</v>
      </c>
      <c r="B179" s="865"/>
      <c r="C179" s="333"/>
      <c r="D179" s="228" t="s">
        <v>142</v>
      </c>
      <c r="E179" s="95">
        <f>'19'!F179</f>
        <v>35296</v>
      </c>
      <c r="F179" s="155">
        <v>35296</v>
      </c>
      <c r="G179" s="155">
        <f t="shared" ref="G179:G180" si="15">F179-E179</f>
        <v>0</v>
      </c>
      <c r="H179" s="99">
        <f>G179+'19'!H179</f>
        <v>493</v>
      </c>
      <c r="I179" s="155"/>
      <c r="J179" s="178">
        <f>H179/DAY(B2)</f>
        <v>24.65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'19'!F180</f>
        <v>5811</v>
      </c>
      <c r="F180" s="155">
        <v>5813</v>
      </c>
      <c r="G180" s="155">
        <f t="shared" si="15"/>
        <v>2</v>
      </c>
      <c r="H180" s="99">
        <f>G180+'19'!H180</f>
        <v>111</v>
      </c>
      <c r="I180" s="155"/>
      <c r="J180" s="178">
        <f>H180/DAY(B2)</f>
        <v>5.55</v>
      </c>
    </row>
    <row r="181" spans="1:10" ht="24.75" customHeight="1" x14ac:dyDescent="0.5">
      <c r="A181" s="866" t="s">
        <v>108</v>
      </c>
      <c r="B181" s="867"/>
      <c r="C181" s="483"/>
      <c r="D181" s="228" t="s">
        <v>142</v>
      </c>
      <c r="E181" s="95"/>
      <c r="F181" s="155"/>
      <c r="G181" s="155">
        <f>SUM(G178:G180)</f>
        <v>66</v>
      </c>
      <c r="H181" s="99">
        <f>G181+'19'!H181</f>
        <v>1730</v>
      </c>
      <c r="I181" s="155"/>
      <c r="J181" s="178">
        <f>H181/DAY(B2)</f>
        <v>86.5</v>
      </c>
    </row>
    <row r="182" spans="1:10" ht="24.75" customHeight="1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864" t="s">
        <v>214</v>
      </c>
      <c r="B183" s="865"/>
      <c r="C183" s="334"/>
      <c r="D183" s="228" t="s">
        <v>142</v>
      </c>
      <c r="E183" s="95">
        <f>'19'!F183</f>
        <v>15643</v>
      </c>
      <c r="F183" s="157">
        <v>15658</v>
      </c>
      <c r="G183" s="157">
        <f>F183-E183</f>
        <v>15</v>
      </c>
      <c r="H183" s="99">
        <f>G183+'19'!H183</f>
        <v>313</v>
      </c>
      <c r="I183" s="155"/>
      <c r="J183" s="178">
        <f>H183/DAY(B2)</f>
        <v>15.65</v>
      </c>
    </row>
    <row r="184" spans="1:10" ht="24.75" customHeight="1" x14ac:dyDescent="0.5">
      <c r="A184" s="864" t="s">
        <v>215</v>
      </c>
      <c r="B184" s="865"/>
      <c r="C184" s="334"/>
      <c r="D184" s="228" t="s">
        <v>142</v>
      </c>
      <c r="E184" s="95">
        <f>'19'!F184</f>
        <v>10728</v>
      </c>
      <c r="F184" s="157">
        <v>10738</v>
      </c>
      <c r="G184" s="157">
        <f t="shared" ref="G184:G185" si="16">F184-E184</f>
        <v>10</v>
      </c>
      <c r="H184" s="99">
        <f>G184+'19'!H184</f>
        <v>220</v>
      </c>
      <c r="I184" s="155"/>
      <c r="J184" s="178">
        <f>H184/DAY(B2)</f>
        <v>11</v>
      </c>
    </row>
    <row r="185" spans="1:10" ht="24.75" customHeight="1" x14ac:dyDescent="0.5">
      <c r="A185" s="864" t="s">
        <v>216</v>
      </c>
      <c r="B185" s="865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855" t="s">
        <v>196</v>
      </c>
      <c r="B186" s="856"/>
      <c r="C186" s="482"/>
      <c r="D186" s="228" t="s">
        <v>142</v>
      </c>
      <c r="E186" s="95"/>
      <c r="F186" s="157"/>
      <c r="G186" s="157">
        <f>SUM(G183:G185)</f>
        <v>25</v>
      </c>
      <c r="H186" s="99">
        <f>G186+'19'!H186</f>
        <v>533</v>
      </c>
      <c r="I186" s="157"/>
      <c r="J186" s="178">
        <f>H186/DAY(B2)</f>
        <v>26.65</v>
      </c>
    </row>
    <row r="187" spans="1:10" ht="27.75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460">
        <f>G62+G19</f>
        <v>219</v>
      </c>
      <c r="H187" s="99">
        <f>G187+'19'!H187</f>
        <v>3894</v>
      </c>
      <c r="I187" s="158"/>
      <c r="J187" s="179">
        <f>H187/DAY(B2)</f>
        <v>194.7</v>
      </c>
    </row>
    <row r="188" spans="1:10" ht="27.75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224</v>
      </c>
      <c r="H188" s="99">
        <f>G188+'19'!H188</f>
        <v>1381</v>
      </c>
      <c r="I188" s="158"/>
      <c r="J188" s="179">
        <f>H188/DAY(B2)</f>
        <v>69.05</v>
      </c>
    </row>
    <row r="189" spans="1:10" ht="27.75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457">
        <f>G181</f>
        <v>66</v>
      </c>
      <c r="H189" s="99">
        <f>G189+'19'!H189</f>
        <v>121</v>
      </c>
      <c r="I189" s="158"/>
      <c r="J189" s="179">
        <f>H189/DAY(B2)</f>
        <v>6.05</v>
      </c>
    </row>
    <row r="190" spans="1:10" ht="27.75" x14ac:dyDescent="0.5">
      <c r="A190" s="778"/>
      <c r="B190" s="779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70" zoomScale="60" zoomScaleNormal="60" zoomScalePageLayoutView="20" workbookViewId="0">
      <selection activeCell="G140" sqref="G14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356</v>
      </c>
      <c r="B2" s="262">
        <v>44613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56156.53</v>
      </c>
      <c r="F7" s="95">
        <v>76953.399999999994</v>
      </c>
      <c r="G7" s="112">
        <f>F7-E7</f>
        <v>20796.869999999995</v>
      </c>
      <c r="H7" s="99">
        <f>G7+'20'!H7</f>
        <v>425832.17000000004</v>
      </c>
      <c r="I7" s="113">
        <f>'1'!I7</f>
        <v>12000</v>
      </c>
      <c r="J7" s="175">
        <f>H7/DAY(B2)</f>
        <v>20277.722380952382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116071.78</v>
      </c>
      <c r="F8" s="95">
        <v>136977.47</v>
      </c>
      <c r="G8" s="115">
        <f>F8-E8</f>
        <v>20905.690000000002</v>
      </c>
      <c r="H8" s="99">
        <f>G8+'20'!H8</f>
        <v>428455.91999999993</v>
      </c>
      <c r="I8" s="116"/>
      <c r="J8" s="175">
        <f>H8/DAY(B2)</f>
        <v>20402.662857142852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600536.71</v>
      </c>
      <c r="F9" s="598">
        <v>617891.23</v>
      </c>
      <c r="G9" s="112">
        <f>F9-E9</f>
        <v>17354.520000000019</v>
      </c>
      <c r="H9" s="99">
        <f>G9+'20'!H9</f>
        <v>335637.38</v>
      </c>
      <c r="I9" s="124">
        <f>I7-J7</f>
        <v>-8277.7223809523821</v>
      </c>
      <c r="J9" s="175">
        <f>H9/DAY(B2)</f>
        <v>15982.73238095238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180429.79</v>
      </c>
      <c r="F10" s="353">
        <v>183367.67</v>
      </c>
      <c r="G10" s="112">
        <f t="shared" ref="G10:G12" si="0">F10-E10</f>
        <v>2937.8800000000047</v>
      </c>
      <c r="H10" s="99">
        <f>G10+'20'!H10</f>
        <v>78108.700000000012</v>
      </c>
      <c r="I10" s="282"/>
      <c r="J10" s="175">
        <f>H10/DAY(B2)</f>
        <v>3719.4619047619053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37170</v>
      </c>
      <c r="F11" s="95">
        <v>37170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20292.400000000023</v>
      </c>
      <c r="H13" s="99">
        <f>G13+'20'!H13</f>
        <v>396991.64999999997</v>
      </c>
      <c r="I13" s="120">
        <f>G7-G13</f>
        <v>504.46999999997206</v>
      </c>
      <c r="J13" s="175">
        <f>H13/DAY(B2)</f>
        <v>18904.364285714284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'20'!F15</f>
        <v>1927951.77</v>
      </c>
      <c r="F15" s="123">
        <v>1929126.91</v>
      </c>
      <c r="G15" s="112">
        <f>(F15-E15)</f>
        <v>1175.1399999998976</v>
      </c>
      <c r="H15" s="99">
        <f>G15+'20'!H15</f>
        <v>22490.142999999924</v>
      </c>
      <c r="I15" s="113">
        <f>'1'!I15</f>
        <v>800</v>
      </c>
      <c r="J15" s="175">
        <f>H15/DAY(B2)</f>
        <v>1070.9591904761869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-270.9591904761869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'20'!F18</f>
        <v>31</v>
      </c>
      <c r="F18" s="122">
        <v>21</v>
      </c>
      <c r="G18" s="119">
        <f>F18*10</f>
        <v>210</v>
      </c>
      <c r="H18" s="99">
        <f>G18+'20'!H18</f>
        <v>4830</v>
      </c>
      <c r="I18" s="113">
        <f>'1'!I18</f>
        <v>65</v>
      </c>
      <c r="J18" s="175">
        <f>H18/DAY(B2)</f>
        <v>230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'20'!F19</f>
        <v>154952</v>
      </c>
      <c r="F19" s="122">
        <v>155007</v>
      </c>
      <c r="G19" s="112">
        <f t="shared" ref="G19" si="1">F19-E19</f>
        <v>55</v>
      </c>
      <c r="H19" s="99">
        <f>G19+'20'!H19</f>
        <v>1116</v>
      </c>
      <c r="I19" s="335"/>
      <c r="J19" s="175">
        <f>H19/DAY(B2)</f>
        <v>53.142857142857146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265</v>
      </c>
      <c r="H20" s="99">
        <f>G20+'20'!H20</f>
        <v>5946</v>
      </c>
      <c r="I20" s="336">
        <f>I18-J20</f>
        <v>-218.14285714285717</v>
      </c>
      <c r="J20" s="175">
        <f>H20/DAY(B2)</f>
        <v>283.14285714285717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20905.690000000002</v>
      </c>
      <c r="F27" s="136">
        <v>9</v>
      </c>
      <c r="G27" s="137">
        <f>E27*F27</f>
        <v>188151.21000000002</v>
      </c>
      <c r="H27" s="99">
        <f>G27+'20'!H27</f>
        <v>3856103.2800000003</v>
      </c>
      <c r="I27" s="138"/>
      <c r="J27" s="175">
        <f>H27/DAY(B2)</f>
        <v>183623.96571428573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1175.1399999998976</v>
      </c>
      <c r="F28" s="136">
        <v>52</v>
      </c>
      <c r="G28" s="137">
        <f>E28*F28</f>
        <v>61107.279999994673</v>
      </c>
      <c r="H28" s="99">
        <f>G28+'20'!H28</f>
        <v>1232415.435999996</v>
      </c>
      <c r="I28" s="140"/>
      <c r="J28" s="175">
        <f>H28/DAY(B2)</f>
        <v>58686.449333333141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G30+'20'!H30</f>
        <v>163791</v>
      </c>
      <c r="I30" s="140"/>
      <c r="J30" s="175">
        <f>H30/DAY(B2)</f>
        <v>7799.5714285714284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G31+'20'!H31</f>
        <v>386400</v>
      </c>
      <c r="I31" s="140"/>
      <c r="J31" s="175">
        <f>H31/DAY(B2)</f>
        <v>18400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274088.48999999469</v>
      </c>
      <c r="H32" s="99">
        <f>G32+'20'!H32</f>
        <v>5638709.7159999963</v>
      </c>
      <c r="I32" s="144"/>
      <c r="J32" s="175">
        <f>H32/DAY(B2)</f>
        <v>268509.98647619027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62207.86</v>
      </c>
      <c r="F35" s="145">
        <v>63746.75</v>
      </c>
      <c r="G35" s="112">
        <f t="shared" ref="G35:G46" si="3">F35-E35</f>
        <v>1538.8899999999994</v>
      </c>
      <c r="H35" s="99">
        <f>G35+'20'!H35</f>
        <v>31741.77</v>
      </c>
      <c r="I35" s="95"/>
      <c r="J35" s="175">
        <f>H35/DAY(B2)</f>
        <v>1511.5128571428572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62249.760000000002</v>
      </c>
      <c r="F36" s="145">
        <v>63279.43</v>
      </c>
      <c r="G36" s="112">
        <f t="shared" si="3"/>
        <v>1029.6699999999983</v>
      </c>
      <c r="H36" s="99">
        <f>G36+'20'!H36</f>
        <v>19820.690000000002</v>
      </c>
      <c r="I36" s="95"/>
      <c r="J36" s="175">
        <f>H36/DAY(B2)</f>
        <v>943.84238095238106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69022.59</v>
      </c>
      <c r="F37" s="502">
        <v>70666.19</v>
      </c>
      <c r="G37" s="112">
        <f t="shared" si="3"/>
        <v>1643.6000000000058</v>
      </c>
      <c r="H37" s="99">
        <f>G37+'20'!H37</f>
        <v>35241.100000000006</v>
      </c>
      <c r="I37" s="95"/>
      <c r="J37" s="175">
        <f>H37/DAY(B2)</f>
        <v>1678.1476190476194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77792.59</v>
      </c>
      <c r="F38" s="108">
        <v>79893.429999999993</v>
      </c>
      <c r="G38" s="112">
        <f t="shared" si="3"/>
        <v>2100.8399999999965</v>
      </c>
      <c r="H38" s="99">
        <f>G38+'20'!H38</f>
        <v>41516.999999999993</v>
      </c>
      <c r="I38" s="95"/>
      <c r="J38" s="175">
        <f>H38/DAY(B2)</f>
        <v>1976.9999999999995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118753</v>
      </c>
      <c r="F39" s="502">
        <v>121850.5</v>
      </c>
      <c r="G39" s="112">
        <f t="shared" si="3"/>
        <v>3097.5</v>
      </c>
      <c r="H39" s="99">
        <f>G39+'20'!H39</f>
        <v>62677.21</v>
      </c>
      <c r="I39" s="95"/>
      <c r="J39" s="175">
        <f>H39/DAY(B2)</f>
        <v>2984.6290476190475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29847.26</v>
      </c>
      <c r="F40" s="145">
        <v>30274.87</v>
      </c>
      <c r="G40" s="112">
        <f t="shared" si="3"/>
        <v>427.61000000000058</v>
      </c>
      <c r="H40" s="99">
        <f>G40+'20'!H40</f>
        <v>8157.8799999999965</v>
      </c>
      <c r="I40" s="95"/>
      <c r="J40" s="175">
        <f>H40/DAY(B2)</f>
        <v>388.47047619047601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63</v>
      </c>
      <c r="F41" s="145">
        <v>63</v>
      </c>
      <c r="G41" s="112">
        <f t="shared" si="3"/>
        <v>0</v>
      </c>
      <c r="H41" s="99">
        <f>G41+'20'!H41</f>
        <v>0.27000000000000313</v>
      </c>
      <c r="I41" s="95"/>
      <c r="J41" s="175">
        <f>H41/DAY(B2)</f>
        <v>1.2857142857143006E-2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167132.07999999999</v>
      </c>
      <c r="F42" s="145">
        <v>171530.15</v>
      </c>
      <c r="G42" s="112">
        <f t="shared" si="3"/>
        <v>4398.070000000007</v>
      </c>
      <c r="H42" s="99">
        <f>G42+'20'!H42</f>
        <v>71400.409999999989</v>
      </c>
      <c r="I42" s="95"/>
      <c r="J42" s="175">
        <f>H42/DAY(B2)</f>
        <v>3400.0195238095234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157411.59</v>
      </c>
      <c r="F43" s="145">
        <v>159503.35999999999</v>
      </c>
      <c r="G43" s="112">
        <f t="shared" si="3"/>
        <v>2091.7699999999895</v>
      </c>
      <c r="H43" s="99">
        <f>G43+'20'!H43</f>
        <v>44651.75999999998</v>
      </c>
      <c r="I43" s="95"/>
      <c r="J43" s="175">
        <f>H43/DAY(B2)</f>
        <v>2126.2742857142848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16327.949999999997</v>
      </c>
      <c r="H47" s="99">
        <f>G47+'20'!H47</f>
        <v>315208.09000000003</v>
      </c>
      <c r="I47" s="95"/>
      <c r="J47" s="175">
        <f>H47/DAY(B2)</f>
        <v>15009.909047619049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52543.58</v>
      </c>
      <c r="F49" s="145">
        <v>54002.41</v>
      </c>
      <c r="G49" s="112">
        <f t="shared" ref="G49:G58" si="4">F49-E49</f>
        <v>1458.8300000000017</v>
      </c>
      <c r="H49" s="99">
        <f>G49+'20'!H49</f>
        <v>29006.220000000005</v>
      </c>
      <c r="I49" s="95"/>
      <c r="J49" s="175">
        <f>H49/DAY(B2)</f>
        <v>1381.2485714285717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80959.899999999994</v>
      </c>
      <c r="F50" s="145">
        <v>82332.490000000005</v>
      </c>
      <c r="G50" s="112">
        <f t="shared" si="4"/>
        <v>1372.5900000000111</v>
      </c>
      <c r="H50" s="99">
        <f>G50+'20'!H50</f>
        <v>25945.860000000008</v>
      </c>
      <c r="I50" s="95"/>
      <c r="J50" s="175">
        <f>H50/DAY(B2)</f>
        <v>1235.5171428571432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15008.91</v>
      </c>
      <c r="F54" s="145">
        <v>15547.62</v>
      </c>
      <c r="G54" s="112">
        <f t="shared" si="4"/>
        <v>538.71000000000095</v>
      </c>
      <c r="H54" s="99">
        <f>G54+'20'!H54</f>
        <v>10400.200000000001</v>
      </c>
      <c r="I54" s="95"/>
      <c r="J54" s="175">
        <f>H54/DAY(B2)</f>
        <v>495.24761904761908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90578.89</v>
      </c>
      <c r="F55" s="145">
        <v>90578.89</v>
      </c>
      <c r="G55" s="112">
        <f t="shared" si="4"/>
        <v>0</v>
      </c>
      <c r="H55" s="99">
        <f>G55+'20'!H55</f>
        <v>16212.779999999999</v>
      </c>
      <c r="I55" s="95"/>
      <c r="J55" s="175">
        <f>H55/DAY(B2)</f>
        <v>772.03714285714284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8723.6299999999992</v>
      </c>
      <c r="F56" s="502">
        <v>8723.6299999999992</v>
      </c>
      <c r="G56" s="112">
        <f t="shared" si="4"/>
        <v>0</v>
      </c>
      <c r="H56" s="99">
        <f>G56+'20'!H56</f>
        <v>113.08999999999833</v>
      </c>
      <c r="I56" s="95"/>
      <c r="J56" s="175">
        <f>H56/DAY(B2)</f>
        <v>5.3852380952380159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9076.65</v>
      </c>
      <c r="F58" s="145">
        <v>9348.35</v>
      </c>
      <c r="G58" s="112">
        <f t="shared" si="4"/>
        <v>271.70000000000073</v>
      </c>
      <c r="H58" s="99">
        <f>G58+'20'!H58</f>
        <v>4552.1400000000003</v>
      </c>
      <c r="I58" s="95"/>
      <c r="J58" s="175">
        <f>H58/DAY(B2)</f>
        <v>216.76857142857145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3641.8300000000145</v>
      </c>
      <c r="H59" s="99">
        <f>G59+'20'!H59</f>
        <v>86230.290000000008</v>
      </c>
      <c r="I59" s="95">
        <f>G7-G60</f>
        <v>827.08999999998196</v>
      </c>
      <c r="J59" s="175">
        <f>H59/DAY(B2)</f>
        <v>4106.204285714286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19969.780000000013</v>
      </c>
      <c r="H60" s="99">
        <f>G60+'20'!H60</f>
        <v>401438.38000000006</v>
      </c>
      <c r="I60" s="95">
        <f>G13-G60</f>
        <v>322.6200000000099</v>
      </c>
      <c r="J60" s="175">
        <f>H60/DAY(B2)</f>
        <v>19116.113333333335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'20'!F62</f>
        <v>272349</v>
      </c>
      <c r="F62" s="122">
        <v>272489</v>
      </c>
      <c r="G62" s="112">
        <f t="shared" ref="G62:G63" si="5">F62-E62</f>
        <v>140</v>
      </c>
      <c r="H62" s="99">
        <f>G62+'20'!H62</f>
        <v>2973</v>
      </c>
      <c r="I62" s="118"/>
      <c r="J62" s="175">
        <f>H62/DAY(B2)</f>
        <v>141.57142857142858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'20'!F63</f>
        <v>218355</v>
      </c>
      <c r="F63" s="150">
        <v>218498</v>
      </c>
      <c r="G63" s="112">
        <f t="shared" si="5"/>
        <v>143</v>
      </c>
      <c r="H63" s="99">
        <f>G63+'20'!H63</f>
        <v>2701</v>
      </c>
      <c r="I63" s="118"/>
      <c r="J63" s="175">
        <f>H63/DAY(B2)</f>
        <v>128.61904761904762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'20'!F64</f>
        <v>0</v>
      </c>
      <c r="F64" s="122"/>
      <c r="G64" s="112">
        <f>G62+G63</f>
        <v>283</v>
      </c>
      <c r="H64" s="99">
        <f>G64+'20'!H64</f>
        <v>5674</v>
      </c>
      <c r="I64" s="118"/>
      <c r="J64" s="175">
        <f>H64/DAY(B2)</f>
        <v>270.1904761904762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'20'!F65</f>
        <v>436967</v>
      </c>
      <c r="F65" s="122">
        <v>437069</v>
      </c>
      <c r="G65" s="112">
        <f t="shared" ref="G65:G70" si="6">F65-E65</f>
        <v>102</v>
      </c>
      <c r="H65" s="99">
        <f>G65+'20'!H65</f>
        <v>2146</v>
      </c>
      <c r="I65" s="118"/>
      <c r="J65" s="175">
        <f>H65/DAY(B2)</f>
        <v>102.19047619047619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'20'!F66</f>
        <v>108256</v>
      </c>
      <c r="F66" s="122">
        <v>108276</v>
      </c>
      <c r="G66" s="112">
        <f t="shared" si="6"/>
        <v>20</v>
      </c>
      <c r="H66" s="99">
        <f>G66+'20'!H66</f>
        <v>533</v>
      </c>
      <c r="I66" s="118"/>
      <c r="J66" s="175">
        <f>H66/DAY(B2)</f>
        <v>25.38095238095238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'20'!F67</f>
        <v>105672</v>
      </c>
      <c r="F67" s="122">
        <v>105753</v>
      </c>
      <c r="G67" s="112">
        <f t="shared" si="6"/>
        <v>81</v>
      </c>
      <c r="H67" s="99">
        <f>G67+'20'!H67</f>
        <v>1105</v>
      </c>
      <c r="I67" s="118"/>
      <c r="J67" s="175">
        <f>H67/DAY(B2)</f>
        <v>52.61904761904762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'20'!F68</f>
        <v>158568</v>
      </c>
      <c r="F68" s="122">
        <v>158606</v>
      </c>
      <c r="G68" s="112">
        <f t="shared" si="6"/>
        <v>38</v>
      </c>
      <c r="H68" s="99">
        <f>G68+'20'!H68</f>
        <v>909</v>
      </c>
      <c r="I68" s="118"/>
      <c r="J68" s="175">
        <f>H68/DAY(B2)</f>
        <v>43.285714285714285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'20'!F69</f>
        <v>10803</v>
      </c>
      <c r="F69" s="122">
        <v>10809</v>
      </c>
      <c r="G69" s="112">
        <f t="shared" si="6"/>
        <v>6</v>
      </c>
      <c r="H69" s="99">
        <f>G69+'20'!H69</f>
        <v>268</v>
      </c>
      <c r="I69" s="118"/>
      <c r="J69" s="175">
        <f>H69/DAY(B2)</f>
        <v>12.761904761904763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'20'!F70</f>
        <v>8358</v>
      </c>
      <c r="F70" s="122">
        <v>8367</v>
      </c>
      <c r="G70" s="112">
        <f t="shared" si="6"/>
        <v>9</v>
      </c>
      <c r="H70" s="99">
        <f>G70+'20'!H70</f>
        <v>247</v>
      </c>
      <c r="I70" s="118"/>
      <c r="J70" s="175">
        <f>H70/DAY(B2)</f>
        <v>11.761904761904763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256</v>
      </c>
      <c r="H71" s="99">
        <f>G71+'20'!H71</f>
        <v>5208</v>
      </c>
      <c r="I71" s="154"/>
      <c r="J71" s="175">
        <f>H71/DAY(B2)</f>
        <v>248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'20'!F74</f>
        <v>907357.28</v>
      </c>
      <c r="F74" s="123">
        <v>907629.42</v>
      </c>
      <c r="G74" s="112">
        <f t="shared" ref="G74:G78" si="7">F74-E74</f>
        <v>272.14000000001397</v>
      </c>
      <c r="H74" s="99">
        <f>G74+'20'!H74</f>
        <v>6323.2710000000661</v>
      </c>
      <c r="I74" s="154"/>
      <c r="J74" s="175">
        <f>H74/DAY(B2)</f>
        <v>301.10814285714599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'20'!F76</f>
        <v>172200.97</v>
      </c>
      <c r="F76" s="123">
        <v>172295.84</v>
      </c>
      <c r="G76" s="112">
        <f t="shared" si="7"/>
        <v>94.869999999995343</v>
      </c>
      <c r="H76" s="99">
        <f>G76+'20'!H76</f>
        <v>2320.8399999999965</v>
      </c>
      <c r="I76" s="154"/>
      <c r="J76" s="175">
        <f>H76/DAY(B2)</f>
        <v>110.5161904761903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'20'!F77</f>
        <v>42252</v>
      </c>
      <c r="F77" s="123">
        <v>42285.1</v>
      </c>
      <c r="G77" s="112">
        <f t="shared" si="7"/>
        <v>33.099999999998545</v>
      </c>
      <c r="H77" s="99">
        <f>G77+'20'!H77</f>
        <v>982.90000000000146</v>
      </c>
      <c r="I77" s="154"/>
      <c r="J77" s="175">
        <f>H77/DAY(B2)</f>
        <v>46.804761904761975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'20'!F78</f>
        <v>9542</v>
      </c>
      <c r="F78" s="123">
        <v>9543</v>
      </c>
      <c r="G78" s="112">
        <f t="shared" si="7"/>
        <v>1</v>
      </c>
      <c r="H78" s="99">
        <f>G78+'20'!H78</f>
        <v>30</v>
      </c>
      <c r="I78" s="118"/>
      <c r="J78" s="175">
        <f>H78/DAY(B2)</f>
        <v>1.4285714285714286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'20'!F79</f>
        <v>0</v>
      </c>
      <c r="F79" s="123"/>
      <c r="G79" s="112">
        <f>G15-SUM(G74:G78)</f>
        <v>774.0299999998897</v>
      </c>
      <c r="H79" s="99">
        <f>G79+'20'!H79</f>
        <v>12833.13199999986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1175.1399999998976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'20'!F84</f>
        <v>41675.49</v>
      </c>
      <c r="F84" s="164">
        <v>41675.4</v>
      </c>
      <c r="G84" s="112">
        <f t="shared" si="8"/>
        <v>-8.999999999650754E-2</v>
      </c>
      <c r="H84" s="99">
        <f>G84+'20'!H84</f>
        <v>0.40000000000145519</v>
      </c>
      <c r="I84" s="118"/>
      <c r="J84" s="175">
        <f>H84/DAY(B2)</f>
        <v>1.9047619047688341E-2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'20'!F85</f>
        <v>2623.49</v>
      </c>
      <c r="F85" s="164">
        <v>2647.97</v>
      </c>
      <c r="G85" s="112">
        <f t="shared" si="8"/>
        <v>24.480000000000018</v>
      </c>
      <c r="H85" s="99">
        <f>G85+'20'!H85</f>
        <v>387.54999999999973</v>
      </c>
      <c r="I85" s="118">
        <f>G82+G83+G84+G85</f>
        <v>24.390000000003511</v>
      </c>
      <c r="J85" s="175">
        <f>H85/DAY(B2)</f>
        <v>18.454761904761892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'20'!F86</f>
        <v>43564</v>
      </c>
      <c r="F86" s="164">
        <v>43564</v>
      </c>
      <c r="G86" s="112">
        <f t="shared" si="8"/>
        <v>0</v>
      </c>
      <c r="H86" s="99">
        <f>G86+'20'!H86</f>
        <v>122</v>
      </c>
      <c r="I86" s="118"/>
      <c r="J86" s="175">
        <f>H86/DAY(B2)</f>
        <v>5.8095238095238093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5.0000000002910383E-2</v>
      </c>
      <c r="I87" s="118"/>
      <c r="J87" s="175">
        <f>H87/DAY(B2)</f>
        <v>2.3809523810909708E-3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'20'!F88</f>
        <v>24067.759999999998</v>
      </c>
      <c r="F88" s="164">
        <v>24076.76</v>
      </c>
      <c r="G88" s="112">
        <f t="shared" si="8"/>
        <v>9</v>
      </c>
      <c r="H88" s="99">
        <f>G88+'20'!H88</f>
        <v>13.329999999998108</v>
      </c>
      <c r="I88" s="118">
        <f>G86+G87+G88</f>
        <v>9</v>
      </c>
      <c r="J88" s="175">
        <f>H88/DAY(B2)</f>
        <v>0.63476190476181471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'20'!F89</f>
        <v>26100.14</v>
      </c>
      <c r="F89" s="164">
        <v>26103.43</v>
      </c>
      <c r="G89" s="112">
        <f t="shared" si="8"/>
        <v>3.2900000000008731</v>
      </c>
      <c r="H89" s="99">
        <f>G89+'20'!H89</f>
        <v>212.31000000000131</v>
      </c>
      <c r="I89" s="118"/>
      <c r="J89" s="175">
        <f>H89/DAY(B2)</f>
        <v>10.110000000000062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'20'!F90</f>
        <v>71252.52</v>
      </c>
      <c r="F90" s="164">
        <v>71261.23</v>
      </c>
      <c r="G90" s="112">
        <f t="shared" si="8"/>
        <v>8.7099999999918509</v>
      </c>
      <c r="H90" s="99">
        <f>G90+'20'!H90</f>
        <v>97.909999999988941</v>
      </c>
      <c r="I90" s="118">
        <f>G89+G90</f>
        <v>11.999999999992724</v>
      </c>
      <c r="J90" s="175">
        <f>H90/DAY(B2)</f>
        <v>4.6623809523804258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'20'!F91</f>
        <v>3476.44</v>
      </c>
      <c r="F91" s="122">
        <v>3486.48</v>
      </c>
      <c r="G91" s="112">
        <f t="shared" si="8"/>
        <v>10.039999999999964</v>
      </c>
      <c r="H91" s="99">
        <f>G91+'20'!H91</f>
        <v>235.38999999999987</v>
      </c>
      <c r="I91" s="165"/>
      <c r="J91" s="175">
        <f>H91/DAY(B2)</f>
        <v>11.209047619047613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'20'!F92</f>
        <v>5741</v>
      </c>
      <c r="F92" s="122">
        <v>5741</v>
      </c>
      <c r="G92" s="112">
        <f t="shared" si="8"/>
        <v>0</v>
      </c>
      <c r="H92" s="99">
        <f>G92+'20'!H92</f>
        <v>-6.9999999999708962E-2</v>
      </c>
      <c r="I92" s="165"/>
      <c r="J92" s="175">
        <f>H92/DAY(B2)</f>
        <v>-3.3333333333194744E-3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5089.4899999999907</v>
      </c>
      <c r="H94" s="99">
        <f>G94+'20'!H94</f>
        <v>105399.74999999997</v>
      </c>
      <c r="I94" s="118"/>
      <c r="J94" s="175">
        <f>H94/DAY(B2)</f>
        <v>5019.0357142857129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0.24472384546328327</v>
      </c>
      <c r="H95" s="99">
        <f>G95+'20'!H95</f>
        <v>5.2019264869307538</v>
      </c>
      <c r="I95" s="167"/>
      <c r="J95" s="175">
        <f>H95/DAY(B2)</f>
        <v>0.24771078509194067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4398.070000000007</v>
      </c>
      <c r="H96" s="99">
        <f>G96+'20'!H96</f>
        <v>87726.549999999988</v>
      </c>
      <c r="I96" s="118"/>
      <c r="J96" s="175">
        <f>H96/DAY(B2)</f>
        <v>4177.4547619047617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0.21147749637325269</v>
      </c>
      <c r="H97" s="99">
        <f>G97+'20'!H97</f>
        <v>4.3168850014546649</v>
      </c>
      <c r="I97" s="167"/>
      <c r="J97" s="175">
        <f>H97/DAY(B2)</f>
        <v>0.20556595245022213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3097.5</v>
      </c>
      <c r="H98" s="99">
        <f>G98+'20'!H98</f>
        <v>62677.21</v>
      </c>
      <c r="I98" s="168"/>
      <c r="J98" s="175">
        <f>H98/DAY(B2)</f>
        <v>2984.6290476190475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0.14894068193915722</v>
      </c>
      <c r="H99" s="99">
        <f>G99+'20'!H99</f>
        <v>3.090936088873605</v>
      </c>
      <c r="I99" s="168"/>
      <c r="J99" s="175">
        <f>H99/DAY(B2)</f>
        <v>0.14718743280350499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2100.8399999999965</v>
      </c>
      <c r="H100" s="99">
        <f>G100+'20'!H100</f>
        <v>41516.999999999993</v>
      </c>
      <c r="I100" s="118"/>
      <c r="J100" s="175">
        <f>H100/DAY(B2)</f>
        <v>1976.9999999999995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0.10101712421147975</v>
      </c>
      <c r="H101" s="99">
        <f>G101+'20'!H101</f>
        <v>2.046939016840029</v>
      </c>
      <c r="I101" s="168"/>
      <c r="J101" s="175">
        <f>H101/DAY(B2)</f>
        <v>9.7473286516191859E-2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2402.2600000000093</v>
      </c>
      <c r="H102" s="99">
        <f>G102+'20'!H102</f>
        <v>45766.55000000001</v>
      </c>
      <c r="I102" s="168"/>
      <c r="J102" s="175">
        <f>H102/DAY(B2)</f>
        <v>2179.3595238095245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0.11551065136244107</v>
      </c>
      <c r="H103" s="99">
        <f>G103+'20'!H103</f>
        <v>2.251615171504918</v>
      </c>
      <c r="I103" s="118"/>
      <c r="J103" s="175">
        <f>H103/DAY(B2)</f>
        <v>0.10721977007166276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1643.6000000000058</v>
      </c>
      <c r="H104" s="99">
        <f>G104+'20'!H104</f>
        <v>35241.100000000006</v>
      </c>
      <c r="I104" s="118"/>
      <c r="J104" s="175">
        <f>H104/DAY(B2)</f>
        <v>1678.1476190476194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7.9031123433478512E-2</v>
      </c>
      <c r="H105" s="99">
        <f>G105+'20'!H105</f>
        <v>1.7406324570322775</v>
      </c>
      <c r="I105" s="187"/>
      <c r="J105" s="188">
        <f>H105/DAY(B2)</f>
        <v>8.2887259858679882E-2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'20'!F112</f>
        <v>59461.47</v>
      </c>
      <c r="F112" s="237">
        <v>59528.05</v>
      </c>
      <c r="G112" s="112">
        <f t="shared" ref="G112:G123" si="9">F112-E112</f>
        <v>66.580000000001746</v>
      </c>
      <c r="H112" s="99">
        <f>G112+'20'!H112</f>
        <v>1474.0500000000029</v>
      </c>
      <c r="I112" s="165"/>
      <c r="J112" s="328">
        <f>H112/DAY(B2)</f>
        <v>70.192857142857278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'20'!F113</f>
        <v>55808.41</v>
      </c>
      <c r="F113" s="597">
        <v>56265.97</v>
      </c>
      <c r="G113" s="112">
        <f t="shared" si="9"/>
        <v>457.55999999999767</v>
      </c>
      <c r="H113" s="99">
        <f>G113+'20'!H113</f>
        <v>9865.0800000000017</v>
      </c>
      <c r="I113" s="165"/>
      <c r="J113" s="328">
        <f>H113/DAY(B2)</f>
        <v>469.76571428571435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'20'!F114</f>
        <v>39356.22</v>
      </c>
      <c r="F114" s="237">
        <v>39615</v>
      </c>
      <c r="G114" s="112">
        <f t="shared" si="9"/>
        <v>258.77999999999884</v>
      </c>
      <c r="H114" s="99">
        <f>G114+'20'!H114</f>
        <v>6455</v>
      </c>
      <c r="I114" s="165"/>
      <c r="J114" s="328">
        <f>H114/DAY(B2)</f>
        <v>307.38095238095241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'20'!F115</f>
        <v>9332.8700000000008</v>
      </c>
      <c r="F115" s="237">
        <v>9345.32</v>
      </c>
      <c r="G115" s="112">
        <f t="shared" si="9"/>
        <v>12.449999999998909</v>
      </c>
      <c r="H115" s="99">
        <f>G115+'20'!H115</f>
        <v>250.67000000000007</v>
      </c>
      <c r="I115" s="165"/>
      <c r="J115" s="328">
        <f>H115/DAY(B2)</f>
        <v>11.936666666666671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'20'!F116</f>
        <v>5794.22</v>
      </c>
      <c r="F116" s="237">
        <v>6217.9</v>
      </c>
      <c r="G116" s="112">
        <f t="shared" si="9"/>
        <v>423.67999999999938</v>
      </c>
      <c r="H116" s="99">
        <f>G116+'20'!H116</f>
        <v>6217.9</v>
      </c>
      <c r="I116" s="165"/>
      <c r="J116" s="328">
        <f>H116/DAY(B2)</f>
        <v>296.09047619047618</v>
      </c>
      <c r="Q116" s="871" t="s">
        <v>311</v>
      </c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'20'!F117</f>
        <v>6428.51</v>
      </c>
      <c r="F117" s="237">
        <v>6606.78</v>
      </c>
      <c r="G117" s="112">
        <f t="shared" si="9"/>
        <v>178.26999999999953</v>
      </c>
      <c r="H117" s="99">
        <f>G117+'20'!H117</f>
        <v>3268.83</v>
      </c>
      <c r="I117" s="165"/>
      <c r="J117" s="328">
        <f>H117/DAY(B2)</f>
        <v>155.65857142857143</v>
      </c>
      <c r="Q117" s="871" t="s">
        <v>312</v>
      </c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'20'!F118</f>
        <v>260044.13</v>
      </c>
      <c r="F118" s="237">
        <v>260416.91</v>
      </c>
      <c r="G118" s="112">
        <f t="shared" si="9"/>
        <v>372.77999999999884</v>
      </c>
      <c r="H118" s="99">
        <f>G118+'20'!H118</f>
        <v>7964.6000000000058</v>
      </c>
      <c r="I118" s="165"/>
      <c r="J118" s="328">
        <f>H118/DAY(B2)</f>
        <v>379.26666666666694</v>
      </c>
      <c r="Q118" s="871" t="s">
        <v>311</v>
      </c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'20'!F119</f>
        <v>266637.63</v>
      </c>
      <c r="F119" s="237">
        <v>267069.45</v>
      </c>
      <c r="G119" s="112">
        <f t="shared" si="9"/>
        <v>431.82000000000698</v>
      </c>
      <c r="H119" s="99">
        <f>G119+'20'!H119</f>
        <v>8920.9000000000233</v>
      </c>
      <c r="I119" s="165"/>
      <c r="J119" s="328">
        <f>H119/DAY(B2)</f>
        <v>424.80476190476304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'20'!F120</f>
        <v>51502.43</v>
      </c>
      <c r="F120" s="597">
        <v>51932.75</v>
      </c>
      <c r="G120" s="112">
        <f t="shared" si="9"/>
        <v>430.31999999999971</v>
      </c>
      <c r="H120" s="99">
        <f>G120+'20'!H120</f>
        <v>8973.14</v>
      </c>
      <c r="I120" s="165"/>
      <c r="J120" s="328">
        <f>H120/DAY(B2)</f>
        <v>427.29238095238094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'20'!F121</f>
        <v>412889.87</v>
      </c>
      <c r="F121" s="237">
        <v>413699.27</v>
      </c>
      <c r="G121" s="112">
        <f t="shared" si="9"/>
        <v>809.40000000002328</v>
      </c>
      <c r="H121" s="99">
        <f>G121+'20'!H121</f>
        <v>15664.840000000026</v>
      </c>
      <c r="I121" s="165"/>
      <c r="J121" s="328">
        <f>H121/DAY(B2)</f>
        <v>745.94476190476314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'20'!F122</f>
        <v>130616.35</v>
      </c>
      <c r="F122" s="237">
        <v>130858.79</v>
      </c>
      <c r="G122" s="112">
        <f t="shared" si="9"/>
        <v>242.43999999998778</v>
      </c>
      <c r="H122" s="99">
        <f>G122+'20'!H122</f>
        <v>4672.6100000000006</v>
      </c>
      <c r="I122" s="165"/>
      <c r="J122" s="328">
        <f>H122/DAY(B2)</f>
        <v>222.50523809523813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'20'!F123</f>
        <v>159191.29999999999</v>
      </c>
      <c r="F123" s="237">
        <v>159459.18</v>
      </c>
      <c r="G123" s="112">
        <f t="shared" si="9"/>
        <v>267.88000000000466</v>
      </c>
      <c r="H123" s="99">
        <f>G123+'20'!H123</f>
        <v>5412.2299999999814</v>
      </c>
      <c r="I123" s="165"/>
      <c r="J123" s="328">
        <f>H123/DAY(B2)</f>
        <v>257.72523809523722</v>
      </c>
    </row>
    <row r="124" spans="1:18" ht="29.25" customHeight="1" x14ac:dyDescent="0.5">
      <c r="A124" s="875"/>
      <c r="B124" s="876"/>
      <c r="C124" s="877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3951.9600000000173</v>
      </c>
      <c r="H125" s="156"/>
      <c r="I125" s="327">
        <f>G125-(G39+G53)</f>
        <v>854.46000000001732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'20'!F128</f>
        <v>53993.7</v>
      </c>
      <c r="F128" s="165">
        <v>54289.01</v>
      </c>
      <c r="G128" s="112">
        <f t="shared" ref="G128:G134" si="10">F128-E128</f>
        <v>295.31000000000495</v>
      </c>
      <c r="H128" s="99">
        <f>G128+'20'!H128</f>
        <v>6543.010000000002</v>
      </c>
      <c r="I128" s="165"/>
      <c r="J128" s="328">
        <f>H128/DAY(B2)</f>
        <v>311.57190476190488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'20'!F129</f>
        <v>31491.71</v>
      </c>
      <c r="F129" s="165">
        <v>31696.400000000001</v>
      </c>
      <c r="G129" s="112">
        <f t="shared" si="10"/>
        <v>204.69000000000233</v>
      </c>
      <c r="H129" s="99">
        <f>G129+'20'!H129</f>
        <v>4785.5300000000025</v>
      </c>
      <c r="I129" s="165"/>
      <c r="J129" s="328">
        <f>H129/DAY(B2)</f>
        <v>227.88238095238108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'20'!F130</f>
        <v>48046.76</v>
      </c>
      <c r="F130" s="591">
        <v>48746.3</v>
      </c>
      <c r="G130" s="112">
        <f t="shared" si="10"/>
        <v>699.54000000000087</v>
      </c>
      <c r="H130" s="99">
        <f>G130+'20'!H130</f>
        <v>13052.300000000003</v>
      </c>
      <c r="I130" s="165"/>
      <c r="J130" s="328">
        <f>H130/DAY(B2)</f>
        <v>621.53809523809537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'20'!F131</f>
        <v>17549.98</v>
      </c>
      <c r="F131" s="165">
        <v>17701.29</v>
      </c>
      <c r="G131" s="112">
        <f t="shared" si="10"/>
        <v>151.31000000000131</v>
      </c>
      <c r="H131" s="99">
        <f>G131+'20'!H131</f>
        <v>2393.6100000000006</v>
      </c>
      <c r="I131" s="165"/>
      <c r="J131" s="328">
        <f>H131/DAY(B2)</f>
        <v>113.98142857142859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'20'!F132</f>
        <v>59743.7</v>
      </c>
      <c r="F132" s="165">
        <v>60167.99</v>
      </c>
      <c r="G132" s="112">
        <f t="shared" si="10"/>
        <v>424.29000000000087</v>
      </c>
      <c r="H132" s="99">
        <f>G132+'20'!H132</f>
        <v>8319.6899999999951</v>
      </c>
      <c r="I132" s="165"/>
      <c r="J132" s="328">
        <f>H132/DAY(B2)</f>
        <v>396.17571428571404</v>
      </c>
    </row>
    <row r="133" spans="1:15" ht="27.75" x14ac:dyDescent="0.5">
      <c r="A133" s="871" t="s">
        <v>362</v>
      </c>
      <c r="B133" s="872"/>
      <c r="C133" s="873"/>
      <c r="D133" s="151" t="s">
        <v>183</v>
      </c>
      <c r="E133" s="95">
        <f>'20'!F133</f>
        <v>118049.71</v>
      </c>
      <c r="F133" s="165">
        <v>118723.61</v>
      </c>
      <c r="G133" s="112">
        <f t="shared" si="10"/>
        <v>673.89999999999418</v>
      </c>
      <c r="H133" s="99">
        <f>G133+'20'!H133</f>
        <v>13379.910000000003</v>
      </c>
      <c r="I133" s="165"/>
      <c r="J133" s="328">
        <f>H133/DAY(B2)</f>
        <v>637.13857142857159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'20'!F134</f>
        <v>12143.56</v>
      </c>
      <c r="F134" s="165">
        <v>12294.77</v>
      </c>
      <c r="G134" s="112">
        <f t="shared" si="10"/>
        <v>151.21000000000095</v>
      </c>
      <c r="H134" s="99">
        <f>G134+'20'!H134</f>
        <v>3693.5400000000009</v>
      </c>
      <c r="I134" s="165"/>
      <c r="J134" s="328">
        <f>H134/DAY(B2)</f>
        <v>175.88285714285718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2600.2500000000055</v>
      </c>
      <c r="H135" s="99">
        <f>G135+'10'!H135</f>
        <v>26056.470000000008</v>
      </c>
      <c r="I135" s="327">
        <f>G135-(G35+G49)</f>
        <v>-397.46999999999571</v>
      </c>
      <c r="J135" s="328"/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'20'!F138</f>
        <v>868082</v>
      </c>
      <c r="F138" s="147">
        <v>868188</v>
      </c>
      <c r="G138" s="112">
        <f t="shared" ref="G138:G152" si="11">F138-E138</f>
        <v>106</v>
      </c>
      <c r="H138" s="99">
        <f>G138+'20'!H138</f>
        <v>2015</v>
      </c>
      <c r="I138" s="118"/>
      <c r="J138" s="328">
        <f>H138/DAY(B2)</f>
        <v>95.952380952380949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'20'!F139</f>
        <v>886682</v>
      </c>
      <c r="F139" s="148">
        <v>886683</v>
      </c>
      <c r="G139" s="112">
        <f t="shared" si="11"/>
        <v>1</v>
      </c>
      <c r="H139" s="99">
        <f>G139+'20'!H139</f>
        <v>110</v>
      </c>
      <c r="I139" s="118"/>
      <c r="J139" s="328">
        <f>H139/DAY(B2)</f>
        <v>5.2380952380952381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'20'!F140</f>
        <v>88949.7</v>
      </c>
      <c r="F140" s="149">
        <v>88950.71</v>
      </c>
      <c r="G140" s="112">
        <f t="shared" si="11"/>
        <v>1.0100000000093132</v>
      </c>
      <c r="H140" s="99">
        <f>G140+'20'!H140</f>
        <v>28.710000000006403</v>
      </c>
      <c r="I140" s="118"/>
      <c r="J140" s="328">
        <f>H140/DAY(B2)</f>
        <v>1.3671428571431621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'20'!F141</f>
        <v>58255.14</v>
      </c>
      <c r="F141" s="149">
        <v>58425.93</v>
      </c>
      <c r="G141" s="112">
        <f t="shared" si="11"/>
        <v>170.79000000000087</v>
      </c>
      <c r="H141" s="99">
        <f>G141+'20'!H141</f>
        <v>3740.3499999999985</v>
      </c>
      <c r="I141" s="118"/>
      <c r="J141" s="328">
        <f>H141/DAY(B2)</f>
        <v>178.1119047619047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'20'!F142</f>
        <v>22657.05</v>
      </c>
      <c r="F142" s="148">
        <v>22719.55</v>
      </c>
      <c r="G142" s="112">
        <f t="shared" si="11"/>
        <v>62.5</v>
      </c>
      <c r="H142" s="99">
        <f>G142+'20'!H142</f>
        <v>1435.4500000000007</v>
      </c>
      <c r="I142" s="140"/>
      <c r="J142" s="328">
        <f>H142/DAY(B2)</f>
        <v>68.354761904761943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'20'!F143</f>
        <v>4394.3100000000004</v>
      </c>
      <c r="F143" s="149">
        <v>4418.37</v>
      </c>
      <c r="G143" s="112">
        <f t="shared" si="11"/>
        <v>24.059999999999491</v>
      </c>
      <c r="H143" s="99">
        <f>G143+'20'!H143</f>
        <v>582.98</v>
      </c>
      <c r="I143" s="140"/>
      <c r="J143" s="328">
        <f>H143/DAY(B2)</f>
        <v>27.760952380952382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'20'!F144</f>
        <v>880710</v>
      </c>
      <c r="F144" s="147">
        <v>880903</v>
      </c>
      <c r="G144" s="112">
        <f t="shared" si="11"/>
        <v>193</v>
      </c>
      <c r="H144" s="99">
        <f>G144+'20'!H144</f>
        <v>4416</v>
      </c>
      <c r="I144" s="140"/>
      <c r="J144" s="328">
        <f>H144/DAY(B2)</f>
        <v>210.28571428571428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'20'!F145</f>
        <v>5222.34</v>
      </c>
      <c r="F145" s="147">
        <v>5236.8500000000004</v>
      </c>
      <c r="G145" s="112">
        <f t="shared" si="11"/>
        <v>14.510000000000218</v>
      </c>
      <c r="H145" s="99">
        <f>G145+'20'!H145</f>
        <v>278.01000000000022</v>
      </c>
      <c r="I145" s="140"/>
      <c r="J145" s="328">
        <f>H145/DAY(B2)</f>
        <v>13.238571428571438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'20'!F146</f>
        <v>746090</v>
      </c>
      <c r="F146" s="148">
        <v>746606</v>
      </c>
      <c r="G146" s="112">
        <f t="shared" si="11"/>
        <v>516</v>
      </c>
      <c r="H146" s="99">
        <f>G146+'20'!H146</f>
        <v>9273</v>
      </c>
      <c r="I146" s="140"/>
      <c r="J146" s="328">
        <f>H146/DAY(B2)</f>
        <v>441.57142857142856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'20'!F147</f>
        <v>634608.12</v>
      </c>
      <c r="F147" s="148">
        <v>634981.04</v>
      </c>
      <c r="G147" s="112">
        <f t="shared" si="11"/>
        <v>372.92000000004191</v>
      </c>
      <c r="H147" s="99">
        <f>G147+'20'!H147</f>
        <v>8368.5200000000186</v>
      </c>
      <c r="I147" s="140"/>
      <c r="J147" s="328">
        <f>H147/DAY(B2)</f>
        <v>398.50095238095327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'20'!F148</f>
        <v>695546.8</v>
      </c>
      <c r="F148" s="150">
        <v>695862</v>
      </c>
      <c r="G148" s="112">
        <f t="shared" si="11"/>
        <v>315.19999999995343</v>
      </c>
      <c r="H148" s="99">
        <f>G148+'20'!H148</f>
        <v>6419.0400000000373</v>
      </c>
      <c r="I148" s="124"/>
      <c r="J148" s="328">
        <f>H148/DAY(B2)</f>
        <v>305.66857142857322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'20'!F149</f>
        <v>36553.33</v>
      </c>
      <c r="F149" s="146">
        <v>37194.99</v>
      </c>
      <c r="G149" s="112">
        <f t="shared" si="11"/>
        <v>641.65999999999622</v>
      </c>
      <c r="H149" s="99">
        <f>G149+'20'!H149</f>
        <v>12516.789999999997</v>
      </c>
      <c r="I149" s="119"/>
      <c r="J149" s="328">
        <f>H149/DAY(B2)</f>
        <v>596.03761904761893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'20'!F150</f>
        <v>15371.77</v>
      </c>
      <c r="F150" s="233">
        <v>15608</v>
      </c>
      <c r="G150" s="112">
        <f t="shared" si="11"/>
        <v>236.22999999999956</v>
      </c>
      <c r="H150" s="99">
        <f>G150+'20'!H150</f>
        <v>4757.17</v>
      </c>
      <c r="I150" s="119"/>
      <c r="J150" s="328">
        <f>H150/DAY(B2)</f>
        <v>226.53190476190477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'20'!F151</f>
        <v>90387</v>
      </c>
      <c r="F151" s="152">
        <v>90634</v>
      </c>
      <c r="G151" s="112">
        <f t="shared" si="11"/>
        <v>247</v>
      </c>
      <c r="H151" s="99">
        <f>G151+'20'!H151</f>
        <v>5154</v>
      </c>
      <c r="I151" s="119"/>
      <c r="J151" s="328">
        <f>H151/DAY(B2)</f>
        <v>245.42857142857142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'20'!F152</f>
        <v>3118.03</v>
      </c>
      <c r="F152" s="233">
        <v>3247.87</v>
      </c>
      <c r="G152" s="112">
        <f t="shared" si="11"/>
        <v>129.83999999999969</v>
      </c>
      <c r="H152" s="99">
        <f>G152+'20'!H152</f>
        <v>1587.87</v>
      </c>
      <c r="I152" s="119"/>
      <c r="J152" s="328">
        <f>H152/DAY(B2)</f>
        <v>75.612857142857138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3031.7200000000007</v>
      </c>
      <c r="H153" s="363"/>
      <c r="I153" s="119">
        <f>G153-(G38+G52)</f>
        <v>930.8800000000042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'20'!F155</f>
        <v>46299.85</v>
      </c>
      <c r="F155" s="374">
        <v>47014.33</v>
      </c>
      <c r="G155" s="112">
        <f t="shared" ref="G155:G158" si="12">F155-E155</f>
        <v>714.4800000000032</v>
      </c>
      <c r="H155" s="99">
        <f>G155+'20'!H155</f>
        <v>14069.330000000002</v>
      </c>
      <c r="I155" s="364"/>
      <c r="J155" s="328">
        <f>H155/DAY(B2)</f>
        <v>669.96809523809532</v>
      </c>
    </row>
    <row r="156" spans="1:10" ht="27.75" x14ac:dyDescent="0.5">
      <c r="A156" s="851" t="s">
        <v>347</v>
      </c>
      <c r="B156" s="851"/>
      <c r="C156" s="851"/>
      <c r="D156" s="117" t="s">
        <v>130</v>
      </c>
      <c r="E156" s="95">
        <f>'20'!F156</f>
        <v>3821.72</v>
      </c>
      <c r="F156" s="155">
        <v>3877.5</v>
      </c>
      <c r="G156" s="112">
        <f t="shared" si="12"/>
        <v>55.7800000000002</v>
      </c>
      <c r="H156" s="99">
        <f>G156+'20'!H156</f>
        <v>1089.5</v>
      </c>
      <c r="I156" s="165"/>
      <c r="J156" s="328">
        <f>H156/DAY(B2)</f>
        <v>51.88095238095238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>
        <f>'20'!F157</f>
        <v>6307.19</v>
      </c>
      <c r="F157" s="155">
        <v>6423.15</v>
      </c>
      <c r="G157" s="112">
        <f t="shared" si="12"/>
        <v>115.96000000000004</v>
      </c>
      <c r="H157" s="99">
        <f>G157+'20'!H157</f>
        <v>231.6899999999996</v>
      </c>
      <c r="I157" s="165"/>
      <c r="J157" s="328">
        <f>H157/DAY(B2)</f>
        <v>11.032857142857123</v>
      </c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>
        <f>'20'!F158</f>
        <v>74.2</v>
      </c>
      <c r="F158" s="155">
        <v>74.31</v>
      </c>
      <c r="G158" s="112">
        <f t="shared" si="12"/>
        <v>0.10999999999999943</v>
      </c>
      <c r="H158" s="99">
        <f>G158+'20'!H158</f>
        <v>0.14000000000000057</v>
      </c>
      <c r="I158" s="165"/>
      <c r="J158" s="328">
        <f>H158/DAY(B2)</f>
        <v>6.666666666666694E-3</v>
      </c>
    </row>
    <row r="159" spans="1:10" ht="27.75" x14ac:dyDescent="0.5">
      <c r="A159" s="935"/>
      <c r="B159" s="936"/>
      <c r="C159" s="93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472653.48</v>
      </c>
      <c r="F161" s="235">
        <v>472667.4</v>
      </c>
      <c r="G161" s="238">
        <f t="shared" ref="G161:G165" si="13">F161-E161</f>
        <v>13.92000000004191</v>
      </c>
      <c r="H161" s="99">
        <f>G161+'20'!H161</f>
        <v>613.84000000002561</v>
      </c>
      <c r="I161" s="236"/>
      <c r="J161" s="239">
        <f>H161/DAY(B2)</f>
        <v>29.230476190477411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89248.7</v>
      </c>
      <c r="F162" s="235">
        <v>89286.399999999994</v>
      </c>
      <c r="G162" s="238">
        <f t="shared" si="13"/>
        <v>37.69999999999709</v>
      </c>
      <c r="H162" s="99">
        <f>G162+'20'!H162</f>
        <v>770</v>
      </c>
      <c r="I162" s="236"/>
      <c r="J162" s="239">
        <f>H162/DAY(B2)</f>
        <v>36.666666666666664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80608.3</v>
      </c>
      <c r="F163" s="633">
        <v>80651.600000000006</v>
      </c>
      <c r="G163" s="238">
        <f t="shared" si="13"/>
        <v>43.30000000000291</v>
      </c>
      <c r="H163" s="99">
        <f>G163+'20'!H163</f>
        <v>1431.5</v>
      </c>
      <c r="I163" s="236"/>
      <c r="J163" s="239">
        <f>H163/DAY(B2)</f>
        <v>68.166666666666671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4350.7</v>
      </c>
      <c r="F164" s="633">
        <v>4353.3</v>
      </c>
      <c r="G164" s="238">
        <f t="shared" si="13"/>
        <v>2.6000000000003638</v>
      </c>
      <c r="H164" s="99">
        <f>G164+'20'!H164</f>
        <v>33.300000000000182</v>
      </c>
      <c r="I164" s="236"/>
      <c r="J164" s="239">
        <f>H164/DAY(B2)</f>
        <v>1.5857142857142943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30024.38</v>
      </c>
      <c r="F165" s="235">
        <v>30034.639999999999</v>
      </c>
      <c r="G165" s="238">
        <f t="shared" si="13"/>
        <v>10.259999999998399</v>
      </c>
      <c r="H165" s="99">
        <f>G165+'20'!H165</f>
        <v>177.38999999999942</v>
      </c>
      <c r="I165" s="236"/>
      <c r="J165" s="239">
        <f>H165/DAY(B2)</f>
        <v>8.4471428571428291</v>
      </c>
    </row>
    <row r="166" spans="1:10" ht="29.25" x14ac:dyDescent="0.5">
      <c r="A166" s="860"/>
      <c r="B166" s="860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'20'!F173</f>
        <v>8183</v>
      </c>
      <c r="F173" s="155">
        <v>8183</v>
      </c>
      <c r="G173" s="155">
        <f>F173-E173</f>
        <v>0</v>
      </c>
      <c r="H173" s="99">
        <f>G173+'20'!H173</f>
        <v>57</v>
      </c>
      <c r="I173" s="155"/>
      <c r="J173" s="178">
        <f>H173/DAY(B2)</f>
        <v>2.7142857142857144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'20'!F174</f>
        <v>38896</v>
      </c>
      <c r="F174" s="157">
        <v>38911</v>
      </c>
      <c r="G174" s="155">
        <f t="shared" ref="G174:G175" si="14">F174-E174</f>
        <v>15</v>
      </c>
      <c r="H174" s="99">
        <f>G174+'20'!H174</f>
        <v>296</v>
      </c>
      <c r="I174" s="155"/>
      <c r="J174" s="178">
        <f>H174/DAY(B2)</f>
        <v>14.095238095238095</v>
      </c>
    </row>
    <row r="175" spans="1:10" ht="27.75" x14ac:dyDescent="0.5">
      <c r="A175" s="864" t="s">
        <v>76</v>
      </c>
      <c r="B175" s="904"/>
      <c r="C175" s="865"/>
      <c r="D175" s="228" t="s">
        <v>142</v>
      </c>
      <c r="E175" s="95">
        <f>'20'!F175</f>
        <v>22045</v>
      </c>
      <c r="F175" s="155">
        <v>22061</v>
      </c>
      <c r="G175" s="155">
        <f t="shared" si="14"/>
        <v>16</v>
      </c>
      <c r="H175" s="99">
        <f>G175+'20'!H175</f>
        <v>248</v>
      </c>
      <c r="I175" s="155"/>
      <c r="J175" s="178">
        <f>H175/DAY(B2)</f>
        <v>11.80952380952381</v>
      </c>
    </row>
    <row r="176" spans="1:10" ht="27.75" x14ac:dyDescent="0.5">
      <c r="A176" s="855" t="s">
        <v>196</v>
      </c>
      <c r="B176" s="856"/>
      <c r="C176" s="483"/>
      <c r="D176" s="228" t="s">
        <v>142</v>
      </c>
      <c r="E176" s="95"/>
      <c r="F176" s="155"/>
      <c r="G176" s="155">
        <f>SUM(G173:G175)</f>
        <v>31</v>
      </c>
      <c r="H176" s="99">
        <f>G176+'20'!H176</f>
        <v>601</v>
      </c>
      <c r="I176" s="155"/>
      <c r="J176" s="178">
        <f>H176/DAY(B2)</f>
        <v>28.61904761904762</v>
      </c>
    </row>
    <row r="177" spans="1:10" ht="27.75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864" t="s">
        <v>210</v>
      </c>
      <c r="B178" s="865"/>
      <c r="C178" s="333"/>
      <c r="D178" s="228" t="s">
        <v>142</v>
      </c>
      <c r="E178" s="95">
        <f>'20'!F178</f>
        <v>82441</v>
      </c>
      <c r="F178" s="155">
        <v>82509</v>
      </c>
      <c r="G178" s="155">
        <f>F178-E178</f>
        <v>68</v>
      </c>
      <c r="H178" s="99">
        <f>G178+'20'!H178</f>
        <v>1194</v>
      </c>
      <c r="I178" s="155"/>
      <c r="J178" s="178">
        <f>H178/DAY(B2)</f>
        <v>56.857142857142854</v>
      </c>
    </row>
    <row r="179" spans="1:10" ht="27.75" x14ac:dyDescent="0.5">
      <c r="A179" s="864" t="s">
        <v>211</v>
      </c>
      <c r="B179" s="865"/>
      <c r="C179" s="333"/>
      <c r="D179" s="228" t="s">
        <v>142</v>
      </c>
      <c r="E179" s="95">
        <f>'20'!F179</f>
        <v>35296</v>
      </c>
      <c r="F179" s="155">
        <v>35296</v>
      </c>
      <c r="G179" s="155">
        <f t="shared" ref="G179:G180" si="15">F179-E179</f>
        <v>0</v>
      </c>
      <c r="H179" s="99">
        <f>G179+'20'!H179</f>
        <v>493</v>
      </c>
      <c r="I179" s="155"/>
      <c r="J179" s="178">
        <f>H179/DAY(B2)</f>
        <v>23.476190476190474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'20'!F180</f>
        <v>5813</v>
      </c>
      <c r="F180" s="155">
        <v>5828</v>
      </c>
      <c r="G180" s="155">
        <f t="shared" si="15"/>
        <v>15</v>
      </c>
      <c r="H180" s="99">
        <f>G180+'20'!H180</f>
        <v>126</v>
      </c>
      <c r="I180" s="155"/>
      <c r="J180" s="178">
        <f>H180/DAY(B2)</f>
        <v>6</v>
      </c>
    </row>
    <row r="181" spans="1:10" ht="27.75" x14ac:dyDescent="0.5">
      <c r="A181" s="866" t="s">
        <v>108</v>
      </c>
      <c r="B181" s="867"/>
      <c r="C181" s="483"/>
      <c r="D181" s="228" t="s">
        <v>142</v>
      </c>
      <c r="E181" s="95"/>
      <c r="F181" s="155"/>
      <c r="G181" s="155">
        <f>SUM(G178:G180)</f>
        <v>83</v>
      </c>
      <c r="H181" s="99">
        <f>G181+'20'!H181</f>
        <v>1813</v>
      </c>
      <c r="I181" s="155"/>
      <c r="J181" s="178">
        <f>H181/DAY(B2)</f>
        <v>86.333333333333329</v>
      </c>
    </row>
    <row r="182" spans="1:10" ht="27.75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'20'!F183</f>
        <v>15658</v>
      </c>
      <c r="F183" s="157">
        <v>15666</v>
      </c>
      <c r="G183" s="157">
        <f>F183-E183</f>
        <v>8</v>
      </c>
      <c r="H183" s="99">
        <f>G183+'20'!H183</f>
        <v>321</v>
      </c>
      <c r="I183" s="155"/>
      <c r="J183" s="178">
        <f>H183/DAY(B2)</f>
        <v>15.285714285714286</v>
      </c>
    </row>
    <row r="184" spans="1:10" ht="27.75" x14ac:dyDescent="0.5">
      <c r="A184" s="864" t="s">
        <v>215</v>
      </c>
      <c r="B184" s="865"/>
      <c r="C184" s="334"/>
      <c r="D184" s="228" t="s">
        <v>142</v>
      </c>
      <c r="E184" s="95">
        <f>'20'!F184</f>
        <v>10738</v>
      </c>
      <c r="F184" s="157">
        <v>10745</v>
      </c>
      <c r="G184" s="157">
        <f t="shared" ref="G184:G185" si="16">F184-E184</f>
        <v>7</v>
      </c>
      <c r="H184" s="99">
        <f>G184+'20'!H184</f>
        <v>227</v>
      </c>
      <c r="I184" s="155"/>
      <c r="J184" s="178">
        <f>H184/DAY(B2)</f>
        <v>10.80952380952381</v>
      </c>
    </row>
    <row r="185" spans="1:10" ht="32.25" customHeight="1" x14ac:dyDescent="0.5">
      <c r="A185" s="864" t="s">
        <v>216</v>
      </c>
      <c r="B185" s="865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855" t="s">
        <v>196</v>
      </c>
      <c r="B186" s="856"/>
      <c r="C186" s="482"/>
      <c r="D186" s="228" t="s">
        <v>142</v>
      </c>
      <c r="E186" s="95"/>
      <c r="F186" s="157"/>
      <c r="G186" s="157">
        <f>SUM(G183:G185)</f>
        <v>15</v>
      </c>
      <c r="H186" s="99">
        <f>G186+'20'!H186</f>
        <v>548</v>
      </c>
      <c r="I186" s="157"/>
      <c r="J186" s="178">
        <f>H186/DAY(B2)</f>
        <v>26.095238095238095</v>
      </c>
    </row>
    <row r="187" spans="1:10" ht="27.75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460">
        <f>G62+G19</f>
        <v>195</v>
      </c>
      <c r="H187" s="99">
        <f>G187+'20'!H187</f>
        <v>4089</v>
      </c>
      <c r="I187" s="158"/>
      <c r="J187" s="179">
        <f>H187/DAY(B2)</f>
        <v>194.71428571428572</v>
      </c>
    </row>
    <row r="188" spans="1:10" ht="27.75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218</v>
      </c>
      <c r="H188" s="99">
        <f>G188+'20'!H188</f>
        <v>1599</v>
      </c>
      <c r="I188" s="158"/>
      <c r="J188" s="179">
        <f>H188/DAY(B2)</f>
        <v>76.142857142857139</v>
      </c>
    </row>
    <row r="189" spans="1:10" ht="21" customHeight="1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457">
        <f>G181</f>
        <v>83</v>
      </c>
      <c r="H189" s="99">
        <f>G189+'20'!H189</f>
        <v>204</v>
      </c>
      <c r="I189" s="158"/>
      <c r="J189" s="179">
        <f>H189/DAY(B2)</f>
        <v>9.7142857142857135</v>
      </c>
    </row>
    <row r="190" spans="1:10" ht="27.75" x14ac:dyDescent="0.5">
      <c r="A190" s="778"/>
      <c r="B190" s="779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15" zoomScale="50" zoomScaleNormal="71" zoomScaleSheetLayoutView="50" workbookViewId="0">
      <selection activeCell="G144" sqref="G14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356</v>
      </c>
      <c r="B2" s="262">
        <v>44614</v>
      </c>
      <c r="C2" s="34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76953.399999999994</v>
      </c>
      <c r="F7" s="95">
        <v>97588.4</v>
      </c>
      <c r="G7" s="112">
        <f>F7-E7</f>
        <v>20635</v>
      </c>
      <c r="H7" s="99">
        <f>G7+'21'!H7</f>
        <v>446467.17000000004</v>
      </c>
      <c r="I7" s="113">
        <f>'1'!I7</f>
        <v>12000</v>
      </c>
      <c r="J7" s="175">
        <f>H7/DAY(B2)</f>
        <v>20293.962272727276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136977.47</v>
      </c>
      <c r="F8" s="95">
        <v>157715.15</v>
      </c>
      <c r="G8" s="115">
        <f>F8-E8</f>
        <v>20737.679999999993</v>
      </c>
      <c r="H8" s="99">
        <f>G8+'21'!H8</f>
        <v>449193.59999999992</v>
      </c>
      <c r="I8" s="116"/>
      <c r="J8" s="175">
        <f>H8/DAY(B2)</f>
        <v>20417.890909090904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617891.23</v>
      </c>
      <c r="F9" s="598">
        <v>635318.47</v>
      </c>
      <c r="G9" s="112">
        <f>F9-E9</f>
        <v>17427.239999999991</v>
      </c>
      <c r="H9" s="99">
        <f>G9+'21'!H9</f>
        <v>353064.62</v>
      </c>
      <c r="I9" s="124">
        <f>I7-J7</f>
        <v>-8293.9622727272763</v>
      </c>
      <c r="J9" s="175">
        <f>H9/DAY(B2)</f>
        <v>16048.391818181817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183367.67</v>
      </c>
      <c r="F10" s="353">
        <v>185974.93</v>
      </c>
      <c r="G10" s="112">
        <f t="shared" ref="G10:G12" si="0">F10-E10</f>
        <v>2607.2599999999802</v>
      </c>
      <c r="H10" s="99">
        <f>G10+'21'!H10</f>
        <v>80715.959999999992</v>
      </c>
      <c r="I10" s="282"/>
      <c r="J10" s="175">
        <f>H10/DAY(B2)</f>
        <v>3668.9072727272724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37170</v>
      </c>
      <c r="F11" s="95">
        <v>37170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20034.499999999971</v>
      </c>
      <c r="H13" s="99">
        <f>G13+'21'!H13</f>
        <v>417026.14999999991</v>
      </c>
      <c r="I13" s="120">
        <f>G7-G13</f>
        <v>600.5000000000291</v>
      </c>
      <c r="J13" s="175">
        <f>H13/DAY(B2)</f>
        <v>18955.734090909085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'21'!F15</f>
        <v>1929126.91</v>
      </c>
      <c r="F15" s="123">
        <v>1930237.8</v>
      </c>
      <c r="G15" s="112">
        <f>(F15-E15)</f>
        <v>1110.8900000001304</v>
      </c>
      <c r="H15" s="99">
        <f>G15+'21'!H15</f>
        <v>23601.033000000054</v>
      </c>
      <c r="I15" s="113">
        <f>'1'!I15</f>
        <v>800</v>
      </c>
      <c r="J15" s="175">
        <f>H15/DAY(B2)</f>
        <v>1072.7742272727298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-272.77422727272983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'21'!F18</f>
        <v>21</v>
      </c>
      <c r="F18" s="122">
        <v>19</v>
      </c>
      <c r="G18" s="119">
        <f>F18*10</f>
        <v>190</v>
      </c>
      <c r="H18" s="99">
        <f>G18+'21'!H18</f>
        <v>5020</v>
      </c>
      <c r="I18" s="113">
        <f>'1'!I18</f>
        <v>65</v>
      </c>
      <c r="J18" s="175">
        <f>H18/DAY(B2)</f>
        <v>228.18181818181819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'21'!F19</f>
        <v>155007</v>
      </c>
      <c r="F19" s="122">
        <v>155060</v>
      </c>
      <c r="G19" s="112">
        <f t="shared" ref="G19" si="1">F19-E19</f>
        <v>53</v>
      </c>
      <c r="H19" s="99">
        <f>G19+'21'!H19</f>
        <v>1169</v>
      </c>
      <c r="I19" s="335"/>
      <c r="J19" s="175">
        <f>H19/DAY(B2)</f>
        <v>53.136363636363633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243</v>
      </c>
      <c r="H20" s="99">
        <f>G20+'21'!H20</f>
        <v>6189</v>
      </c>
      <c r="I20" s="336">
        <f>I18-J20</f>
        <v>-216.31818181818181</v>
      </c>
      <c r="J20" s="175">
        <f>H20/DAY(B2)</f>
        <v>281.31818181818181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20737.679999999993</v>
      </c>
      <c r="F27" s="136">
        <v>9</v>
      </c>
      <c r="G27" s="137">
        <f>E27*F27</f>
        <v>186639.11999999994</v>
      </c>
      <c r="H27" s="99">
        <f>G27+'21'!H27</f>
        <v>4042742.4000000004</v>
      </c>
      <c r="I27" s="138"/>
      <c r="J27" s="175">
        <f>H27/DAY(B2)</f>
        <v>183761.01818181819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1110.8900000001304</v>
      </c>
      <c r="F28" s="136">
        <v>52</v>
      </c>
      <c r="G28" s="137">
        <f>E28*F28</f>
        <v>57766.28000000678</v>
      </c>
      <c r="H28" s="99">
        <f>G28+'21'!H28</f>
        <v>1290181.7160000028</v>
      </c>
      <c r="I28" s="140"/>
      <c r="J28" s="175">
        <f>H28/DAY(B2)</f>
        <v>58644.623454545581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G30+'21'!H30</f>
        <v>171529</v>
      </c>
      <c r="I30" s="140"/>
      <c r="J30" s="175">
        <f>H30/DAY(B2)</f>
        <v>7796.772727272727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G31+'21'!H31</f>
        <v>401600</v>
      </c>
      <c r="I31" s="140"/>
      <c r="J31" s="175">
        <f>H31/DAY(B2)</f>
        <v>18254.545454545456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267343.40000000672</v>
      </c>
      <c r="H32" s="99">
        <f>G32+'21'!H32</f>
        <v>5906053.1160000032</v>
      </c>
      <c r="I32" s="144"/>
      <c r="J32" s="175">
        <f>H32/DAY(B2)</f>
        <v>268456.95981818199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63746.75</v>
      </c>
      <c r="F35" s="502">
        <v>65198.59</v>
      </c>
      <c r="G35" s="112">
        <f t="shared" ref="G35:G46" si="3">F35-E35</f>
        <v>1451.8399999999965</v>
      </c>
      <c r="H35" s="99">
        <f>G35+'21'!H35</f>
        <v>33193.61</v>
      </c>
      <c r="I35" s="95"/>
      <c r="J35" s="175">
        <f>H35/DAY(B2)</f>
        <v>1508.8004545454546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63279.43</v>
      </c>
      <c r="F36" s="145">
        <v>64399.4</v>
      </c>
      <c r="G36" s="112">
        <f t="shared" si="3"/>
        <v>1119.9700000000012</v>
      </c>
      <c r="H36" s="99">
        <f>G36+'21'!H36</f>
        <v>20940.660000000003</v>
      </c>
      <c r="I36" s="95"/>
      <c r="J36" s="175">
        <f>H36/DAY(B2)</f>
        <v>951.84818181818196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70666.19</v>
      </c>
      <c r="F37" s="502">
        <v>72295.27</v>
      </c>
      <c r="G37" s="112">
        <f t="shared" si="3"/>
        <v>1629.0800000000017</v>
      </c>
      <c r="H37" s="99">
        <f>G37+'21'!H37</f>
        <v>36870.180000000008</v>
      </c>
      <c r="I37" s="95"/>
      <c r="J37" s="175">
        <f>H37/DAY(B2)</f>
        <v>1675.917272727273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79893.429999999993</v>
      </c>
      <c r="F38" s="108">
        <v>82060.97</v>
      </c>
      <c r="G38" s="112">
        <f t="shared" si="3"/>
        <v>2167.5400000000081</v>
      </c>
      <c r="H38" s="99">
        <f>G38+'21'!H38</f>
        <v>43684.54</v>
      </c>
      <c r="I38" s="95"/>
      <c r="J38" s="175">
        <f>H38/DAY(B2)</f>
        <v>1985.6609090909092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121850.5</v>
      </c>
      <c r="F39" s="502">
        <v>124943.96</v>
      </c>
      <c r="G39" s="112">
        <f t="shared" si="3"/>
        <v>3093.4600000000064</v>
      </c>
      <c r="H39" s="99">
        <f>G39+'21'!H39</f>
        <v>65770.670000000013</v>
      </c>
      <c r="I39" s="95"/>
      <c r="J39" s="175">
        <f>H39/DAY(B2)</f>
        <v>2989.5759090909096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30274.87</v>
      </c>
      <c r="F40" s="145">
        <v>30969.3</v>
      </c>
      <c r="G40" s="112">
        <f t="shared" si="3"/>
        <v>694.43000000000029</v>
      </c>
      <c r="H40" s="99">
        <f>G40+'21'!H40</f>
        <v>8852.3099999999977</v>
      </c>
      <c r="I40" s="95"/>
      <c r="J40" s="175">
        <f>H40/DAY(B2)</f>
        <v>402.37772727272716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63</v>
      </c>
      <c r="F41" s="145">
        <v>63</v>
      </c>
      <c r="G41" s="112">
        <f t="shared" si="3"/>
        <v>0</v>
      </c>
      <c r="H41" s="99">
        <f>G41+'21'!H41</f>
        <v>0.27000000000000313</v>
      </c>
      <c r="I41" s="95"/>
      <c r="J41" s="175">
        <f>H41/DAY(B2)</f>
        <v>1.2272727272727414E-2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171530.15</v>
      </c>
      <c r="F42" s="145">
        <v>175968.57</v>
      </c>
      <c r="G42" s="112">
        <f t="shared" si="3"/>
        <v>4438.4200000000128</v>
      </c>
      <c r="H42" s="99">
        <f>G42+'21'!H42</f>
        <v>75838.83</v>
      </c>
      <c r="I42" s="95"/>
      <c r="J42" s="175">
        <f>H42/DAY(B2)</f>
        <v>3447.2195454545454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159503.35999999999</v>
      </c>
      <c r="F43" s="145">
        <v>161594.81</v>
      </c>
      <c r="G43" s="112">
        <f t="shared" si="3"/>
        <v>2091.4500000000116</v>
      </c>
      <c r="H43" s="99">
        <f>G43+'21'!H43</f>
        <v>46743.209999999992</v>
      </c>
      <c r="I43" s="95"/>
      <c r="J43" s="175">
        <f>H43/DAY(B2)</f>
        <v>2124.6913636363633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16686.190000000039</v>
      </c>
      <c r="H47" s="99">
        <f>G47+'21'!H47</f>
        <v>331894.28000000009</v>
      </c>
      <c r="I47" s="95"/>
      <c r="J47" s="175">
        <f>H47/DAY(B2)</f>
        <v>15086.103636363639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54002.41</v>
      </c>
      <c r="F49" s="145">
        <v>55461.35</v>
      </c>
      <c r="G49" s="112">
        <f t="shared" ref="G49:G58" si="4">F49-E49</f>
        <v>1458.9399999999951</v>
      </c>
      <c r="H49" s="99">
        <f>G49+'21'!H49</f>
        <v>30465.16</v>
      </c>
      <c r="I49" s="95"/>
      <c r="J49" s="175">
        <f>H49/DAY(B2)</f>
        <v>1384.78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82332.490000000005</v>
      </c>
      <c r="F50" s="145">
        <v>83406.16</v>
      </c>
      <c r="G50" s="112">
        <f t="shared" si="4"/>
        <v>1073.6699999999983</v>
      </c>
      <c r="H50" s="99">
        <f>G50+'21'!H50</f>
        <v>27019.530000000006</v>
      </c>
      <c r="I50" s="95"/>
      <c r="J50" s="175">
        <f>H50/DAY(B2)</f>
        <v>1228.1604545454547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15547.62</v>
      </c>
      <c r="F54" s="145">
        <v>16088.84</v>
      </c>
      <c r="G54" s="112">
        <f t="shared" si="4"/>
        <v>541.21999999999935</v>
      </c>
      <c r="H54" s="99">
        <f>G54+'21'!H54</f>
        <v>10941.42</v>
      </c>
      <c r="I54" s="95"/>
      <c r="J54" s="175">
        <f>H54/DAY(B2)</f>
        <v>497.3372727272727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90578.89</v>
      </c>
      <c r="F55" s="502">
        <v>90578.89</v>
      </c>
      <c r="G55" s="112">
        <f t="shared" si="4"/>
        <v>0</v>
      </c>
      <c r="H55" s="99">
        <f>G55+'21'!H55</f>
        <v>16212.779999999999</v>
      </c>
      <c r="I55" s="95"/>
      <c r="J55" s="175">
        <f>H55/DAY(B2)</f>
        <v>736.94454545454539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8723.6299999999992</v>
      </c>
      <c r="F56" s="502">
        <v>8723.6299999999992</v>
      </c>
      <c r="G56" s="112">
        <f>F56-E56</f>
        <v>0</v>
      </c>
      <c r="H56" s="99">
        <f>G56+'21'!H56</f>
        <v>113.08999999999833</v>
      </c>
      <c r="I56" s="95"/>
      <c r="J56" s="175">
        <f>H56/DAY(B2)</f>
        <v>5.1404545454544692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9348.35</v>
      </c>
      <c r="F58" s="145">
        <v>9588.42</v>
      </c>
      <c r="G58" s="112">
        <f t="shared" si="4"/>
        <v>240.06999999999971</v>
      </c>
      <c r="H58" s="99">
        <f>G58+'21'!H58</f>
        <v>4792.21</v>
      </c>
      <c r="I58" s="95"/>
      <c r="J58" s="175">
        <f>H58/DAY(B2)</f>
        <v>217.82772727272729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3313.8999999999924</v>
      </c>
      <c r="H59" s="99">
        <f>G59+'21'!H59</f>
        <v>89544.19</v>
      </c>
      <c r="I59" s="95">
        <f>G7-G60</f>
        <v>634.90999999996711</v>
      </c>
      <c r="J59" s="175">
        <f>H59/DAY(B2)</f>
        <v>4070.1904545454545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20000.090000000033</v>
      </c>
      <c r="H60" s="99">
        <f>G60+'21'!H60</f>
        <v>421438.47000000009</v>
      </c>
      <c r="I60" s="95">
        <f>G13-G60</f>
        <v>34.409999999938009</v>
      </c>
      <c r="J60" s="175">
        <f>H60/DAY(B2)</f>
        <v>19156.294090909094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'21'!F62</f>
        <v>272489</v>
      </c>
      <c r="F62" s="122">
        <v>272623</v>
      </c>
      <c r="G62" s="112">
        <f t="shared" ref="G62:G63" si="5">F62-E62</f>
        <v>134</v>
      </c>
      <c r="H62" s="99">
        <f>G62+'21'!H62</f>
        <v>3107</v>
      </c>
      <c r="I62" s="118"/>
      <c r="J62" s="175">
        <f>H62/DAY(B2)</f>
        <v>141.22727272727272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'21'!F63</f>
        <v>218498</v>
      </c>
      <c r="F63" s="122">
        <v>218635</v>
      </c>
      <c r="G63" s="112">
        <f t="shared" si="5"/>
        <v>137</v>
      </c>
      <c r="H63" s="99">
        <f>G63+'21'!H63</f>
        <v>2838</v>
      </c>
      <c r="I63" s="118"/>
      <c r="J63" s="175">
        <f>H63/DAY(B2)</f>
        <v>129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'21'!F64</f>
        <v>0</v>
      </c>
      <c r="F64" s="122"/>
      <c r="G64" s="112">
        <f>G62+G63</f>
        <v>271</v>
      </c>
      <c r="H64" s="99">
        <f>G64+'21'!H64</f>
        <v>5945</v>
      </c>
      <c r="I64" s="118"/>
      <c r="J64" s="175">
        <f>H64/DAY(B2)</f>
        <v>270.22727272727275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'21'!F65</f>
        <v>437069</v>
      </c>
      <c r="F65" s="122">
        <v>437178</v>
      </c>
      <c r="G65" s="112">
        <f t="shared" ref="G65:G70" si="6">F65-E65</f>
        <v>109</v>
      </c>
      <c r="H65" s="99">
        <f>G65+'21'!H65</f>
        <v>2255</v>
      </c>
      <c r="I65" s="118"/>
      <c r="J65" s="175">
        <f>H65/DAY(B2)</f>
        <v>102.5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'21'!F66</f>
        <v>108276</v>
      </c>
      <c r="F66" s="122">
        <v>108296</v>
      </c>
      <c r="G66" s="112">
        <f t="shared" si="6"/>
        <v>20</v>
      </c>
      <c r="H66" s="99">
        <f>G66+'21'!H66</f>
        <v>553</v>
      </c>
      <c r="I66" s="118"/>
      <c r="J66" s="175">
        <f>H66/DAY(B2)</f>
        <v>25.136363636363637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'21'!F67</f>
        <v>105753</v>
      </c>
      <c r="F67" s="122">
        <v>105825</v>
      </c>
      <c r="G67" s="112">
        <f t="shared" si="6"/>
        <v>72</v>
      </c>
      <c r="H67" s="99">
        <f>G67+'21'!H67</f>
        <v>1177</v>
      </c>
      <c r="I67" s="118"/>
      <c r="J67" s="175">
        <f>H67/DAY(B2)</f>
        <v>53.5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'21'!F68</f>
        <v>158606</v>
      </c>
      <c r="F68" s="122">
        <v>158652</v>
      </c>
      <c r="G68" s="112">
        <f t="shared" si="6"/>
        <v>46</v>
      </c>
      <c r="H68" s="99">
        <f>G68+'21'!H68</f>
        <v>955</v>
      </c>
      <c r="I68" s="118"/>
      <c r="J68" s="175">
        <f>H68/DAY(B2)</f>
        <v>43.409090909090907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'21'!F69</f>
        <v>10809</v>
      </c>
      <c r="F69" s="122">
        <v>10817</v>
      </c>
      <c r="G69" s="112">
        <f t="shared" si="6"/>
        <v>8</v>
      </c>
      <c r="H69" s="99">
        <f>G69+'21'!H69</f>
        <v>276</v>
      </c>
      <c r="I69" s="118"/>
      <c r="J69" s="175">
        <f>H69/DAY(B2)</f>
        <v>12.545454545454545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'21'!F70</f>
        <v>8367</v>
      </c>
      <c r="F70" s="122">
        <v>8384</v>
      </c>
      <c r="G70" s="112">
        <f t="shared" si="6"/>
        <v>17</v>
      </c>
      <c r="H70" s="99">
        <f>G70+'21'!H70</f>
        <v>264</v>
      </c>
      <c r="I70" s="118"/>
      <c r="J70" s="175">
        <f>H70/DAY(B2)</f>
        <v>12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272</v>
      </c>
      <c r="H71" s="99">
        <f>G71+'21'!H71</f>
        <v>5480</v>
      </c>
      <c r="I71" s="154"/>
      <c r="J71" s="175">
        <f>H71/DAY(B2)</f>
        <v>249.09090909090909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'21'!F74</f>
        <v>907629.42</v>
      </c>
      <c r="F74" s="123">
        <v>907927.78</v>
      </c>
      <c r="G74" s="112">
        <f t="shared" ref="G74:G78" si="7">F74-E74</f>
        <v>298.35999999998603</v>
      </c>
      <c r="H74" s="99">
        <f>G74+'21'!H74</f>
        <v>6621.6310000000522</v>
      </c>
      <c r="I74" s="154"/>
      <c r="J74" s="175">
        <f>H74/DAY(B2)</f>
        <v>300.98322727272966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'21'!F76</f>
        <v>172295.84</v>
      </c>
      <c r="F76" s="123">
        <v>172396</v>
      </c>
      <c r="G76" s="112">
        <f t="shared" si="7"/>
        <v>100.16000000000349</v>
      </c>
      <c r="H76" s="99">
        <f>G76+'21'!H76</f>
        <v>2421</v>
      </c>
      <c r="I76" s="154"/>
      <c r="J76" s="175">
        <f>H76/DAY(B2)</f>
        <v>110.04545454545455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'21'!F77</f>
        <v>42285.1</v>
      </c>
      <c r="F77" s="123">
        <v>42325.2</v>
      </c>
      <c r="G77" s="112">
        <f t="shared" si="7"/>
        <v>40.099999999998545</v>
      </c>
      <c r="H77" s="99">
        <f>G77+'21'!H77</f>
        <v>1023</v>
      </c>
      <c r="I77" s="154"/>
      <c r="J77" s="175">
        <f>H77/DAY(B2)</f>
        <v>46.5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'21'!F78</f>
        <v>9543</v>
      </c>
      <c r="F78" s="123">
        <v>9544.2999999999993</v>
      </c>
      <c r="G78" s="112">
        <f t="shared" si="7"/>
        <v>1.2999999999992724</v>
      </c>
      <c r="H78" s="99">
        <f>G78+'21'!H78</f>
        <v>31.299999999999272</v>
      </c>
      <c r="I78" s="118"/>
      <c r="J78" s="175">
        <f>H78/DAY(B2)</f>
        <v>1.4227272727272398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'21'!F79</f>
        <v>0</v>
      </c>
      <c r="F79" s="123"/>
      <c r="G79" s="112">
        <f>G15-SUM(G74:G78)</f>
        <v>670.97000000014305</v>
      </c>
      <c r="H79" s="99">
        <f>G79+'21'!H79</f>
        <v>13504.102000000003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1110.8900000001304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0.40000000000145519</v>
      </c>
      <c r="I84" s="118"/>
      <c r="J84" s="175">
        <f>H84/DAY(B2)</f>
        <v>1.8181818181884326E-2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'21'!F85</f>
        <v>2647.97</v>
      </c>
      <c r="F85" s="164">
        <v>2672.16</v>
      </c>
      <c r="G85" s="112">
        <f t="shared" si="8"/>
        <v>24.190000000000055</v>
      </c>
      <c r="H85" s="99">
        <f>G85+'21'!H85</f>
        <v>411.73999999999978</v>
      </c>
      <c r="I85" s="118">
        <f>G82+G83+G84+G85</f>
        <v>24.190000000000055</v>
      </c>
      <c r="J85" s="175">
        <f>H85/DAY(B2)</f>
        <v>18.715454545454534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'21'!F86</f>
        <v>43564</v>
      </c>
      <c r="F86" s="164">
        <v>43564</v>
      </c>
      <c r="G86" s="112">
        <f t="shared" si="8"/>
        <v>0</v>
      </c>
      <c r="H86" s="99">
        <f>G86+'21'!H86</f>
        <v>122</v>
      </c>
      <c r="I86" s="118"/>
      <c r="J86" s="175">
        <f>H86/DAY(B2)</f>
        <v>5.5454545454545459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5.0000000002910383E-2</v>
      </c>
      <c r="I87" s="118"/>
      <c r="J87" s="175">
        <f>H87/DAY(B2)</f>
        <v>2.2727272728595631E-3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'21'!F88</f>
        <v>24076.76</v>
      </c>
      <c r="F88" s="164">
        <v>24077.22</v>
      </c>
      <c r="G88" s="112">
        <f t="shared" si="8"/>
        <v>0.46000000000276486</v>
      </c>
      <c r="H88" s="99">
        <f>G88+'21'!H88</f>
        <v>13.790000000000873</v>
      </c>
      <c r="I88" s="118">
        <f>G86+G87+G88</f>
        <v>0.46000000000276486</v>
      </c>
      <c r="J88" s="175">
        <f>H88/DAY(B2)</f>
        <v>0.62681818181822146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'21'!F89</f>
        <v>26103.43</v>
      </c>
      <c r="F89" s="164">
        <v>26114.49</v>
      </c>
      <c r="G89" s="112">
        <f t="shared" si="8"/>
        <v>11.06000000000131</v>
      </c>
      <c r="H89" s="99">
        <f>G89+'21'!H89</f>
        <v>223.37000000000262</v>
      </c>
      <c r="I89" s="118"/>
      <c r="J89" s="175">
        <f>H89/DAY(B2)</f>
        <v>10.153181818181936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'21'!F90</f>
        <v>71261.23</v>
      </c>
      <c r="F90" s="164">
        <v>71268.05</v>
      </c>
      <c r="G90" s="112">
        <f t="shared" si="8"/>
        <v>6.8200000000069849</v>
      </c>
      <c r="H90" s="99">
        <f>G90+'21'!H90</f>
        <v>104.72999999999593</v>
      </c>
      <c r="I90" s="118">
        <f>G89+G90</f>
        <v>17.880000000008295</v>
      </c>
      <c r="J90" s="175">
        <f>H90/DAY(B2)</f>
        <v>4.7604545454543601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'21'!F91</f>
        <v>3486.48</v>
      </c>
      <c r="F91" s="122">
        <v>3497.48</v>
      </c>
      <c r="G91" s="112">
        <f t="shared" si="8"/>
        <v>11</v>
      </c>
      <c r="H91" s="99">
        <f>G91+'21'!H91</f>
        <v>246.38999999999987</v>
      </c>
      <c r="I91" s="165"/>
      <c r="J91" s="175">
        <f>H91/DAY(B2)</f>
        <v>11.199545454545449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'21'!F92</f>
        <v>5741</v>
      </c>
      <c r="F92" s="122">
        <v>5741</v>
      </c>
      <c r="G92" s="112">
        <f t="shared" si="8"/>
        <v>0</v>
      </c>
      <c r="H92" s="99">
        <f>G92+'21'!H92</f>
        <v>-6.9999999999708962E-2</v>
      </c>
      <c r="I92" s="165"/>
      <c r="J92" s="175">
        <f>H92/DAY(B2)</f>
        <v>-3.1818181818049529E-3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5002.2300000000032</v>
      </c>
      <c r="H94" s="99">
        <f>G94+'21'!H94</f>
        <v>110401.97999999998</v>
      </c>
      <c r="I94" s="118"/>
      <c r="J94" s="175">
        <f>H94/DAY(B2)</f>
        <v>5018.2718181818173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0.24241482917373411</v>
      </c>
      <c r="H95" s="99">
        <f>G95+'21'!H95</f>
        <v>5.444341316104488</v>
      </c>
      <c r="I95" s="167"/>
      <c r="J95" s="175">
        <f>H95/DAY(B2)</f>
        <v>0.24747005982293127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4438.4200000000128</v>
      </c>
      <c r="H96" s="99">
        <f>G96+'21'!H96</f>
        <v>92164.97</v>
      </c>
      <c r="I96" s="118"/>
      <c r="J96" s="175">
        <f>H96/DAY(B2)</f>
        <v>4189.3168181818182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0.21509183426217654</v>
      </c>
      <c r="H97" s="99">
        <f>G97+'21'!H97</f>
        <v>4.5319768357168417</v>
      </c>
      <c r="I97" s="167"/>
      <c r="J97" s="175">
        <f>H97/DAY(B2)</f>
        <v>0.20599894707803826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3093.4600000000064</v>
      </c>
      <c r="H98" s="99">
        <f>G98+'21'!H98</f>
        <v>65770.670000000013</v>
      </c>
      <c r="I98" s="168"/>
      <c r="J98" s="175">
        <f>H98/DAY(B2)</f>
        <v>2989.5759090909096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0.14991325417979193</v>
      </c>
      <c r="H99" s="99">
        <f>G99+'21'!H99</f>
        <v>3.2408493430533971</v>
      </c>
      <c r="I99" s="168"/>
      <c r="J99" s="175">
        <f>H99/DAY(B2)</f>
        <v>0.1473113337751544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2167.5400000000081</v>
      </c>
      <c r="H100" s="99">
        <f>G100+'21'!H100</f>
        <v>43684.54</v>
      </c>
      <c r="I100" s="118"/>
      <c r="J100" s="175">
        <f>H100/DAY(B2)</f>
        <v>1985.6609090909092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0.10504191906954244</v>
      </c>
      <c r="H101" s="99">
        <f>G101+'21'!H101</f>
        <v>2.1519809359095716</v>
      </c>
      <c r="I101" s="168"/>
      <c r="J101" s="175">
        <f>H101/DAY(B2)</f>
        <v>9.7817315268616895E-2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2193.6399999999994</v>
      </c>
      <c r="H102" s="99">
        <f>G102+'21'!H102</f>
        <v>47960.19000000001</v>
      </c>
      <c r="I102" s="168"/>
      <c r="J102" s="175">
        <f>H102/DAY(B2)</f>
        <v>2180.0086363636369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0.10630676035861397</v>
      </c>
      <c r="H103" s="99">
        <f>G103+'21'!H103</f>
        <v>2.3579219318635318</v>
      </c>
      <c r="I103" s="118"/>
      <c r="J103" s="175">
        <f>H103/DAY(B2)</f>
        <v>0.10717826963016054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1629.0800000000017</v>
      </c>
      <c r="H104" s="99">
        <f>G104+'21'!H104</f>
        <v>36870.180000000008</v>
      </c>
      <c r="I104" s="118"/>
      <c r="J104" s="175">
        <f>H104/DAY(B2)</f>
        <v>1675.917272727273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7.8947419433002264E-2</v>
      </c>
      <c r="H105" s="99">
        <f>G105+'21'!H105</f>
        <v>1.8195798764652797</v>
      </c>
      <c r="I105" s="187"/>
      <c r="J105" s="188">
        <f>H105/DAY(B2)</f>
        <v>8.2708176202967262E-2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'21'!F112</f>
        <v>59528.05</v>
      </c>
      <c r="F112" s="237">
        <v>59593.64</v>
      </c>
      <c r="G112" s="112">
        <f t="shared" ref="G112:G123" si="9">F112-E112</f>
        <v>65.589999999996508</v>
      </c>
      <c r="H112" s="99">
        <f>G112+'21'!H112</f>
        <v>1539.6399999999994</v>
      </c>
      <c r="I112" s="165"/>
      <c r="J112" s="328">
        <f>H112/DAY(B2)</f>
        <v>69.983636363636336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'21'!F113</f>
        <v>56265.97</v>
      </c>
      <c r="F113" s="237">
        <v>56729.52</v>
      </c>
      <c r="G113" s="112">
        <f t="shared" si="9"/>
        <v>463.54999999999563</v>
      </c>
      <c r="H113" s="99">
        <f>G113+'21'!H113</f>
        <v>10328.629999999997</v>
      </c>
      <c r="I113" s="165"/>
      <c r="J113" s="328">
        <f>H113/DAY(B2)</f>
        <v>469.48318181818172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'21'!F114</f>
        <v>39615</v>
      </c>
      <c r="F114" s="237">
        <v>39874.910000000003</v>
      </c>
      <c r="G114" s="112">
        <f t="shared" si="9"/>
        <v>259.91000000000349</v>
      </c>
      <c r="H114" s="99">
        <f>G114+'21'!H114</f>
        <v>6714.9100000000035</v>
      </c>
      <c r="I114" s="165"/>
      <c r="J114" s="328">
        <f>H114/DAY(B2)</f>
        <v>305.22318181818196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'21'!F115</f>
        <v>9345.32</v>
      </c>
      <c r="F115" s="237">
        <v>9357.36</v>
      </c>
      <c r="G115" s="112">
        <f t="shared" si="9"/>
        <v>12.040000000000873</v>
      </c>
      <c r="H115" s="99">
        <f>G115+'21'!H115</f>
        <v>262.71000000000095</v>
      </c>
      <c r="I115" s="165"/>
      <c r="J115" s="328">
        <f>H115/DAY(B2)</f>
        <v>11.941363636363679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'21'!F116</f>
        <v>6217.9</v>
      </c>
      <c r="F116" s="237">
        <v>6687.43</v>
      </c>
      <c r="G116" s="112">
        <f t="shared" si="9"/>
        <v>469.53000000000065</v>
      </c>
      <c r="H116" s="99">
        <f>G116+'21'!H116</f>
        <v>6687.43</v>
      </c>
      <c r="I116" s="165"/>
      <c r="J116" s="328">
        <f>H116/DAY(B2)</f>
        <v>303.97409090909093</v>
      </c>
      <c r="Q116" s="871"/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'21'!F117</f>
        <v>6606.78</v>
      </c>
      <c r="F117" s="237">
        <v>6770.42</v>
      </c>
      <c r="G117" s="112">
        <f t="shared" si="9"/>
        <v>163.64000000000033</v>
      </c>
      <c r="H117" s="99">
        <f>G117+'21'!H117</f>
        <v>3432.4700000000003</v>
      </c>
      <c r="I117" s="165"/>
      <c r="J117" s="328">
        <f>H117/DAY(B2)</f>
        <v>156.02136363636365</v>
      </c>
      <c r="Q117" s="871"/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'21'!F118</f>
        <v>260416.91</v>
      </c>
      <c r="F118" s="237">
        <v>260783.23</v>
      </c>
      <c r="G118" s="112">
        <f t="shared" si="9"/>
        <v>366.32000000000698</v>
      </c>
      <c r="H118" s="99">
        <f>G118+'21'!H118</f>
        <v>8330.9200000000128</v>
      </c>
      <c r="I118" s="165"/>
      <c r="J118" s="328">
        <f>H118/DAY(B2)</f>
        <v>378.6781818181824</v>
      </c>
      <c r="Q118" s="871"/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'21'!F119</f>
        <v>267069.45</v>
      </c>
      <c r="F119" s="237">
        <v>267510.83</v>
      </c>
      <c r="G119" s="112">
        <f t="shared" si="9"/>
        <v>441.38000000000466</v>
      </c>
      <c r="H119" s="99">
        <f>G119+'21'!H119</f>
        <v>9362.2800000000279</v>
      </c>
      <c r="I119" s="165"/>
      <c r="J119" s="328">
        <f>H119/DAY(B2)</f>
        <v>425.55818181818307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'21'!F120</f>
        <v>51932.75</v>
      </c>
      <c r="F120" s="237">
        <v>52364.85</v>
      </c>
      <c r="G120" s="112">
        <f t="shared" si="9"/>
        <v>432.09999999999854</v>
      </c>
      <c r="H120" s="99">
        <f>G120+'21'!H120</f>
        <v>9405.239999999998</v>
      </c>
      <c r="I120" s="165"/>
      <c r="J120" s="328">
        <f>H120/DAY(B2)</f>
        <v>427.51090909090902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'21'!F121</f>
        <v>413699.27</v>
      </c>
      <c r="F121" s="237">
        <v>414486.15</v>
      </c>
      <c r="G121" s="112">
        <f t="shared" si="9"/>
        <v>786.88000000000466</v>
      </c>
      <c r="H121" s="99">
        <f>G121+'21'!H121</f>
        <v>16451.72000000003</v>
      </c>
      <c r="I121" s="165"/>
      <c r="J121" s="328">
        <f>H121/DAY(B2)</f>
        <v>747.80545454545597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'21'!F122</f>
        <v>130858.79</v>
      </c>
      <c r="F122" s="237">
        <v>131091.07999999999</v>
      </c>
      <c r="G122" s="112">
        <f t="shared" si="9"/>
        <v>232.2899999999936</v>
      </c>
      <c r="H122" s="99">
        <f>G122+'21'!H122</f>
        <v>4904.8999999999942</v>
      </c>
      <c r="I122" s="165"/>
      <c r="J122" s="328">
        <f>H122/DAY(B2)</f>
        <v>222.94999999999973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'21'!F123</f>
        <v>159459.18</v>
      </c>
      <c r="F123" s="237">
        <v>159720.76</v>
      </c>
      <c r="G123" s="112">
        <f t="shared" si="9"/>
        <v>261.5800000000163</v>
      </c>
      <c r="H123" s="99">
        <f>G123+'21'!H123</f>
        <v>5673.8099999999977</v>
      </c>
      <c r="I123" s="165"/>
      <c r="J123" s="328">
        <f>H123/DAY(B2)</f>
        <v>257.90045454545447</v>
      </c>
    </row>
    <row r="124" spans="1:18" ht="29.25" customHeight="1" x14ac:dyDescent="0.5">
      <c r="A124" s="875"/>
      <c r="B124" s="876"/>
      <c r="C124" s="877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3954.8100000000222</v>
      </c>
      <c r="H125" s="156"/>
      <c r="I125" s="327">
        <f>G125-(G39+G53)</f>
        <v>861.35000000001583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'21'!F128</f>
        <v>54289.01</v>
      </c>
      <c r="F128" s="165">
        <v>54599.9</v>
      </c>
      <c r="G128" s="112">
        <f t="shared" ref="G128:G134" si="10">F128-E128</f>
        <v>310.88999999999942</v>
      </c>
      <c r="H128" s="99">
        <f>G128+'21'!H128</f>
        <v>6853.9000000000015</v>
      </c>
      <c r="I128" s="165"/>
      <c r="J128" s="328">
        <f>H128/DAY(B2)</f>
        <v>311.54090909090917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'21'!F129</f>
        <v>31696.400000000001</v>
      </c>
      <c r="F129" s="165">
        <v>31905.84</v>
      </c>
      <c r="G129" s="112">
        <f t="shared" si="10"/>
        <v>209.43999999999869</v>
      </c>
      <c r="H129" s="99">
        <f>G129+'21'!H129</f>
        <v>4994.9700000000012</v>
      </c>
      <c r="I129" s="165"/>
      <c r="J129" s="328">
        <f>H129/DAY(B2)</f>
        <v>227.04409090909095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'21'!F130</f>
        <v>48746.3</v>
      </c>
      <c r="F130" s="165">
        <v>49346.44</v>
      </c>
      <c r="G130" s="112">
        <f t="shared" si="10"/>
        <v>600.13999999999942</v>
      </c>
      <c r="H130" s="99">
        <f>G130+'21'!H130</f>
        <v>13652.440000000002</v>
      </c>
      <c r="I130" s="165"/>
      <c r="J130" s="328">
        <f>H130/DAY(B2)</f>
        <v>620.5654545454546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'21'!F131</f>
        <v>17701.29</v>
      </c>
      <c r="F131" s="165">
        <v>17853.68</v>
      </c>
      <c r="G131" s="112">
        <f t="shared" si="10"/>
        <v>152.38999999999942</v>
      </c>
      <c r="H131" s="99">
        <f>G131+'21'!H131</f>
        <v>2546</v>
      </c>
      <c r="I131" s="165"/>
      <c r="J131" s="328">
        <f>H131/DAY(B2)</f>
        <v>115.72727272727273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'21'!F132</f>
        <v>60167.99</v>
      </c>
      <c r="F132" s="165">
        <v>60592.47</v>
      </c>
      <c r="G132" s="112">
        <f t="shared" si="10"/>
        <v>424.4800000000032</v>
      </c>
      <c r="H132" s="99">
        <f>G132+'21'!H132</f>
        <v>8744.1699999999983</v>
      </c>
      <c r="I132" s="165"/>
      <c r="J132" s="328">
        <f>H132/DAY(B2)</f>
        <v>397.46227272727265</v>
      </c>
    </row>
    <row r="133" spans="1:15" ht="27.75" x14ac:dyDescent="0.5">
      <c r="A133" s="871" t="s">
        <v>362</v>
      </c>
      <c r="B133" s="872"/>
      <c r="C133" s="873"/>
      <c r="D133" s="151" t="s">
        <v>183</v>
      </c>
      <c r="E133" s="95">
        <f>'21'!F133</f>
        <v>118723.61</v>
      </c>
      <c r="F133" s="165">
        <v>119390.48</v>
      </c>
      <c r="G133" s="112">
        <f t="shared" si="10"/>
        <v>666.86999999999534</v>
      </c>
      <c r="H133" s="99">
        <f>G133+'21'!H133</f>
        <v>14046.779999999999</v>
      </c>
      <c r="I133" s="165"/>
      <c r="J133" s="328">
        <f>H133/DAY(B2)</f>
        <v>638.4899999999999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'21'!F134</f>
        <v>12294.77</v>
      </c>
      <c r="F134" s="165">
        <v>12447.11</v>
      </c>
      <c r="G134" s="112">
        <f t="shared" si="10"/>
        <v>152.34000000000015</v>
      </c>
      <c r="H134" s="99">
        <f>G134+'21'!H134</f>
        <v>3845.880000000001</v>
      </c>
      <c r="I134" s="165"/>
      <c r="J134" s="328">
        <f>H134/DAY(B2)</f>
        <v>174.81272727272733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2516.5499999999956</v>
      </c>
      <c r="H135" s="99">
        <f>G135+'10'!H135</f>
        <v>25972.769999999997</v>
      </c>
      <c r="I135" s="327">
        <f>G135-(G35+G49)</f>
        <v>-394.22999999999593</v>
      </c>
      <c r="J135" s="328"/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'21'!F138</f>
        <v>868188</v>
      </c>
      <c r="F138" s="147">
        <v>868285</v>
      </c>
      <c r="G138" s="112">
        <f t="shared" ref="G138:G152" si="11">F138-E138</f>
        <v>97</v>
      </c>
      <c r="H138" s="99">
        <f>G138+'21'!H138</f>
        <v>2112</v>
      </c>
      <c r="I138" s="118"/>
      <c r="J138" s="328">
        <f>H138/DAY(B2)</f>
        <v>96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'21'!F139</f>
        <v>886683</v>
      </c>
      <c r="F139" s="148">
        <v>886685</v>
      </c>
      <c r="G139" s="112">
        <f t="shared" si="11"/>
        <v>2</v>
      </c>
      <c r="H139" s="99">
        <f>G139+'21'!H139</f>
        <v>112</v>
      </c>
      <c r="I139" s="118"/>
      <c r="J139" s="328">
        <f>H139/DAY(B2)</f>
        <v>5.0909090909090908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'21'!F140</f>
        <v>88950.71</v>
      </c>
      <c r="F140" s="149">
        <v>88951.93</v>
      </c>
      <c r="G140" s="112">
        <f t="shared" si="11"/>
        <v>1.2199999999866122</v>
      </c>
      <c r="H140" s="99">
        <f>G140+'21'!H140</f>
        <v>29.929999999993015</v>
      </c>
      <c r="I140" s="118"/>
      <c r="J140" s="328">
        <f>H140/DAY(B2)</f>
        <v>1.3604545454542281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'21'!F141</f>
        <v>58425.93</v>
      </c>
      <c r="F141" s="149">
        <v>58617.7</v>
      </c>
      <c r="G141" s="112">
        <f t="shared" si="11"/>
        <v>191.7699999999968</v>
      </c>
      <c r="H141" s="99">
        <f>G141+'21'!H141</f>
        <v>3932.1199999999953</v>
      </c>
      <c r="I141" s="118"/>
      <c r="J141" s="328">
        <f>H141/DAY(B2)</f>
        <v>178.73272727272706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'21'!F142</f>
        <v>22719.55</v>
      </c>
      <c r="F142" s="148">
        <v>22784.16</v>
      </c>
      <c r="G142" s="112">
        <f t="shared" si="11"/>
        <v>64.610000000000582</v>
      </c>
      <c r="H142" s="99">
        <f>G142+'21'!H142</f>
        <v>1500.0600000000013</v>
      </c>
      <c r="I142" s="140"/>
      <c r="J142" s="328">
        <f>H142/DAY(B2)</f>
        <v>68.184545454545514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'21'!F143</f>
        <v>4418.37</v>
      </c>
      <c r="F143" s="149">
        <v>4445.5</v>
      </c>
      <c r="G143" s="112">
        <f t="shared" si="11"/>
        <v>27.130000000000109</v>
      </c>
      <c r="H143" s="99">
        <f>G143+'21'!H143</f>
        <v>610.11000000000013</v>
      </c>
      <c r="I143" s="140"/>
      <c r="J143" s="328">
        <f>H143/DAY(B2)</f>
        <v>27.732272727272733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'21'!F144</f>
        <v>880903</v>
      </c>
      <c r="F144" s="149">
        <v>881104</v>
      </c>
      <c r="G144" s="112">
        <f t="shared" si="11"/>
        <v>201</v>
      </c>
      <c r="H144" s="99">
        <f>G144+'21'!H144</f>
        <v>4617</v>
      </c>
      <c r="I144" s="140"/>
      <c r="J144" s="328">
        <f>H144/DAY(B2)</f>
        <v>209.86363636363637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'21'!F145</f>
        <v>5236.8500000000004</v>
      </c>
      <c r="F145" s="149">
        <v>5254.07</v>
      </c>
      <c r="G145" s="112">
        <f t="shared" si="11"/>
        <v>17.219999999999345</v>
      </c>
      <c r="H145" s="99">
        <f>G145+'21'!H145</f>
        <v>295.22999999999956</v>
      </c>
      <c r="I145" s="140"/>
      <c r="J145" s="328">
        <f>H145/DAY(B2)</f>
        <v>13.419545454545435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'21'!F146</f>
        <v>746606</v>
      </c>
      <c r="F146" s="148">
        <v>747051</v>
      </c>
      <c r="G146" s="112">
        <f t="shared" si="11"/>
        <v>445</v>
      </c>
      <c r="H146" s="99">
        <f>G146+'21'!H146</f>
        <v>9718</v>
      </c>
      <c r="I146" s="140"/>
      <c r="J146" s="328">
        <f>H146/DAY(B2)</f>
        <v>441.72727272727275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'21'!F147</f>
        <v>634981.04</v>
      </c>
      <c r="F147" s="148">
        <v>635333.16</v>
      </c>
      <c r="G147" s="112">
        <f t="shared" si="11"/>
        <v>352.11999999999534</v>
      </c>
      <c r="H147" s="99">
        <f>G147+'21'!H147</f>
        <v>8720.640000000014</v>
      </c>
      <c r="I147" s="140"/>
      <c r="J147" s="328">
        <f>H147/DAY(B2)</f>
        <v>396.39272727272788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'21'!F148</f>
        <v>695862</v>
      </c>
      <c r="F148" s="150">
        <v>696181.44</v>
      </c>
      <c r="G148" s="112">
        <f t="shared" si="11"/>
        <v>319.43999999994412</v>
      </c>
      <c r="H148" s="99">
        <f>G148+'21'!H148</f>
        <v>6738.4799999999814</v>
      </c>
      <c r="I148" s="124"/>
      <c r="J148" s="328">
        <f>H148/DAY(B2)</f>
        <v>306.29454545454462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'21'!F149</f>
        <v>37194.99</v>
      </c>
      <c r="F149" s="146">
        <v>37849.19</v>
      </c>
      <c r="G149" s="112">
        <f t="shared" si="11"/>
        <v>654.20000000000437</v>
      </c>
      <c r="H149" s="99">
        <f>G149+'21'!H149</f>
        <v>13170.990000000002</v>
      </c>
      <c r="I149" s="119"/>
      <c r="J149" s="328">
        <f>H149/DAY(B2)</f>
        <v>598.6813636363637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'21'!F150</f>
        <v>15608</v>
      </c>
      <c r="F150" s="233">
        <v>15849.26</v>
      </c>
      <c r="G150" s="112">
        <f t="shared" si="11"/>
        <v>241.26000000000022</v>
      </c>
      <c r="H150" s="99">
        <f>G150+'21'!H150</f>
        <v>4998.43</v>
      </c>
      <c r="I150" s="119"/>
      <c r="J150" s="328">
        <f>H150/DAY(B2)</f>
        <v>227.20136363636365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'21'!F151</f>
        <v>90634</v>
      </c>
      <c r="F151" s="233">
        <v>90886</v>
      </c>
      <c r="G151" s="112">
        <f t="shared" si="11"/>
        <v>252</v>
      </c>
      <c r="H151" s="99">
        <f>G151+'21'!H151</f>
        <v>5406</v>
      </c>
      <c r="I151" s="119"/>
      <c r="J151" s="328">
        <f>H151/DAY(B2)</f>
        <v>245.72727272727272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'21'!F152</f>
        <v>3247.87</v>
      </c>
      <c r="F152" s="233">
        <v>3375.5</v>
      </c>
      <c r="G152" s="112">
        <f t="shared" si="11"/>
        <v>127.63000000000011</v>
      </c>
      <c r="H152" s="99">
        <f>G152+'21'!H152</f>
        <v>1715.5</v>
      </c>
      <c r="I152" s="119"/>
      <c r="J152" s="328">
        <f>H152/DAY(B2)</f>
        <v>77.977272727272734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2993.5999999999276</v>
      </c>
      <c r="H153" s="363"/>
      <c r="I153" s="119">
        <f>G153-(G38+G52)</f>
        <v>826.05999999991946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'21'!F155</f>
        <v>47014.33</v>
      </c>
      <c r="F155" s="374">
        <v>47674.73</v>
      </c>
      <c r="G155" s="112">
        <f t="shared" ref="G155:G158" si="12">F155-E155</f>
        <v>660.40000000000146</v>
      </c>
      <c r="H155" s="99">
        <f>G155+'21'!H155</f>
        <v>14729.730000000003</v>
      </c>
      <c r="I155" s="364"/>
      <c r="J155" s="328">
        <f>H155/DAY(B2)</f>
        <v>669.53318181818202</v>
      </c>
    </row>
    <row r="156" spans="1:10" ht="27.75" x14ac:dyDescent="0.5">
      <c r="A156" s="851" t="s">
        <v>347</v>
      </c>
      <c r="B156" s="851"/>
      <c r="C156" s="851"/>
      <c r="D156" s="117" t="s">
        <v>130</v>
      </c>
      <c r="E156" s="95">
        <f>'21'!F156</f>
        <v>3877.5</v>
      </c>
      <c r="F156" s="155">
        <v>3933.47</v>
      </c>
      <c r="G156" s="112">
        <f t="shared" si="12"/>
        <v>55.9699999999998</v>
      </c>
      <c r="H156" s="99">
        <f>G156+'21'!H156</f>
        <v>1145.4699999999998</v>
      </c>
      <c r="I156" s="165"/>
      <c r="J156" s="328">
        <f>H156/DAY(B2)</f>
        <v>52.066818181818171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>
        <f>'21'!F157</f>
        <v>6423.15</v>
      </c>
      <c r="F157" s="165">
        <v>6537.24</v>
      </c>
      <c r="G157" s="112">
        <f t="shared" si="12"/>
        <v>114.09000000000015</v>
      </c>
      <c r="H157" s="99">
        <f>G157+'21'!H157</f>
        <v>345.77999999999975</v>
      </c>
      <c r="I157" s="165"/>
      <c r="J157" s="328">
        <f>H157/DAY(B2)</f>
        <v>15.717272727272716</v>
      </c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>
        <f>'21'!F158</f>
        <v>74.31</v>
      </c>
      <c r="F158" s="165">
        <v>74.34</v>
      </c>
      <c r="G158" s="112">
        <f t="shared" si="12"/>
        <v>3.0000000000001137E-2</v>
      </c>
      <c r="H158" s="99">
        <f>G158+'21'!H158</f>
        <v>0.17000000000000171</v>
      </c>
      <c r="I158" s="165"/>
      <c r="J158" s="328">
        <f>H158/DAY(B2)</f>
        <v>7.7272727272728048E-3</v>
      </c>
    </row>
    <row r="159" spans="1:10" ht="27.75" x14ac:dyDescent="0.5">
      <c r="A159" s="935"/>
      <c r="B159" s="936"/>
      <c r="C159" s="93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472667.4</v>
      </c>
      <c r="F161" s="235">
        <v>472684.04</v>
      </c>
      <c r="G161" s="238">
        <f t="shared" ref="G161:G165" si="13">F161-E161</f>
        <v>16.639999999955762</v>
      </c>
      <c r="H161" s="99">
        <f>G161+'21'!H161</f>
        <v>630.47999999998137</v>
      </c>
      <c r="I161" s="236"/>
      <c r="J161" s="239">
        <f>H161/DAY(B2)</f>
        <v>28.658181818180971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89286.399999999994</v>
      </c>
      <c r="F162" s="235">
        <v>89325</v>
      </c>
      <c r="G162" s="238">
        <f t="shared" si="13"/>
        <v>38.600000000005821</v>
      </c>
      <c r="H162" s="99">
        <f>G162+'21'!H162</f>
        <v>808.60000000000582</v>
      </c>
      <c r="I162" s="236"/>
      <c r="J162" s="239">
        <f>H162/DAY(B2)</f>
        <v>36.75454545454572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80651.600000000006</v>
      </c>
      <c r="F163" s="235">
        <v>80683.7</v>
      </c>
      <c r="G163" s="238">
        <f t="shared" si="13"/>
        <v>32.099999999991269</v>
      </c>
      <c r="H163" s="99">
        <f>G163+'21'!H163</f>
        <v>1463.5999999999913</v>
      </c>
      <c r="I163" s="236"/>
      <c r="J163" s="239">
        <f>H163/DAY(B2)</f>
        <v>66.527272727272333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4353.3</v>
      </c>
      <c r="F164" s="235">
        <v>4355.3</v>
      </c>
      <c r="G164" s="238">
        <f t="shared" si="13"/>
        <v>2</v>
      </c>
      <c r="H164" s="99">
        <f>G164+'21'!H164</f>
        <v>35.300000000000182</v>
      </c>
      <c r="I164" s="236"/>
      <c r="J164" s="239">
        <f>H164/DAY(B2)</f>
        <v>1.6045454545454627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30034.639999999999</v>
      </c>
      <c r="F165" s="235">
        <v>30044.51</v>
      </c>
      <c r="G165" s="238">
        <f t="shared" si="13"/>
        <v>9.8699999999989814</v>
      </c>
      <c r="H165" s="99">
        <f>G165+'21'!H165</f>
        <v>187.2599999999984</v>
      </c>
      <c r="I165" s="236"/>
      <c r="J165" s="239">
        <f>H165/DAY(B2)</f>
        <v>8.5118181818181089</v>
      </c>
    </row>
    <row r="166" spans="1:10" ht="21.95" customHeight="1" x14ac:dyDescent="0.5">
      <c r="A166" s="860"/>
      <c r="B166" s="860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860"/>
      <c r="B167" s="860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860"/>
      <c r="B168" s="860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'21'!F173</f>
        <v>8183</v>
      </c>
      <c r="F173" s="155">
        <v>8183</v>
      </c>
      <c r="G173" s="155">
        <f>F173-E173</f>
        <v>0</v>
      </c>
      <c r="H173" s="99">
        <f>G173+'21'!H173</f>
        <v>57</v>
      </c>
      <c r="I173" s="155"/>
      <c r="J173" s="178">
        <f>H173/DAY(B2)</f>
        <v>2.5909090909090908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'21'!F174</f>
        <v>38911</v>
      </c>
      <c r="F174" s="157">
        <v>38927</v>
      </c>
      <c r="G174" s="155">
        <f t="shared" ref="G174:G175" si="14">F174-E174</f>
        <v>16</v>
      </c>
      <c r="H174" s="99">
        <f>G174+'21'!H174</f>
        <v>312</v>
      </c>
      <c r="I174" s="155"/>
      <c r="J174" s="178">
        <f>H174/DAY(B2)</f>
        <v>14.181818181818182</v>
      </c>
    </row>
    <row r="175" spans="1:10" ht="27.75" x14ac:dyDescent="0.5">
      <c r="A175" s="864" t="s">
        <v>76</v>
      </c>
      <c r="B175" s="904"/>
      <c r="C175" s="865"/>
      <c r="D175" s="228" t="s">
        <v>142</v>
      </c>
      <c r="E175" s="95">
        <f>'21'!F175</f>
        <v>22061</v>
      </c>
      <c r="F175" s="155">
        <v>22074</v>
      </c>
      <c r="G175" s="155">
        <f t="shared" si="14"/>
        <v>13</v>
      </c>
      <c r="H175" s="99">
        <f>G175+'21'!H175</f>
        <v>261</v>
      </c>
      <c r="I175" s="155"/>
      <c r="J175" s="178">
        <f>H175/DAY(B2)</f>
        <v>11.863636363636363</v>
      </c>
    </row>
    <row r="176" spans="1:10" ht="27.75" x14ac:dyDescent="0.5">
      <c r="A176" s="855" t="s">
        <v>196</v>
      </c>
      <c r="B176" s="856"/>
      <c r="C176" s="483"/>
      <c r="D176" s="228" t="s">
        <v>142</v>
      </c>
      <c r="E176" s="95"/>
      <c r="F176" s="155"/>
      <c r="G176" s="155">
        <f>SUM(G173:G175)</f>
        <v>29</v>
      </c>
      <c r="H176" s="99">
        <f>G176+'21'!H176</f>
        <v>630</v>
      </c>
      <c r="I176" s="155"/>
      <c r="J176" s="178">
        <f>H176/DAY(B2)</f>
        <v>28.636363636363637</v>
      </c>
    </row>
    <row r="177" spans="1:10" ht="27.75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864" t="s">
        <v>210</v>
      </c>
      <c r="B178" s="865"/>
      <c r="C178" s="333"/>
      <c r="D178" s="228" t="s">
        <v>142</v>
      </c>
      <c r="E178" s="95">
        <f>'21'!F178</f>
        <v>82509</v>
      </c>
      <c r="F178" s="155">
        <v>82572</v>
      </c>
      <c r="G178" s="155">
        <f>F178-E178</f>
        <v>63</v>
      </c>
      <c r="H178" s="99">
        <f>G178+'21'!H178</f>
        <v>1257</v>
      </c>
      <c r="I178" s="155"/>
      <c r="J178" s="178">
        <f>H178/DAY(B2)</f>
        <v>57.136363636363633</v>
      </c>
    </row>
    <row r="179" spans="1:10" ht="27.75" x14ac:dyDescent="0.5">
      <c r="A179" s="864" t="s">
        <v>211</v>
      </c>
      <c r="B179" s="865"/>
      <c r="C179" s="333"/>
      <c r="D179" s="228" t="s">
        <v>142</v>
      </c>
      <c r="E179" s="95">
        <f>'21'!F179</f>
        <v>35296</v>
      </c>
      <c r="F179" s="155">
        <v>35296</v>
      </c>
      <c r="G179" s="155">
        <f t="shared" ref="G179:G180" si="15">F179-E179</f>
        <v>0</v>
      </c>
      <c r="H179" s="99">
        <f>G179+'21'!H179</f>
        <v>493</v>
      </c>
      <c r="I179" s="155"/>
      <c r="J179" s="178">
        <f>H179/DAY(B2)</f>
        <v>22.40909090909091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'21'!F180</f>
        <v>5828</v>
      </c>
      <c r="F180" s="155">
        <v>5836</v>
      </c>
      <c r="G180" s="374">
        <f t="shared" si="15"/>
        <v>8</v>
      </c>
      <c r="H180" s="99">
        <f>G180+'21'!H180</f>
        <v>134</v>
      </c>
      <c r="I180" s="155"/>
      <c r="J180" s="178">
        <f>H180/DAY(B2)</f>
        <v>6.0909090909090908</v>
      </c>
    </row>
    <row r="181" spans="1:10" ht="27.75" customHeight="1" x14ac:dyDescent="0.5">
      <c r="A181" s="866" t="s">
        <v>108</v>
      </c>
      <c r="B181" s="867"/>
      <c r="C181" s="483"/>
      <c r="D181" s="228" t="s">
        <v>142</v>
      </c>
      <c r="E181" s="95"/>
      <c r="F181" s="155"/>
      <c r="G181" s="155">
        <f>SUM(G178:G180)</f>
        <v>71</v>
      </c>
      <c r="H181" s="99">
        <f>G181+'21'!H181</f>
        <v>1884</v>
      </c>
      <c r="I181" s="155"/>
      <c r="J181" s="178">
        <f>H181/DAY(B2)</f>
        <v>85.63636363636364</v>
      </c>
    </row>
    <row r="182" spans="1:10" ht="27.75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'21'!F183</f>
        <v>15666</v>
      </c>
      <c r="F183" s="157">
        <v>15676</v>
      </c>
      <c r="G183" s="157">
        <f>F183-E183</f>
        <v>10</v>
      </c>
      <c r="H183" s="99">
        <f>G183+'21'!H183</f>
        <v>331</v>
      </c>
      <c r="I183" s="155"/>
      <c r="J183" s="178">
        <f>H183/DAY(B2)</f>
        <v>15.045454545454545</v>
      </c>
    </row>
    <row r="184" spans="1:10" ht="27.75" x14ac:dyDescent="0.5">
      <c r="A184" s="864" t="s">
        <v>215</v>
      </c>
      <c r="B184" s="865"/>
      <c r="C184" s="334"/>
      <c r="D184" s="228" t="s">
        <v>142</v>
      </c>
      <c r="E184" s="95">
        <f>'21'!F184</f>
        <v>10745</v>
      </c>
      <c r="F184" s="157">
        <v>10757</v>
      </c>
      <c r="G184" s="157">
        <f t="shared" ref="G184:G185" si="16">F184-E184</f>
        <v>12</v>
      </c>
      <c r="H184" s="99">
        <f>G184+'21'!H184</f>
        <v>239</v>
      </c>
      <c r="I184" s="155"/>
      <c r="J184" s="178">
        <f>H184/DAY(B2)</f>
        <v>10.863636363636363</v>
      </c>
    </row>
    <row r="185" spans="1:10" ht="27.75" x14ac:dyDescent="0.5">
      <c r="A185" s="864" t="s">
        <v>216</v>
      </c>
      <c r="B185" s="865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855" t="s">
        <v>196</v>
      </c>
      <c r="B186" s="856"/>
      <c r="C186" s="482"/>
      <c r="D186" s="228" t="s">
        <v>142</v>
      </c>
      <c r="E186" s="95"/>
      <c r="F186" s="157"/>
      <c r="G186" s="157">
        <f>SUM(G183:G185)</f>
        <v>22</v>
      </c>
      <c r="H186" s="99">
        <f>G186+'21'!H186</f>
        <v>570</v>
      </c>
      <c r="I186" s="157"/>
      <c r="J186" s="178">
        <f>H186/DAY(B2)</f>
        <v>25.90909090909091</v>
      </c>
    </row>
    <row r="187" spans="1:10" ht="27.75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460">
        <f>G62+G19</f>
        <v>187</v>
      </c>
      <c r="H187" s="99">
        <f>G187+'21'!H187</f>
        <v>4276</v>
      </c>
      <c r="I187" s="158"/>
      <c r="J187" s="179">
        <f>H187/DAY(B2)</f>
        <v>194.36363636363637</v>
      </c>
    </row>
    <row r="188" spans="1:10" ht="27.75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226</v>
      </c>
      <c r="H188" s="99">
        <f>G188+'21'!H188</f>
        <v>1825</v>
      </c>
      <c r="I188" s="158"/>
      <c r="J188" s="179">
        <f>H188/DAY(B2)</f>
        <v>82.954545454545453</v>
      </c>
    </row>
    <row r="189" spans="1:10" ht="27.75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457">
        <f>G181</f>
        <v>71</v>
      </c>
      <c r="H189" s="99">
        <f>G189+'21'!H189</f>
        <v>275</v>
      </c>
      <c r="I189" s="158"/>
      <c r="J189" s="179">
        <f>H189/DAY(B2)</f>
        <v>12.5</v>
      </c>
    </row>
    <row r="190" spans="1:10" ht="27.75" x14ac:dyDescent="0.5">
      <c r="A190" s="778"/>
      <c r="B190" s="779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37" zoomScale="50" zoomScaleNormal="80" zoomScaleSheetLayoutView="50" workbookViewId="0">
      <selection activeCell="F19" sqref="F19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30.75" customHeight="1" x14ac:dyDescent="0.5">
      <c r="A2" s="191" t="s">
        <v>357</v>
      </c>
      <c r="B2" s="262">
        <v>44615</v>
      </c>
      <c r="C2" s="348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24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97588.4</v>
      </c>
      <c r="F7" s="95">
        <v>118299</v>
      </c>
      <c r="G7" s="112">
        <f>F7-E7</f>
        <v>20710.600000000006</v>
      </c>
      <c r="H7" s="99">
        <f>G7+'22'!H7</f>
        <v>467177.77</v>
      </c>
      <c r="I7" s="113">
        <f>'1'!I7</f>
        <v>12000</v>
      </c>
      <c r="J7" s="175">
        <f>H7/DAY(B2)</f>
        <v>20312.076956521742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157715.15</v>
      </c>
      <c r="F8" s="95">
        <v>178606</v>
      </c>
      <c r="G8" s="115">
        <f>F8-E8</f>
        <v>20890.850000000006</v>
      </c>
      <c r="H8" s="99">
        <f>G8+'22'!H8</f>
        <v>470084.44999999995</v>
      </c>
      <c r="I8" s="116"/>
      <c r="J8" s="175">
        <f>H8/DAY(B2)</f>
        <v>20438.454347826086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635318.47</v>
      </c>
      <c r="F9" s="598">
        <v>649716</v>
      </c>
      <c r="G9" s="112">
        <f>F9-E9</f>
        <v>14397.530000000028</v>
      </c>
      <c r="H9" s="99">
        <f>G9+'22'!H9</f>
        <v>367462.15</v>
      </c>
      <c r="I9" s="124">
        <f>I7-J7</f>
        <v>-8312.0769565217415</v>
      </c>
      <c r="J9" s="175">
        <f>H9/DAY(B2)</f>
        <v>15976.615217391305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185974.93</v>
      </c>
      <c r="F10" s="353">
        <v>191716</v>
      </c>
      <c r="G10" s="112">
        <f t="shared" ref="G10:G11" si="0">F10-E10</f>
        <v>5741.070000000007</v>
      </c>
      <c r="H10" s="99">
        <f>G10+'22'!H10</f>
        <v>86457.03</v>
      </c>
      <c r="I10" s="282"/>
      <c r="J10" s="175">
        <f>H10/DAY(B2)</f>
        <v>3759.0013043478261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37170</v>
      </c>
      <c r="F11" s="95">
        <v>37170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20138.600000000035</v>
      </c>
      <c r="H13" s="99">
        <f>G13+'22'!H13</f>
        <v>437164.74999999994</v>
      </c>
      <c r="I13" s="120">
        <f>G7-G13</f>
        <v>571.9999999999709</v>
      </c>
      <c r="J13" s="175">
        <f>H13/DAY(B2)</f>
        <v>19007.16304347826</v>
      </c>
      <c r="K13" s="79"/>
      <c r="L13" s="66"/>
      <c r="N13" s="87"/>
      <c r="O13" s="71"/>
    </row>
    <row r="14" spans="1:15" ht="30.75" customHeight="1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'22'!F15</f>
        <v>1930237.8</v>
      </c>
      <c r="F15" s="123">
        <v>1931299</v>
      </c>
      <c r="G15" s="112">
        <f>(F15-E15)</f>
        <v>1061.1999999999534</v>
      </c>
      <c r="H15" s="99">
        <f>G15+'22'!H15</f>
        <v>24662.233000000007</v>
      </c>
      <c r="I15" s="113">
        <f>'1'!I15</f>
        <v>800</v>
      </c>
      <c r="J15" s="175">
        <f>H15/DAY(B2)</f>
        <v>1072.2710000000004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-272.27100000000041</v>
      </c>
      <c r="J16" s="176"/>
      <c r="K16" s="79"/>
      <c r="L16" s="66"/>
      <c r="N16" s="87"/>
      <c r="O16" s="71"/>
    </row>
    <row r="17" spans="1:15" ht="30.75" customHeight="1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92" t="s">
        <v>141</v>
      </c>
      <c r="B18" s="893"/>
      <c r="C18" s="894"/>
      <c r="D18" s="151" t="s">
        <v>142</v>
      </c>
      <c r="E18" s="95">
        <f>'22'!F18</f>
        <v>19</v>
      </c>
      <c r="F18" s="122">
        <v>26</v>
      </c>
      <c r="G18" s="119">
        <f>F18*10</f>
        <v>260</v>
      </c>
      <c r="H18" s="99">
        <f>G18+'22'!H18</f>
        <v>5280</v>
      </c>
      <c r="I18" s="113">
        <f>'1'!I18</f>
        <v>65</v>
      </c>
      <c r="J18" s="175">
        <f>H18/DAY(B2)</f>
        <v>229.56521739130434</v>
      </c>
      <c r="K18" s="79"/>
      <c r="L18" s="66"/>
      <c r="N18" s="87"/>
      <c r="O18" s="71"/>
    </row>
    <row r="19" spans="1:15" ht="30.75" customHeight="1" x14ac:dyDescent="0.5">
      <c r="A19" s="892" t="s">
        <v>69</v>
      </c>
      <c r="B19" s="893"/>
      <c r="C19" s="894"/>
      <c r="D19" s="151" t="s">
        <v>142</v>
      </c>
      <c r="E19" s="95">
        <f>'22'!F19</f>
        <v>155060</v>
      </c>
      <c r="F19" s="122">
        <v>155115</v>
      </c>
      <c r="G19" s="112">
        <f t="shared" ref="G19" si="1">F19-E19</f>
        <v>55</v>
      </c>
      <c r="H19" s="99">
        <f>G19+'22'!H19</f>
        <v>1224</v>
      </c>
      <c r="I19" s="335"/>
      <c r="J19" s="175">
        <f>H19/DAY(B2)</f>
        <v>53.217391304347828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315</v>
      </c>
      <c r="H20" s="99">
        <f>G20+'22'!H20</f>
        <v>6504</v>
      </c>
      <c r="I20" s="336">
        <f>I18-J20</f>
        <v>-217.78260869565219</v>
      </c>
      <c r="J20" s="175">
        <f>H20/DAY(B2)</f>
        <v>282.78260869565219</v>
      </c>
      <c r="K20" s="79"/>
      <c r="L20" s="66"/>
      <c r="N20" s="87"/>
      <c r="O20" s="71"/>
    </row>
    <row r="21" spans="1:15" ht="30.75" customHeight="1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20890.850000000006</v>
      </c>
      <c r="F27" s="136">
        <v>9</v>
      </c>
      <c r="G27" s="137">
        <f>E27*F27</f>
        <v>188017.65000000005</v>
      </c>
      <c r="H27" s="99">
        <f>G27+'22'!H27</f>
        <v>4230760.0500000007</v>
      </c>
      <c r="I27" s="138"/>
      <c r="J27" s="175">
        <f>H27/DAY(B2)</f>
        <v>183946.08913043482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1061.1999999999534</v>
      </c>
      <c r="F28" s="136">
        <v>52</v>
      </c>
      <c r="G28" s="137">
        <f>E28*F28</f>
        <v>55182.399999997579</v>
      </c>
      <c r="H28" s="99">
        <f>G28+'22'!H28</f>
        <v>1345364.1160000004</v>
      </c>
      <c r="I28" s="140"/>
      <c r="J28" s="175">
        <f>H28/DAY(B2)</f>
        <v>58494.092000000019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G30+'22'!H30</f>
        <v>179559</v>
      </c>
      <c r="I30" s="140"/>
      <c r="J30" s="175">
        <f>H30/DAY(B2)</f>
        <v>7806.913043478261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G31+'22'!H31</f>
        <v>422400</v>
      </c>
      <c r="I31" s="140"/>
      <c r="J31" s="175">
        <f>H31/DAY(B2)</f>
        <v>18365.217391304348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272030.0499999976</v>
      </c>
      <c r="H32" s="99">
        <f>G32+'22'!H32</f>
        <v>6178083.1660000011</v>
      </c>
      <c r="I32" s="144"/>
      <c r="J32" s="175">
        <f>H32/DAY(B2)</f>
        <v>268612.31156521745</v>
      </c>
      <c r="K32" s="63"/>
      <c r="L32" s="89"/>
      <c r="N32" s="87"/>
      <c r="O32" s="71"/>
    </row>
    <row r="33" spans="1:15" ht="30.7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65198.59</v>
      </c>
      <c r="F35" s="145">
        <v>66711</v>
      </c>
      <c r="G35" s="112">
        <f t="shared" ref="G35:G46" si="3">F35-E35</f>
        <v>1512.4100000000035</v>
      </c>
      <c r="H35" s="99">
        <f>G35+'22'!H35</f>
        <v>34706.020000000004</v>
      </c>
      <c r="I35" s="95"/>
      <c r="J35" s="175">
        <f>H35/DAY(B2)</f>
        <v>1508.957391304348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64399.4</v>
      </c>
      <c r="F36" s="145">
        <v>65545</v>
      </c>
      <c r="G36" s="112">
        <f t="shared" si="3"/>
        <v>1145.5999999999985</v>
      </c>
      <c r="H36" s="99">
        <f>G36+'22'!H36</f>
        <v>22086.260000000002</v>
      </c>
      <c r="I36" s="95"/>
      <c r="J36" s="175">
        <f>H36/DAY(B2)</f>
        <v>960.27217391304362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72295.27</v>
      </c>
      <c r="F37" s="145">
        <v>73925</v>
      </c>
      <c r="G37" s="112">
        <f t="shared" si="3"/>
        <v>1629.7299999999959</v>
      </c>
      <c r="H37" s="99">
        <f>G37+'22'!H37</f>
        <v>38499.910000000003</v>
      </c>
      <c r="I37" s="95"/>
      <c r="J37" s="175">
        <f>H37/DAY(B2)</f>
        <v>1673.9091304347828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82060.97</v>
      </c>
      <c r="F38" s="108">
        <v>84223</v>
      </c>
      <c r="G38" s="112">
        <f t="shared" si="3"/>
        <v>2162.0299999999988</v>
      </c>
      <c r="H38" s="99">
        <f>G38+'22'!H38</f>
        <v>45846.57</v>
      </c>
      <c r="I38" s="95"/>
      <c r="J38" s="175">
        <f>H38/DAY(B2)</f>
        <v>1993.3291304347827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124943.96</v>
      </c>
      <c r="F39" s="145">
        <v>128091</v>
      </c>
      <c r="G39" s="112">
        <f t="shared" si="3"/>
        <v>3147.0399999999936</v>
      </c>
      <c r="H39" s="99">
        <f>G39+'22'!H39</f>
        <v>68917.710000000006</v>
      </c>
      <c r="I39" s="95"/>
      <c r="J39" s="175">
        <f>H39/DAY(B2)</f>
        <v>2996.4221739130439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30969.3</v>
      </c>
      <c r="F40" s="145">
        <v>31076</v>
      </c>
      <c r="G40" s="112">
        <f t="shared" si="3"/>
        <v>106.70000000000073</v>
      </c>
      <c r="H40" s="99">
        <f>G40+'22'!H40</f>
        <v>8959.0099999999984</v>
      </c>
      <c r="I40" s="95"/>
      <c r="J40" s="175">
        <f>H40/DAY(B2)</f>
        <v>389.52217391304339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63</v>
      </c>
      <c r="F41" s="145">
        <v>63</v>
      </c>
      <c r="G41" s="112">
        <f t="shared" si="3"/>
        <v>0</v>
      </c>
      <c r="H41" s="99">
        <f>G41+'22'!H41</f>
        <v>0.27000000000000313</v>
      </c>
      <c r="I41" s="95"/>
      <c r="J41" s="175">
        <f>H41/DAY(B2)</f>
        <v>1.1739130434782745E-2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175968.57</v>
      </c>
      <c r="F42" s="145">
        <v>177135</v>
      </c>
      <c r="G42" s="112">
        <f t="shared" si="3"/>
        <v>1166.429999999993</v>
      </c>
      <c r="H42" s="99">
        <f>G42+'22'!H42</f>
        <v>77005.259999999995</v>
      </c>
      <c r="I42" s="95"/>
      <c r="J42" s="175">
        <f>H42/DAY(B2)</f>
        <v>3348.0547826086954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161594.81</v>
      </c>
      <c r="F43" s="145">
        <v>163678</v>
      </c>
      <c r="G43" s="112">
        <f t="shared" si="3"/>
        <v>2083.1900000000023</v>
      </c>
      <c r="H43" s="99">
        <f>G43+'22'!H43</f>
        <v>48826.399999999994</v>
      </c>
      <c r="I43" s="95"/>
      <c r="J43" s="175">
        <f>H43/DAY(B2)</f>
        <v>2122.8869565217387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12953.129999999986</v>
      </c>
      <c r="H47" s="99">
        <f>G47+'22'!H47</f>
        <v>344847.41000000009</v>
      </c>
      <c r="I47" s="95"/>
      <c r="J47" s="175">
        <f>H47/DAY(B2)</f>
        <v>14993.365652173918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55461.35</v>
      </c>
      <c r="F49" s="145">
        <v>56931</v>
      </c>
      <c r="G49" s="112">
        <f t="shared" ref="G49:G58" si="4">F49-E49</f>
        <v>1469.6500000000015</v>
      </c>
      <c r="H49" s="99">
        <f>G49+'22'!H49</f>
        <v>31934.81</v>
      </c>
      <c r="I49" s="95"/>
      <c r="J49" s="175">
        <f>H49/DAY(B2)</f>
        <v>1388.47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83406.16</v>
      </c>
      <c r="F50" s="145">
        <v>84350</v>
      </c>
      <c r="G50" s="112">
        <f t="shared" si="4"/>
        <v>943.83999999999651</v>
      </c>
      <c r="H50" s="99">
        <f>G50+'22'!H50</f>
        <v>27963.370000000003</v>
      </c>
      <c r="I50" s="95"/>
      <c r="J50" s="175">
        <f>H50/DAY(B2)</f>
        <v>1215.798695652174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16088.84</v>
      </c>
      <c r="F54" s="145">
        <v>16623</v>
      </c>
      <c r="G54" s="112">
        <f t="shared" si="4"/>
        <v>534.15999999999985</v>
      </c>
      <c r="H54" s="99">
        <f>G54+'22'!H54</f>
        <v>11475.58</v>
      </c>
      <c r="I54" s="95"/>
      <c r="J54" s="175">
        <f>H54/DAY(B2)</f>
        <v>498.93826086956523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90578.89</v>
      </c>
      <c r="F55" s="145">
        <v>90579</v>
      </c>
      <c r="G55" s="112">
        <f t="shared" si="4"/>
        <v>0.11000000000058208</v>
      </c>
      <c r="H55" s="99">
        <f>G55+'22'!H55</f>
        <v>16212.89</v>
      </c>
      <c r="I55" s="95"/>
      <c r="J55" s="175">
        <f>H55/DAY(B2)</f>
        <v>704.9082608695652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8723.6299999999992</v>
      </c>
      <c r="F56" s="145">
        <v>10907</v>
      </c>
      <c r="G56" s="112">
        <f t="shared" si="4"/>
        <v>2183.3700000000008</v>
      </c>
      <c r="H56" s="99">
        <f>G56+'22'!H56</f>
        <v>2296.4599999999991</v>
      </c>
      <c r="I56" s="95"/>
      <c r="J56" s="175">
        <f>H56/DAY(B2)</f>
        <v>99.846086956521702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9588.42</v>
      </c>
      <c r="F58" s="145">
        <v>9801</v>
      </c>
      <c r="G58" s="112">
        <f t="shared" si="4"/>
        <v>212.57999999999993</v>
      </c>
      <c r="H58" s="99">
        <f>G58+'22'!H58</f>
        <v>5004.79</v>
      </c>
      <c r="I58" s="95"/>
      <c r="J58" s="175">
        <f>H58/DAY(B2)</f>
        <v>217.5995652173913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5343.7099999999991</v>
      </c>
      <c r="H59" s="99">
        <f>G59+'22'!H59</f>
        <v>94887.9</v>
      </c>
      <c r="I59" s="95">
        <f>G7-G60</f>
        <v>2413.7600000000202</v>
      </c>
      <c r="J59" s="175">
        <f>H59/DAY(B2)</f>
        <v>4125.5608695652172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18296.839999999986</v>
      </c>
      <c r="H60" s="99">
        <f>G60+'22'!H60</f>
        <v>439735.31000000006</v>
      </c>
      <c r="I60" s="95">
        <f>G13-G60</f>
        <v>1841.7600000000493</v>
      </c>
      <c r="J60" s="175">
        <f>H60/DAY(B2)</f>
        <v>19118.926521739133</v>
      </c>
      <c r="K60" s="79"/>
      <c r="L60" s="66"/>
      <c r="N60" s="87"/>
      <c r="O60" s="71"/>
    </row>
    <row r="61" spans="1:15" s="68" customFormat="1" ht="30.75" customHeight="1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92" t="s">
        <v>198</v>
      </c>
      <c r="B62" s="893"/>
      <c r="C62" s="894"/>
      <c r="D62" s="151" t="s">
        <v>142</v>
      </c>
      <c r="E62" s="95">
        <f>'22'!F62</f>
        <v>272623</v>
      </c>
      <c r="F62" s="122">
        <v>272768</v>
      </c>
      <c r="G62" s="112">
        <f t="shared" ref="G62:G63" si="5">F62-E62</f>
        <v>145</v>
      </c>
      <c r="H62" s="99">
        <f>G62+'22'!H62</f>
        <v>3252</v>
      </c>
      <c r="I62" s="118"/>
      <c r="J62" s="175">
        <f>H62/DAY(B2)</f>
        <v>141.39130434782609</v>
      </c>
      <c r="K62" s="80"/>
      <c r="L62" s="66"/>
      <c r="N62" s="87"/>
      <c r="O62" s="71"/>
    </row>
    <row r="63" spans="1:15" ht="30.75" customHeight="1" x14ac:dyDescent="0.5">
      <c r="A63" s="892" t="s">
        <v>199</v>
      </c>
      <c r="B63" s="893"/>
      <c r="C63" s="894"/>
      <c r="D63" s="151" t="s">
        <v>142</v>
      </c>
      <c r="E63" s="95">
        <f>'22'!F63</f>
        <v>218635</v>
      </c>
      <c r="F63" s="122">
        <v>218712</v>
      </c>
      <c r="G63" s="112">
        <f t="shared" si="5"/>
        <v>77</v>
      </c>
      <c r="H63" s="99">
        <f>G63+'22'!H63</f>
        <v>2915</v>
      </c>
      <c r="I63" s="118"/>
      <c r="J63" s="175">
        <f>H63/DAY(B2)</f>
        <v>126.73913043478261</v>
      </c>
      <c r="K63" s="69"/>
      <c r="L63" s="66"/>
      <c r="N63" s="87"/>
      <c r="O63" s="71"/>
    </row>
    <row r="64" spans="1:15" ht="30.75" customHeight="1" x14ac:dyDescent="0.5">
      <c r="A64" s="901" t="s">
        <v>200</v>
      </c>
      <c r="B64" s="902"/>
      <c r="C64" s="903"/>
      <c r="D64" s="151"/>
      <c r="E64" s="95">
        <f>'22'!F64</f>
        <v>0</v>
      </c>
      <c r="F64" s="122"/>
      <c r="G64" s="112">
        <f>G62+G63</f>
        <v>222</v>
      </c>
      <c r="H64" s="99">
        <f>G64+'22'!H64</f>
        <v>6167</v>
      </c>
      <c r="I64" s="118"/>
      <c r="J64" s="175">
        <f>H64/DAY(B2)</f>
        <v>268.13043478260869</v>
      </c>
      <c r="K64" s="69"/>
      <c r="L64" s="66"/>
      <c r="N64" s="87"/>
      <c r="O64" s="71"/>
    </row>
    <row r="65" spans="1:15" ht="30.75" customHeight="1" x14ac:dyDescent="0.5">
      <c r="A65" s="892" t="s">
        <v>201</v>
      </c>
      <c r="B65" s="893"/>
      <c r="C65" s="894"/>
      <c r="D65" s="151" t="s">
        <v>142</v>
      </c>
      <c r="E65" s="95">
        <f>'22'!F65</f>
        <v>437178</v>
      </c>
      <c r="F65" s="122">
        <v>437285</v>
      </c>
      <c r="G65" s="112">
        <f t="shared" ref="G65:G70" si="6">F65-E65</f>
        <v>107</v>
      </c>
      <c r="H65" s="99">
        <f>G65+'22'!H65</f>
        <v>2362</v>
      </c>
      <c r="I65" s="118"/>
      <c r="J65" s="175">
        <f>H65/DAY(B2)</f>
        <v>102.69565217391305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'22'!F66</f>
        <v>108296</v>
      </c>
      <c r="F66" s="122">
        <v>108314</v>
      </c>
      <c r="G66" s="112">
        <f t="shared" si="6"/>
        <v>18</v>
      </c>
      <c r="H66" s="99">
        <f>G66+'22'!H66</f>
        <v>571</v>
      </c>
      <c r="I66" s="118"/>
      <c r="J66" s="175">
        <f>H66/DAY(B2)</f>
        <v>24.826086956521738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'22'!F67</f>
        <v>105825</v>
      </c>
      <c r="F67" s="150">
        <v>105895</v>
      </c>
      <c r="G67" s="112">
        <f t="shared" si="6"/>
        <v>70</v>
      </c>
      <c r="H67" s="99">
        <f>G67+'22'!H67</f>
        <v>1247</v>
      </c>
      <c r="I67" s="118"/>
      <c r="J67" s="175">
        <f>H67/DAY(B2)</f>
        <v>54.217391304347828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'22'!F68</f>
        <v>158652</v>
      </c>
      <c r="F68" s="122">
        <v>158709</v>
      </c>
      <c r="G68" s="112">
        <f t="shared" si="6"/>
        <v>57</v>
      </c>
      <c r="H68" s="99">
        <f>G68+'22'!H68</f>
        <v>1012</v>
      </c>
      <c r="I68" s="118"/>
      <c r="J68" s="175">
        <f>H68/DAY(B2)</f>
        <v>44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'22'!F69</f>
        <v>10817</v>
      </c>
      <c r="F69" s="122">
        <v>10824</v>
      </c>
      <c r="G69" s="112">
        <f t="shared" si="6"/>
        <v>7</v>
      </c>
      <c r="H69" s="99">
        <f>G69+'22'!H69</f>
        <v>283</v>
      </c>
      <c r="I69" s="118"/>
      <c r="J69" s="175">
        <f>H69/DAY(B2)</f>
        <v>12.304347826086957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'22'!F70</f>
        <v>8384</v>
      </c>
      <c r="F70" s="150">
        <v>8393</v>
      </c>
      <c r="G70" s="112">
        <f t="shared" si="6"/>
        <v>9</v>
      </c>
      <c r="H70" s="99">
        <f>G70+'22'!H70</f>
        <v>273</v>
      </c>
      <c r="I70" s="118"/>
      <c r="J70" s="175">
        <f>H70/DAY(B2)</f>
        <v>11.869565217391305</v>
      </c>
      <c r="K70" s="69"/>
      <c r="L70" s="66"/>
      <c r="N70" s="87"/>
      <c r="O70" s="71"/>
    </row>
    <row r="71" spans="1:15" ht="30.75" customHeight="1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268</v>
      </c>
      <c r="H71" s="99">
        <f>G71+'22'!H71</f>
        <v>5748</v>
      </c>
      <c r="I71" s="154"/>
      <c r="J71" s="175">
        <f>H71/DAY(B2)</f>
        <v>249.91304347826087</v>
      </c>
      <c r="K71" s="69"/>
      <c r="L71" s="66"/>
      <c r="N71" s="87"/>
      <c r="O71" s="71"/>
    </row>
    <row r="72" spans="1:15" s="88" customFormat="1" ht="30.75" customHeight="1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92" t="s">
        <v>220</v>
      </c>
      <c r="B74" s="893"/>
      <c r="C74" s="894"/>
      <c r="D74" s="151" t="s">
        <v>139</v>
      </c>
      <c r="E74" s="95">
        <f>'22'!F74</f>
        <v>907927.78</v>
      </c>
      <c r="F74" s="117">
        <v>908205</v>
      </c>
      <c r="G74" s="112">
        <f t="shared" ref="G74:G78" si="7">F74-E74</f>
        <v>277.21999999997206</v>
      </c>
      <c r="H74" s="99">
        <f>G74+'22'!H74</f>
        <v>6898.8510000000242</v>
      </c>
      <c r="I74" s="154"/>
      <c r="J74" s="175">
        <f>H74/DAY(B2)</f>
        <v>299.95004347826193</v>
      </c>
      <c r="K74" s="69"/>
      <c r="L74" s="66"/>
      <c r="N74" s="87"/>
      <c r="O74" s="71"/>
    </row>
    <row r="75" spans="1:15" ht="30.75" customHeight="1" x14ac:dyDescent="0.5">
      <c r="A75" s="892" t="s">
        <v>221</v>
      </c>
      <c r="B75" s="893"/>
      <c r="C75" s="894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89" t="s">
        <v>222</v>
      </c>
      <c r="B76" s="890"/>
      <c r="C76" s="891"/>
      <c r="D76" s="151" t="s">
        <v>139</v>
      </c>
      <c r="E76" s="95">
        <f>'22'!F76</f>
        <v>172396</v>
      </c>
      <c r="F76" s="123">
        <v>172505</v>
      </c>
      <c r="G76" s="112">
        <f t="shared" si="7"/>
        <v>109</v>
      </c>
      <c r="H76" s="99">
        <f>G76+'22'!H76</f>
        <v>2530</v>
      </c>
      <c r="I76" s="154"/>
      <c r="J76" s="175">
        <f>H76/DAY(B2)</f>
        <v>110</v>
      </c>
      <c r="K76" s="69"/>
      <c r="L76" s="66"/>
      <c r="N76" s="87"/>
      <c r="O76" s="71"/>
    </row>
    <row r="77" spans="1:15" ht="30.75" customHeight="1" x14ac:dyDescent="0.5">
      <c r="A77" s="889" t="s">
        <v>223</v>
      </c>
      <c r="B77" s="890"/>
      <c r="C77" s="891"/>
      <c r="D77" s="151" t="s">
        <v>139</v>
      </c>
      <c r="E77" s="95">
        <f>'22'!F77</f>
        <v>42325.2</v>
      </c>
      <c r="F77" s="123">
        <v>42363</v>
      </c>
      <c r="G77" s="112">
        <f t="shared" si="7"/>
        <v>37.80000000000291</v>
      </c>
      <c r="H77" s="99">
        <f>G77+'22'!H77</f>
        <v>1060.8000000000029</v>
      </c>
      <c r="I77" s="154"/>
      <c r="J77" s="175">
        <f>H77/DAY(B2)</f>
        <v>46.121739130434911</v>
      </c>
      <c r="K77" s="69"/>
      <c r="L77" s="66"/>
      <c r="N77" s="87"/>
      <c r="O77" s="71"/>
    </row>
    <row r="78" spans="1:15" ht="30.75" customHeight="1" x14ac:dyDescent="0.5">
      <c r="A78" s="889" t="s">
        <v>224</v>
      </c>
      <c r="B78" s="890"/>
      <c r="C78" s="891"/>
      <c r="D78" s="151" t="s">
        <v>139</v>
      </c>
      <c r="E78" s="95">
        <f>'22'!F78</f>
        <v>9544.2999999999993</v>
      </c>
      <c r="F78" s="123">
        <v>9545</v>
      </c>
      <c r="G78" s="112">
        <f t="shared" si="7"/>
        <v>0.7000000000007276</v>
      </c>
      <c r="H78" s="99">
        <f>G78+'22'!H78</f>
        <v>32</v>
      </c>
      <c r="I78" s="118"/>
      <c r="J78" s="175">
        <f>H78/DAY(B2)</f>
        <v>1.3913043478260869</v>
      </c>
      <c r="K78" s="69"/>
      <c r="L78" s="66"/>
      <c r="N78" s="87"/>
      <c r="O78" s="71"/>
    </row>
    <row r="79" spans="1:15" s="57" customFormat="1" ht="30.75" customHeight="1" x14ac:dyDescent="0.5">
      <c r="A79" s="889" t="s">
        <v>225</v>
      </c>
      <c r="B79" s="890"/>
      <c r="C79" s="891"/>
      <c r="D79" s="151"/>
      <c r="E79" s="95">
        <f>'22'!F79</f>
        <v>0</v>
      </c>
      <c r="F79" s="123"/>
      <c r="G79" s="112">
        <f>G15-SUM(G74:G78)</f>
        <v>636.47999999997774</v>
      </c>
      <c r="H79" s="99">
        <f>G79+'22'!H79</f>
        <v>14140.58199999998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1061.1999999999534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0.40000000000145519</v>
      </c>
      <c r="I84" s="118"/>
      <c r="J84" s="175">
        <f>H84/DAY(B2)</f>
        <v>1.7391304347889356E-2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'22'!F85</f>
        <v>2672.16</v>
      </c>
      <c r="F85" s="164">
        <v>2681</v>
      </c>
      <c r="G85" s="112">
        <f t="shared" si="8"/>
        <v>8.8400000000001455</v>
      </c>
      <c r="H85" s="99">
        <f>G85+'22'!H85</f>
        <v>420.57999999999993</v>
      </c>
      <c r="I85" s="118">
        <f>G82+G83+G84+G85</f>
        <v>8.8400000000001455</v>
      </c>
      <c r="J85" s="175">
        <f>H85/DAY(B2)</f>
        <v>18.286086956521736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'22'!F86</f>
        <v>43564</v>
      </c>
      <c r="F86" s="164">
        <v>43564</v>
      </c>
      <c r="G86" s="112">
        <f t="shared" si="8"/>
        <v>0</v>
      </c>
      <c r="H86" s="99">
        <f>G86+'22'!H86</f>
        <v>122</v>
      </c>
      <c r="I86" s="118"/>
      <c r="J86" s="175">
        <f>H86/DAY(B2)</f>
        <v>5.3043478260869561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34614</v>
      </c>
      <c r="G87" s="112">
        <f t="shared" si="8"/>
        <v>15.44999999999709</v>
      </c>
      <c r="H87" s="99">
        <f>G87+'22'!H87</f>
        <v>15.5</v>
      </c>
      <c r="I87" s="118"/>
      <c r="J87" s="175">
        <f>H87/DAY(B2)</f>
        <v>0.67391304347826086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'22'!F88</f>
        <v>24077.22</v>
      </c>
      <c r="F88" s="164">
        <v>24077</v>
      </c>
      <c r="G88" s="112">
        <f t="shared" si="8"/>
        <v>-0.22000000000116415</v>
      </c>
      <c r="H88" s="99">
        <f>G88+'22'!H88</f>
        <v>13.569999999999709</v>
      </c>
      <c r="I88" s="118">
        <f>G86+G87+G88</f>
        <v>15.229999999995925</v>
      </c>
      <c r="J88" s="175">
        <f>H88/DAY(B2)</f>
        <v>0.58999999999998731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'22'!F89</f>
        <v>26114.49</v>
      </c>
      <c r="F89" s="164">
        <v>26125</v>
      </c>
      <c r="G89" s="112">
        <f t="shared" si="8"/>
        <v>10.509999999998399</v>
      </c>
      <c r="H89" s="99">
        <f>G89+'22'!H89</f>
        <v>233.88000000000102</v>
      </c>
      <c r="I89" s="118"/>
      <c r="J89" s="175">
        <f>H89/DAY(B2)</f>
        <v>10.168695652173957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'22'!F90</f>
        <v>71268.05</v>
      </c>
      <c r="F90" s="164">
        <v>71275</v>
      </c>
      <c r="G90" s="112">
        <f t="shared" si="8"/>
        <v>6.9499999999970896</v>
      </c>
      <c r="H90" s="99">
        <f>G90+'22'!H90</f>
        <v>111.67999999999302</v>
      </c>
      <c r="I90" s="118">
        <f>G89+G90</f>
        <v>17.459999999995489</v>
      </c>
      <c r="J90" s="175">
        <f>H90/DAY(B2)</f>
        <v>4.8556521739127394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'22'!F91</f>
        <v>3497.48</v>
      </c>
      <c r="F91" s="122">
        <v>3507.77</v>
      </c>
      <c r="G91" s="112">
        <f t="shared" si="8"/>
        <v>10.289999999999964</v>
      </c>
      <c r="H91" s="99">
        <f>G91+'22'!H91</f>
        <v>256.67999999999984</v>
      </c>
      <c r="I91" s="165"/>
      <c r="J91" s="175">
        <f>H91/DAY(B2)</f>
        <v>11.159999999999993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'22'!F92</f>
        <v>5741</v>
      </c>
      <c r="F92" s="122">
        <v>5741</v>
      </c>
      <c r="G92" s="112">
        <f t="shared" si="8"/>
        <v>0</v>
      </c>
      <c r="H92" s="99">
        <f>G92+'22'!H92</f>
        <v>-6.9999999999708962E-2</v>
      </c>
      <c r="I92" s="165"/>
      <c r="J92" s="175">
        <f>H92/DAY(B2)</f>
        <v>-3.0434782608569112E-3</v>
      </c>
      <c r="O92" s="71"/>
    </row>
    <row r="93" spans="1:15" ht="30.75" customHeight="1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5065.2500000000073</v>
      </c>
      <c r="H94" s="99">
        <f>G94+'22'!H94</f>
        <v>115467.22999999998</v>
      </c>
      <c r="I94" s="118"/>
      <c r="J94" s="175">
        <f>H94/DAY(B2)</f>
        <v>5020.3143478260863</v>
      </c>
      <c r="K94" s="69"/>
      <c r="L94" s="66"/>
      <c r="O94" s="71"/>
    </row>
    <row r="95" spans="1:15" ht="30.75" customHeight="1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0.24457282744102082</v>
      </c>
      <c r="H95" s="99">
        <f>G95+'22'!H95</f>
        <v>5.6889141435455084</v>
      </c>
      <c r="I95" s="167"/>
      <c r="J95" s="175">
        <f>H95/DAY(B2)</f>
        <v>0.24734409319763079</v>
      </c>
      <c r="K95" s="69"/>
      <c r="L95" s="66"/>
      <c r="O95" s="71"/>
    </row>
    <row r="96" spans="1:15" ht="30.75" customHeight="1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3349.9099999999944</v>
      </c>
      <c r="H96" s="99">
        <f>G96+'22'!H96</f>
        <v>95514.87999999999</v>
      </c>
      <c r="I96" s="118"/>
      <c r="J96" s="175">
        <f>H96/DAY(B2)</f>
        <v>4152.8208695652165</v>
      </c>
      <c r="K96" s="69"/>
      <c r="L96" s="66"/>
      <c r="O96" s="71"/>
    </row>
    <row r="97" spans="1:15" ht="30.75" customHeight="1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0.16174857319440256</v>
      </c>
      <c r="H97" s="99">
        <f>G97+'22'!H97</f>
        <v>4.6937254089112441</v>
      </c>
      <c r="I97" s="167"/>
      <c r="J97" s="175">
        <f>H97/DAY(B2)</f>
        <v>0.20407501777874976</v>
      </c>
      <c r="K97" s="69"/>
      <c r="L97" s="66"/>
      <c r="O97" s="71"/>
    </row>
    <row r="98" spans="1:15" ht="30.75" customHeight="1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3147.0399999999936</v>
      </c>
      <c r="H98" s="99">
        <f>G98+'22'!H98</f>
        <v>68917.710000000006</v>
      </c>
      <c r="I98" s="168"/>
      <c r="J98" s="175">
        <f>H98/DAY(B2)</f>
        <v>2996.4221739130439</v>
      </c>
      <c r="K98" s="69"/>
      <c r="L98" s="66"/>
      <c r="O98" s="71"/>
    </row>
    <row r="99" spans="1:15" ht="30.75" customHeight="1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0.15195310613888505</v>
      </c>
      <c r="H99" s="99">
        <f>G99+'22'!H99</f>
        <v>3.3928024491922821</v>
      </c>
      <c r="I99" s="168"/>
      <c r="J99" s="175">
        <f>H99/DAY(B2)</f>
        <v>0.14751314996488182</v>
      </c>
      <c r="O99" s="71"/>
    </row>
    <row r="100" spans="1:15" ht="30.75" customHeight="1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2162.0299999999988</v>
      </c>
      <c r="H100" s="99">
        <f>G100+'22'!H100</f>
        <v>45846.57</v>
      </c>
      <c r="I100" s="118"/>
      <c r="J100" s="175">
        <f>H100/DAY(B2)</f>
        <v>1993.3291304347827</v>
      </c>
      <c r="K100" s="70"/>
      <c r="O100" s="71"/>
    </row>
    <row r="101" spans="1:15" ht="30.75" customHeight="1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0.10439243672322378</v>
      </c>
      <c r="H101" s="99">
        <f>G101+'22'!H101</f>
        <v>2.2563733726327952</v>
      </c>
      <c r="I101" s="168"/>
      <c r="J101" s="175">
        <f>H101/DAY(B2)</f>
        <v>9.8103190114469357E-2</v>
      </c>
      <c r="O101" s="71"/>
    </row>
    <row r="102" spans="1:15" ht="30.75" customHeight="1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2089.4399999999951</v>
      </c>
      <c r="H102" s="99">
        <f>G102+'22'!H102</f>
        <v>50049.630000000005</v>
      </c>
      <c r="I102" s="168"/>
      <c r="J102" s="175">
        <f>H102/DAY(B2)</f>
        <v>2176.0708695652174</v>
      </c>
      <c r="O102" s="71"/>
    </row>
    <row r="103" spans="1:15" ht="30.75" customHeight="1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0.10088746825297164</v>
      </c>
      <c r="H103" s="99">
        <f>G103+'22'!H103</f>
        <v>2.4588094001165035</v>
      </c>
      <c r="I103" s="118"/>
      <c r="J103" s="175">
        <f>H103/DAY(B2)</f>
        <v>0.10690475652680451</v>
      </c>
      <c r="O103" s="71"/>
    </row>
    <row r="104" spans="1:15" ht="30.75" customHeight="1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1629.7299999999959</v>
      </c>
      <c r="H104" s="99">
        <f>G104+'22'!H104</f>
        <v>38499.910000000003</v>
      </c>
      <c r="I104" s="118"/>
      <c r="J104" s="175">
        <f>H104/DAY(B2)</f>
        <v>1673.9091304347828</v>
      </c>
      <c r="O104" s="71"/>
    </row>
    <row r="105" spans="1:15" ht="30.75" customHeight="1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7.8690622193465926E-2</v>
      </c>
      <c r="H105" s="99">
        <f>G105+'22'!H105</f>
        <v>1.8982704986587458</v>
      </c>
      <c r="I105" s="187"/>
      <c r="J105" s="188">
        <f>H105/DAY(B2)</f>
        <v>8.2533499941684602E-2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30.75" customHeight="1" x14ac:dyDescent="0.5">
      <c r="A109" s="909"/>
      <c r="B109" s="909"/>
    </row>
    <row r="110" spans="1:15" ht="30.75" customHeight="1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30.75" customHeight="1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71" t="s">
        <v>252</v>
      </c>
      <c r="B112" s="872"/>
      <c r="C112" s="873"/>
      <c r="D112" s="146" t="s">
        <v>183</v>
      </c>
      <c r="E112" s="95">
        <f>'22'!F112</f>
        <v>59593.64</v>
      </c>
      <c r="F112" s="237">
        <v>59659</v>
      </c>
      <c r="G112" s="112">
        <f t="shared" ref="G112:G123" si="9">F112-E112</f>
        <v>65.360000000000582</v>
      </c>
      <c r="H112" s="99">
        <f>G112+'22'!H112</f>
        <v>1605</v>
      </c>
      <c r="I112" s="165"/>
      <c r="J112" s="328">
        <f>H112/DAY(B2)</f>
        <v>69.782608695652172</v>
      </c>
    </row>
    <row r="113" spans="1:18" ht="30.75" customHeight="1" x14ac:dyDescent="0.5">
      <c r="A113" s="871" t="s">
        <v>253</v>
      </c>
      <c r="B113" s="872"/>
      <c r="C113" s="873"/>
      <c r="D113" s="146" t="s">
        <v>183</v>
      </c>
      <c r="E113" s="95">
        <f>'22'!F113</f>
        <v>56729.52</v>
      </c>
      <c r="F113" s="237">
        <v>57194</v>
      </c>
      <c r="G113" s="112">
        <f t="shared" si="9"/>
        <v>464.4800000000032</v>
      </c>
      <c r="H113" s="99">
        <f>G113+'22'!H113</f>
        <v>10793.11</v>
      </c>
      <c r="I113" s="165"/>
      <c r="J113" s="328">
        <f>H113/DAY(B2)</f>
        <v>469.26565217391305</v>
      </c>
    </row>
    <row r="114" spans="1:18" ht="30.75" customHeight="1" x14ac:dyDescent="0.5">
      <c r="A114" s="871" t="s">
        <v>254</v>
      </c>
      <c r="B114" s="872"/>
      <c r="C114" s="873"/>
      <c r="D114" s="146" t="s">
        <v>183</v>
      </c>
      <c r="E114" s="95">
        <f>'22'!F114</f>
        <v>39874.910000000003</v>
      </c>
      <c r="F114" s="237">
        <v>40133</v>
      </c>
      <c r="G114" s="112">
        <f t="shared" si="9"/>
        <v>258.08999999999651</v>
      </c>
      <c r="H114" s="99">
        <f>G114+'22'!H114</f>
        <v>6973</v>
      </c>
      <c r="I114" s="165"/>
      <c r="J114" s="328">
        <f>H114/DAY(B2)</f>
        <v>303.17391304347825</v>
      </c>
    </row>
    <row r="115" spans="1:18" ht="30.75" customHeight="1" x14ac:dyDescent="0.5">
      <c r="A115" s="871" t="s">
        <v>255</v>
      </c>
      <c r="B115" s="872"/>
      <c r="C115" s="873"/>
      <c r="D115" s="146" t="s">
        <v>183</v>
      </c>
      <c r="E115" s="95">
        <f>'22'!F115</f>
        <v>9357.36</v>
      </c>
      <c r="F115" s="237">
        <v>9367</v>
      </c>
      <c r="G115" s="112">
        <f t="shared" si="9"/>
        <v>9.6399999999994179</v>
      </c>
      <c r="H115" s="99">
        <f>G115+'22'!H115</f>
        <v>272.35000000000036</v>
      </c>
      <c r="I115" s="165"/>
      <c r="J115" s="328">
        <f>H115/DAY(B2)</f>
        <v>11.841304347826103</v>
      </c>
    </row>
    <row r="116" spans="1:18" ht="30.75" customHeight="1" x14ac:dyDescent="0.5">
      <c r="A116" s="878" t="s">
        <v>96</v>
      </c>
      <c r="B116" s="879"/>
      <c r="C116" s="880"/>
      <c r="D116" s="146" t="s">
        <v>183</v>
      </c>
      <c r="E116" s="95">
        <f>'22'!F116</f>
        <v>6687.43</v>
      </c>
      <c r="F116" s="237">
        <v>7114</v>
      </c>
      <c r="G116" s="112">
        <f t="shared" si="9"/>
        <v>426.56999999999971</v>
      </c>
      <c r="H116" s="99">
        <f>G116+'22'!H116</f>
        <v>7114</v>
      </c>
      <c r="I116" s="165"/>
      <c r="J116" s="328">
        <f>H116/DAY(B2)</f>
        <v>309.30434782608694</v>
      </c>
      <c r="Q116" s="871" t="s">
        <v>311</v>
      </c>
      <c r="R116" s="873"/>
    </row>
    <row r="117" spans="1:18" ht="30.75" customHeight="1" x14ac:dyDescent="0.5">
      <c r="A117" s="878" t="s">
        <v>184</v>
      </c>
      <c r="B117" s="879"/>
      <c r="C117" s="880"/>
      <c r="D117" s="146" t="s">
        <v>183</v>
      </c>
      <c r="E117" s="95">
        <f>'22'!F117</f>
        <v>6770.42</v>
      </c>
      <c r="F117" s="237">
        <v>6931</v>
      </c>
      <c r="G117" s="112">
        <f t="shared" si="9"/>
        <v>160.57999999999993</v>
      </c>
      <c r="H117" s="99">
        <f>G117+'22'!H117</f>
        <v>3593.05</v>
      </c>
      <c r="I117" s="165"/>
      <c r="J117" s="328">
        <f>H117/DAY(B2)</f>
        <v>156.21956521739131</v>
      </c>
      <c r="Q117" s="871" t="s">
        <v>312</v>
      </c>
      <c r="R117" s="873"/>
    </row>
    <row r="118" spans="1:18" ht="30.75" customHeight="1" x14ac:dyDescent="0.5">
      <c r="A118" s="870" t="s">
        <v>97</v>
      </c>
      <c r="B118" s="870"/>
      <c r="C118" s="870"/>
      <c r="D118" s="151" t="s">
        <v>183</v>
      </c>
      <c r="E118" s="95">
        <f>'22'!F118</f>
        <v>260783.23</v>
      </c>
      <c r="F118" s="237">
        <v>261239</v>
      </c>
      <c r="G118" s="112">
        <f t="shared" si="9"/>
        <v>455.76999999998952</v>
      </c>
      <c r="H118" s="99">
        <f>G118+'22'!H118</f>
        <v>8786.6900000000023</v>
      </c>
      <c r="I118" s="165"/>
      <c r="J118" s="328">
        <f>H118/DAY(B2)</f>
        <v>382.03000000000009</v>
      </c>
      <c r="Q118" s="871" t="s">
        <v>311</v>
      </c>
      <c r="R118" s="873"/>
    </row>
    <row r="119" spans="1:18" ht="30.75" customHeight="1" x14ac:dyDescent="0.5">
      <c r="A119" s="870" t="s">
        <v>98</v>
      </c>
      <c r="B119" s="870"/>
      <c r="C119" s="870"/>
      <c r="D119" s="151" t="s">
        <v>183</v>
      </c>
      <c r="E119" s="95">
        <f>'22'!F119</f>
        <v>267510.83</v>
      </c>
      <c r="F119" s="237">
        <v>267975</v>
      </c>
      <c r="G119" s="112">
        <f t="shared" si="9"/>
        <v>464.1699999999837</v>
      </c>
      <c r="H119" s="99">
        <f>G119+'22'!H119</f>
        <v>9826.4500000000116</v>
      </c>
      <c r="I119" s="165"/>
      <c r="J119" s="328">
        <f>H119/DAY(B2)</f>
        <v>427.23695652173961</v>
      </c>
    </row>
    <row r="120" spans="1:18" ht="30.75" customHeight="1" x14ac:dyDescent="0.5">
      <c r="A120" s="870" t="s">
        <v>99</v>
      </c>
      <c r="B120" s="870"/>
      <c r="C120" s="870"/>
      <c r="D120" s="151" t="s">
        <v>183</v>
      </c>
      <c r="E120" s="95">
        <f>'22'!F120</f>
        <v>52364.85</v>
      </c>
      <c r="F120" s="237">
        <v>52821</v>
      </c>
      <c r="G120" s="112">
        <f t="shared" si="9"/>
        <v>456.15000000000146</v>
      </c>
      <c r="H120" s="99">
        <f>G120+'22'!H120</f>
        <v>9861.39</v>
      </c>
      <c r="I120" s="165"/>
      <c r="J120" s="328">
        <f>H120/DAY(B2)</f>
        <v>428.7560869565217</v>
      </c>
    </row>
    <row r="121" spans="1:18" ht="30.75" customHeight="1" x14ac:dyDescent="0.5">
      <c r="A121" s="870" t="s">
        <v>100</v>
      </c>
      <c r="B121" s="870"/>
      <c r="C121" s="870"/>
      <c r="D121" s="151" t="s">
        <v>183</v>
      </c>
      <c r="E121" s="95">
        <f>'22'!F121</f>
        <v>414486.15</v>
      </c>
      <c r="F121" s="237">
        <v>415299</v>
      </c>
      <c r="G121" s="112">
        <f t="shared" si="9"/>
        <v>812.84999999997672</v>
      </c>
      <c r="H121" s="99">
        <f>G121+'22'!H121</f>
        <v>17264.570000000007</v>
      </c>
      <c r="I121" s="165"/>
      <c r="J121" s="328">
        <f>H121/DAY(B2)</f>
        <v>750.63347826086988</v>
      </c>
    </row>
    <row r="122" spans="1:18" ht="30.75" customHeight="1" x14ac:dyDescent="0.5">
      <c r="A122" s="870" t="s">
        <v>101</v>
      </c>
      <c r="B122" s="870"/>
      <c r="C122" s="870"/>
      <c r="D122" s="151" t="s">
        <v>183</v>
      </c>
      <c r="E122" s="95">
        <f>'22'!F122</f>
        <v>131091.07999999999</v>
      </c>
      <c r="F122" s="237">
        <v>131351</v>
      </c>
      <c r="G122" s="112">
        <f t="shared" si="9"/>
        <v>259.92000000001281</v>
      </c>
      <c r="H122" s="99">
        <f>G122+'22'!H122</f>
        <v>5164.820000000007</v>
      </c>
      <c r="I122" s="165"/>
      <c r="J122" s="328">
        <f>H122/DAY(B2)</f>
        <v>224.55739130434813</v>
      </c>
    </row>
    <row r="123" spans="1:18" ht="30.75" customHeight="1" x14ac:dyDescent="0.5">
      <c r="A123" s="870" t="s">
        <v>102</v>
      </c>
      <c r="B123" s="870"/>
      <c r="C123" s="870"/>
      <c r="D123" s="151" t="s">
        <v>183</v>
      </c>
      <c r="E123" s="95">
        <f>'22'!F123</f>
        <v>159720.76</v>
      </c>
      <c r="F123" s="237">
        <v>159988</v>
      </c>
      <c r="G123" s="112">
        <f t="shared" si="9"/>
        <v>267.23999999999069</v>
      </c>
      <c r="H123" s="99">
        <f>G123+'22'!H123</f>
        <v>5941.0499999999884</v>
      </c>
      <c r="I123" s="165"/>
      <c r="J123" s="328">
        <f>H123/DAY(B2)</f>
        <v>258.30652173912995</v>
      </c>
    </row>
    <row r="124" spans="1:18" ht="30.75" customHeight="1" x14ac:dyDescent="0.5">
      <c r="A124" s="875"/>
      <c r="B124" s="876"/>
      <c r="C124" s="877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4100.8199999999542</v>
      </c>
      <c r="H125" s="156"/>
      <c r="I125" s="327">
        <f>G125-(G39+G53)</f>
        <v>953.77999999996064</v>
      </c>
      <c r="J125" s="327"/>
    </row>
    <row r="126" spans="1:18" ht="30.75" customHeight="1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30.75" customHeight="1" x14ac:dyDescent="0.5">
      <c r="A127" s="860"/>
      <c r="B127" s="860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 x14ac:dyDescent="0.5">
      <c r="A128" s="871" t="s">
        <v>318</v>
      </c>
      <c r="B128" s="872"/>
      <c r="C128" s="873"/>
      <c r="D128" s="151" t="s">
        <v>183</v>
      </c>
      <c r="E128" s="95">
        <f>'22'!F128</f>
        <v>54599.9</v>
      </c>
      <c r="F128" s="155">
        <v>54894</v>
      </c>
      <c r="G128" s="112">
        <f t="shared" ref="G128:G134" si="10">F128-E128</f>
        <v>294.09999999999854</v>
      </c>
      <c r="H128" s="99">
        <f>G128+'22'!H128</f>
        <v>7148</v>
      </c>
      <c r="I128" s="165"/>
      <c r="J128" s="328">
        <f>H128/DAY(B2)</f>
        <v>310.78260869565219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'22'!F129</f>
        <v>31905.84</v>
      </c>
      <c r="F129" s="155">
        <v>32134</v>
      </c>
      <c r="G129" s="112">
        <f t="shared" si="10"/>
        <v>228.15999999999985</v>
      </c>
      <c r="H129" s="99">
        <f>G129+'22'!H129</f>
        <v>5223.130000000001</v>
      </c>
      <c r="I129" s="165"/>
      <c r="J129" s="328">
        <f>H129/DAY(B2)</f>
        <v>227.09260869565222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'22'!F130</f>
        <v>49346.44</v>
      </c>
      <c r="F130" s="155">
        <v>50014</v>
      </c>
      <c r="G130" s="112">
        <f t="shared" si="10"/>
        <v>667.55999999999767</v>
      </c>
      <c r="H130" s="99">
        <f>G130+'22'!H130</f>
        <v>14320</v>
      </c>
      <c r="I130" s="165"/>
      <c r="J130" s="328">
        <f>H130/DAY(B2)</f>
        <v>622.60869565217388</v>
      </c>
      <c r="N130" s="240"/>
      <c r="O130" s="241"/>
    </row>
    <row r="131" spans="1:15" ht="30.75" customHeight="1" x14ac:dyDescent="0.5">
      <c r="A131" s="871" t="s">
        <v>321</v>
      </c>
      <c r="B131" s="872"/>
      <c r="C131" s="873"/>
      <c r="D131" s="151" t="s">
        <v>183</v>
      </c>
      <c r="E131" s="95">
        <f>'22'!F131</f>
        <v>17853.68</v>
      </c>
      <c r="F131" s="155">
        <v>18012</v>
      </c>
      <c r="G131" s="112">
        <f t="shared" si="10"/>
        <v>158.31999999999971</v>
      </c>
      <c r="H131" s="99">
        <f>G131+'22'!H131</f>
        <v>2704.3199999999997</v>
      </c>
      <c r="I131" s="165"/>
      <c r="J131" s="328">
        <f>H131/DAY(B2)</f>
        <v>117.5791304347826</v>
      </c>
      <c r="N131" s="240"/>
      <c r="O131" s="241"/>
    </row>
    <row r="132" spans="1:15" ht="30.75" customHeight="1" x14ac:dyDescent="0.5">
      <c r="A132" s="871" t="s">
        <v>322</v>
      </c>
      <c r="B132" s="872"/>
      <c r="C132" s="873"/>
      <c r="D132" s="151" t="s">
        <v>183</v>
      </c>
      <c r="E132" s="95">
        <f>'22'!F132</f>
        <v>60592.47</v>
      </c>
      <c r="F132" s="155">
        <v>61009</v>
      </c>
      <c r="G132" s="112">
        <f t="shared" si="10"/>
        <v>416.52999999999884</v>
      </c>
      <c r="H132" s="99">
        <f>G132+'22'!H132</f>
        <v>9160.6999999999971</v>
      </c>
      <c r="I132" s="165"/>
      <c r="J132" s="328">
        <f>H132/DAY(B2)</f>
        <v>398.29130434782599</v>
      </c>
    </row>
    <row r="133" spans="1:15" ht="30.75" customHeight="1" x14ac:dyDescent="0.5">
      <c r="A133" s="871" t="s">
        <v>362</v>
      </c>
      <c r="B133" s="872"/>
      <c r="C133" s="873"/>
      <c r="D133" s="151" t="s">
        <v>183</v>
      </c>
      <c r="E133" s="95">
        <f>'22'!F133</f>
        <v>119390.48</v>
      </c>
      <c r="F133" s="155">
        <v>120047</v>
      </c>
      <c r="G133" s="112">
        <f t="shared" si="10"/>
        <v>656.52000000000407</v>
      </c>
      <c r="H133" s="99">
        <f>G133+'22'!H133</f>
        <v>14703.300000000003</v>
      </c>
      <c r="I133" s="165"/>
      <c r="J133" s="328">
        <f>H133/DAY(B2)</f>
        <v>639.27391304347839</v>
      </c>
    </row>
    <row r="134" spans="1:15" ht="30.75" customHeight="1" x14ac:dyDescent="0.5">
      <c r="A134" s="871" t="s">
        <v>340</v>
      </c>
      <c r="B134" s="872"/>
      <c r="C134" s="873"/>
      <c r="D134" s="151" t="s">
        <v>183</v>
      </c>
      <c r="E134" s="95">
        <f>'22'!F134</f>
        <v>12447.11</v>
      </c>
      <c r="F134" s="374">
        <v>12596</v>
      </c>
      <c r="G134" s="112">
        <f t="shared" si="10"/>
        <v>148.88999999999942</v>
      </c>
      <c r="H134" s="99">
        <f>G134+'22'!H134</f>
        <v>3994.7700000000004</v>
      </c>
      <c r="I134" s="165"/>
      <c r="J134" s="328">
        <f>H134/DAY(B2)</f>
        <v>173.68565217391307</v>
      </c>
    </row>
    <row r="135" spans="1:15" ht="30.75" customHeight="1" x14ac:dyDescent="0.5">
      <c r="A135" s="855" t="s">
        <v>196</v>
      </c>
      <c r="B135" s="856"/>
      <c r="C135" s="331"/>
      <c r="D135" s="151"/>
      <c r="E135" s="95"/>
      <c r="F135" s="591"/>
      <c r="G135" s="112">
        <f>SUM(G128:G134)</f>
        <v>2570.0799999999981</v>
      </c>
      <c r="H135" s="99">
        <f>G135+'10'!H135</f>
        <v>26026.3</v>
      </c>
      <c r="I135" s="327">
        <f>G135-(G35+G49)</f>
        <v>-411.98000000000684</v>
      </c>
      <c r="J135" s="328"/>
    </row>
    <row r="136" spans="1:15" ht="30.75" customHeight="1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70" t="s">
        <v>185</v>
      </c>
      <c r="B138" s="870"/>
      <c r="C138" s="870"/>
      <c r="D138" s="151" t="s">
        <v>183</v>
      </c>
      <c r="E138" s="95">
        <f>'22'!F138</f>
        <v>868285</v>
      </c>
      <c r="F138" s="147">
        <v>868395</v>
      </c>
      <c r="G138" s="112">
        <f t="shared" ref="G138:G152" si="11">F138-E138</f>
        <v>110</v>
      </c>
      <c r="H138" s="99">
        <f>G138+'22'!H138</f>
        <v>2222</v>
      </c>
      <c r="I138" s="118"/>
      <c r="J138" s="328">
        <f>H138/DAY(B2)</f>
        <v>96.608695652173907</v>
      </c>
    </row>
    <row r="139" spans="1:15" ht="30.75" customHeight="1" x14ac:dyDescent="0.5">
      <c r="A139" s="870" t="s">
        <v>186</v>
      </c>
      <c r="B139" s="870"/>
      <c r="C139" s="870"/>
      <c r="D139" s="151" t="s">
        <v>183</v>
      </c>
      <c r="E139" s="95">
        <f>'22'!F139</f>
        <v>886685</v>
      </c>
      <c r="F139" s="148">
        <v>886686</v>
      </c>
      <c r="G139" s="112">
        <f t="shared" si="11"/>
        <v>1</v>
      </c>
      <c r="H139" s="99">
        <f>G139+'22'!H139</f>
        <v>113</v>
      </c>
      <c r="I139" s="118"/>
      <c r="J139" s="328">
        <f>H139/DAY(B2)</f>
        <v>4.9130434782608692</v>
      </c>
    </row>
    <row r="140" spans="1:15" ht="30.75" customHeight="1" x14ac:dyDescent="0.5">
      <c r="A140" s="870" t="s">
        <v>187</v>
      </c>
      <c r="B140" s="870"/>
      <c r="C140" s="870"/>
      <c r="D140" s="151" t="s">
        <v>183</v>
      </c>
      <c r="E140" s="95">
        <f>'22'!F140</f>
        <v>88951.93</v>
      </c>
      <c r="F140" s="149">
        <v>88953</v>
      </c>
      <c r="G140" s="112">
        <f t="shared" si="11"/>
        <v>1.0700000000069849</v>
      </c>
      <c r="H140" s="99">
        <f>G140+'22'!H140</f>
        <v>31</v>
      </c>
      <c r="I140" s="118"/>
      <c r="J140" s="328">
        <f>H140/DAY(B2)</f>
        <v>1.3478260869565217</v>
      </c>
    </row>
    <row r="141" spans="1:15" ht="30.75" customHeight="1" x14ac:dyDescent="0.5">
      <c r="A141" s="851" t="s">
        <v>188</v>
      </c>
      <c r="B141" s="851"/>
      <c r="C141" s="851"/>
      <c r="D141" s="151" t="s">
        <v>183</v>
      </c>
      <c r="E141" s="95">
        <f>'22'!F141</f>
        <v>58617.7</v>
      </c>
      <c r="F141" s="149">
        <v>58797</v>
      </c>
      <c r="G141" s="112">
        <f t="shared" si="11"/>
        <v>179.30000000000291</v>
      </c>
      <c r="H141" s="99">
        <f>G141+'22'!H141</f>
        <v>4111.4199999999983</v>
      </c>
      <c r="I141" s="118"/>
      <c r="J141" s="328">
        <f>H141/DAY(B2)</f>
        <v>178.75739130434775</v>
      </c>
    </row>
    <row r="142" spans="1:15" ht="30.75" customHeight="1" x14ac:dyDescent="0.5">
      <c r="A142" s="851" t="s">
        <v>189</v>
      </c>
      <c r="B142" s="851"/>
      <c r="C142" s="851"/>
      <c r="D142" s="151" t="s">
        <v>183</v>
      </c>
      <c r="E142" s="95">
        <f>'22'!F142</f>
        <v>22784.16</v>
      </c>
      <c r="F142" s="148">
        <v>22851</v>
      </c>
      <c r="G142" s="112">
        <f t="shared" si="11"/>
        <v>66.840000000000146</v>
      </c>
      <c r="H142" s="99">
        <f>G142+'22'!H142</f>
        <v>1566.9000000000015</v>
      </c>
      <c r="I142" s="140"/>
      <c r="J142" s="328">
        <f>H142/DAY(B2)</f>
        <v>68.126086956521803</v>
      </c>
    </row>
    <row r="143" spans="1:15" ht="30.75" customHeight="1" x14ac:dyDescent="0.5">
      <c r="A143" s="870" t="s">
        <v>91</v>
      </c>
      <c r="B143" s="870"/>
      <c r="C143" s="870"/>
      <c r="D143" s="151" t="s">
        <v>183</v>
      </c>
      <c r="E143" s="95">
        <f>'22'!F143</f>
        <v>4445.5</v>
      </c>
      <c r="F143" s="149">
        <v>4476</v>
      </c>
      <c r="G143" s="112">
        <f t="shared" si="11"/>
        <v>30.5</v>
      </c>
      <c r="H143" s="99">
        <f>G143+'22'!H143</f>
        <v>640.61000000000013</v>
      </c>
      <c r="I143" s="140"/>
      <c r="J143" s="328">
        <f>H143/DAY(B2)</f>
        <v>27.852608695652179</v>
      </c>
    </row>
    <row r="144" spans="1:15" ht="30.75" customHeight="1" x14ac:dyDescent="0.5">
      <c r="A144" s="851" t="s">
        <v>90</v>
      </c>
      <c r="B144" s="851"/>
      <c r="C144" s="851"/>
      <c r="D144" s="151" t="s">
        <v>183</v>
      </c>
      <c r="E144" s="95">
        <f>'22'!F144</f>
        <v>881104</v>
      </c>
      <c r="F144" s="149">
        <v>881317</v>
      </c>
      <c r="G144" s="112">
        <f t="shared" si="11"/>
        <v>213</v>
      </c>
      <c r="H144" s="99">
        <f>G144+'22'!H144</f>
        <v>4830</v>
      </c>
      <c r="I144" s="140"/>
      <c r="J144" s="328">
        <f>H144/DAY(B2)</f>
        <v>210</v>
      </c>
    </row>
    <row r="145" spans="1:10" ht="30.75" customHeight="1" x14ac:dyDescent="0.5">
      <c r="A145" s="870" t="s">
        <v>190</v>
      </c>
      <c r="B145" s="870"/>
      <c r="C145" s="870"/>
      <c r="D145" s="152" t="s">
        <v>183</v>
      </c>
      <c r="E145" s="95">
        <f>'22'!F145</f>
        <v>5254.07</v>
      </c>
      <c r="F145" s="149">
        <v>5273</v>
      </c>
      <c r="G145" s="112">
        <f t="shared" si="11"/>
        <v>18.930000000000291</v>
      </c>
      <c r="H145" s="99">
        <f>G145+'22'!H145</f>
        <v>314.15999999999985</v>
      </c>
      <c r="I145" s="140"/>
      <c r="J145" s="328">
        <f>H145/DAY(B2)</f>
        <v>13.659130434782602</v>
      </c>
    </row>
    <row r="146" spans="1:10" ht="30.75" customHeight="1" x14ac:dyDescent="0.5">
      <c r="A146" s="905" t="s">
        <v>191</v>
      </c>
      <c r="B146" s="890"/>
      <c r="C146" s="891"/>
      <c r="D146" s="152" t="s">
        <v>183</v>
      </c>
      <c r="E146" s="95">
        <f>'22'!F146</f>
        <v>747051</v>
      </c>
      <c r="F146" s="148">
        <v>747522</v>
      </c>
      <c r="G146" s="112">
        <f t="shared" si="11"/>
        <v>471</v>
      </c>
      <c r="H146" s="99">
        <f>G146+'22'!H146</f>
        <v>10189</v>
      </c>
      <c r="I146" s="140"/>
      <c r="J146" s="328">
        <f>H146/DAY(B2)</f>
        <v>443</v>
      </c>
    </row>
    <row r="147" spans="1:10" ht="30.75" customHeight="1" x14ac:dyDescent="0.5">
      <c r="A147" s="851" t="s">
        <v>192</v>
      </c>
      <c r="B147" s="851"/>
      <c r="C147" s="851"/>
      <c r="D147" s="152" t="s">
        <v>183</v>
      </c>
      <c r="E147" s="95">
        <f>'22'!F147</f>
        <v>635333.16</v>
      </c>
      <c r="F147" s="148">
        <v>635662</v>
      </c>
      <c r="G147" s="112">
        <f t="shared" si="11"/>
        <v>328.8399999999674</v>
      </c>
      <c r="H147" s="99">
        <f>G147+'22'!H147</f>
        <v>9049.4799999999814</v>
      </c>
      <c r="I147" s="140"/>
      <c r="J147" s="328">
        <f>H147/DAY(B2)</f>
        <v>393.45565217391226</v>
      </c>
    </row>
    <row r="148" spans="1:10" ht="30.75" customHeight="1" x14ac:dyDescent="0.5">
      <c r="A148" s="852" t="s">
        <v>193</v>
      </c>
      <c r="B148" s="853"/>
      <c r="C148" s="854"/>
      <c r="D148" s="123" t="s">
        <v>130</v>
      </c>
      <c r="E148" s="95">
        <f>'22'!F148</f>
        <v>696181.44</v>
      </c>
      <c r="F148" s="150">
        <v>696482</v>
      </c>
      <c r="G148" s="112">
        <f t="shared" si="11"/>
        <v>300.56000000005588</v>
      </c>
      <c r="H148" s="99">
        <f>G148+'22'!H148</f>
        <v>7039.0400000000373</v>
      </c>
      <c r="I148" s="124"/>
      <c r="J148" s="328">
        <f>H148/DAY(B2)</f>
        <v>306.04521739130598</v>
      </c>
    </row>
    <row r="149" spans="1:10" ht="30.75" customHeight="1" x14ac:dyDescent="0.5">
      <c r="A149" s="852" t="s">
        <v>336</v>
      </c>
      <c r="B149" s="853"/>
      <c r="C149" s="854"/>
      <c r="D149" s="227" t="s">
        <v>130</v>
      </c>
      <c r="E149" s="95">
        <f>'22'!F149</f>
        <v>37849.19</v>
      </c>
      <c r="F149" s="227">
        <v>38519</v>
      </c>
      <c r="G149" s="112">
        <f t="shared" si="11"/>
        <v>669.80999999999767</v>
      </c>
      <c r="H149" s="99">
        <f>G149+'22'!H149</f>
        <v>13840.8</v>
      </c>
      <c r="I149" s="119"/>
      <c r="J149" s="328">
        <f>H149/DAY(B2)</f>
        <v>601.77391304347827</v>
      </c>
    </row>
    <row r="150" spans="1:10" ht="30.75" customHeight="1" x14ac:dyDescent="0.5">
      <c r="A150" s="852" t="s">
        <v>337</v>
      </c>
      <c r="B150" s="853"/>
      <c r="C150" s="854"/>
      <c r="D150" s="117" t="s">
        <v>130</v>
      </c>
      <c r="E150" s="95">
        <f>'22'!F150</f>
        <v>15849.26</v>
      </c>
      <c r="F150" s="233">
        <v>16080</v>
      </c>
      <c r="G150" s="112">
        <f t="shared" si="11"/>
        <v>230.73999999999978</v>
      </c>
      <c r="H150" s="99">
        <f>G150+'22'!H150</f>
        <v>5229.17</v>
      </c>
      <c r="I150" s="119"/>
      <c r="J150" s="328">
        <f>H150/DAY(B2)</f>
        <v>227.35521739130436</v>
      </c>
    </row>
    <row r="151" spans="1:10" ht="30.75" customHeight="1" x14ac:dyDescent="0.5">
      <c r="A151" s="852" t="s">
        <v>338</v>
      </c>
      <c r="B151" s="853"/>
      <c r="C151" s="854"/>
      <c r="D151" s="117" t="s">
        <v>130</v>
      </c>
      <c r="E151" s="95">
        <f>'22'!F151</f>
        <v>90886</v>
      </c>
      <c r="F151" s="233">
        <v>91121</v>
      </c>
      <c r="G151" s="112">
        <f t="shared" si="11"/>
        <v>235</v>
      </c>
      <c r="H151" s="99">
        <f>G151+'22'!H151</f>
        <v>5641</v>
      </c>
      <c r="I151" s="119"/>
      <c r="J151" s="328">
        <f>H151/DAY(B2)</f>
        <v>245.2608695652174</v>
      </c>
    </row>
    <row r="152" spans="1:10" ht="30.75" customHeight="1" x14ac:dyDescent="0.5">
      <c r="A152" s="852" t="s">
        <v>339</v>
      </c>
      <c r="B152" s="853"/>
      <c r="C152" s="854"/>
      <c r="D152" s="117" t="s">
        <v>130</v>
      </c>
      <c r="E152" s="95">
        <f>'22'!F152</f>
        <v>3375.5</v>
      </c>
      <c r="F152" s="233">
        <v>3505</v>
      </c>
      <c r="G152" s="112">
        <f t="shared" si="11"/>
        <v>129.5</v>
      </c>
      <c r="H152" s="99">
        <f>G152+'22'!H152</f>
        <v>1845</v>
      </c>
      <c r="I152" s="119"/>
      <c r="J152" s="328">
        <f>H152/DAY(B2)</f>
        <v>80.217391304347828</v>
      </c>
    </row>
    <row r="153" spans="1:10" ht="30.75" customHeight="1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2986.0900000000311</v>
      </c>
      <c r="H153" s="363"/>
      <c r="I153" s="119">
        <f>G153-(G38+G52)</f>
        <v>824.06000000003223</v>
      </c>
      <c r="J153" s="366"/>
    </row>
    <row r="154" spans="1:10" ht="30.75" customHeight="1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0.75" customHeight="1" x14ac:dyDescent="0.55000000000000004">
      <c r="A155" s="851" t="s">
        <v>345</v>
      </c>
      <c r="B155" s="851"/>
      <c r="C155" s="851"/>
      <c r="D155" s="117" t="s">
        <v>130</v>
      </c>
      <c r="E155" s="95">
        <f>'22'!F155</f>
        <v>47674.73</v>
      </c>
      <c r="F155" s="374">
        <v>48365</v>
      </c>
      <c r="G155" s="112">
        <f t="shared" ref="G155:G158" si="12">F155-E155</f>
        <v>690.2699999999968</v>
      </c>
      <c r="H155" s="99">
        <f>G155+'22'!H155</f>
        <v>15420</v>
      </c>
      <c r="I155" s="364"/>
      <c r="J155" s="161">
        <v>329</v>
      </c>
    </row>
    <row r="156" spans="1:10" ht="30.75" customHeight="1" x14ac:dyDescent="0.5">
      <c r="A156" s="851" t="s">
        <v>347</v>
      </c>
      <c r="B156" s="851"/>
      <c r="C156" s="851"/>
      <c r="D156" s="117" t="s">
        <v>130</v>
      </c>
      <c r="E156" s="95">
        <f>'22'!F156</f>
        <v>3933.47</v>
      </c>
      <c r="F156" s="374">
        <v>3988</v>
      </c>
      <c r="G156" s="112">
        <f t="shared" si="12"/>
        <v>54.5300000000002</v>
      </c>
      <c r="H156" s="99">
        <f>G156+'22'!H156</f>
        <v>1200</v>
      </c>
      <c r="I156" s="165"/>
      <c r="J156" s="328">
        <f>H156/DAY(B2)</f>
        <v>52.173913043478258</v>
      </c>
    </row>
    <row r="157" spans="1:10" ht="30.75" customHeight="1" x14ac:dyDescent="0.5">
      <c r="A157" s="852" t="s">
        <v>363</v>
      </c>
      <c r="B157" s="853"/>
      <c r="C157" s="854"/>
      <c r="D157" s="117" t="s">
        <v>130</v>
      </c>
      <c r="E157" s="95">
        <f>'22'!F157</f>
        <v>6537.24</v>
      </c>
      <c r="F157" s="95">
        <v>6635</v>
      </c>
      <c r="G157" s="112">
        <f t="shared" si="12"/>
        <v>97.760000000000218</v>
      </c>
      <c r="H157" s="99">
        <f>G157+'22'!H157</f>
        <v>443.53999999999996</v>
      </c>
      <c r="I157" s="165"/>
      <c r="J157" s="328">
        <f>H157/DAY(B2)</f>
        <v>19.284347826086954</v>
      </c>
    </row>
    <row r="158" spans="1:10" ht="30.75" customHeight="1" x14ac:dyDescent="0.5">
      <c r="A158" s="852" t="s">
        <v>364</v>
      </c>
      <c r="B158" s="853"/>
      <c r="C158" s="854"/>
      <c r="D158" s="117" t="s">
        <v>130</v>
      </c>
      <c r="E158" s="95">
        <f>'22'!F158</f>
        <v>74.34</v>
      </c>
      <c r="F158" s="95">
        <v>74.459999999999994</v>
      </c>
      <c r="G158" s="112">
        <f t="shared" si="12"/>
        <v>0.11999999999999034</v>
      </c>
      <c r="H158" s="99">
        <f>G158+'22'!H158</f>
        <v>0.28999999999999204</v>
      </c>
      <c r="I158" s="165"/>
      <c r="J158" s="328">
        <f>H158/DAY(B2)</f>
        <v>1.2608695652173567E-2</v>
      </c>
    </row>
    <row r="159" spans="1:10" ht="30.75" customHeight="1" x14ac:dyDescent="0.5">
      <c r="A159" s="935"/>
      <c r="B159" s="936"/>
      <c r="C159" s="937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472684.04</v>
      </c>
      <c r="F161" s="235">
        <v>472705</v>
      </c>
      <c r="G161" s="238">
        <f t="shared" ref="G161:G165" si="13">F161-E161</f>
        <v>20.960000000020955</v>
      </c>
      <c r="H161" s="99">
        <f>G161+'22'!H161</f>
        <v>651.44000000000233</v>
      </c>
      <c r="I161" s="236"/>
      <c r="J161" s="239">
        <f>H161/DAY(B2)</f>
        <v>28.323478260869667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89325</v>
      </c>
      <c r="F162" s="235">
        <v>89360</v>
      </c>
      <c r="G162" s="238">
        <f t="shared" si="13"/>
        <v>35</v>
      </c>
      <c r="H162" s="99">
        <f>G162+'22'!H162</f>
        <v>843.60000000000582</v>
      </c>
      <c r="I162" s="236"/>
      <c r="J162" s="239">
        <f>H162/DAY(B2)</f>
        <v>36.67826086956547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80683.7</v>
      </c>
      <c r="F163" s="235">
        <v>80801</v>
      </c>
      <c r="G163" s="238">
        <f t="shared" si="13"/>
        <v>117.30000000000291</v>
      </c>
      <c r="H163" s="99">
        <f>G163+'22'!H163</f>
        <v>1580.8999999999942</v>
      </c>
      <c r="I163" s="236"/>
      <c r="J163" s="239">
        <f>H163/DAY(B2)</f>
        <v>68.734782608695397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4355.3</v>
      </c>
      <c r="F164" s="235">
        <v>4359</v>
      </c>
      <c r="G164" s="238">
        <f t="shared" si="13"/>
        <v>3.6999999999998181</v>
      </c>
      <c r="H164" s="99">
        <f>G164+'22'!H164</f>
        <v>39</v>
      </c>
      <c r="I164" s="236"/>
      <c r="J164" s="239">
        <f>H164/DAY(B2)</f>
        <v>1.6956521739130435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30044.51</v>
      </c>
      <c r="F165" s="235">
        <v>30054</v>
      </c>
      <c r="G165" s="238">
        <f t="shared" si="13"/>
        <v>9.4900000000016007</v>
      </c>
      <c r="H165" s="99">
        <f>G165+'22'!H165</f>
        <v>196.75</v>
      </c>
      <c r="I165" s="236"/>
      <c r="J165" s="239">
        <f>H165/DAY(B2)</f>
        <v>8.554347826086957</v>
      </c>
    </row>
    <row r="166" spans="1:10" ht="30.75" customHeight="1" x14ac:dyDescent="0.5">
      <c r="A166" s="860"/>
      <c r="B166" s="860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860"/>
      <c r="B167" s="860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860"/>
      <c r="B168" s="860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30.75" customHeight="1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64" t="s">
        <v>209</v>
      </c>
      <c r="B173" s="865"/>
      <c r="C173" s="333"/>
      <c r="D173" s="228" t="s">
        <v>142</v>
      </c>
      <c r="E173" s="95">
        <f>'22'!F173</f>
        <v>8183</v>
      </c>
      <c r="F173" s="155">
        <v>8183</v>
      </c>
      <c r="G173" s="155">
        <f>F173-E173</f>
        <v>0</v>
      </c>
      <c r="H173" s="99">
        <f>G173+'22'!H173</f>
        <v>57</v>
      </c>
      <c r="I173" s="155"/>
      <c r="J173" s="178">
        <f>H173/DAY(B2)</f>
        <v>2.4782608695652173</v>
      </c>
    </row>
    <row r="174" spans="1:10" ht="30.75" customHeight="1" x14ac:dyDescent="0.5">
      <c r="A174" s="864" t="s">
        <v>75</v>
      </c>
      <c r="B174" s="865"/>
      <c r="C174" s="333"/>
      <c r="D174" s="228" t="s">
        <v>142</v>
      </c>
      <c r="E174" s="95">
        <f>'22'!F174</f>
        <v>38927</v>
      </c>
      <c r="F174" s="157">
        <v>38939</v>
      </c>
      <c r="G174" s="155">
        <f t="shared" ref="G174:G175" si="14">F174-E174</f>
        <v>12</v>
      </c>
      <c r="H174" s="99">
        <f>G174+'22'!H174</f>
        <v>324</v>
      </c>
      <c r="I174" s="155"/>
      <c r="J174" s="178">
        <f>H174/DAY(B2)</f>
        <v>14.086956521739131</v>
      </c>
    </row>
    <row r="175" spans="1:10" ht="30.75" customHeight="1" x14ac:dyDescent="0.5">
      <c r="A175" s="864" t="s">
        <v>76</v>
      </c>
      <c r="B175" s="904"/>
      <c r="C175" s="865"/>
      <c r="D175" s="228" t="s">
        <v>142</v>
      </c>
      <c r="E175" s="95">
        <f>'22'!F175</f>
        <v>22074</v>
      </c>
      <c r="F175" s="155">
        <v>22086</v>
      </c>
      <c r="G175" s="155">
        <f t="shared" si="14"/>
        <v>12</v>
      </c>
      <c r="H175" s="99">
        <f>G175+'22'!H175</f>
        <v>273</v>
      </c>
      <c r="I175" s="155"/>
      <c r="J175" s="178">
        <f>H175/DAY(B2)</f>
        <v>11.869565217391305</v>
      </c>
    </row>
    <row r="176" spans="1:10" ht="30.75" customHeight="1" x14ac:dyDescent="0.5">
      <c r="A176" s="855" t="s">
        <v>196</v>
      </c>
      <c r="B176" s="856"/>
      <c r="C176" s="483"/>
      <c r="D176" s="228"/>
      <c r="E176" s="95"/>
      <c r="F176" s="155"/>
      <c r="G176" s="155">
        <f>SUM(G173:G175)</f>
        <v>24</v>
      </c>
      <c r="H176" s="99">
        <f>G176+'22'!H176</f>
        <v>654</v>
      </c>
      <c r="I176" s="155"/>
      <c r="J176" s="178">
        <f>H176/DAY(B2)</f>
        <v>28.434782608695652</v>
      </c>
    </row>
    <row r="177" spans="1:10" ht="30.75" customHeight="1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864" t="s">
        <v>210</v>
      </c>
      <c r="B178" s="865"/>
      <c r="C178" s="333"/>
      <c r="D178" s="228" t="s">
        <v>142</v>
      </c>
      <c r="E178" s="95">
        <f>'22'!F178</f>
        <v>82572</v>
      </c>
      <c r="F178" s="155">
        <v>82636</v>
      </c>
      <c r="G178" s="155">
        <f>F178-E178</f>
        <v>64</v>
      </c>
      <c r="H178" s="99">
        <f>G178+'22'!H178</f>
        <v>1321</v>
      </c>
      <c r="I178" s="155"/>
      <c r="J178" s="178">
        <f>H178/DAY(B2)</f>
        <v>57.434782608695649</v>
      </c>
    </row>
    <row r="179" spans="1:10" ht="30.75" customHeight="1" x14ac:dyDescent="0.5">
      <c r="A179" s="864" t="s">
        <v>211</v>
      </c>
      <c r="B179" s="865"/>
      <c r="C179" s="333"/>
      <c r="D179" s="228" t="s">
        <v>142</v>
      </c>
      <c r="E179" s="95">
        <f>'22'!F179</f>
        <v>35296</v>
      </c>
      <c r="F179" s="155">
        <v>35342</v>
      </c>
      <c r="G179" s="155">
        <f t="shared" ref="G179:G180" si="15">F179-E179</f>
        <v>46</v>
      </c>
      <c r="H179" s="99">
        <f>G179+'22'!H179</f>
        <v>539</v>
      </c>
      <c r="I179" s="155"/>
      <c r="J179" s="178">
        <f>H179/DAY(B2)</f>
        <v>23.434782608695652</v>
      </c>
    </row>
    <row r="180" spans="1:10" ht="30.75" customHeight="1" x14ac:dyDescent="0.5">
      <c r="A180" s="864" t="s">
        <v>212</v>
      </c>
      <c r="B180" s="865"/>
      <c r="C180" s="333"/>
      <c r="D180" s="228" t="s">
        <v>142</v>
      </c>
      <c r="E180" s="95">
        <f>'22'!F180</f>
        <v>5836</v>
      </c>
      <c r="F180" s="155">
        <v>5836</v>
      </c>
      <c r="G180" s="155">
        <f t="shared" si="15"/>
        <v>0</v>
      </c>
      <c r="H180" s="99">
        <f>G180+'22'!H180</f>
        <v>134</v>
      </c>
      <c r="I180" s="155"/>
      <c r="J180" s="178">
        <f>H180/DAY(B2)</f>
        <v>5.8260869565217392</v>
      </c>
    </row>
    <row r="181" spans="1:10" ht="30.75" customHeight="1" x14ac:dyDescent="0.5">
      <c r="A181" s="866" t="s">
        <v>108</v>
      </c>
      <c r="B181" s="867"/>
      <c r="C181" s="483"/>
      <c r="D181" s="228"/>
      <c r="E181" s="95"/>
      <c r="F181" s="155"/>
      <c r="G181" s="155">
        <f>SUM(G178:G180)</f>
        <v>110</v>
      </c>
      <c r="H181" s="99">
        <f>G181+'22'!H181</f>
        <v>1994</v>
      </c>
      <c r="I181" s="155"/>
      <c r="J181" s="178">
        <f>H181/DAY(B2)</f>
        <v>86.695652173913047</v>
      </c>
    </row>
    <row r="182" spans="1:10" ht="30.75" customHeight="1" x14ac:dyDescent="0.5">
      <c r="A182" s="864" t="s">
        <v>213</v>
      </c>
      <c r="B182" s="865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864" t="s">
        <v>214</v>
      </c>
      <c r="B183" s="865"/>
      <c r="C183" s="334"/>
      <c r="D183" s="228" t="s">
        <v>142</v>
      </c>
      <c r="E183" s="95">
        <f>'22'!F183</f>
        <v>15676</v>
      </c>
      <c r="F183" s="157">
        <v>15685</v>
      </c>
      <c r="G183" s="157">
        <f>F183-E183</f>
        <v>9</v>
      </c>
      <c r="H183" s="99">
        <f>G183+'22'!H183</f>
        <v>340</v>
      </c>
      <c r="I183" s="155"/>
      <c r="J183" s="178">
        <f>H183/DAY(B2)</f>
        <v>14.782608695652174</v>
      </c>
    </row>
    <row r="184" spans="1:10" ht="30.75" customHeight="1" x14ac:dyDescent="0.5">
      <c r="A184" s="864" t="s">
        <v>215</v>
      </c>
      <c r="B184" s="865"/>
      <c r="C184" s="334"/>
      <c r="D184" s="228" t="s">
        <v>142</v>
      </c>
      <c r="E184" s="95">
        <f>'22'!F184</f>
        <v>10757</v>
      </c>
      <c r="F184" s="157">
        <v>10766</v>
      </c>
      <c r="G184" s="157">
        <f t="shared" ref="G184:G185" si="16">F184-E184</f>
        <v>9</v>
      </c>
      <c r="H184" s="99">
        <f>G184+'22'!H184</f>
        <v>248</v>
      </c>
      <c r="I184" s="155"/>
      <c r="J184" s="178">
        <f>H184/DAY(B2)</f>
        <v>10.782608695652174</v>
      </c>
    </row>
    <row r="185" spans="1:10" ht="30.75" customHeight="1" x14ac:dyDescent="0.5">
      <c r="A185" s="864" t="s">
        <v>216</v>
      </c>
      <c r="B185" s="865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855" t="s">
        <v>196</v>
      </c>
      <c r="B186" s="856"/>
      <c r="C186" s="482"/>
      <c r="D186" s="229"/>
      <c r="E186" s="95"/>
      <c r="F186" s="157"/>
      <c r="G186" s="157">
        <f>SUM(G183:G185)</f>
        <v>18</v>
      </c>
      <c r="H186" s="99">
        <f>G186+'22'!H186</f>
        <v>588</v>
      </c>
      <c r="I186" s="157"/>
      <c r="J186" s="178">
        <f>H186/DAY(B2)</f>
        <v>25.565217391304348</v>
      </c>
    </row>
    <row r="187" spans="1:10" ht="30.75" customHeight="1" x14ac:dyDescent="0.5">
      <c r="A187" s="857" t="s">
        <v>217</v>
      </c>
      <c r="B187" s="858"/>
      <c r="C187" s="333"/>
      <c r="D187" s="230" t="s">
        <v>142</v>
      </c>
      <c r="E187" s="95"/>
      <c r="F187" s="159"/>
      <c r="G187" s="460">
        <f>G62+G19</f>
        <v>200</v>
      </c>
      <c r="H187" s="99">
        <f>G187+'22'!H187</f>
        <v>4476</v>
      </c>
      <c r="I187" s="158"/>
      <c r="J187" s="179">
        <f>H187/DAY(B2)</f>
        <v>194.60869565217391</v>
      </c>
    </row>
    <row r="188" spans="1:10" ht="30.75" customHeight="1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460">
        <f>G65+G66+G67+G69+G70</f>
        <v>211</v>
      </c>
      <c r="H188" s="99">
        <f>G188+'22'!H188</f>
        <v>2036</v>
      </c>
      <c r="I188" s="158"/>
      <c r="J188" s="179">
        <f>H188/DAY(B2)</f>
        <v>88.521739130434781</v>
      </c>
    </row>
    <row r="189" spans="1:10" ht="30.75" customHeight="1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457">
        <f>G181</f>
        <v>110</v>
      </c>
      <c r="H189" s="99">
        <f>G189+'22'!H189</f>
        <v>385</v>
      </c>
      <c r="I189" s="158"/>
      <c r="J189" s="179">
        <f>H189/DAY(B2)</f>
        <v>16.739130434782609</v>
      </c>
    </row>
    <row r="190" spans="1:10" ht="30.75" customHeight="1" x14ac:dyDescent="0.5">
      <c r="A190" s="778"/>
      <c r="B190" s="779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30" zoomScale="60" zoomScaleNormal="44" workbookViewId="0">
      <selection activeCell="F67" sqref="F67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357</v>
      </c>
      <c r="B2" s="262">
        <v>44616</v>
      </c>
      <c r="C2" s="348" t="s">
        <v>67</v>
      </c>
      <c r="D2" s="218">
        <v>0.94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 t="s">
        <v>372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118299</v>
      </c>
      <c r="F7" s="95">
        <v>139750</v>
      </c>
      <c r="G7" s="112">
        <f>F7-E7</f>
        <v>21451</v>
      </c>
      <c r="H7" s="99">
        <f>G7+'23'!H7</f>
        <v>488628.77</v>
      </c>
      <c r="I7" s="113">
        <f>'1'!I7</f>
        <v>12000</v>
      </c>
      <c r="J7" s="175">
        <f>H7/DAY(B2)</f>
        <v>20359.532083333335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178606</v>
      </c>
      <c r="F8" s="95">
        <v>200368</v>
      </c>
      <c r="G8" s="115">
        <f>F8-E8</f>
        <v>21762</v>
      </c>
      <c r="H8" s="99">
        <f>G8+'23'!H8</f>
        <v>491846.44999999995</v>
      </c>
      <c r="I8" s="116"/>
      <c r="J8" s="175">
        <f>H8/DAY(B2)</f>
        <v>20493.602083333331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649716</v>
      </c>
      <c r="F9" s="598">
        <v>663103</v>
      </c>
      <c r="G9" s="112">
        <f>F9-E9</f>
        <v>13387</v>
      </c>
      <c r="H9" s="99">
        <f>G9+'23'!H9</f>
        <v>380849.15</v>
      </c>
      <c r="I9" s="124">
        <f>I7-J7</f>
        <v>-8359.5320833333353</v>
      </c>
      <c r="J9" s="175">
        <f>H9/DAY(B2)</f>
        <v>15868.714583333334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191716</v>
      </c>
      <c r="F10" s="353">
        <v>199202</v>
      </c>
      <c r="G10" s="112">
        <f t="shared" ref="G10:G12" si="0">F10-E10</f>
        <v>7486</v>
      </c>
      <c r="H10" s="99">
        <f>G10+'23'!H10</f>
        <v>93943.03</v>
      </c>
      <c r="I10" s="282"/>
      <c r="J10" s="175">
        <f>H10/DAY(B2)</f>
        <v>3914.2929166666668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37170</v>
      </c>
      <c r="F11" s="95">
        <v>37170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20873</v>
      </c>
      <c r="H13" s="99">
        <f>G13+'23'!H13</f>
        <v>458037.74999999994</v>
      </c>
      <c r="I13" s="120">
        <f>G7-G13</f>
        <v>578</v>
      </c>
      <c r="J13" s="175">
        <f>H13/DAY(B2)</f>
        <v>19084.906249999996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'23'!F15</f>
        <v>1931299</v>
      </c>
      <c r="F15" s="123">
        <v>1932440</v>
      </c>
      <c r="G15" s="112">
        <f>(F15-E15)</f>
        <v>1141</v>
      </c>
      <c r="H15" s="99">
        <f>G15+'23'!H15</f>
        <v>25803.233000000007</v>
      </c>
      <c r="I15" s="113">
        <f>'1'!I15</f>
        <v>800</v>
      </c>
      <c r="J15" s="175">
        <f>H15/DAY(B2)</f>
        <v>1075.1347083333337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-275.13470833333372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'23'!F18</f>
        <v>26</v>
      </c>
      <c r="F18" s="122">
        <v>22</v>
      </c>
      <c r="G18" s="119">
        <f>F18*10</f>
        <v>220</v>
      </c>
      <c r="H18" s="99">
        <f>G18+'23'!H18</f>
        <v>5500</v>
      </c>
      <c r="I18" s="113">
        <f>'1'!I18</f>
        <v>65</v>
      </c>
      <c r="J18" s="175">
        <f>H18/DAY(B2)</f>
        <v>229.16666666666666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'23'!F19</f>
        <v>155115</v>
      </c>
      <c r="F19" s="122">
        <v>155169</v>
      </c>
      <c r="G19" s="112">
        <f t="shared" ref="G19" si="1">F19-E19</f>
        <v>54</v>
      </c>
      <c r="H19" s="99">
        <f>G19+'23'!H19</f>
        <v>1278</v>
      </c>
      <c r="I19" s="335"/>
      <c r="J19" s="175">
        <f>H19/DAY(B2)</f>
        <v>53.25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274</v>
      </c>
      <c r="H20" s="99">
        <f>G20+'23'!H20</f>
        <v>6778</v>
      </c>
      <c r="I20" s="336">
        <f>I18-J20</f>
        <v>-217.41666666666669</v>
      </c>
      <c r="J20" s="175">
        <f>H20/DAY(B2)</f>
        <v>282.41666666666669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21762</v>
      </c>
      <c r="F27" s="136">
        <v>9</v>
      </c>
      <c r="G27" s="137">
        <f>E27*F27</f>
        <v>195858</v>
      </c>
      <c r="H27" s="99">
        <f>G27+'23'!H27</f>
        <v>4426618.0500000007</v>
      </c>
      <c r="I27" s="138"/>
      <c r="J27" s="175">
        <f>H27/DAY(B2)</f>
        <v>184442.41875000004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1141</v>
      </c>
      <c r="F28" s="136">
        <v>52</v>
      </c>
      <c r="G28" s="137">
        <f>E28*F28</f>
        <v>59332</v>
      </c>
      <c r="H28" s="99">
        <f>G28+'23'!H28</f>
        <v>1404696.1160000004</v>
      </c>
      <c r="I28" s="140"/>
      <c r="J28" s="175">
        <f>H28/DAY(B2)</f>
        <v>58529.004833333347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G30+'23'!H30</f>
        <v>187443</v>
      </c>
      <c r="I30" s="140"/>
      <c r="J30" s="175">
        <f>H30/DAY(B2)</f>
        <v>7810.125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G31+'23'!H31</f>
        <v>440000</v>
      </c>
      <c r="I31" s="140"/>
      <c r="J31" s="175">
        <f>H31/DAY(B2)</f>
        <v>18333.333333333332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280674</v>
      </c>
      <c r="H32" s="99">
        <f>G32+'23'!H32</f>
        <v>6458757.1660000011</v>
      </c>
      <c r="I32" s="144"/>
      <c r="J32" s="175">
        <f>H32/DAY(B2)</f>
        <v>269114.88191666669</v>
      </c>
      <c r="K32" s="63"/>
      <c r="L32" s="89"/>
      <c r="N32" s="87"/>
      <c r="O32" s="71"/>
    </row>
    <row r="33" spans="1:15" ht="25.5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66711</v>
      </c>
      <c r="F35" s="145">
        <v>68302</v>
      </c>
      <c r="G35" s="112">
        <f t="shared" ref="G35:G46" si="3">F35-E35</f>
        <v>1591</v>
      </c>
      <c r="H35" s="99">
        <f>G35+'23'!H35</f>
        <v>36297.020000000004</v>
      </c>
      <c r="I35" s="95"/>
      <c r="J35" s="175">
        <f>H35/DAY(B2)</f>
        <v>1512.3758333333335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65545</v>
      </c>
      <c r="F36" s="145">
        <v>66565</v>
      </c>
      <c r="G36" s="112">
        <f t="shared" si="3"/>
        <v>1020</v>
      </c>
      <c r="H36" s="99">
        <f>G36+'23'!H36</f>
        <v>23106.260000000002</v>
      </c>
      <c r="I36" s="95"/>
      <c r="J36" s="175">
        <f>H36/DAY(B2)</f>
        <v>962.76083333333338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73925</v>
      </c>
      <c r="F37" s="145">
        <v>75560</v>
      </c>
      <c r="G37" s="112">
        <f t="shared" si="3"/>
        <v>1635</v>
      </c>
      <c r="H37" s="99">
        <f>G37+'23'!H37</f>
        <v>40134.910000000003</v>
      </c>
      <c r="I37" s="95"/>
      <c r="J37" s="175">
        <f>H37/DAY(B2)</f>
        <v>1672.2879166666669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84223</v>
      </c>
      <c r="F38" s="108">
        <v>86512</v>
      </c>
      <c r="G38" s="112">
        <f t="shared" si="3"/>
        <v>2289</v>
      </c>
      <c r="H38" s="99">
        <f>G38+'23'!H38</f>
        <v>48135.57</v>
      </c>
      <c r="I38" s="95"/>
      <c r="J38" s="175">
        <f>H38/DAY(B2)</f>
        <v>2005.6487500000001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128091</v>
      </c>
      <c r="F39" s="145">
        <v>131327</v>
      </c>
      <c r="G39" s="112">
        <f t="shared" si="3"/>
        <v>3236</v>
      </c>
      <c r="H39" s="99">
        <f>G39+'23'!H39</f>
        <v>72153.710000000006</v>
      </c>
      <c r="I39" s="95"/>
      <c r="J39" s="175">
        <f>H39/DAY(B2)</f>
        <v>3006.4045833333334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31076</v>
      </c>
      <c r="F40" s="145">
        <v>31352</v>
      </c>
      <c r="G40" s="112">
        <f t="shared" si="3"/>
        <v>276</v>
      </c>
      <c r="H40" s="99">
        <f>G40+'23'!H40</f>
        <v>9235.0099999999984</v>
      </c>
      <c r="I40" s="95"/>
      <c r="J40" s="175">
        <f>H40/DAY(B2)</f>
        <v>384.79208333333327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63</v>
      </c>
      <c r="F41" s="145">
        <v>63</v>
      </c>
      <c r="G41" s="112">
        <f t="shared" si="3"/>
        <v>0</v>
      </c>
      <c r="H41" s="99">
        <f>G41+'23'!H41</f>
        <v>0.27000000000000313</v>
      </c>
      <c r="I41" s="95"/>
      <c r="J41" s="175">
        <f>H41/DAY(B2)</f>
        <v>1.125000000000013E-2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177135</v>
      </c>
      <c r="F42" s="145">
        <v>177135</v>
      </c>
      <c r="G42" s="112">
        <f t="shared" si="3"/>
        <v>0</v>
      </c>
      <c r="H42" s="99">
        <f>G42+'23'!H42</f>
        <v>77005.259999999995</v>
      </c>
      <c r="I42" s="95"/>
      <c r="J42" s="175">
        <f>H42/DAY(B2)</f>
        <v>3208.5524999999998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163678</v>
      </c>
      <c r="F43" s="145">
        <v>165768</v>
      </c>
      <c r="G43" s="112">
        <f t="shared" si="3"/>
        <v>2090</v>
      </c>
      <c r="H43" s="99">
        <f>G43+'23'!H43</f>
        <v>50916.399999999994</v>
      </c>
      <c r="I43" s="95"/>
      <c r="J43" s="175">
        <f>H43/DAY(B2)</f>
        <v>2121.5166666666664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12137</v>
      </c>
      <c r="H47" s="99">
        <f>G47+'23'!H47</f>
        <v>356984.41000000009</v>
      </c>
      <c r="I47" s="95"/>
      <c r="J47" s="175">
        <f>H47/DAY(B2)</f>
        <v>14874.35041666667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56931</v>
      </c>
      <c r="F49" s="145">
        <v>58398</v>
      </c>
      <c r="G49" s="112">
        <f t="shared" ref="G49:G58" si="4">F49-E49</f>
        <v>1467</v>
      </c>
      <c r="H49" s="99">
        <f>G49+'23'!H49</f>
        <v>33401.81</v>
      </c>
      <c r="I49" s="95"/>
      <c r="J49" s="175">
        <f>H49/DAY(B2)</f>
        <v>1391.7420833333333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84350</v>
      </c>
      <c r="F50" s="145">
        <v>85390</v>
      </c>
      <c r="G50" s="112">
        <f t="shared" si="4"/>
        <v>1040</v>
      </c>
      <c r="H50" s="99">
        <f>G50+'23'!H50</f>
        <v>29003.370000000003</v>
      </c>
      <c r="I50" s="95"/>
      <c r="J50" s="175">
        <f>H50/DAY(B2)</f>
        <v>1208.4737500000001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16623</v>
      </c>
      <c r="F54" s="145">
        <v>17156</v>
      </c>
      <c r="G54" s="112">
        <f t="shared" si="4"/>
        <v>533</v>
      </c>
      <c r="H54" s="99">
        <f>G54+'23'!H54</f>
        <v>12008.58</v>
      </c>
      <c r="I54" s="95"/>
      <c r="J54" s="175">
        <f>H54/DAY(B2)</f>
        <v>500.35750000000002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90579</v>
      </c>
      <c r="F55" s="145">
        <v>90579</v>
      </c>
      <c r="G55" s="112">
        <f t="shared" si="4"/>
        <v>0</v>
      </c>
      <c r="H55" s="99">
        <f>G55+'23'!H55</f>
        <v>16212.89</v>
      </c>
      <c r="I55" s="95"/>
      <c r="J55" s="175">
        <f>H55/DAY(B2)</f>
        <v>675.53708333333327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10907</v>
      </c>
      <c r="F56" s="145">
        <v>14166</v>
      </c>
      <c r="G56" s="112">
        <f t="shared" si="4"/>
        <v>3259</v>
      </c>
      <c r="H56" s="99">
        <f>G56+'23'!H56</f>
        <v>5555.4599999999991</v>
      </c>
      <c r="I56" s="95"/>
      <c r="J56" s="175">
        <f>H56/DAY(B2)</f>
        <v>231.47749999999996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9801</v>
      </c>
      <c r="F58" s="145">
        <v>10020</v>
      </c>
      <c r="G58" s="112">
        <f t="shared" si="4"/>
        <v>219</v>
      </c>
      <c r="H58" s="99">
        <f>G58+'23'!H58</f>
        <v>5223.79</v>
      </c>
      <c r="I58" s="95"/>
      <c r="J58" s="175">
        <f>H58/DAY(B2)</f>
        <v>217.65791666666667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6518</v>
      </c>
      <c r="H59" s="99">
        <f>G59+'23'!H59</f>
        <v>101405.9</v>
      </c>
      <c r="I59" s="95">
        <f>G7-G60</f>
        <v>2796</v>
      </c>
      <c r="J59" s="175">
        <f>H59/DAY(B2)</f>
        <v>4225.2458333333334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18655</v>
      </c>
      <c r="H60" s="99">
        <f>G60+'23'!H60</f>
        <v>458390.31000000006</v>
      </c>
      <c r="I60" s="95">
        <f>G13-G60</f>
        <v>2218</v>
      </c>
      <c r="J60" s="175">
        <f>H60/DAY(B2)</f>
        <v>19099.596250000002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'23'!F62</f>
        <v>272768</v>
      </c>
      <c r="F62" s="122">
        <v>272914</v>
      </c>
      <c r="G62" s="112">
        <f t="shared" ref="G62:G63" si="5">F62-E62</f>
        <v>146</v>
      </c>
      <c r="H62" s="99">
        <f>G62+'23'!H62</f>
        <v>3398</v>
      </c>
      <c r="I62" s="118"/>
      <c r="J62" s="175">
        <f>H62/DAY(B2)</f>
        <v>141.58333333333334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'23'!F63</f>
        <v>218712</v>
      </c>
      <c r="F63" s="122">
        <v>218788</v>
      </c>
      <c r="G63" s="112">
        <f t="shared" si="5"/>
        <v>76</v>
      </c>
      <c r="H63" s="99">
        <f>G63+'23'!H63</f>
        <v>2991</v>
      </c>
      <c r="I63" s="118"/>
      <c r="J63" s="175">
        <f>H63/DAY(B2)</f>
        <v>124.625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'23'!F64</f>
        <v>0</v>
      </c>
      <c r="F64" s="122"/>
      <c r="G64" s="112">
        <f>G62+G63</f>
        <v>222</v>
      </c>
      <c r="H64" s="99">
        <f>G64+'23'!H64</f>
        <v>6389</v>
      </c>
      <c r="I64" s="118"/>
      <c r="J64" s="175">
        <f>H64/DAY(B2)</f>
        <v>266.20833333333331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'23'!F65</f>
        <v>437285</v>
      </c>
      <c r="F65" s="122">
        <v>437377</v>
      </c>
      <c r="G65" s="112">
        <f t="shared" ref="G65:G70" si="6">F65-E65</f>
        <v>92</v>
      </c>
      <c r="H65" s="99">
        <f>G65+'23'!H65</f>
        <v>2454</v>
      </c>
      <c r="I65" s="118"/>
      <c r="J65" s="175">
        <f>H65/DAY(B2)</f>
        <v>102.25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'23'!F66</f>
        <v>108314</v>
      </c>
      <c r="F66" s="122">
        <v>108333</v>
      </c>
      <c r="G66" s="112">
        <f t="shared" si="6"/>
        <v>19</v>
      </c>
      <c r="H66" s="99">
        <f>G66+'23'!H66</f>
        <v>590</v>
      </c>
      <c r="I66" s="118"/>
      <c r="J66" s="175">
        <f>H66/DAY(B2)</f>
        <v>24.583333333333332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'23'!F67</f>
        <v>105895</v>
      </c>
      <c r="F67" s="122">
        <v>105962</v>
      </c>
      <c r="G67" s="112">
        <f t="shared" si="6"/>
        <v>67</v>
      </c>
      <c r="H67" s="99">
        <f>G67+'23'!H67</f>
        <v>1314</v>
      </c>
      <c r="I67" s="118"/>
      <c r="J67" s="175">
        <f>H67/DAY(B2)</f>
        <v>54.75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'23'!F68</f>
        <v>158709</v>
      </c>
      <c r="F68" s="122">
        <v>158745</v>
      </c>
      <c r="G68" s="112">
        <f t="shared" si="6"/>
        <v>36</v>
      </c>
      <c r="H68" s="99">
        <f>G68+'23'!H68</f>
        <v>1048</v>
      </c>
      <c r="I68" s="118"/>
      <c r="J68" s="175">
        <f>H68/DAY(B2)</f>
        <v>43.666666666666664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'23'!F69</f>
        <v>10824</v>
      </c>
      <c r="F69" s="122">
        <v>10833</v>
      </c>
      <c r="G69" s="112">
        <f t="shared" si="6"/>
        <v>9</v>
      </c>
      <c r="H69" s="99">
        <f>G69+'23'!H69</f>
        <v>292</v>
      </c>
      <c r="I69" s="118"/>
      <c r="J69" s="175">
        <f>H69/DAY(B2)</f>
        <v>12.166666666666666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'23'!F70</f>
        <v>8393</v>
      </c>
      <c r="F70" s="122">
        <v>8400</v>
      </c>
      <c r="G70" s="112">
        <f t="shared" si="6"/>
        <v>7</v>
      </c>
      <c r="H70" s="99">
        <f>G70+'23'!H70</f>
        <v>280</v>
      </c>
      <c r="I70" s="118"/>
      <c r="J70" s="175">
        <f>H70/DAY(B2)</f>
        <v>11.666666666666666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230</v>
      </c>
      <c r="H71" s="99">
        <f>G71+'23'!H71</f>
        <v>5978</v>
      </c>
      <c r="I71" s="154"/>
      <c r="J71" s="175">
        <f>H71/DAY(B2)</f>
        <v>249.08333333333334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'23'!F74</f>
        <v>908205</v>
      </c>
      <c r="F74" s="117">
        <v>908494</v>
      </c>
      <c r="G74" s="112">
        <f t="shared" ref="G74:G78" si="7">F74-E74</f>
        <v>289</v>
      </c>
      <c r="H74" s="99">
        <f>G74+'23'!H74</f>
        <v>7187.8510000000242</v>
      </c>
      <c r="I74" s="154"/>
      <c r="J74" s="175">
        <f>H74/DAY(B2)</f>
        <v>299.49379166666768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'23'!F76</f>
        <v>172505</v>
      </c>
      <c r="F76" s="123">
        <v>172629</v>
      </c>
      <c r="G76" s="112">
        <f t="shared" si="7"/>
        <v>124</v>
      </c>
      <c r="H76" s="99">
        <f>G76+'23'!H76</f>
        <v>2654</v>
      </c>
      <c r="I76" s="154"/>
      <c r="J76" s="175">
        <f>H76/DAY(B2)</f>
        <v>110.58333333333333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'23'!F77</f>
        <v>42363</v>
      </c>
      <c r="F77" s="123">
        <v>42408</v>
      </c>
      <c r="G77" s="112">
        <f t="shared" si="7"/>
        <v>45</v>
      </c>
      <c r="H77" s="99">
        <f>G77+'23'!H77</f>
        <v>1105.8000000000029</v>
      </c>
      <c r="I77" s="154"/>
      <c r="J77" s="175">
        <f>H77/DAY(B2)</f>
        <v>46.075000000000124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'23'!F78</f>
        <v>9545</v>
      </c>
      <c r="F78" s="123">
        <v>9546</v>
      </c>
      <c r="G78" s="112">
        <f t="shared" si="7"/>
        <v>1</v>
      </c>
      <c r="H78" s="99">
        <f>G78+'23'!H78</f>
        <v>33</v>
      </c>
      <c r="I78" s="118"/>
      <c r="J78" s="175">
        <f>H78/DAY(B2)</f>
        <v>1.375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'23'!F79</f>
        <v>0</v>
      </c>
      <c r="F79" s="117"/>
      <c r="G79" s="112">
        <f>G15-SUM(G74:G78)</f>
        <v>682</v>
      </c>
      <c r="H79" s="99">
        <f>G79+'23'!H79</f>
        <v>14822.58199999998</v>
      </c>
      <c r="I79" s="118"/>
      <c r="J79" s="175">
        <f>H79/DAY(B2)</f>
        <v>617.60758333333251</v>
      </c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1141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</v>
      </c>
      <c r="G84" s="112">
        <f t="shared" si="8"/>
        <v>-0.40000000000145519</v>
      </c>
      <c r="H84" s="99">
        <f>G84+'23'!H84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'23'!F85</f>
        <v>2681</v>
      </c>
      <c r="F85" s="164">
        <v>2681</v>
      </c>
      <c r="G85" s="112">
        <f t="shared" si="8"/>
        <v>0</v>
      </c>
      <c r="H85" s="99">
        <f>G85+'23'!H85</f>
        <v>420.57999999999993</v>
      </c>
      <c r="I85" s="118">
        <f>G82+G83+G84+G85</f>
        <v>-0.40000000000145519</v>
      </c>
      <c r="J85" s="175">
        <f>H85/DAY(B2)</f>
        <v>17.524166666666662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'23'!F86</f>
        <v>43564</v>
      </c>
      <c r="F86" s="164">
        <v>43564</v>
      </c>
      <c r="G86" s="112">
        <f t="shared" si="8"/>
        <v>0</v>
      </c>
      <c r="H86" s="99">
        <f>G86+'23'!H86</f>
        <v>122</v>
      </c>
      <c r="I86" s="118"/>
      <c r="J86" s="175">
        <f>H86/DAY(B2)</f>
        <v>5.083333333333333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'23'!F87</f>
        <v>34614</v>
      </c>
      <c r="F87" s="164">
        <v>34638</v>
      </c>
      <c r="G87" s="112">
        <f t="shared" si="8"/>
        <v>24</v>
      </c>
      <c r="H87" s="99">
        <f>G87+'23'!H87</f>
        <v>39.5</v>
      </c>
      <c r="I87" s="118"/>
      <c r="J87" s="175">
        <f>H87/DAY(B2)</f>
        <v>1.6458333333333333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'23'!F88</f>
        <v>24077</v>
      </c>
      <c r="F88" s="164">
        <v>24077</v>
      </c>
      <c r="G88" s="112">
        <f t="shared" si="8"/>
        <v>0</v>
      </c>
      <c r="H88" s="99">
        <f>G88+'23'!H88</f>
        <v>13.569999999999709</v>
      </c>
      <c r="I88" s="118">
        <f>G86+G87+G88</f>
        <v>24</v>
      </c>
      <c r="J88" s="175">
        <f>H88/DAY(B2)</f>
        <v>0.56541666666665458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'23'!F89</f>
        <v>26125</v>
      </c>
      <c r="F89" s="164">
        <v>26136</v>
      </c>
      <c r="G89" s="112">
        <f t="shared" si="8"/>
        <v>11</v>
      </c>
      <c r="H89" s="99">
        <f>G89+'23'!H89</f>
        <v>244.88000000000102</v>
      </c>
      <c r="I89" s="118"/>
      <c r="J89" s="175">
        <f>H89/DAY(B2)</f>
        <v>10.203333333333376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'23'!F90</f>
        <v>71275</v>
      </c>
      <c r="F90" s="164">
        <v>71282</v>
      </c>
      <c r="G90" s="112">
        <f t="shared" si="8"/>
        <v>7</v>
      </c>
      <c r="H90" s="99">
        <f>G90+'23'!H90</f>
        <v>118.67999999999302</v>
      </c>
      <c r="I90" s="118">
        <f>G89+G90</f>
        <v>18</v>
      </c>
      <c r="J90" s="175">
        <f>H90/DAY(B2)</f>
        <v>4.944999999999709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'23'!F91</f>
        <v>3507.77</v>
      </c>
      <c r="F91" s="122">
        <v>3518</v>
      </c>
      <c r="G91" s="112">
        <f t="shared" si="8"/>
        <v>10.230000000000018</v>
      </c>
      <c r="H91" s="99">
        <f>G91+'23'!H91</f>
        <v>266.90999999999985</v>
      </c>
      <c r="I91" s="165"/>
      <c r="J91" s="175">
        <f>H91/DAY(B2)</f>
        <v>11.121249999999995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'23'!F92</f>
        <v>5741</v>
      </c>
      <c r="F92" s="122">
        <v>5741</v>
      </c>
      <c r="G92" s="112">
        <f t="shared" si="8"/>
        <v>0</v>
      </c>
      <c r="H92" s="99">
        <f>G92+'23'!H92</f>
        <v>-6.9999999999708962E-2</v>
      </c>
      <c r="I92" s="165"/>
      <c r="J92" s="175">
        <f>H92/DAY(B2)</f>
        <v>-2.9166666666545402E-3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5148</v>
      </c>
      <c r="H94" s="99">
        <f>G94+'23'!H94</f>
        <v>120615.22999999998</v>
      </c>
      <c r="I94" s="118"/>
      <c r="J94" s="175">
        <f>H94/DAY(B2)</f>
        <v>5025.6345833333326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0.23998881171040978</v>
      </c>
      <c r="H95" s="99">
        <f>G95+'23'!H95</f>
        <v>5.9289029552559178</v>
      </c>
      <c r="I95" s="167"/>
      <c r="J95" s="175">
        <f>H95/DAY(B2)</f>
        <v>0.24703762313566324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3259</v>
      </c>
      <c r="H96" s="99">
        <f>G96+'23'!H96</f>
        <v>98773.87999999999</v>
      </c>
      <c r="I96" s="118"/>
      <c r="J96" s="175">
        <f>H96/DAY(B2)</f>
        <v>4115.5783333333329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0.15192764906064984</v>
      </c>
      <c r="H97" s="99">
        <f>G97+'23'!H97</f>
        <v>4.8456530579718944</v>
      </c>
      <c r="I97" s="167"/>
      <c r="J97" s="175">
        <f>H97/DAY(B2)</f>
        <v>0.20190221074882894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3236</v>
      </c>
      <c r="H98" s="99">
        <f>G98+'23'!H98</f>
        <v>72153.710000000006</v>
      </c>
      <c r="I98" s="168"/>
      <c r="J98" s="175">
        <f>H98/DAY(B2)</f>
        <v>3006.4045833333334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0.15085543797491957</v>
      </c>
      <c r="H99" s="99">
        <f>G99+'23'!H99</f>
        <v>3.5436578871672015</v>
      </c>
      <c r="I99" s="168"/>
      <c r="J99" s="175">
        <f>H99/DAY(B2)</f>
        <v>0.14765241196530007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2289</v>
      </c>
      <c r="H100" s="99">
        <f>G100+'23'!H100</f>
        <v>48135.57</v>
      </c>
      <c r="I100" s="118"/>
      <c r="J100" s="175">
        <f>H100/DAY(B2)</f>
        <v>2005.6487500000001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0.10670831196680808</v>
      </c>
      <c r="H101" s="99">
        <f>G101+'23'!H101</f>
        <v>2.3630816845996034</v>
      </c>
      <c r="I101" s="168"/>
      <c r="J101" s="175">
        <f>H101/DAY(B2)</f>
        <v>9.8461736858316815E-2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2060</v>
      </c>
      <c r="H102" s="99">
        <f>G102+'23'!H102</f>
        <v>52109.630000000005</v>
      </c>
      <c r="I102" s="168"/>
      <c r="J102" s="175">
        <f>H102/DAY(B2)</f>
        <v>2171.2345833333334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9.6032818982798002E-2</v>
      </c>
      <c r="H103" s="99">
        <f>G103+'23'!H103</f>
        <v>2.5548422190993016</v>
      </c>
      <c r="I103" s="118"/>
      <c r="J103" s="175">
        <f>H103/DAY(B2)</f>
        <v>0.10645175912913757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1635</v>
      </c>
      <c r="H104" s="99">
        <f>G104+'23'!H104</f>
        <v>40134.910000000003</v>
      </c>
      <c r="I104" s="118"/>
      <c r="J104" s="175">
        <f>H104/DAY(B2)</f>
        <v>1672.2879166666669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7.622022283343434E-2</v>
      </c>
      <c r="H105" s="99">
        <f>G105+'23'!H105</f>
        <v>1.9744907214921801</v>
      </c>
      <c r="I105" s="187"/>
      <c r="J105" s="188">
        <f>H105/DAY(B2)</f>
        <v>8.2270446728840832E-2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'23'!F112</f>
        <v>59659</v>
      </c>
      <c r="F112" s="237">
        <v>59725</v>
      </c>
      <c r="G112" s="112">
        <f t="shared" ref="G112:G123" si="9">F112-E112</f>
        <v>66</v>
      </c>
      <c r="H112" s="99">
        <f>G112+'23'!H112</f>
        <v>1671</v>
      </c>
      <c r="I112" s="165"/>
      <c r="J112" s="328">
        <f>H112/DAY(B2)</f>
        <v>69.625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'23'!F113</f>
        <v>57194</v>
      </c>
      <c r="F113" s="237">
        <v>57657</v>
      </c>
      <c r="G113" s="112">
        <f t="shared" si="9"/>
        <v>463</v>
      </c>
      <c r="H113" s="99">
        <f>G113+'23'!H113</f>
        <v>11256.11</v>
      </c>
      <c r="I113" s="165"/>
      <c r="J113" s="328">
        <f>H113/DAY(B2)</f>
        <v>469.00458333333336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'23'!F114</f>
        <v>40133</v>
      </c>
      <c r="F114" s="237">
        <v>40400</v>
      </c>
      <c r="G114" s="112">
        <f t="shared" si="9"/>
        <v>267</v>
      </c>
      <c r="H114" s="99">
        <f>G114+'23'!H114</f>
        <v>7240</v>
      </c>
      <c r="I114" s="165"/>
      <c r="J114" s="328">
        <f>H114/DAY(B2)</f>
        <v>301.66666666666669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'23'!F115</f>
        <v>9367</v>
      </c>
      <c r="F115" s="237">
        <v>9381</v>
      </c>
      <c r="G115" s="112">
        <f t="shared" si="9"/>
        <v>14</v>
      </c>
      <c r="H115" s="99">
        <f>G115+'23'!H115</f>
        <v>286.35000000000036</v>
      </c>
      <c r="I115" s="165"/>
      <c r="J115" s="328">
        <f>H115/DAY(B2)</f>
        <v>11.931250000000015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'23'!F116</f>
        <v>7114</v>
      </c>
      <c r="F116" s="237">
        <v>7528</v>
      </c>
      <c r="G116" s="112">
        <f t="shared" si="9"/>
        <v>414</v>
      </c>
      <c r="H116" s="99">
        <f>G116+'23'!H116</f>
        <v>7528</v>
      </c>
      <c r="I116" s="165"/>
      <c r="J116" s="328">
        <f>H116/DAY(B2)</f>
        <v>313.66666666666669</v>
      </c>
      <c r="Q116" s="871"/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'23'!F117</f>
        <v>6931</v>
      </c>
      <c r="F117" s="237">
        <v>7158</v>
      </c>
      <c r="G117" s="112">
        <f t="shared" si="9"/>
        <v>227</v>
      </c>
      <c r="H117" s="99">
        <f>G117+'23'!H117</f>
        <v>3820.05</v>
      </c>
      <c r="I117" s="165"/>
      <c r="J117" s="328">
        <f>H117/DAY(B2)</f>
        <v>159.16875000000002</v>
      </c>
      <c r="Q117" s="871"/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'23'!F118</f>
        <v>261239</v>
      </c>
      <c r="F118" s="237">
        <v>261719</v>
      </c>
      <c r="G118" s="112">
        <f t="shared" si="9"/>
        <v>480</v>
      </c>
      <c r="H118" s="99">
        <f>G118+'23'!H118</f>
        <v>9266.6900000000023</v>
      </c>
      <c r="I118" s="165"/>
      <c r="J118" s="328">
        <f>H118/DAY(B2)</f>
        <v>386.11208333333343</v>
      </c>
      <c r="Q118" s="871"/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'23'!F119</f>
        <v>267975</v>
      </c>
      <c r="F119" s="237">
        <v>268381</v>
      </c>
      <c r="G119" s="112">
        <f t="shared" si="9"/>
        <v>406</v>
      </c>
      <c r="H119" s="99">
        <f>G119+'23'!H119</f>
        <v>10232.450000000012</v>
      </c>
      <c r="I119" s="165"/>
      <c r="J119" s="328">
        <f>H119/DAY(B2)</f>
        <v>426.35208333333384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'23'!F120</f>
        <v>52821</v>
      </c>
      <c r="F120" s="237">
        <v>53226</v>
      </c>
      <c r="G120" s="112">
        <f t="shared" si="9"/>
        <v>405</v>
      </c>
      <c r="H120" s="99">
        <f>G120+'23'!H120</f>
        <v>10266.39</v>
      </c>
      <c r="I120" s="165"/>
      <c r="J120" s="328">
        <f>H120/DAY(B2)</f>
        <v>427.76624999999996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'23'!F121</f>
        <v>415299</v>
      </c>
      <c r="F121" s="237">
        <v>416046</v>
      </c>
      <c r="G121" s="112">
        <f t="shared" si="9"/>
        <v>747</v>
      </c>
      <c r="H121" s="99">
        <f>G121+'23'!H121</f>
        <v>18011.570000000007</v>
      </c>
      <c r="I121" s="165"/>
      <c r="J121" s="328">
        <f>H121/DAY(B2)</f>
        <v>750.48208333333366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'23'!F122</f>
        <v>131351</v>
      </c>
      <c r="F122" s="237">
        <v>131580</v>
      </c>
      <c r="G122" s="112">
        <f t="shared" si="9"/>
        <v>229</v>
      </c>
      <c r="H122" s="99">
        <f>G122+'23'!H122</f>
        <v>5393.820000000007</v>
      </c>
      <c r="I122" s="165"/>
      <c r="J122" s="328">
        <f>H122/DAY(B2)</f>
        <v>224.74250000000029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'23'!F123</f>
        <v>159988</v>
      </c>
      <c r="F123" s="237">
        <v>160256</v>
      </c>
      <c r="G123" s="112">
        <f t="shared" si="9"/>
        <v>268</v>
      </c>
      <c r="H123" s="99">
        <f>G123+'23'!H123</f>
        <v>6209.0499999999884</v>
      </c>
      <c r="I123" s="165"/>
      <c r="J123" s="328">
        <f>H123/DAY(B2)</f>
        <v>258.71041666666616</v>
      </c>
    </row>
    <row r="124" spans="1:18" ht="29.25" customHeight="1" x14ac:dyDescent="0.5">
      <c r="A124" s="875"/>
      <c r="B124" s="876"/>
      <c r="C124" s="877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3986</v>
      </c>
      <c r="H125" s="156"/>
      <c r="I125" s="327">
        <f>G125-(G39+G53)</f>
        <v>750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'23'!F128</f>
        <v>54894</v>
      </c>
      <c r="F128" s="165">
        <v>55230</v>
      </c>
      <c r="G128" s="112">
        <f t="shared" ref="G128:G134" si="10">F128-E128</f>
        <v>336</v>
      </c>
      <c r="H128" s="99">
        <f>G128+'23'!H128</f>
        <v>7484</v>
      </c>
      <c r="I128" s="165"/>
      <c r="J128" s="328">
        <f>H128/DAY(B2)</f>
        <v>311.83333333333331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'23'!F129</f>
        <v>32134</v>
      </c>
      <c r="F129" s="165">
        <v>32380</v>
      </c>
      <c r="G129" s="112">
        <f t="shared" si="10"/>
        <v>246</v>
      </c>
      <c r="H129" s="99">
        <f>G129+'23'!H129</f>
        <v>5469.130000000001</v>
      </c>
      <c r="I129" s="165"/>
      <c r="J129" s="328">
        <f>H129/DAY(B2)</f>
        <v>227.88041666666672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'23'!F130</f>
        <v>50014</v>
      </c>
      <c r="F130" s="165">
        <v>50717</v>
      </c>
      <c r="G130" s="112">
        <f t="shared" si="10"/>
        <v>703</v>
      </c>
      <c r="H130" s="99">
        <f>G130+'23'!H130</f>
        <v>15023</v>
      </c>
      <c r="I130" s="165"/>
      <c r="J130" s="328">
        <f>H130/DAY(B2)</f>
        <v>625.95833333333337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'23'!F131</f>
        <v>18012</v>
      </c>
      <c r="F131" s="165">
        <v>18166</v>
      </c>
      <c r="G131" s="112">
        <f t="shared" si="10"/>
        <v>154</v>
      </c>
      <c r="H131" s="99">
        <f>G131+'23'!H131</f>
        <v>2858.3199999999997</v>
      </c>
      <c r="I131" s="165"/>
      <c r="J131" s="328">
        <f>H131/DAY(B2)</f>
        <v>119.09666666666665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'23'!F132</f>
        <v>61009</v>
      </c>
      <c r="F132" s="165">
        <v>61418</v>
      </c>
      <c r="G132" s="112">
        <f t="shared" si="10"/>
        <v>409</v>
      </c>
      <c r="H132" s="99">
        <f>G132+'23'!H132</f>
        <v>9569.6999999999971</v>
      </c>
      <c r="I132" s="165"/>
      <c r="J132" s="328">
        <f>H132/DAY(B2)</f>
        <v>398.7374999999999</v>
      </c>
    </row>
    <row r="133" spans="1:15" ht="27.75" x14ac:dyDescent="0.5">
      <c r="A133" s="871" t="s">
        <v>362</v>
      </c>
      <c r="B133" s="872"/>
      <c r="C133" s="873"/>
      <c r="D133" s="151" t="s">
        <v>183</v>
      </c>
      <c r="E133" s="95">
        <f>'23'!F133</f>
        <v>120047</v>
      </c>
      <c r="F133" s="165">
        <v>120704</v>
      </c>
      <c r="G133" s="112">
        <f t="shared" si="10"/>
        <v>657</v>
      </c>
      <c r="H133" s="99">
        <f>G133+'23'!H133</f>
        <v>15360.300000000003</v>
      </c>
      <c r="I133" s="165"/>
      <c r="J133" s="328">
        <f>H133/DAY(B2)</f>
        <v>640.01250000000016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'23'!F134</f>
        <v>12596</v>
      </c>
      <c r="F134" s="500">
        <v>12746</v>
      </c>
      <c r="G134" s="112">
        <f t="shared" si="10"/>
        <v>150</v>
      </c>
      <c r="H134" s="99">
        <f>G134+'23'!H134</f>
        <v>4144.7700000000004</v>
      </c>
      <c r="I134" s="165"/>
      <c r="J134" s="328">
        <f>H134/DAY(B2)</f>
        <v>172.69875000000002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2655</v>
      </c>
      <c r="H135" s="99">
        <f>G135+'23'!H135</f>
        <v>28681.3</v>
      </c>
      <c r="I135" s="327">
        <f>G135-(G35+G49)</f>
        <v>-403</v>
      </c>
      <c r="J135" s="328"/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'23'!F138</f>
        <v>868395</v>
      </c>
      <c r="F138" s="147">
        <v>868529</v>
      </c>
      <c r="G138" s="112">
        <f t="shared" ref="G138:G152" si="11">F138-E138</f>
        <v>134</v>
      </c>
      <c r="H138" s="99">
        <f>G138+'23'!H138</f>
        <v>2356</v>
      </c>
      <c r="I138" s="118"/>
      <c r="J138" s="328">
        <f>H138/DAY(B2)</f>
        <v>98.166666666666671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'23'!F139</f>
        <v>886686</v>
      </c>
      <c r="F139" s="148">
        <v>886689</v>
      </c>
      <c r="G139" s="112">
        <f t="shared" si="11"/>
        <v>3</v>
      </c>
      <c r="H139" s="99">
        <f>G139+'23'!H139</f>
        <v>116</v>
      </c>
      <c r="I139" s="118"/>
      <c r="J139" s="328">
        <f>H139/DAY(B2)</f>
        <v>4.833333333333333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'23'!F140</f>
        <v>88953</v>
      </c>
      <c r="F140" s="149">
        <v>88954</v>
      </c>
      <c r="G140" s="112">
        <f t="shared" si="11"/>
        <v>1</v>
      </c>
      <c r="H140" s="99">
        <f>G140+'23'!H140</f>
        <v>32</v>
      </c>
      <c r="I140" s="118"/>
      <c r="J140" s="328">
        <f>H140/DAY(B2)</f>
        <v>1.3333333333333333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'23'!F141</f>
        <v>58797</v>
      </c>
      <c r="F141" s="149">
        <v>58975</v>
      </c>
      <c r="G141" s="112">
        <f t="shared" si="11"/>
        <v>178</v>
      </c>
      <c r="H141" s="99">
        <f>G141+'23'!H141</f>
        <v>4289.4199999999983</v>
      </c>
      <c r="I141" s="118"/>
      <c r="J141" s="328">
        <f>H141/DAY(B2)</f>
        <v>178.72583333333327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'23'!F142</f>
        <v>22851</v>
      </c>
      <c r="F142" s="148">
        <v>22918</v>
      </c>
      <c r="G142" s="112">
        <f t="shared" si="11"/>
        <v>67</v>
      </c>
      <c r="H142" s="99">
        <f>G142+'23'!H142</f>
        <v>1633.9000000000015</v>
      </c>
      <c r="I142" s="140"/>
      <c r="J142" s="328">
        <f>H142/DAY(B2)</f>
        <v>68.079166666666723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'23'!F143</f>
        <v>4476</v>
      </c>
      <c r="F143" s="149">
        <v>4507</v>
      </c>
      <c r="G143" s="112">
        <f t="shared" si="11"/>
        <v>31</v>
      </c>
      <c r="H143" s="99">
        <f>G143+'23'!H143</f>
        <v>671.61000000000013</v>
      </c>
      <c r="I143" s="140"/>
      <c r="J143" s="328">
        <f>H143/DAY(B2)</f>
        <v>27.983750000000004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'23'!F144</f>
        <v>881317</v>
      </c>
      <c r="F144" s="149">
        <v>881541</v>
      </c>
      <c r="G144" s="112">
        <f t="shared" si="11"/>
        <v>224</v>
      </c>
      <c r="H144" s="99">
        <f>G144+'23'!H144</f>
        <v>5054</v>
      </c>
      <c r="I144" s="140"/>
      <c r="J144" s="328">
        <f>H144/DAY(B2)</f>
        <v>210.58333333333334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'23'!F145</f>
        <v>5273</v>
      </c>
      <c r="F145" s="149">
        <v>5290</v>
      </c>
      <c r="G145" s="112">
        <f t="shared" si="11"/>
        <v>17</v>
      </c>
      <c r="H145" s="99">
        <f>G145+'23'!H145</f>
        <v>331.15999999999985</v>
      </c>
      <c r="I145" s="140"/>
      <c r="J145" s="328">
        <f>H145/DAY(B2)</f>
        <v>13.798333333333327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'23'!F146</f>
        <v>747522</v>
      </c>
      <c r="F146" s="148">
        <v>748015</v>
      </c>
      <c r="G146" s="112">
        <f t="shared" si="11"/>
        <v>493</v>
      </c>
      <c r="H146" s="99">
        <f>G146+'23'!H146</f>
        <v>10682</v>
      </c>
      <c r="I146" s="140"/>
      <c r="J146" s="328">
        <f>H146/DAY(B2)</f>
        <v>445.08333333333331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'23'!F147</f>
        <v>635662</v>
      </c>
      <c r="F147" s="679">
        <v>636078</v>
      </c>
      <c r="G147" s="112">
        <f t="shared" si="11"/>
        <v>416</v>
      </c>
      <c r="H147" s="99">
        <f>G147+'23'!H147</f>
        <v>9465.4799999999814</v>
      </c>
      <c r="I147" s="140"/>
      <c r="J147" s="328">
        <f>H147/DAY(B2)</f>
        <v>394.39499999999924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'23'!F148</f>
        <v>696482</v>
      </c>
      <c r="F148" s="150">
        <v>696829</v>
      </c>
      <c r="G148" s="112">
        <f t="shared" si="11"/>
        <v>347</v>
      </c>
      <c r="H148" s="99">
        <f>G148+'23'!H148</f>
        <v>7386.0400000000373</v>
      </c>
      <c r="I148" s="124"/>
      <c r="J148" s="328">
        <f>H148/DAY(B2)</f>
        <v>307.7516666666682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'23'!F149</f>
        <v>38519</v>
      </c>
      <c r="F149" s="146">
        <v>39170</v>
      </c>
      <c r="G149" s="112">
        <f t="shared" si="11"/>
        <v>651</v>
      </c>
      <c r="H149" s="99">
        <f>G149+'23'!H149</f>
        <v>14491.8</v>
      </c>
      <c r="I149" s="119"/>
      <c r="J149" s="328">
        <f>H149/DAY(B2)</f>
        <v>603.82499999999993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'23'!F150</f>
        <v>16080</v>
      </c>
      <c r="F150" s="233">
        <v>16308</v>
      </c>
      <c r="G150" s="112">
        <f t="shared" si="11"/>
        <v>228</v>
      </c>
      <c r="H150" s="99">
        <f>G150+'23'!H150</f>
        <v>5457.17</v>
      </c>
      <c r="I150" s="119"/>
      <c r="J150" s="328">
        <f>H150/DAY(B2)</f>
        <v>227.38208333333333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'23'!F151</f>
        <v>91121</v>
      </c>
      <c r="F151" s="233">
        <v>91348</v>
      </c>
      <c r="G151" s="112">
        <f t="shared" si="11"/>
        <v>227</v>
      </c>
      <c r="H151" s="99">
        <f>G151+'23'!H151</f>
        <v>5868</v>
      </c>
      <c r="I151" s="119"/>
      <c r="J151" s="328">
        <f>H151/DAY(B2)</f>
        <v>244.5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'23'!F152</f>
        <v>3505</v>
      </c>
      <c r="F152" s="233">
        <v>3636</v>
      </c>
      <c r="G152" s="112">
        <f t="shared" si="11"/>
        <v>131</v>
      </c>
      <c r="H152" s="99">
        <f>G152+'23'!H152</f>
        <v>1976</v>
      </c>
      <c r="I152" s="119"/>
      <c r="J152" s="328">
        <f>H152/DAY(B2)</f>
        <v>82.333333333333329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3148</v>
      </c>
      <c r="H153" s="363"/>
      <c r="I153" s="119">
        <f>G153-(G38+G52)</f>
        <v>859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'23'!F155</f>
        <v>48365</v>
      </c>
      <c r="F155" s="503">
        <v>49066</v>
      </c>
      <c r="G155" s="112">
        <f t="shared" ref="G155:G158" si="12">F155-E155</f>
        <v>701</v>
      </c>
      <c r="H155" s="99">
        <f>G155+'23'!H155</f>
        <v>16121</v>
      </c>
      <c r="I155" s="364"/>
      <c r="J155" s="328">
        <f>H155/DAY(B2)</f>
        <v>671.70833333333337</v>
      </c>
    </row>
    <row r="156" spans="1:10" ht="27.75" x14ac:dyDescent="0.5">
      <c r="A156" s="851" t="s">
        <v>347</v>
      </c>
      <c r="B156" s="851"/>
      <c r="C156" s="851"/>
      <c r="D156" s="117" t="s">
        <v>130</v>
      </c>
      <c r="E156" s="95">
        <f>'23'!F156</f>
        <v>3988</v>
      </c>
      <c r="F156" s="155">
        <v>4039</v>
      </c>
      <c r="G156" s="112">
        <f t="shared" si="12"/>
        <v>51</v>
      </c>
      <c r="H156" s="99">
        <f>G156+'23'!H156</f>
        <v>1251</v>
      </c>
      <c r="I156" s="165"/>
      <c r="J156" s="328">
        <f>H156/DAY(B2)</f>
        <v>52.125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>
        <f>'23'!F157</f>
        <v>6635</v>
      </c>
      <c r="F157" s="155">
        <v>6736</v>
      </c>
      <c r="G157" s="112">
        <f t="shared" si="12"/>
        <v>101</v>
      </c>
      <c r="H157" s="99">
        <f>G157+'23'!H157</f>
        <v>544.54</v>
      </c>
      <c r="I157" s="165"/>
      <c r="J157" s="328"/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>
        <f>'23'!F158</f>
        <v>74.459999999999994</v>
      </c>
      <c r="F158" s="155">
        <v>75</v>
      </c>
      <c r="G158" s="112">
        <f t="shared" si="12"/>
        <v>0.54000000000000625</v>
      </c>
      <c r="H158" s="99">
        <f>G158+'23'!H158</f>
        <v>0.82999999999999829</v>
      </c>
      <c r="I158" s="165"/>
      <c r="J158" s="328"/>
    </row>
    <row r="159" spans="1:10" ht="27.75" x14ac:dyDescent="0.5">
      <c r="A159" s="935"/>
      <c r="B159" s="936"/>
      <c r="C159" s="93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472705</v>
      </c>
      <c r="F161" s="235">
        <v>472772</v>
      </c>
      <c r="G161" s="238">
        <f t="shared" ref="G161:G165" si="13">F161-E161</f>
        <v>67</v>
      </c>
      <c r="H161" s="99">
        <f>G161+'23'!H161</f>
        <v>718.44000000000233</v>
      </c>
      <c r="I161" s="236"/>
      <c r="J161" s="239">
        <f>H161/DAY(B2)</f>
        <v>29.935000000000098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89360</v>
      </c>
      <c r="F162" s="235">
        <v>89405</v>
      </c>
      <c r="G162" s="238">
        <f t="shared" si="13"/>
        <v>45</v>
      </c>
      <c r="H162" s="99">
        <f>G162+'23'!H162</f>
        <v>888.60000000000582</v>
      </c>
      <c r="I162" s="236"/>
      <c r="J162" s="239">
        <f>H162/DAY(B2)</f>
        <v>37.02500000000024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80801</v>
      </c>
      <c r="F163" s="235">
        <v>80935</v>
      </c>
      <c r="G163" s="238">
        <f t="shared" si="13"/>
        <v>134</v>
      </c>
      <c r="H163" s="99">
        <f>G163+'23'!H163</f>
        <v>1714.8999999999942</v>
      </c>
      <c r="I163" s="236"/>
      <c r="J163" s="239">
        <f>H163/DAY(B2)</f>
        <v>71.454166666666424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4359</v>
      </c>
      <c r="F164" s="235">
        <v>4365</v>
      </c>
      <c r="G164" s="238">
        <f t="shared" si="13"/>
        <v>6</v>
      </c>
      <c r="H164" s="99">
        <f>G164+'23'!H164</f>
        <v>45</v>
      </c>
      <c r="I164" s="236"/>
      <c r="J164" s="239">
        <f>H164/DAY(B2)</f>
        <v>1.875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30054</v>
      </c>
      <c r="F165" s="235">
        <v>30063</v>
      </c>
      <c r="G165" s="238">
        <f t="shared" si="13"/>
        <v>9</v>
      </c>
      <c r="H165" s="99">
        <f>G165+'23'!H165</f>
        <v>205.75</v>
      </c>
      <c r="I165" s="236"/>
      <c r="J165" s="239">
        <f>H165/DAY(B2)</f>
        <v>8.5729166666666661</v>
      </c>
    </row>
    <row r="166" spans="1:10" ht="29.25" x14ac:dyDescent="0.5">
      <c r="A166" s="860"/>
      <c r="B166" s="860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1.75" customHeight="1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864" t="s">
        <v>209</v>
      </c>
      <c r="B173" s="865"/>
      <c r="C173" s="333"/>
      <c r="D173" s="228" t="s">
        <v>142</v>
      </c>
      <c r="E173" s="95">
        <f>'23'!F173</f>
        <v>8183</v>
      </c>
      <c r="F173" s="155">
        <v>8183</v>
      </c>
      <c r="G173" s="155">
        <f>F173-E173</f>
        <v>0</v>
      </c>
      <c r="H173" s="99">
        <f>G173+'23'!H173</f>
        <v>57</v>
      </c>
      <c r="I173" s="155"/>
      <c r="J173" s="178">
        <f>H173/DAY(B2)</f>
        <v>2.375</v>
      </c>
    </row>
    <row r="174" spans="1:10" ht="27" customHeight="1" x14ac:dyDescent="0.5">
      <c r="A174" s="864" t="s">
        <v>75</v>
      </c>
      <c r="B174" s="865"/>
      <c r="C174" s="333"/>
      <c r="D174" s="228" t="s">
        <v>142</v>
      </c>
      <c r="E174" s="95">
        <f>'23'!F174</f>
        <v>38939</v>
      </c>
      <c r="F174" s="157">
        <v>38955</v>
      </c>
      <c r="G174" s="155">
        <f t="shared" ref="G174:G175" si="14">F174-E174</f>
        <v>16</v>
      </c>
      <c r="H174" s="99">
        <f>G174+'23'!H174</f>
        <v>340</v>
      </c>
      <c r="I174" s="155"/>
      <c r="J174" s="178">
        <f>H174/DAY(B2)</f>
        <v>14.166666666666666</v>
      </c>
    </row>
    <row r="175" spans="1:10" ht="27" customHeight="1" x14ac:dyDescent="0.5">
      <c r="A175" s="864" t="s">
        <v>76</v>
      </c>
      <c r="B175" s="904"/>
      <c r="C175" s="865"/>
      <c r="D175" s="228" t="s">
        <v>142</v>
      </c>
      <c r="E175" s="95">
        <f>'23'!F175</f>
        <v>22086</v>
      </c>
      <c r="F175" s="155">
        <v>22101</v>
      </c>
      <c r="G175" s="155">
        <f t="shared" si="14"/>
        <v>15</v>
      </c>
      <c r="H175" s="99">
        <f>G175+'23'!H175</f>
        <v>288</v>
      </c>
      <c r="I175" s="155"/>
      <c r="J175" s="178">
        <f>H175/DAY(B2)</f>
        <v>12</v>
      </c>
    </row>
    <row r="176" spans="1:10" ht="21.75" customHeight="1" x14ac:dyDescent="0.5">
      <c r="A176" s="855" t="s">
        <v>196</v>
      </c>
      <c r="B176" s="856"/>
      <c r="C176" s="483"/>
      <c r="D176" s="228" t="s">
        <v>142</v>
      </c>
      <c r="E176" s="95"/>
      <c r="F176" s="155"/>
      <c r="G176" s="155">
        <f>SUM(G173:G175)</f>
        <v>31</v>
      </c>
      <c r="H176" s="99">
        <f>G176+'23'!H176</f>
        <v>685</v>
      </c>
      <c r="I176" s="155"/>
      <c r="J176" s="178">
        <f>H176/DAY(B2)</f>
        <v>28.541666666666668</v>
      </c>
    </row>
    <row r="177" spans="1:10" ht="21.75" customHeight="1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864" t="s">
        <v>210</v>
      </c>
      <c r="B178" s="865"/>
      <c r="C178" s="333"/>
      <c r="D178" s="228" t="s">
        <v>142</v>
      </c>
      <c r="E178" s="95">
        <f>'23'!F178</f>
        <v>82636</v>
      </c>
      <c r="F178" s="155">
        <v>82701</v>
      </c>
      <c r="G178" s="155">
        <f>F178-E178</f>
        <v>65</v>
      </c>
      <c r="H178" s="99">
        <f>G178+'23'!H178</f>
        <v>1386</v>
      </c>
      <c r="I178" s="155"/>
      <c r="J178" s="178">
        <f>H178/DAY(B2)</f>
        <v>57.75</v>
      </c>
    </row>
    <row r="179" spans="1:10" ht="24" customHeight="1" x14ac:dyDescent="0.5">
      <c r="A179" s="864" t="s">
        <v>211</v>
      </c>
      <c r="B179" s="865"/>
      <c r="C179" s="333"/>
      <c r="D179" s="228" t="s">
        <v>142</v>
      </c>
      <c r="E179" s="95">
        <f>'23'!F179</f>
        <v>35342</v>
      </c>
      <c r="F179" s="155">
        <v>35342</v>
      </c>
      <c r="G179" s="155">
        <f t="shared" ref="G179:G180" si="15">F179-E179</f>
        <v>0</v>
      </c>
      <c r="H179" s="99">
        <f>G179+'23'!H179</f>
        <v>539</v>
      </c>
      <c r="I179" s="155"/>
      <c r="J179" s="178">
        <f>H179/DAY(B2)</f>
        <v>22.458333333333332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'23'!F180</f>
        <v>5836</v>
      </c>
      <c r="F180" s="155">
        <v>5851</v>
      </c>
      <c r="G180" s="155">
        <f t="shared" si="15"/>
        <v>15</v>
      </c>
      <c r="H180" s="99">
        <f>G180+'23'!H180</f>
        <v>149</v>
      </c>
      <c r="I180" s="155"/>
      <c r="J180" s="178">
        <f>H180/DAY(B2)</f>
        <v>6.208333333333333</v>
      </c>
    </row>
    <row r="181" spans="1:10" ht="27.75" x14ac:dyDescent="0.5">
      <c r="A181" s="866" t="s">
        <v>108</v>
      </c>
      <c r="B181" s="867"/>
      <c r="C181" s="483"/>
      <c r="D181" s="228" t="s">
        <v>142</v>
      </c>
      <c r="E181" s="95"/>
      <c r="F181" s="155"/>
      <c r="G181" s="155">
        <f>SUM(G178:G180)</f>
        <v>80</v>
      </c>
      <c r="H181" s="99">
        <f>G181+'23'!H181</f>
        <v>2074</v>
      </c>
      <c r="I181" s="155"/>
      <c r="J181" s="178">
        <f>H181/DAY(B2)</f>
        <v>86.416666666666671</v>
      </c>
    </row>
    <row r="182" spans="1:10" ht="27.75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'23'!F183</f>
        <v>15685</v>
      </c>
      <c r="F183" s="157">
        <v>15696</v>
      </c>
      <c r="G183" s="157">
        <f>F183-E183</f>
        <v>11</v>
      </c>
      <c r="H183" s="99">
        <f>G183+'23'!H183</f>
        <v>351</v>
      </c>
      <c r="I183" s="155"/>
      <c r="J183" s="178">
        <f>H183/DAY(B2)</f>
        <v>14.625</v>
      </c>
    </row>
    <row r="184" spans="1:10" ht="27.75" x14ac:dyDescent="0.5">
      <c r="A184" s="864" t="s">
        <v>215</v>
      </c>
      <c r="B184" s="865"/>
      <c r="C184" s="334"/>
      <c r="D184" s="228" t="s">
        <v>142</v>
      </c>
      <c r="E184" s="95">
        <f>'23'!F184</f>
        <v>10766</v>
      </c>
      <c r="F184" s="157">
        <v>10772</v>
      </c>
      <c r="G184" s="157">
        <f t="shared" ref="G184:G185" si="16">F184-E184</f>
        <v>6</v>
      </c>
      <c r="H184" s="99">
        <f>G184+'23'!H184</f>
        <v>254</v>
      </c>
      <c r="I184" s="155"/>
      <c r="J184" s="178">
        <f>H184/DAY(B2)</f>
        <v>10.583333333333334</v>
      </c>
    </row>
    <row r="185" spans="1:10" ht="26.25" customHeight="1" x14ac:dyDescent="0.5">
      <c r="A185" s="864" t="s">
        <v>216</v>
      </c>
      <c r="B185" s="865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855" t="s">
        <v>196</v>
      </c>
      <c r="B186" s="856"/>
      <c r="C186" s="482"/>
      <c r="D186" s="228" t="s">
        <v>142</v>
      </c>
      <c r="E186" s="95"/>
      <c r="F186" s="157"/>
      <c r="G186" s="157">
        <f>SUM(G183:G185)</f>
        <v>17</v>
      </c>
      <c r="H186" s="99">
        <f>G186+'23'!H186</f>
        <v>605</v>
      </c>
      <c r="I186" s="157"/>
      <c r="J186" s="178">
        <f>H186/DAY(B2)</f>
        <v>25.208333333333332</v>
      </c>
    </row>
    <row r="187" spans="1:10" ht="27.75" x14ac:dyDescent="0.5">
      <c r="A187" s="857" t="s">
        <v>217</v>
      </c>
      <c r="B187" s="858"/>
      <c r="C187" s="333"/>
      <c r="D187" s="230" t="s">
        <v>142</v>
      </c>
      <c r="E187" s="95">
        <f>'23'!F187</f>
        <v>0</v>
      </c>
      <c r="F187" s="159"/>
      <c r="G187" s="460">
        <f>G62+G19</f>
        <v>200</v>
      </c>
      <c r="H187" s="99">
        <f>G187+'23'!H187</f>
        <v>4676</v>
      </c>
      <c r="I187" s="158"/>
      <c r="J187" s="179">
        <f>H187/DAY(B2)</f>
        <v>194.83333333333334</v>
      </c>
    </row>
    <row r="188" spans="1:10" ht="27.75" x14ac:dyDescent="0.5">
      <c r="A188" s="857" t="s">
        <v>218</v>
      </c>
      <c r="B188" s="858"/>
      <c r="C188" s="333"/>
      <c r="D188" s="230" t="s">
        <v>142</v>
      </c>
      <c r="E188" s="95">
        <f>'23'!F188</f>
        <v>0</v>
      </c>
      <c r="F188" s="159"/>
      <c r="G188" s="460">
        <f>G65+G66+G67+G69+G70</f>
        <v>194</v>
      </c>
      <c r="H188" s="99">
        <f>G188+'23'!H188</f>
        <v>2230</v>
      </c>
      <c r="I188" s="158"/>
      <c r="J188" s="179">
        <f>H188/DAY(B2)</f>
        <v>92.916666666666671</v>
      </c>
    </row>
    <row r="189" spans="1:10" ht="27.75" x14ac:dyDescent="0.5">
      <c r="A189" s="857" t="s">
        <v>219</v>
      </c>
      <c r="B189" s="858"/>
      <c r="C189" s="333"/>
      <c r="D189" s="230" t="s">
        <v>142</v>
      </c>
      <c r="E189" s="95">
        <f>'23'!F189</f>
        <v>0</v>
      </c>
      <c r="F189" s="157"/>
      <c r="G189" s="457">
        <f>G181</f>
        <v>80</v>
      </c>
      <c r="H189" s="99">
        <f>G189+'23'!H189</f>
        <v>465</v>
      </c>
      <c r="I189" s="158"/>
      <c r="J189" s="179">
        <f>H189/DAY(B2)</f>
        <v>19.375</v>
      </c>
    </row>
    <row r="190" spans="1:10" ht="27.75" x14ac:dyDescent="0.5">
      <c r="A190" s="778"/>
      <c r="B190" s="779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36" zoomScale="55" zoomScaleNormal="49" zoomScaleSheetLayoutView="55" workbookViewId="0">
      <selection activeCell="G173" sqref="G173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357</v>
      </c>
      <c r="B2" s="262">
        <v>44617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139750</v>
      </c>
      <c r="F7" s="95">
        <v>161384</v>
      </c>
      <c r="G7" s="112">
        <f>F7-E7</f>
        <v>21634</v>
      </c>
      <c r="H7" s="99">
        <f>G7+'24'!H7</f>
        <v>510262.77</v>
      </c>
      <c r="I7" s="113">
        <f>'1'!I7</f>
        <v>12000</v>
      </c>
      <c r="J7" s="175">
        <f>H7/DAY(B2)</f>
        <v>20410.5108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200368</v>
      </c>
      <c r="F8" s="600">
        <v>222302</v>
      </c>
      <c r="G8" s="115">
        <f>F8-E8</f>
        <v>21934</v>
      </c>
      <c r="H8" s="99">
        <f>G8+'24'!H8</f>
        <v>513780.44999999995</v>
      </c>
      <c r="I8" s="116"/>
      <c r="J8" s="175">
        <f>H8/DAY(B2)</f>
        <v>20551.217999999997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663103</v>
      </c>
      <c r="F9" s="598">
        <v>676543</v>
      </c>
      <c r="G9" s="112">
        <f>F9-E9</f>
        <v>13440</v>
      </c>
      <c r="H9" s="99">
        <f>G9+'24'!H9</f>
        <v>394289.15</v>
      </c>
      <c r="I9" s="124">
        <f>I7-J7</f>
        <v>-8410.5108</v>
      </c>
      <c r="J9" s="175">
        <f>H9/DAY(B2)</f>
        <v>15771.566000000001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199202</v>
      </c>
      <c r="F10" s="353">
        <v>206818</v>
      </c>
      <c r="G10" s="112">
        <f t="shared" ref="G10:G12" si="0">F10-E10</f>
        <v>7616</v>
      </c>
      <c r="H10" s="99">
        <f>G10+'24'!H10</f>
        <v>101559.03</v>
      </c>
      <c r="I10" s="282"/>
      <c r="J10" s="175">
        <f>H10/DAY(B2)</f>
        <v>4062.3611999999998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37170</v>
      </c>
      <c r="F11" s="95">
        <v>37170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21056</v>
      </c>
      <c r="H13" s="99">
        <f>G13+'24'!H13</f>
        <v>479093.74999999994</v>
      </c>
      <c r="I13" s="120">
        <f>G7-G13</f>
        <v>578</v>
      </c>
      <c r="J13" s="175">
        <f>H13/DAY(B2)</f>
        <v>19163.749999999996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'24'!F15</f>
        <v>1932440</v>
      </c>
      <c r="F15" s="123">
        <v>1933597</v>
      </c>
      <c r="G15" s="112">
        <f>(F15-E15)</f>
        <v>1157</v>
      </c>
      <c r="H15" s="99">
        <f>G15+'24'!H15</f>
        <v>26960.233000000007</v>
      </c>
      <c r="I15" s="113">
        <f>'1'!I15</f>
        <v>800</v>
      </c>
      <c r="J15" s="175">
        <f>H15/DAY(B2)</f>
        <v>1078.4093200000002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-278.40932000000021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'24'!F18</f>
        <v>22</v>
      </c>
      <c r="F18" s="122">
        <v>18</v>
      </c>
      <c r="G18" s="119">
        <f>F18*10</f>
        <v>180</v>
      </c>
      <c r="H18" s="99">
        <f>G18+'24'!H18</f>
        <v>5680</v>
      </c>
      <c r="I18" s="113">
        <f>'1'!I18</f>
        <v>65</v>
      </c>
      <c r="J18" s="175">
        <f>H18/DAY(B2)</f>
        <v>227.2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'24'!F19</f>
        <v>155169</v>
      </c>
      <c r="F19" s="122">
        <v>155222</v>
      </c>
      <c r="G19" s="112">
        <f t="shared" ref="G19" si="1">F19-E19</f>
        <v>53</v>
      </c>
      <c r="H19" s="99">
        <f>G19+'24'!H19</f>
        <v>1331</v>
      </c>
      <c r="I19" s="335"/>
      <c r="J19" s="175">
        <f>H19/DAY(B2)</f>
        <v>53.24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G20+'24'!H20</f>
        <v>7011</v>
      </c>
      <c r="I20" s="336">
        <f>I18-J20</f>
        <v>-215.44</v>
      </c>
      <c r="J20" s="175">
        <f>H20/DAY(B2)</f>
        <v>280.44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21934</v>
      </c>
      <c r="F27" s="136">
        <v>9</v>
      </c>
      <c r="G27" s="137">
        <f>E27*F27</f>
        <v>197406</v>
      </c>
      <c r="H27" s="99">
        <f>G27+'24'!H27</f>
        <v>4624024.0500000007</v>
      </c>
      <c r="I27" s="138"/>
      <c r="J27" s="175">
        <f>H27/DAY(B2)</f>
        <v>184960.96200000003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1157</v>
      </c>
      <c r="F28" s="136">
        <v>52</v>
      </c>
      <c r="G28" s="137">
        <f>E28*F28</f>
        <v>60164</v>
      </c>
      <c r="H28" s="99">
        <f>G28+'24'!H28</f>
        <v>1464860.1160000004</v>
      </c>
      <c r="I28" s="140"/>
      <c r="J28" s="175">
        <f>H28/DAY(B2)</f>
        <v>58594.404640000015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G30+'24'!H30</f>
        <v>195181</v>
      </c>
      <c r="I30" s="140"/>
      <c r="J30" s="175">
        <f>H30/DAY(B2)</f>
        <v>7807.24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G31+'24'!H31</f>
        <v>454400</v>
      </c>
      <c r="I31" s="140"/>
      <c r="J31" s="175">
        <f>H31/DAY(B2)</f>
        <v>18176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279708</v>
      </c>
      <c r="H32" s="99">
        <f>G32+'24'!H32</f>
        <v>6738465.1660000011</v>
      </c>
      <c r="I32" s="144"/>
      <c r="J32" s="175">
        <f>H32/DAY(B2)</f>
        <v>269538.60664000007</v>
      </c>
      <c r="K32" s="63"/>
      <c r="L32" s="89"/>
      <c r="N32" s="87"/>
      <c r="O32" s="71"/>
    </row>
    <row r="33" spans="1:15" ht="25.5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68302</v>
      </c>
      <c r="F35" s="145">
        <v>69794</v>
      </c>
      <c r="G35" s="112">
        <f t="shared" ref="G35:G46" si="3">F35-E35</f>
        <v>1492</v>
      </c>
      <c r="H35" s="99">
        <f>G35+'24'!H35</f>
        <v>37789.020000000004</v>
      </c>
      <c r="I35" s="95"/>
      <c r="J35" s="175">
        <f>H35/DAY(B2)</f>
        <v>1511.5608000000002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66565</v>
      </c>
      <c r="F36" s="145">
        <v>67666</v>
      </c>
      <c r="G36" s="112">
        <f t="shared" si="3"/>
        <v>1101</v>
      </c>
      <c r="H36" s="99">
        <f>G36+'24'!H36</f>
        <v>24207.260000000002</v>
      </c>
      <c r="I36" s="95"/>
      <c r="J36" s="175">
        <f>H36/DAY(B2)</f>
        <v>968.29040000000009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75560</v>
      </c>
      <c r="F37" s="145">
        <v>77185</v>
      </c>
      <c r="G37" s="112">
        <f t="shared" si="3"/>
        <v>1625</v>
      </c>
      <c r="H37" s="99">
        <f>G37+'24'!H37</f>
        <v>41759.910000000003</v>
      </c>
      <c r="I37" s="95"/>
      <c r="J37" s="175">
        <f>H37/DAY(B2)</f>
        <v>1670.3964000000001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86512</v>
      </c>
      <c r="F38" s="108">
        <v>88627</v>
      </c>
      <c r="G38" s="112">
        <f t="shared" si="3"/>
        <v>2115</v>
      </c>
      <c r="H38" s="99">
        <f>G38+'24'!H38</f>
        <v>50250.57</v>
      </c>
      <c r="I38" s="95"/>
      <c r="J38" s="175">
        <f>H38/DAY(B2)</f>
        <v>2010.0228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131327</v>
      </c>
      <c r="F39" s="145">
        <v>134540</v>
      </c>
      <c r="G39" s="112">
        <f t="shared" si="3"/>
        <v>3213</v>
      </c>
      <c r="H39" s="99">
        <f>G39+'24'!H39</f>
        <v>75366.710000000006</v>
      </c>
      <c r="I39" s="95"/>
      <c r="J39" s="175">
        <f>H39/DAY(B2)</f>
        <v>3014.6684000000005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31352</v>
      </c>
      <c r="F40" s="145">
        <v>31593</v>
      </c>
      <c r="G40" s="112">
        <f t="shared" si="3"/>
        <v>241</v>
      </c>
      <c r="H40" s="99">
        <f>G40+'24'!H40</f>
        <v>9476.0099999999984</v>
      </c>
      <c r="I40" s="95"/>
      <c r="J40" s="175">
        <f>H40/DAY(B2)</f>
        <v>379.04039999999992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63</v>
      </c>
      <c r="F41" s="145">
        <v>63</v>
      </c>
      <c r="G41" s="112">
        <f t="shared" si="3"/>
        <v>0</v>
      </c>
      <c r="H41" s="99">
        <f>G41+'24'!H41</f>
        <v>0.27000000000000313</v>
      </c>
      <c r="I41" s="95"/>
      <c r="J41" s="175">
        <f>H41/DAY(B2)</f>
        <v>1.0800000000000125E-2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177135</v>
      </c>
      <c r="F42" s="145">
        <v>177135</v>
      </c>
      <c r="G42" s="112">
        <f t="shared" si="3"/>
        <v>0</v>
      </c>
      <c r="H42" s="99">
        <f>G42+'24'!H42</f>
        <v>77005.259999999995</v>
      </c>
      <c r="I42" s="95"/>
      <c r="J42" s="175">
        <f>H42/DAY(B2)</f>
        <v>3080.2103999999999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165768</v>
      </c>
      <c r="F43" s="145">
        <v>167858</v>
      </c>
      <c r="G43" s="112">
        <f t="shared" si="3"/>
        <v>2090</v>
      </c>
      <c r="H43" s="99">
        <f>G43+'24'!H43</f>
        <v>53006.399999999994</v>
      </c>
      <c r="I43" s="95"/>
      <c r="J43" s="175">
        <f>H43/DAY(B2)</f>
        <v>2120.2559999999999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11877</v>
      </c>
      <c r="H47" s="99">
        <f>G47+'24'!H47</f>
        <v>368861.41000000009</v>
      </c>
      <c r="I47" s="95"/>
      <c r="J47" s="175">
        <f>H47/DAY(B2)</f>
        <v>14754.456400000003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58398</v>
      </c>
      <c r="F49" s="145">
        <v>59864</v>
      </c>
      <c r="G49" s="112">
        <f t="shared" ref="G49:G58" si="4">F49-E49</f>
        <v>1466</v>
      </c>
      <c r="H49" s="99">
        <f>G49+'24'!H49</f>
        <v>34867.81</v>
      </c>
      <c r="I49" s="95"/>
      <c r="J49" s="175">
        <f>H49/DAY(B2)</f>
        <v>1394.7123999999999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85390</v>
      </c>
      <c r="F50" s="145">
        <v>86738</v>
      </c>
      <c r="G50" s="112">
        <f t="shared" si="4"/>
        <v>1348</v>
      </c>
      <c r="H50" s="99">
        <f>G50+'24'!H50</f>
        <v>30351.370000000003</v>
      </c>
      <c r="I50" s="95"/>
      <c r="J50" s="175">
        <f>H50/DAY(B2)</f>
        <v>1214.0548000000001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17156</v>
      </c>
      <c r="F54" s="145">
        <v>17690</v>
      </c>
      <c r="G54" s="112">
        <f t="shared" si="4"/>
        <v>534</v>
      </c>
      <c r="H54" s="99">
        <f>G54+'24'!H54</f>
        <v>12542.58</v>
      </c>
      <c r="I54" s="95"/>
      <c r="J54" s="175">
        <f>H54/DAY(B2)</f>
        <v>501.70319999999998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90579</v>
      </c>
      <c r="F55" s="145">
        <v>90579</v>
      </c>
      <c r="G55" s="112">
        <f t="shared" si="4"/>
        <v>0</v>
      </c>
      <c r="H55" s="99">
        <f>G55+'24'!H55</f>
        <v>16212.89</v>
      </c>
      <c r="I55" s="95"/>
      <c r="J55" s="175">
        <f>H55/DAY(B2)</f>
        <v>648.51559999999995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14166</v>
      </c>
      <c r="F56" s="145">
        <v>17298</v>
      </c>
      <c r="G56" s="112">
        <f t="shared" si="4"/>
        <v>3132</v>
      </c>
      <c r="H56" s="99">
        <f>G56+'24'!H56</f>
        <v>8687.4599999999991</v>
      </c>
      <c r="I56" s="95"/>
      <c r="J56" s="175">
        <f>H56/DAY(B2)</f>
        <v>347.49839999999995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10020</v>
      </c>
      <c r="F58" s="145">
        <v>10255</v>
      </c>
      <c r="G58" s="112">
        <f t="shared" si="4"/>
        <v>235</v>
      </c>
      <c r="H58" s="99">
        <f>G58+'24'!H58</f>
        <v>5458.79</v>
      </c>
      <c r="I58" s="95"/>
      <c r="J58" s="175">
        <f>H58/DAY(B2)</f>
        <v>218.35159999999999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6715</v>
      </c>
      <c r="H59" s="99">
        <f>G59+'24'!H59</f>
        <v>108120.9</v>
      </c>
      <c r="I59" s="95">
        <f>G7-G60</f>
        <v>3042</v>
      </c>
      <c r="J59" s="175">
        <f>H59/DAY(B2)</f>
        <v>4324.8359999999993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18592</v>
      </c>
      <c r="H60" s="99">
        <f>G60+'24'!H60</f>
        <v>476982.31000000006</v>
      </c>
      <c r="I60" s="95">
        <f>G13-G60</f>
        <v>2464</v>
      </c>
      <c r="J60" s="175">
        <f>H60/DAY(B2)</f>
        <v>19079.292400000002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'24'!F62</f>
        <v>272914</v>
      </c>
      <c r="F62" s="122">
        <v>273061</v>
      </c>
      <c r="G62" s="112">
        <f t="shared" ref="G62:G63" si="5">F62-E62</f>
        <v>147</v>
      </c>
      <c r="H62" s="99">
        <f>G62+'24'!H62</f>
        <v>3545</v>
      </c>
      <c r="I62" s="118"/>
      <c r="J62" s="175">
        <f>H62/DAY(B2)</f>
        <v>141.80000000000001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'24'!F63</f>
        <v>218788</v>
      </c>
      <c r="F63" s="122">
        <v>218909</v>
      </c>
      <c r="G63" s="112">
        <f t="shared" si="5"/>
        <v>121</v>
      </c>
      <c r="H63" s="99">
        <f>G63+'24'!H63</f>
        <v>3112</v>
      </c>
      <c r="I63" s="118"/>
      <c r="J63" s="175">
        <f>H63/DAY(B2)</f>
        <v>124.48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'24'!F64</f>
        <v>0</v>
      </c>
      <c r="F64" s="122"/>
      <c r="G64" s="112">
        <f>G62+G63</f>
        <v>268</v>
      </c>
      <c r="H64" s="99">
        <f>G64+'24'!H64</f>
        <v>6657</v>
      </c>
      <c r="I64" s="118"/>
      <c r="J64" s="175">
        <f>H64/DAY(B2)</f>
        <v>266.27999999999997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'24'!F65</f>
        <v>437377</v>
      </c>
      <c r="F65" s="122">
        <v>437489</v>
      </c>
      <c r="G65" s="112">
        <f t="shared" ref="G65:G70" si="6">F65-E65</f>
        <v>112</v>
      </c>
      <c r="H65" s="99">
        <f>G65+'24'!H65</f>
        <v>2566</v>
      </c>
      <c r="I65" s="118"/>
      <c r="J65" s="175">
        <f>H65/DAY(B2)</f>
        <v>102.64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'24'!F66</f>
        <v>108333</v>
      </c>
      <c r="F66" s="122">
        <v>108798</v>
      </c>
      <c r="G66" s="112">
        <f t="shared" si="6"/>
        <v>465</v>
      </c>
      <c r="H66" s="99">
        <f>G66+'24'!H66</f>
        <v>1055</v>
      </c>
      <c r="I66" s="118"/>
      <c r="J66" s="175">
        <f>H66/DAY(B2)</f>
        <v>42.2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'24'!F67</f>
        <v>105962</v>
      </c>
      <c r="F67" s="122">
        <v>106033</v>
      </c>
      <c r="G67" s="112">
        <f t="shared" si="6"/>
        <v>71</v>
      </c>
      <c r="H67" s="99">
        <f>G67+'24'!H67</f>
        <v>1385</v>
      </c>
      <c r="I67" s="118"/>
      <c r="J67" s="175">
        <f>H67/DAY(B2)</f>
        <v>55.4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'24'!F68</f>
        <v>158745</v>
      </c>
      <c r="F68" s="122">
        <v>158798</v>
      </c>
      <c r="G68" s="112">
        <v>73</v>
      </c>
      <c r="H68" s="99">
        <f>G68+'24'!H68</f>
        <v>1121</v>
      </c>
      <c r="I68" s="118"/>
      <c r="J68" s="175">
        <f>H68/DAY(B2)</f>
        <v>44.84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'24'!F69</f>
        <v>10833</v>
      </c>
      <c r="F69" s="122">
        <v>10839</v>
      </c>
      <c r="G69" s="112">
        <f t="shared" si="6"/>
        <v>6</v>
      </c>
      <c r="H69" s="99">
        <f>G69+'24'!H69</f>
        <v>298</v>
      </c>
      <c r="I69" s="118"/>
      <c r="J69" s="175">
        <f>H69/DAY(B2)</f>
        <v>11.92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'24'!F70</f>
        <v>8400</v>
      </c>
      <c r="F70" s="122">
        <v>8411</v>
      </c>
      <c r="G70" s="112">
        <f t="shared" si="6"/>
        <v>11</v>
      </c>
      <c r="H70" s="99">
        <f>G70+'24'!H70</f>
        <v>291</v>
      </c>
      <c r="I70" s="118"/>
      <c r="J70" s="175">
        <f>H70/DAY(B2)</f>
        <v>11.64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738</v>
      </c>
      <c r="H71" s="99">
        <f>G71+'24'!H71</f>
        <v>6716</v>
      </c>
      <c r="I71" s="154"/>
      <c r="J71" s="175">
        <f>H71/DAY(B2)</f>
        <v>268.64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'24'!F74</f>
        <v>908494</v>
      </c>
      <c r="F74" s="123">
        <v>908831</v>
      </c>
      <c r="G74" s="112">
        <f t="shared" ref="G74:G78" si="7">F74-E74</f>
        <v>337</v>
      </c>
      <c r="H74" s="99">
        <f>G74+'24'!H74</f>
        <v>7524.8510000000242</v>
      </c>
      <c r="I74" s="154"/>
      <c r="J74" s="175">
        <f>H74/DAY(B2)</f>
        <v>300.99404000000095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'24'!F76</f>
        <v>172629</v>
      </c>
      <c r="F76" s="123">
        <v>172743</v>
      </c>
      <c r="G76" s="112">
        <f t="shared" si="7"/>
        <v>114</v>
      </c>
      <c r="H76" s="99">
        <f>G76+'24'!H76</f>
        <v>2768</v>
      </c>
      <c r="I76" s="154"/>
      <c r="J76" s="175">
        <f>H76/DAY(B2)</f>
        <v>110.72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'24'!F77</f>
        <v>42408</v>
      </c>
      <c r="F77" s="232">
        <v>42468</v>
      </c>
      <c r="G77" s="112">
        <f t="shared" si="7"/>
        <v>60</v>
      </c>
      <c r="H77" s="99">
        <f>G77+'24'!H77</f>
        <v>1165.8000000000029</v>
      </c>
      <c r="I77" s="154"/>
      <c r="J77" s="175">
        <f>H77/DAY(B2)</f>
        <v>46.632000000000119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'24'!F78</f>
        <v>9546</v>
      </c>
      <c r="F78" s="123">
        <v>9548</v>
      </c>
      <c r="G78" s="112">
        <f t="shared" si="7"/>
        <v>2</v>
      </c>
      <c r="H78" s="99">
        <f>G78+'24'!H78</f>
        <v>35</v>
      </c>
      <c r="I78" s="118"/>
      <c r="J78" s="175">
        <f>H78/DAY(B2)</f>
        <v>1.4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'24'!F79</f>
        <v>0</v>
      </c>
      <c r="F79" s="117"/>
      <c r="G79" s="112">
        <f>G15-SUM(G74:G78)</f>
        <v>644</v>
      </c>
      <c r="H79" s="99">
        <f>G79+'24'!H79</f>
        <v>15466.58199999998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1157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'24'!F84</f>
        <v>41675</v>
      </c>
      <c r="F84" s="164">
        <v>41675.4</v>
      </c>
      <c r="G84" s="112">
        <f t="shared" si="8"/>
        <v>0.40000000000145519</v>
      </c>
      <c r="H84" s="99">
        <f>G84+'24'!H84</f>
        <v>0.40000000000145519</v>
      </c>
      <c r="I84" s="118"/>
      <c r="J84" s="175">
        <f>H84/DAY(B2)</f>
        <v>1.6000000000058207E-2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'24'!F85</f>
        <v>2681</v>
      </c>
      <c r="F85" s="164">
        <v>2681</v>
      </c>
      <c r="G85" s="112">
        <f t="shared" si="8"/>
        <v>0</v>
      </c>
      <c r="H85" s="99">
        <f>G85+'24'!H85</f>
        <v>420.57999999999993</v>
      </c>
      <c r="I85" s="118">
        <f>G82+G83+G84+G85</f>
        <v>0.40000000000145519</v>
      </c>
      <c r="J85" s="175">
        <f>H85/DAY(B2)</f>
        <v>16.823199999999996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'24'!F86</f>
        <v>43564</v>
      </c>
      <c r="F86" s="164">
        <v>43564</v>
      </c>
      <c r="G86" s="112">
        <f t="shared" si="8"/>
        <v>0</v>
      </c>
      <c r="H86" s="99">
        <f>G86+'24'!H86</f>
        <v>122</v>
      </c>
      <c r="I86" s="118"/>
      <c r="J86" s="175">
        <f>H86/DAY(B2)</f>
        <v>4.88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'24'!F87</f>
        <v>34638</v>
      </c>
      <c r="F87" s="164">
        <v>34662</v>
      </c>
      <c r="G87" s="112">
        <f t="shared" si="8"/>
        <v>24</v>
      </c>
      <c r="H87" s="99">
        <f>G87+'24'!H87</f>
        <v>63.5</v>
      </c>
      <c r="I87" s="118"/>
      <c r="J87" s="175">
        <f>H87/DAY(B2)</f>
        <v>2.54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'24'!F88</f>
        <v>24077</v>
      </c>
      <c r="F88" s="164">
        <v>24077</v>
      </c>
      <c r="G88" s="112">
        <f t="shared" si="8"/>
        <v>0</v>
      </c>
      <c r="H88" s="99">
        <f>G88+'24'!H88</f>
        <v>13.569999999999709</v>
      </c>
      <c r="I88" s="118">
        <f>G86+G87+G88</f>
        <v>24</v>
      </c>
      <c r="J88" s="175">
        <f>H88/DAY(B2)</f>
        <v>0.5427999999999884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'24'!F89</f>
        <v>26136</v>
      </c>
      <c r="F89" s="164">
        <v>26146</v>
      </c>
      <c r="G89" s="112">
        <f t="shared" si="8"/>
        <v>10</v>
      </c>
      <c r="H89" s="99">
        <f>G89+'24'!H89</f>
        <v>254.88000000000102</v>
      </c>
      <c r="I89" s="118"/>
      <c r="J89" s="175">
        <f>H89/DAY(B2)</f>
        <v>10.195200000000041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'24'!F90</f>
        <v>71282</v>
      </c>
      <c r="F90" s="164">
        <v>71289</v>
      </c>
      <c r="G90" s="112">
        <f t="shared" si="8"/>
        <v>7</v>
      </c>
      <c r="H90" s="99">
        <f>G90+'24'!H90</f>
        <v>125.67999999999302</v>
      </c>
      <c r="I90" s="118">
        <f>G89+G90</f>
        <v>17</v>
      </c>
      <c r="J90" s="175">
        <f>H90/DAY(B2)</f>
        <v>5.0271999999997208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'24'!F91</f>
        <v>3518</v>
      </c>
      <c r="F91" s="122">
        <v>3530.75</v>
      </c>
      <c r="G91" s="112">
        <f t="shared" si="8"/>
        <v>12.75</v>
      </c>
      <c r="H91" s="99">
        <f>G91+'24'!H91</f>
        <v>279.65999999999985</v>
      </c>
      <c r="I91" s="165"/>
      <c r="J91" s="175">
        <f>H91/DAY(B2)</f>
        <v>11.186399999999994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'24'!F92</f>
        <v>5741</v>
      </c>
      <c r="F92" s="122">
        <v>5741</v>
      </c>
      <c r="G92" s="112">
        <f t="shared" si="8"/>
        <v>0</v>
      </c>
      <c r="H92" s="99">
        <f>G92+'24'!H92</f>
        <v>-6.9999999999708962E-2</v>
      </c>
      <c r="I92" s="165"/>
      <c r="J92" s="175">
        <f>H92/DAY(B2)</f>
        <v>-2.7999999999883587E-3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5048</v>
      </c>
      <c r="H94" s="99">
        <f>G94+'24'!H94</f>
        <v>125663.22999999998</v>
      </c>
      <c r="I94" s="118"/>
      <c r="J94" s="175">
        <f>H94/DAY(B2)</f>
        <v>5026.529199999999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0.23333641490246834</v>
      </c>
      <c r="H95" s="99">
        <f>G95+'24'!H95</f>
        <v>6.1622393701583862</v>
      </c>
      <c r="I95" s="167"/>
      <c r="J95" s="175">
        <f>H95/DAY(B2)</f>
        <v>0.24648957480633546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3132</v>
      </c>
      <c r="H96" s="99">
        <f>G96+'24'!H96</f>
        <v>101905.87999999999</v>
      </c>
      <c r="I96" s="118"/>
      <c r="J96" s="175">
        <f>H96/DAY(B2)</f>
        <v>4076.2351999999996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0.1447721179624665</v>
      </c>
      <c r="H97" s="99">
        <f>G97+'24'!H97</f>
        <v>4.9904251759343605</v>
      </c>
      <c r="I97" s="167"/>
      <c r="J97" s="175">
        <f>H97/DAY(B2)</f>
        <v>0.19961700703737442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3213</v>
      </c>
      <c r="H98" s="99">
        <f>G98+'24'!H98</f>
        <v>75366.710000000006</v>
      </c>
      <c r="I98" s="168"/>
      <c r="J98" s="175">
        <f>H98/DAY(B2)</f>
        <v>3014.6684000000005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0.14851622446149579</v>
      </c>
      <c r="H99" s="99">
        <f>G99+'24'!H99</f>
        <v>3.6921741116286975</v>
      </c>
      <c r="I99" s="168"/>
      <c r="J99" s="175">
        <f>H99/DAY(B2)</f>
        <v>0.1476869644651479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2115</v>
      </c>
      <c r="H100" s="99">
        <f>G100+'24'!H100</f>
        <v>50250.57</v>
      </c>
      <c r="I100" s="118"/>
      <c r="J100" s="175">
        <f>H100/DAY(B2)</f>
        <v>2010.0228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9.7762780807987421E-2</v>
      </c>
      <c r="H101" s="99">
        <f>G101+'24'!H101</f>
        <v>2.4608444654075909</v>
      </c>
      <c r="I101" s="168"/>
      <c r="J101" s="175">
        <f>H101/DAY(B2)</f>
        <v>9.8433778616303633E-2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2449</v>
      </c>
      <c r="H102" s="99">
        <f>G102+'24'!H102</f>
        <v>54558.630000000005</v>
      </c>
      <c r="I102" s="168"/>
      <c r="J102" s="175">
        <f>H102/DAY(B2)</f>
        <v>2182.3452000000002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0.11320144217435518</v>
      </c>
      <c r="H103" s="99">
        <f>G103+'24'!H103</f>
        <v>2.6680436612736567</v>
      </c>
      <c r="I103" s="118"/>
      <c r="J103" s="175">
        <f>H103/DAY(B2)</f>
        <v>0.10672174645094627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1625</v>
      </c>
      <c r="H104" s="99">
        <f>G104+'24'!H104</f>
        <v>41759.910000000003</v>
      </c>
      <c r="I104" s="118"/>
      <c r="J104" s="175">
        <f>H104/DAY(B2)</f>
        <v>1670.3964000000001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7.5113247665711383E-2</v>
      </c>
      <c r="H105" s="99">
        <f>G105+'24'!H105</f>
        <v>2.0496039691578916</v>
      </c>
      <c r="I105" s="187"/>
      <c r="J105" s="188">
        <f>H105/DAY(B2)</f>
        <v>8.1984158766315665E-2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'24'!F112</f>
        <v>59725</v>
      </c>
      <c r="F112" s="237">
        <v>59792</v>
      </c>
      <c r="G112" s="112">
        <f t="shared" ref="G112:G123" si="9">F112-E112</f>
        <v>67</v>
      </c>
      <c r="H112" s="99">
        <f>G112+'24'!H112</f>
        <v>1738</v>
      </c>
      <c r="I112" s="165"/>
      <c r="J112" s="328">
        <f>H112/DAY(B2)</f>
        <v>69.52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'24'!F113</f>
        <v>57657</v>
      </c>
      <c r="F113" s="237">
        <v>58117</v>
      </c>
      <c r="G113" s="112">
        <f t="shared" si="9"/>
        <v>460</v>
      </c>
      <c r="H113" s="99">
        <f>G113+'24'!H113</f>
        <v>11716.11</v>
      </c>
      <c r="I113" s="165"/>
      <c r="J113" s="328">
        <f>H113/DAY(B2)</f>
        <v>468.64440000000002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'24'!F114</f>
        <v>40400</v>
      </c>
      <c r="F114" s="237">
        <v>40668</v>
      </c>
      <c r="G114" s="112">
        <f t="shared" si="9"/>
        <v>268</v>
      </c>
      <c r="H114" s="99">
        <f>G114+'24'!H114</f>
        <v>7508</v>
      </c>
      <c r="I114" s="165"/>
      <c r="J114" s="328">
        <f>H114/DAY(B2)</f>
        <v>300.32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'24'!F115</f>
        <v>9381</v>
      </c>
      <c r="F115" s="237">
        <v>9392</v>
      </c>
      <c r="G115" s="112">
        <f t="shared" si="9"/>
        <v>11</v>
      </c>
      <c r="H115" s="99">
        <f>G115+'24'!H115</f>
        <v>297.35000000000036</v>
      </c>
      <c r="I115" s="165"/>
      <c r="J115" s="328">
        <f>H115/DAY(B2)</f>
        <v>11.894000000000014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'24'!F116</f>
        <v>7528</v>
      </c>
      <c r="F116" s="237">
        <v>7938</v>
      </c>
      <c r="G116" s="112">
        <f t="shared" si="9"/>
        <v>410</v>
      </c>
      <c r="H116" s="99">
        <f>G116+'24'!H116</f>
        <v>7938</v>
      </c>
      <c r="I116" s="165"/>
      <c r="J116" s="328">
        <f>H116/DAY(B2)</f>
        <v>317.52</v>
      </c>
      <c r="Q116" s="871"/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'24'!F117</f>
        <v>7158</v>
      </c>
      <c r="F117" s="237">
        <v>7347</v>
      </c>
      <c r="G117" s="112">
        <f t="shared" si="9"/>
        <v>189</v>
      </c>
      <c r="H117" s="99">
        <f>G117+'24'!H117</f>
        <v>4009.05</v>
      </c>
      <c r="I117" s="165"/>
      <c r="J117" s="328">
        <f>H117/DAY(B2)</f>
        <v>160.36199999999999</v>
      </c>
      <c r="Q117" s="871"/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'24'!F118</f>
        <v>261719</v>
      </c>
      <c r="F118" s="237">
        <v>262195</v>
      </c>
      <c r="G118" s="112">
        <f t="shared" si="9"/>
        <v>476</v>
      </c>
      <c r="H118" s="99">
        <f>G118+'24'!H118</f>
        <v>9742.6900000000023</v>
      </c>
      <c r="I118" s="165"/>
      <c r="J118" s="328">
        <f>H118/DAY(B2)</f>
        <v>389.70760000000007</v>
      </c>
      <c r="Q118" s="871"/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'24'!F119</f>
        <v>268381</v>
      </c>
      <c r="F119" s="237">
        <v>268818</v>
      </c>
      <c r="G119" s="112">
        <f t="shared" si="9"/>
        <v>437</v>
      </c>
      <c r="H119" s="99">
        <f>G119+'24'!H119</f>
        <v>10669.450000000012</v>
      </c>
      <c r="I119" s="165"/>
      <c r="J119" s="328">
        <f>H119/DAY(B2)</f>
        <v>426.77800000000047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'24'!F120</f>
        <v>53226</v>
      </c>
      <c r="F120" s="237">
        <v>53678</v>
      </c>
      <c r="G120" s="112">
        <f t="shared" si="9"/>
        <v>452</v>
      </c>
      <c r="H120" s="99">
        <f>G120+'24'!H120</f>
        <v>10718.39</v>
      </c>
      <c r="I120" s="165"/>
      <c r="J120" s="328">
        <f>H120/DAY(B2)</f>
        <v>428.73559999999998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'24'!F121</f>
        <v>416046</v>
      </c>
      <c r="F121" s="237">
        <v>416840</v>
      </c>
      <c r="G121" s="112">
        <f t="shared" si="9"/>
        <v>794</v>
      </c>
      <c r="H121" s="99">
        <f>G121+'24'!H121</f>
        <v>18805.570000000007</v>
      </c>
      <c r="I121" s="165"/>
      <c r="J121" s="328">
        <f>H121/DAY(B2)</f>
        <v>752.22280000000023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'24'!F122</f>
        <v>131580</v>
      </c>
      <c r="F122" s="237">
        <v>131814</v>
      </c>
      <c r="G122" s="112">
        <f t="shared" si="9"/>
        <v>234</v>
      </c>
      <c r="H122" s="99">
        <f>G122+'24'!H122</f>
        <v>5627.820000000007</v>
      </c>
      <c r="I122" s="165"/>
      <c r="J122" s="328">
        <f>H122/DAY(B2)</f>
        <v>225.11280000000028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'24'!F123</f>
        <v>160256</v>
      </c>
      <c r="F123" s="237">
        <v>160533</v>
      </c>
      <c r="G123" s="112">
        <f t="shared" si="9"/>
        <v>277</v>
      </c>
      <c r="H123" s="99">
        <f>G123+'24'!H123</f>
        <v>6486.0499999999884</v>
      </c>
      <c r="I123" s="165"/>
      <c r="J123" s="328">
        <f>H123/DAY(B2)</f>
        <v>259.44199999999955</v>
      </c>
    </row>
    <row r="124" spans="1:18" ht="29.25" customHeight="1" x14ac:dyDescent="0.5">
      <c r="A124" s="875"/>
      <c r="B124" s="876"/>
      <c r="C124" s="877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4075</v>
      </c>
      <c r="H125" s="156"/>
      <c r="I125" s="327">
        <f>G125-(G39+G53)</f>
        <v>862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'24'!F128</f>
        <v>55230</v>
      </c>
      <c r="F128" s="155">
        <v>55591</v>
      </c>
      <c r="G128" s="112">
        <f t="shared" ref="G128:G134" si="10">F128-E128</f>
        <v>361</v>
      </c>
      <c r="H128" s="99">
        <f>G128+'24'!H128</f>
        <v>7845</v>
      </c>
      <c r="I128" s="165"/>
      <c r="J128" s="328">
        <f>H128/DAY(B2)</f>
        <v>313.8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'24'!F129</f>
        <v>32380</v>
      </c>
      <c r="F129" s="155">
        <v>32638</v>
      </c>
      <c r="G129" s="112">
        <f t="shared" si="10"/>
        <v>258</v>
      </c>
      <c r="H129" s="99">
        <f>G129+'24'!H129</f>
        <v>5727.130000000001</v>
      </c>
      <c r="I129" s="165"/>
      <c r="J129" s="328">
        <f>H129/DAY(B2)</f>
        <v>229.08520000000004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'24'!F130</f>
        <v>50717</v>
      </c>
      <c r="F130" s="155">
        <v>51283</v>
      </c>
      <c r="G130" s="112">
        <f t="shared" si="10"/>
        <v>566</v>
      </c>
      <c r="H130" s="99">
        <f>G130+'24'!H130</f>
        <v>15589</v>
      </c>
      <c r="I130" s="165"/>
      <c r="J130" s="328">
        <f>H130/DAY(B2)</f>
        <v>623.55999999999995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'24'!F131</f>
        <v>18166</v>
      </c>
      <c r="F131" s="155">
        <v>18329</v>
      </c>
      <c r="G131" s="112">
        <f t="shared" si="10"/>
        <v>163</v>
      </c>
      <c r="H131" s="99">
        <f>G131+'24'!H131</f>
        <v>3021.3199999999997</v>
      </c>
      <c r="I131" s="165"/>
      <c r="J131" s="328">
        <f>H131/DAY(B2)</f>
        <v>120.85279999999999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'24'!F132</f>
        <v>61418</v>
      </c>
      <c r="F132" s="155">
        <v>61814</v>
      </c>
      <c r="G132" s="112">
        <f t="shared" si="10"/>
        <v>396</v>
      </c>
      <c r="H132" s="99">
        <f>G132+'24'!H132</f>
        <v>9965.6999999999971</v>
      </c>
      <c r="I132" s="165"/>
      <c r="J132" s="328">
        <f>H132/DAY(B2)</f>
        <v>398.62799999999987</v>
      </c>
    </row>
    <row r="133" spans="1:15" ht="27.75" x14ac:dyDescent="0.5">
      <c r="A133" s="871" t="s">
        <v>362</v>
      </c>
      <c r="B133" s="872"/>
      <c r="C133" s="873"/>
      <c r="D133" s="151" t="s">
        <v>183</v>
      </c>
      <c r="E133" s="95">
        <f>'24'!F133</f>
        <v>120704</v>
      </c>
      <c r="F133" s="155">
        <v>121364</v>
      </c>
      <c r="G133" s="112">
        <f t="shared" si="10"/>
        <v>660</v>
      </c>
      <c r="H133" s="99">
        <f>G133+'24'!H133</f>
        <v>16020.300000000003</v>
      </c>
      <c r="I133" s="165"/>
      <c r="J133" s="328">
        <f>H133/DAY(B2)</f>
        <v>640.81200000000013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'24'!F134</f>
        <v>12746</v>
      </c>
      <c r="F134" s="551">
        <v>12896</v>
      </c>
      <c r="G134" s="112">
        <f t="shared" si="10"/>
        <v>150</v>
      </c>
      <c r="H134" s="99">
        <f>G134+'24'!H134</f>
        <v>4294.7700000000004</v>
      </c>
      <c r="I134" s="165"/>
      <c r="J134" s="328">
        <f>H134/DAY(B2)</f>
        <v>171.79080000000002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2554</v>
      </c>
      <c r="H135" s="99">
        <f>G135+'23'!H135</f>
        <v>28580.3</v>
      </c>
      <c r="I135" s="327">
        <f>G135-(G35+G49)</f>
        <v>-404</v>
      </c>
      <c r="J135" s="328"/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'24'!F138</f>
        <v>868529</v>
      </c>
      <c r="F138" s="147">
        <v>868692</v>
      </c>
      <c r="G138" s="112">
        <f t="shared" ref="G138:G152" si="11">F138-E138</f>
        <v>163</v>
      </c>
      <c r="H138" s="99">
        <f>G138+'24'!H138</f>
        <v>2519</v>
      </c>
      <c r="I138" s="118"/>
      <c r="J138" s="328">
        <f>H138/DAY(B2)</f>
        <v>100.76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'24'!F139</f>
        <v>886689</v>
      </c>
      <c r="F139" s="148">
        <v>886696</v>
      </c>
      <c r="G139" s="112">
        <f t="shared" si="11"/>
        <v>7</v>
      </c>
      <c r="H139" s="99">
        <f>G139+'24'!H139</f>
        <v>123</v>
      </c>
      <c r="I139" s="118"/>
      <c r="J139" s="328">
        <f>H139/DAY(B2)</f>
        <v>4.92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'24'!F140</f>
        <v>88954</v>
      </c>
      <c r="F140" s="149">
        <v>88955</v>
      </c>
      <c r="G140" s="112">
        <f t="shared" si="11"/>
        <v>1</v>
      </c>
      <c r="H140" s="99">
        <f>G140+'24'!H140</f>
        <v>33</v>
      </c>
      <c r="I140" s="118"/>
      <c r="J140" s="328">
        <f>H140/DAY(B2)</f>
        <v>1.32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'24'!F141</f>
        <v>58975</v>
      </c>
      <c r="F141" s="149">
        <v>59160</v>
      </c>
      <c r="G141" s="112">
        <f t="shared" si="11"/>
        <v>185</v>
      </c>
      <c r="H141" s="99">
        <f>G141+'24'!H141</f>
        <v>4474.4199999999983</v>
      </c>
      <c r="I141" s="118"/>
      <c r="J141" s="328">
        <f>H141/DAY(B2)</f>
        <v>178.97679999999994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'24'!F142</f>
        <v>22918</v>
      </c>
      <c r="F142" s="148">
        <v>22984</v>
      </c>
      <c r="G142" s="112">
        <f t="shared" si="11"/>
        <v>66</v>
      </c>
      <c r="H142" s="99">
        <f>G142+'24'!H142</f>
        <v>1699.9000000000015</v>
      </c>
      <c r="I142" s="140"/>
      <c r="J142" s="328">
        <f>H142/DAY(B2)</f>
        <v>67.996000000000052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'24'!F143</f>
        <v>4507</v>
      </c>
      <c r="F143" s="149">
        <v>4536</v>
      </c>
      <c r="G143" s="112">
        <f t="shared" si="11"/>
        <v>29</v>
      </c>
      <c r="H143" s="99">
        <f>G143+'24'!H143</f>
        <v>700.61000000000013</v>
      </c>
      <c r="I143" s="140"/>
      <c r="J143" s="328">
        <f>H143/DAY(B2)</f>
        <v>28.024400000000004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'24'!F144</f>
        <v>881541</v>
      </c>
      <c r="F144" s="149">
        <v>881770</v>
      </c>
      <c r="G144" s="112">
        <f t="shared" si="11"/>
        <v>229</v>
      </c>
      <c r="H144" s="99">
        <f>G144+'24'!H144</f>
        <v>5283</v>
      </c>
      <c r="I144" s="140"/>
      <c r="J144" s="328">
        <f>H144/DAY(B2)</f>
        <v>211.32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'24'!F145</f>
        <v>5290</v>
      </c>
      <c r="F145" s="149">
        <v>5304</v>
      </c>
      <c r="G145" s="112">
        <f t="shared" si="11"/>
        <v>14</v>
      </c>
      <c r="H145" s="99">
        <f>G145+'24'!H145</f>
        <v>345.15999999999985</v>
      </c>
      <c r="I145" s="140"/>
      <c r="J145" s="328">
        <f>H145/DAY(B2)</f>
        <v>13.806399999999995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'24'!F146</f>
        <v>748015</v>
      </c>
      <c r="F146" s="148">
        <v>748507</v>
      </c>
      <c r="G146" s="112">
        <f t="shared" si="11"/>
        <v>492</v>
      </c>
      <c r="H146" s="99">
        <f>G146+'24'!H146</f>
        <v>11174</v>
      </c>
      <c r="I146" s="140"/>
      <c r="J146" s="328">
        <f>H146/DAY(B2)</f>
        <v>446.96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'24'!F147</f>
        <v>636078</v>
      </c>
      <c r="F147" s="148">
        <v>636492</v>
      </c>
      <c r="G147" s="112">
        <f t="shared" si="11"/>
        <v>414</v>
      </c>
      <c r="H147" s="99">
        <f>G147+'24'!H147</f>
        <v>9879.4799999999814</v>
      </c>
      <c r="I147" s="140"/>
      <c r="J147" s="328">
        <f>H147/DAY(B2)</f>
        <v>395.17919999999924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'24'!F148</f>
        <v>696829</v>
      </c>
      <c r="F148" s="486">
        <v>697242</v>
      </c>
      <c r="G148" s="112">
        <f t="shared" si="11"/>
        <v>413</v>
      </c>
      <c r="H148" s="99">
        <f>G148+'24'!H148</f>
        <v>7799.0400000000373</v>
      </c>
      <c r="I148" s="124"/>
      <c r="J148" s="328">
        <f>H148/DAY(B2)</f>
        <v>311.96160000000151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'24'!F149</f>
        <v>39170</v>
      </c>
      <c r="F149" s="146">
        <v>39842</v>
      </c>
      <c r="G149" s="112">
        <f t="shared" si="11"/>
        <v>672</v>
      </c>
      <c r="H149" s="99">
        <f>G149+'24'!H149</f>
        <v>15163.8</v>
      </c>
      <c r="I149" s="119"/>
      <c r="J149" s="328">
        <f>H149/DAY(B2)</f>
        <v>606.55200000000002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'24'!F150</f>
        <v>16308</v>
      </c>
      <c r="F150" s="233">
        <v>16526</v>
      </c>
      <c r="G150" s="112">
        <f t="shared" si="11"/>
        <v>218</v>
      </c>
      <c r="H150" s="99">
        <f>G150+'24'!H150</f>
        <v>5675.17</v>
      </c>
      <c r="I150" s="119"/>
      <c r="J150" s="328">
        <f>H150/DAY(B2)</f>
        <v>227.0068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'24'!F151</f>
        <v>91348</v>
      </c>
      <c r="F151" s="233">
        <v>91579</v>
      </c>
      <c r="G151" s="112">
        <f t="shared" si="11"/>
        <v>231</v>
      </c>
      <c r="H151" s="99">
        <f>G151+'24'!H151</f>
        <v>6099</v>
      </c>
      <c r="I151" s="119"/>
      <c r="J151" s="328">
        <f>H151/DAY(B2)</f>
        <v>243.96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'24'!F152</f>
        <v>3636</v>
      </c>
      <c r="F152" s="233">
        <v>3768</v>
      </c>
      <c r="G152" s="112">
        <f t="shared" si="11"/>
        <v>132</v>
      </c>
      <c r="H152" s="99">
        <f>G152+'24'!H152</f>
        <v>2108</v>
      </c>
      <c r="I152" s="119"/>
      <c r="J152" s="328">
        <f>H152/DAY(B2)</f>
        <v>84.32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3266</v>
      </c>
      <c r="H153" s="363"/>
      <c r="I153" s="119">
        <f>G153-(G38+G52)</f>
        <v>1151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'24'!F155</f>
        <v>49066</v>
      </c>
      <c r="F155" s="364">
        <v>49737</v>
      </c>
      <c r="G155" s="112">
        <f t="shared" ref="G155:G158" si="12">F155-E155</f>
        <v>671</v>
      </c>
      <c r="H155" s="99">
        <f>G155+'24'!H155</f>
        <v>16792</v>
      </c>
      <c r="I155" s="364"/>
      <c r="J155" s="328">
        <f>H155/DAY(B2)</f>
        <v>671.68</v>
      </c>
    </row>
    <row r="156" spans="1:10" ht="27.75" x14ac:dyDescent="0.5">
      <c r="A156" s="851" t="s">
        <v>347</v>
      </c>
      <c r="B156" s="851"/>
      <c r="C156" s="851"/>
      <c r="D156" s="117" t="s">
        <v>130</v>
      </c>
      <c r="E156" s="95">
        <f>'24'!F156</f>
        <v>4039</v>
      </c>
      <c r="F156" s="155">
        <v>4092</v>
      </c>
      <c r="G156" s="112">
        <f t="shared" si="12"/>
        <v>53</v>
      </c>
      <c r="H156" s="99">
        <f>G156+'24'!H156</f>
        <v>1304</v>
      </c>
      <c r="I156" s="165"/>
      <c r="J156" s="328">
        <f>H156/DAY(B2)</f>
        <v>52.16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>
        <f>'24'!F157</f>
        <v>6736</v>
      </c>
      <c r="F157" s="155">
        <v>6829</v>
      </c>
      <c r="G157" s="112">
        <f t="shared" si="12"/>
        <v>93</v>
      </c>
      <c r="H157" s="99">
        <f>G157+'24'!H157</f>
        <v>637.54</v>
      </c>
      <c r="I157" s="165"/>
      <c r="J157" s="328"/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>
        <f>'24'!F158</f>
        <v>75</v>
      </c>
      <c r="F158" s="155">
        <v>75.760000000000005</v>
      </c>
      <c r="G158" s="112">
        <f t="shared" si="12"/>
        <v>0.76000000000000512</v>
      </c>
      <c r="H158" s="99">
        <f>G158+'24'!H158</f>
        <v>1.5900000000000034</v>
      </c>
      <c r="I158" s="165"/>
      <c r="J158" s="328"/>
    </row>
    <row r="159" spans="1:10" ht="27.75" x14ac:dyDescent="0.5">
      <c r="A159" s="935"/>
      <c r="B159" s="936"/>
      <c r="C159" s="93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472772</v>
      </c>
      <c r="F161" s="235">
        <v>472794</v>
      </c>
      <c r="G161" s="238">
        <f t="shared" ref="G161:G165" si="13">F161-E161</f>
        <v>22</v>
      </c>
      <c r="H161" s="99">
        <f>G161+'24'!H161</f>
        <v>740.44000000000233</v>
      </c>
      <c r="I161" s="236"/>
      <c r="J161" s="239">
        <f>H161/DAY(B2)</f>
        <v>29.617600000000092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89405</v>
      </c>
      <c r="F162" s="235">
        <v>89447</v>
      </c>
      <c r="G162" s="238">
        <f t="shared" si="13"/>
        <v>42</v>
      </c>
      <c r="H162" s="99">
        <f>G162+'24'!H162</f>
        <v>930.60000000000582</v>
      </c>
      <c r="I162" s="236"/>
      <c r="J162" s="239">
        <f>H162/DAY(B2)</f>
        <v>37.224000000000231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80935</v>
      </c>
      <c r="F163" s="235">
        <v>81074</v>
      </c>
      <c r="G163" s="238">
        <f t="shared" si="13"/>
        <v>139</v>
      </c>
      <c r="H163" s="99">
        <f>G163+'24'!H163</f>
        <v>1853.8999999999942</v>
      </c>
      <c r="I163" s="236"/>
      <c r="J163" s="239">
        <f>H163/DAY(B2)</f>
        <v>74.155999999999764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4365</v>
      </c>
      <c r="F164" s="235">
        <v>4370</v>
      </c>
      <c r="G164" s="238">
        <f t="shared" si="13"/>
        <v>5</v>
      </c>
      <c r="H164" s="99">
        <f>G164+'24'!H164</f>
        <v>50</v>
      </c>
      <c r="I164" s="236"/>
      <c r="J164" s="239">
        <f>H164/DAY(B2)</f>
        <v>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30063</v>
      </c>
      <c r="F165" s="235">
        <v>30073</v>
      </c>
      <c r="G165" s="238">
        <f t="shared" si="13"/>
        <v>10</v>
      </c>
      <c r="H165" s="99">
        <f>G165+'24'!H165</f>
        <v>215.75</v>
      </c>
      <c r="I165" s="236"/>
      <c r="J165" s="239">
        <f>H165/DAY(B2)</f>
        <v>8.6300000000000008</v>
      </c>
    </row>
    <row r="166" spans="1:10" ht="29.25" x14ac:dyDescent="0.5">
      <c r="A166" s="860"/>
      <c r="B166" s="860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1.75" customHeight="1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864" t="s">
        <v>209</v>
      </c>
      <c r="B173" s="865"/>
      <c r="C173" s="333"/>
      <c r="D173" s="228" t="s">
        <v>142</v>
      </c>
      <c r="E173" s="95">
        <f>'24'!F173</f>
        <v>8183</v>
      </c>
      <c r="F173" s="155">
        <v>8185</v>
      </c>
      <c r="G173" s="155">
        <f>F173-E173</f>
        <v>2</v>
      </c>
      <c r="H173" s="99">
        <f>G173+'24'!H173</f>
        <v>59</v>
      </c>
      <c r="I173" s="155"/>
      <c r="J173" s="178">
        <f>H173/DAY(B2)</f>
        <v>2.36</v>
      </c>
    </row>
    <row r="174" spans="1:10" ht="27.75" customHeight="1" x14ac:dyDescent="0.5">
      <c r="A174" s="864" t="s">
        <v>75</v>
      </c>
      <c r="B174" s="865"/>
      <c r="C174" s="333"/>
      <c r="D174" s="228" t="s">
        <v>142</v>
      </c>
      <c r="E174" s="95">
        <f>'24'!F174</f>
        <v>38955</v>
      </c>
      <c r="F174" s="157">
        <v>38972</v>
      </c>
      <c r="G174" s="155">
        <f t="shared" ref="G174:G175" si="14">F174-E174</f>
        <v>17</v>
      </c>
      <c r="H174" s="99">
        <f>G174+'24'!H174</f>
        <v>357</v>
      </c>
      <c r="I174" s="155"/>
      <c r="J174" s="178">
        <f>H174/DAY(B2)</f>
        <v>14.28</v>
      </c>
    </row>
    <row r="175" spans="1:10" ht="21.75" customHeight="1" x14ac:dyDescent="0.5">
      <c r="A175" s="864" t="s">
        <v>76</v>
      </c>
      <c r="B175" s="904"/>
      <c r="C175" s="865"/>
      <c r="D175" s="228" t="s">
        <v>142</v>
      </c>
      <c r="E175" s="95">
        <f>'24'!F175</f>
        <v>22101</v>
      </c>
      <c r="F175" s="155">
        <v>22112</v>
      </c>
      <c r="G175" s="155">
        <f t="shared" si="14"/>
        <v>11</v>
      </c>
      <c r="H175" s="99">
        <f>G175+'24'!H175</f>
        <v>299</v>
      </c>
      <c r="I175" s="155"/>
      <c r="J175" s="178">
        <f>H175/DAY(B2)</f>
        <v>11.96</v>
      </c>
    </row>
    <row r="176" spans="1:10" ht="23.25" customHeight="1" x14ac:dyDescent="0.5">
      <c r="A176" s="855" t="s">
        <v>196</v>
      </c>
      <c r="B176" s="856"/>
      <c r="C176" s="483"/>
      <c r="D176" s="228" t="s">
        <v>142</v>
      </c>
      <c r="E176" s="95"/>
      <c r="F176" s="155"/>
      <c r="G176" s="155">
        <f>SUM(G173:G175)</f>
        <v>30</v>
      </c>
      <c r="H176" s="99">
        <f>G176+'24'!H176</f>
        <v>715</v>
      </c>
      <c r="I176" s="155"/>
      <c r="J176" s="178">
        <f>H176/DAY(B2)</f>
        <v>28.6</v>
      </c>
    </row>
    <row r="177" spans="1:10" ht="21.75" customHeight="1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864" t="s">
        <v>210</v>
      </c>
      <c r="B178" s="865"/>
      <c r="C178" s="333"/>
      <c r="D178" s="228" t="s">
        <v>142</v>
      </c>
      <c r="E178" s="95">
        <f>'24'!F178</f>
        <v>82701</v>
      </c>
      <c r="F178" s="155">
        <v>82765</v>
      </c>
      <c r="G178" s="155">
        <f>F178-E178</f>
        <v>64</v>
      </c>
      <c r="H178" s="99">
        <f>G178+'24'!H178</f>
        <v>1450</v>
      </c>
      <c r="I178" s="155"/>
      <c r="J178" s="178">
        <f>H178/DAY(B2)</f>
        <v>58</v>
      </c>
    </row>
    <row r="179" spans="1:10" ht="24" customHeight="1" x14ac:dyDescent="0.5">
      <c r="A179" s="864" t="s">
        <v>211</v>
      </c>
      <c r="B179" s="865"/>
      <c r="C179" s="333"/>
      <c r="D179" s="228" t="s">
        <v>142</v>
      </c>
      <c r="E179" s="95">
        <f>'24'!F179</f>
        <v>35342</v>
      </c>
      <c r="F179" s="155">
        <v>35342</v>
      </c>
      <c r="G179" s="155">
        <f t="shared" ref="G179:G180" si="15">F179-E179</f>
        <v>0</v>
      </c>
      <c r="H179" s="99">
        <f>G179+'24'!H179</f>
        <v>539</v>
      </c>
      <c r="I179" s="155"/>
      <c r="J179" s="178">
        <f>H179/DAY(B2)</f>
        <v>21.56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'24'!F180</f>
        <v>5851</v>
      </c>
      <c r="F180" s="155">
        <v>5862</v>
      </c>
      <c r="G180" s="155">
        <f t="shared" si="15"/>
        <v>11</v>
      </c>
      <c r="H180" s="99">
        <f>G180+'24'!H180</f>
        <v>160</v>
      </c>
      <c r="I180" s="155"/>
      <c r="J180" s="178">
        <f>H180/DAY(B2)</f>
        <v>6.4</v>
      </c>
    </row>
    <row r="181" spans="1:10" ht="27.75" x14ac:dyDescent="0.5">
      <c r="A181" s="866" t="s">
        <v>108</v>
      </c>
      <c r="B181" s="867"/>
      <c r="C181" s="483"/>
      <c r="D181" s="228" t="s">
        <v>142</v>
      </c>
      <c r="E181" s="95"/>
      <c r="F181" s="155"/>
      <c r="G181" s="155">
        <f>SUM(G178:G180)</f>
        <v>75</v>
      </c>
      <c r="H181" s="99">
        <f>G181+'24'!H181</f>
        <v>2149</v>
      </c>
      <c r="I181" s="155"/>
      <c r="J181" s="178">
        <f>H181/DAY(B2)</f>
        <v>85.96</v>
      </c>
    </row>
    <row r="182" spans="1:10" ht="27.75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'24'!F183</f>
        <v>15696</v>
      </c>
      <c r="F183" s="157">
        <v>15704</v>
      </c>
      <c r="G183" s="157">
        <f>F183-E183</f>
        <v>8</v>
      </c>
      <c r="H183" s="99">
        <f>G183+'24'!H183</f>
        <v>359</v>
      </c>
      <c r="I183" s="155"/>
      <c r="J183" s="178">
        <f>H183/DAY(B2)</f>
        <v>14.36</v>
      </c>
    </row>
    <row r="184" spans="1:10" ht="30.75" customHeight="1" x14ac:dyDescent="0.5">
      <c r="A184" s="864" t="s">
        <v>215</v>
      </c>
      <c r="B184" s="865"/>
      <c r="C184" s="334"/>
      <c r="D184" s="228" t="s">
        <v>142</v>
      </c>
      <c r="E184" s="95">
        <f>'24'!F184</f>
        <v>10772</v>
      </c>
      <c r="F184" s="157">
        <v>10780</v>
      </c>
      <c r="G184" s="157">
        <f t="shared" ref="G184:G185" si="16">F184-E184</f>
        <v>8</v>
      </c>
      <c r="H184" s="99">
        <f>G184+'24'!H184</f>
        <v>262</v>
      </c>
      <c r="I184" s="155"/>
      <c r="J184" s="178">
        <f>H184/DAY(B2)</f>
        <v>10.48</v>
      </c>
    </row>
    <row r="185" spans="1:10" ht="23.25" customHeight="1" x14ac:dyDescent="0.5">
      <c r="A185" s="864" t="s">
        <v>216</v>
      </c>
      <c r="B185" s="865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855" t="s">
        <v>196</v>
      </c>
      <c r="B186" s="856"/>
      <c r="C186" s="482"/>
      <c r="D186" s="228" t="s">
        <v>142</v>
      </c>
      <c r="E186" s="95"/>
      <c r="F186" s="157">
        <v>0</v>
      </c>
      <c r="G186" s="157">
        <f>SUM(G183:G185)</f>
        <v>16</v>
      </c>
      <c r="H186" s="99">
        <f>G186+'24'!H186</f>
        <v>621</v>
      </c>
      <c r="I186" s="157"/>
      <c r="J186" s="178">
        <f>H186/DAY(B2)</f>
        <v>24.84</v>
      </c>
    </row>
    <row r="187" spans="1:10" ht="27.75" x14ac:dyDescent="0.5">
      <c r="A187" s="857" t="s">
        <v>217</v>
      </c>
      <c r="B187" s="858"/>
      <c r="C187" s="333"/>
      <c r="D187" s="228" t="s">
        <v>142</v>
      </c>
      <c r="E187" s="95">
        <f>'24'!F187</f>
        <v>0</v>
      </c>
      <c r="F187" s="159"/>
      <c r="G187" s="460">
        <f>G62+G19</f>
        <v>200</v>
      </c>
      <c r="H187" s="99">
        <f>G187+'24'!H187</f>
        <v>4876</v>
      </c>
      <c r="I187" s="158"/>
      <c r="J187" s="179">
        <f>H187/DAY(B2)</f>
        <v>195.04</v>
      </c>
    </row>
    <row r="188" spans="1:10" ht="27.75" x14ac:dyDescent="0.5">
      <c r="A188" s="857" t="s">
        <v>218</v>
      </c>
      <c r="B188" s="858"/>
      <c r="C188" s="333"/>
      <c r="D188" s="230" t="s">
        <v>142</v>
      </c>
      <c r="E188" s="95">
        <f>'24'!F188</f>
        <v>0</v>
      </c>
      <c r="F188" s="159"/>
      <c r="G188" s="460">
        <f>G65+G66+G67+G69+G70</f>
        <v>665</v>
      </c>
      <c r="H188" s="99">
        <f>G188+'24'!H188</f>
        <v>2895</v>
      </c>
      <c r="I188" s="158"/>
      <c r="J188" s="179">
        <f>H188/DAY(B2)</f>
        <v>115.8</v>
      </c>
    </row>
    <row r="189" spans="1:10" ht="27.75" x14ac:dyDescent="0.5">
      <c r="A189" s="857" t="s">
        <v>219</v>
      </c>
      <c r="B189" s="858"/>
      <c r="C189" s="333"/>
      <c r="D189" s="230" t="s">
        <v>142</v>
      </c>
      <c r="E189" s="95">
        <f>'24'!F189</f>
        <v>0</v>
      </c>
      <c r="F189" s="157"/>
      <c r="G189" s="457">
        <f>G181</f>
        <v>75</v>
      </c>
      <c r="H189" s="99">
        <f>G189+'24'!H189</f>
        <v>540</v>
      </c>
      <c r="I189" s="158"/>
      <c r="J189" s="179">
        <f>H189/DAY(B2)</f>
        <v>21.6</v>
      </c>
    </row>
    <row r="190" spans="1:10" ht="27.75" x14ac:dyDescent="0.5">
      <c r="A190" s="778"/>
      <c r="B190" s="779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topLeftCell="A82" zoomScale="60" workbookViewId="0">
      <selection activeCell="F147" sqref="F147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303</v>
      </c>
      <c r="B2" s="262">
        <v>44618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161384</v>
      </c>
      <c r="F7" s="95">
        <v>182100</v>
      </c>
      <c r="G7" s="112">
        <f>F7-E7</f>
        <v>20716</v>
      </c>
      <c r="H7" s="99">
        <f>G7+'25'!H7</f>
        <v>530978.77</v>
      </c>
      <c r="I7" s="113">
        <f>'1'!I7</f>
        <v>12000</v>
      </c>
      <c r="J7" s="175">
        <f>H7/DAY(B2)</f>
        <v>20422.260384615387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'25'!F8</f>
        <v>222302</v>
      </c>
      <c r="F8" s="95">
        <v>243300</v>
      </c>
      <c r="G8" s="115">
        <f>F8-E8</f>
        <v>20998</v>
      </c>
      <c r="H8" s="99">
        <f>G8+'25'!H8</f>
        <v>534778.44999999995</v>
      </c>
      <c r="I8" s="116"/>
      <c r="J8" s="175">
        <f>H8/DAY(B2)</f>
        <v>20568.401923076923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676543</v>
      </c>
      <c r="F9" s="598">
        <v>689785</v>
      </c>
      <c r="G9" s="112">
        <f>F9-E9</f>
        <v>13242</v>
      </c>
      <c r="H9" s="99">
        <f>G9+'25'!H9</f>
        <v>407531.15</v>
      </c>
      <c r="I9" s="124">
        <f>I7-J7</f>
        <v>-8422.260384615387</v>
      </c>
      <c r="J9" s="175">
        <f>H9/DAY(B2)</f>
        <v>15674.275000000001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206818</v>
      </c>
      <c r="F10" s="353">
        <v>213736</v>
      </c>
      <c r="G10" s="112">
        <f t="shared" ref="G10:G12" si="0">F10-E10</f>
        <v>6918</v>
      </c>
      <c r="H10" s="99">
        <f>G10+'25'!H10</f>
        <v>108477.03</v>
      </c>
      <c r="I10" s="282"/>
      <c r="J10" s="175">
        <f>H10/DAY(B2)</f>
        <v>4172.1934615384616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37170</v>
      </c>
      <c r="F11" s="95">
        <v>37170</v>
      </c>
      <c r="G11" s="11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20160</v>
      </c>
      <c r="H13" s="99">
        <f>G13+'25'!H13</f>
        <v>499253.74999999994</v>
      </c>
      <c r="I13" s="120">
        <f>G7-G13</f>
        <v>556</v>
      </c>
      <c r="J13" s="175">
        <f>H13/DAY(B2)</f>
        <v>19202.067307692305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'25'!F15</f>
        <v>1933597</v>
      </c>
      <c r="F15" s="123">
        <v>1934693</v>
      </c>
      <c r="G15" s="112">
        <f>(F15-E15)</f>
        <v>1096</v>
      </c>
      <c r="H15" s="99">
        <f>G15+'25'!H15</f>
        <v>28056.233000000007</v>
      </c>
      <c r="I15" s="113">
        <f>'1'!I15</f>
        <v>800</v>
      </c>
      <c r="J15" s="175">
        <f>H15/DAY(B2)</f>
        <v>1079.0858846153849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-279.08588461538488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'25'!F18</f>
        <v>18</v>
      </c>
      <c r="F18" s="122">
        <v>26</v>
      </c>
      <c r="G18" s="119">
        <f>F18*10</f>
        <v>260</v>
      </c>
      <c r="H18" s="99">
        <f>G18+'25'!H18</f>
        <v>5940</v>
      </c>
      <c r="I18" s="113">
        <f>'1'!I18</f>
        <v>65</v>
      </c>
      <c r="J18" s="175">
        <f>H18/DAY(B2)</f>
        <v>228.46153846153845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'25'!F19</f>
        <v>155222</v>
      </c>
      <c r="F19" s="122">
        <v>155277</v>
      </c>
      <c r="G19" s="112">
        <f t="shared" ref="G19" si="1">F19-E19</f>
        <v>55</v>
      </c>
      <c r="H19" s="99">
        <f>G19+'25'!H19</f>
        <v>1386</v>
      </c>
      <c r="I19" s="335"/>
      <c r="J19" s="175">
        <f>H19/DAY(B2)</f>
        <v>53.307692307692307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315</v>
      </c>
      <c r="H20" s="99">
        <f>G20+'25'!H20</f>
        <v>7326</v>
      </c>
      <c r="I20" s="336">
        <f>I18-J20</f>
        <v>-216.76923076923077</v>
      </c>
      <c r="J20" s="175">
        <f>H20/DAY(B2)</f>
        <v>281.76923076923077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20998</v>
      </c>
      <c r="F27" s="136">
        <v>9</v>
      </c>
      <c r="G27" s="137">
        <f>E27*F27</f>
        <v>188982</v>
      </c>
      <c r="H27" s="99">
        <f>G27+'25'!H27</f>
        <v>4813006.0500000007</v>
      </c>
      <c r="I27" s="138"/>
      <c r="J27" s="175">
        <f>H27/DAY(B2)</f>
        <v>185115.61730769233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1096</v>
      </c>
      <c r="F28" s="136">
        <v>70</v>
      </c>
      <c r="G28" s="137">
        <f>E28*F28</f>
        <v>76720</v>
      </c>
      <c r="H28" s="99">
        <f>G28+'25'!H28</f>
        <v>1541580.1160000004</v>
      </c>
      <c r="I28" s="140"/>
      <c r="J28" s="175">
        <f>H28/DAY(B2)</f>
        <v>59291.542923076937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G30+'25'!H30</f>
        <v>203486</v>
      </c>
      <c r="I30" s="140"/>
      <c r="J30" s="175">
        <f>H30/DAY(B2)</f>
        <v>7826.3846153846152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G31+'25'!H31</f>
        <v>475200</v>
      </c>
      <c r="I31" s="140"/>
      <c r="J31" s="175">
        <f>H31/DAY(B2)</f>
        <v>18276.923076923078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294807</v>
      </c>
      <c r="H32" s="99">
        <f>G32+'25'!H32</f>
        <v>7033272.1660000011</v>
      </c>
      <c r="I32" s="144"/>
      <c r="J32" s="175">
        <f>H32/DAY(B2)</f>
        <v>270510.46792307694</v>
      </c>
      <c r="K32" s="63"/>
      <c r="L32" s="89"/>
      <c r="N32" s="87"/>
      <c r="O32" s="71"/>
    </row>
    <row r="33" spans="1:15" ht="25.5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69794</v>
      </c>
      <c r="F35" s="145">
        <v>71374</v>
      </c>
      <c r="G35" s="112">
        <f t="shared" ref="G35:G46" si="3">F35-E35</f>
        <v>1580</v>
      </c>
      <c r="H35" s="99">
        <f>G35+'25'!H35</f>
        <v>39369.020000000004</v>
      </c>
      <c r="I35" s="95"/>
      <c r="J35" s="175">
        <f>H35/DAY(B2)</f>
        <v>1514.1930769230771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67666</v>
      </c>
      <c r="F36" s="145">
        <v>68602</v>
      </c>
      <c r="G36" s="112">
        <f t="shared" si="3"/>
        <v>936</v>
      </c>
      <c r="H36" s="99">
        <f>G36+'25'!H36</f>
        <v>25143.260000000002</v>
      </c>
      <c r="I36" s="95"/>
      <c r="J36" s="175">
        <f>H36/DAY(B2)</f>
        <v>967.04846153846165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77185</v>
      </c>
      <c r="F37" s="145">
        <v>78835</v>
      </c>
      <c r="G37" s="112">
        <f t="shared" si="3"/>
        <v>1650</v>
      </c>
      <c r="H37" s="99">
        <f>G37+'25'!H37</f>
        <v>43409.91</v>
      </c>
      <c r="I37" s="95"/>
      <c r="J37" s="175">
        <f>H37/DAY(B2)</f>
        <v>1669.6119230769232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88627</v>
      </c>
      <c r="F38" s="108">
        <v>90762</v>
      </c>
      <c r="G38" s="112">
        <f t="shared" si="3"/>
        <v>2135</v>
      </c>
      <c r="H38" s="99">
        <f>G38+'25'!H38</f>
        <v>52385.57</v>
      </c>
      <c r="I38" s="95"/>
      <c r="J38" s="175">
        <f>H38/DAY(B2)</f>
        <v>2014.8296153846154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134540</v>
      </c>
      <c r="F39" s="145">
        <v>137757</v>
      </c>
      <c r="G39" s="112">
        <f t="shared" si="3"/>
        <v>3217</v>
      </c>
      <c r="H39" s="99">
        <f>G39+'25'!H39</f>
        <v>78583.710000000006</v>
      </c>
      <c r="I39" s="95"/>
      <c r="J39" s="175">
        <f>H39/DAY(B2)</f>
        <v>3022.4503846153848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31593</v>
      </c>
      <c r="F40" s="145">
        <v>31836</v>
      </c>
      <c r="G40" s="112">
        <f t="shared" si="3"/>
        <v>243</v>
      </c>
      <c r="H40" s="99">
        <f>G40+'25'!H40</f>
        <v>9719.0099999999984</v>
      </c>
      <c r="I40" s="95"/>
      <c r="J40" s="175">
        <f>H40/DAY(B2)</f>
        <v>373.80807692307684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63</v>
      </c>
      <c r="F41" s="145">
        <v>63</v>
      </c>
      <c r="G41" s="112">
        <f t="shared" si="3"/>
        <v>0</v>
      </c>
      <c r="H41" s="99">
        <f>G41+'25'!H41</f>
        <v>0.27000000000000313</v>
      </c>
      <c r="I41" s="95"/>
      <c r="J41" s="175">
        <f>H41/DAY(B2)</f>
        <v>1.0384615384615504E-2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177135</v>
      </c>
      <c r="F42" s="145">
        <v>177135</v>
      </c>
      <c r="G42" s="112">
        <f t="shared" si="3"/>
        <v>0</v>
      </c>
      <c r="H42" s="99">
        <f>G42+'25'!H42</f>
        <v>77005.259999999995</v>
      </c>
      <c r="I42" s="95"/>
      <c r="J42" s="175">
        <f>H42/DAY(B2)</f>
        <v>2961.7407692307688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167858</v>
      </c>
      <c r="F43" s="145">
        <v>169956</v>
      </c>
      <c r="G43" s="112">
        <f t="shared" si="3"/>
        <v>2098</v>
      </c>
      <c r="H43" s="99">
        <f>G43+'25'!H43</f>
        <v>55104.399999999994</v>
      </c>
      <c r="I43" s="95"/>
      <c r="J43" s="175">
        <f>H43/DAY(B2)</f>
        <v>2119.3999999999996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11859</v>
      </c>
      <c r="H47" s="99">
        <f>G47+'25'!H47</f>
        <v>380720.41000000009</v>
      </c>
      <c r="I47" s="95"/>
      <c r="J47" s="175">
        <f>H47/DAY(B2)</f>
        <v>14643.092692307695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59864</v>
      </c>
      <c r="F49" s="145">
        <v>61343</v>
      </c>
      <c r="G49" s="112">
        <f t="shared" ref="G49:G58" si="4">F49-E49</f>
        <v>1479</v>
      </c>
      <c r="H49" s="99">
        <f>G49+'25'!H49</f>
        <v>36346.81</v>
      </c>
      <c r="I49" s="95"/>
      <c r="J49" s="175">
        <f>H49/DAY(B2)</f>
        <v>1397.9542307692307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86738</v>
      </c>
      <c r="F50" s="145">
        <v>87765</v>
      </c>
      <c r="G50" s="112">
        <f t="shared" si="4"/>
        <v>1027</v>
      </c>
      <c r="H50" s="99">
        <f>G50+'25'!H50</f>
        <v>31378.370000000003</v>
      </c>
      <c r="I50" s="95"/>
      <c r="J50" s="175">
        <f>H50/DAY(B2)</f>
        <v>1206.8603846153846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17690</v>
      </c>
      <c r="F54" s="145">
        <v>18227</v>
      </c>
      <c r="G54" s="112">
        <f t="shared" si="4"/>
        <v>537</v>
      </c>
      <c r="H54" s="99">
        <f>G54+'25'!H54</f>
        <v>13079.58</v>
      </c>
      <c r="I54" s="95"/>
      <c r="J54" s="175">
        <f>H54/DAY(B2)</f>
        <v>503.06076923076921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90579</v>
      </c>
      <c r="F55" s="145">
        <v>90579</v>
      </c>
      <c r="G55" s="112">
        <f t="shared" si="4"/>
        <v>0</v>
      </c>
      <c r="H55" s="99">
        <f>G55+'25'!H55</f>
        <v>16212.89</v>
      </c>
      <c r="I55" s="95"/>
      <c r="J55" s="175">
        <f>H55/DAY(B2)</f>
        <v>623.57269230769225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17298</v>
      </c>
      <c r="F56" s="145">
        <v>20170</v>
      </c>
      <c r="G56" s="112">
        <f t="shared" si="4"/>
        <v>2872</v>
      </c>
      <c r="H56" s="99">
        <f>G56+'25'!H56</f>
        <v>11559.46</v>
      </c>
      <c r="I56" s="95"/>
      <c r="J56" s="175">
        <f>H56/DAY(B2)</f>
        <v>444.59461538461534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10255</v>
      </c>
      <c r="F58" s="145">
        <v>10499</v>
      </c>
      <c r="G58" s="112">
        <f t="shared" si="4"/>
        <v>244</v>
      </c>
      <c r="H58" s="99">
        <f>G58+'25'!H58</f>
        <v>5702.79</v>
      </c>
      <c r="I58" s="95"/>
      <c r="J58" s="175">
        <f>H58/DAY(B2)</f>
        <v>219.33807692307693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6159</v>
      </c>
      <c r="H59" s="99">
        <f>G59+'25'!H59</f>
        <v>114279.9</v>
      </c>
      <c r="I59" s="95">
        <f>G7-G60</f>
        <v>2698</v>
      </c>
      <c r="J59" s="175">
        <f>H59/DAY(B2)</f>
        <v>4395.3807692307691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18018</v>
      </c>
      <c r="H60" s="99">
        <f>G60+'25'!H60</f>
        <v>495000.31000000006</v>
      </c>
      <c r="I60" s="95">
        <f>G13-G60</f>
        <v>2142</v>
      </c>
      <c r="J60" s="175">
        <f>H60/DAY(B2)</f>
        <v>19038.473461538462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'25'!F62</f>
        <v>273061</v>
      </c>
      <c r="F62" s="122">
        <v>273218</v>
      </c>
      <c r="G62" s="112">
        <f t="shared" ref="G62:G63" si="5">F62-E62</f>
        <v>157</v>
      </c>
      <c r="H62" s="99">
        <f>G62+'25'!H62</f>
        <v>3702</v>
      </c>
      <c r="I62" s="118"/>
      <c r="J62" s="175">
        <f>H62/DAY(B2)</f>
        <v>142.38461538461539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'25'!F63</f>
        <v>218909</v>
      </c>
      <c r="F63" s="122">
        <v>218987</v>
      </c>
      <c r="G63" s="112">
        <f t="shared" si="5"/>
        <v>78</v>
      </c>
      <c r="H63" s="99">
        <f>G63+'25'!H63</f>
        <v>3190</v>
      </c>
      <c r="I63" s="118"/>
      <c r="J63" s="175">
        <f>H63/DAY(B2)</f>
        <v>122.69230769230769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'25'!F64</f>
        <v>0</v>
      </c>
      <c r="F64" s="122"/>
      <c r="G64" s="112">
        <f>G62+G63</f>
        <v>235</v>
      </c>
      <c r="H64" s="99">
        <f>G64+'25'!H64</f>
        <v>6892</v>
      </c>
      <c r="I64" s="118"/>
      <c r="J64" s="175">
        <f>H64/DAY(B2)</f>
        <v>265.07692307692309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'25'!F65</f>
        <v>437489</v>
      </c>
      <c r="F65" s="122">
        <v>437595</v>
      </c>
      <c r="G65" s="112">
        <f t="shared" ref="G65:G70" si="6">F65-E65</f>
        <v>106</v>
      </c>
      <c r="H65" s="99">
        <f>G65+'25'!H65</f>
        <v>2672</v>
      </c>
      <c r="I65" s="118"/>
      <c r="J65" s="175">
        <f>H65/DAY(B2)</f>
        <v>102.76923076923077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v>108353</v>
      </c>
      <c r="F66" s="122">
        <v>108381</v>
      </c>
      <c r="G66" s="112">
        <f t="shared" si="6"/>
        <v>28</v>
      </c>
      <c r="H66" s="99">
        <f>G66+'25'!H66</f>
        <v>1083</v>
      </c>
      <c r="I66" s="118"/>
      <c r="J66" s="175">
        <f>H66/DAY(B2)</f>
        <v>41.653846153846153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'25'!F67</f>
        <v>106033</v>
      </c>
      <c r="F67" s="122">
        <v>106106</v>
      </c>
      <c r="G67" s="112">
        <f t="shared" si="6"/>
        <v>73</v>
      </c>
      <c r="H67" s="99">
        <f>G67+'25'!H67</f>
        <v>1458</v>
      </c>
      <c r="I67" s="118"/>
      <c r="J67" s="175">
        <f>H67/DAY(B2)</f>
        <v>56.07692307692308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'25'!F68</f>
        <v>158798</v>
      </c>
      <c r="F68" s="122">
        <v>158859</v>
      </c>
      <c r="G68" s="112">
        <f t="shared" si="6"/>
        <v>61</v>
      </c>
      <c r="H68" s="99">
        <f>G68+'25'!H68</f>
        <v>1182</v>
      </c>
      <c r="I68" s="118"/>
      <c r="J68" s="175">
        <f>H68/DAY(B2)</f>
        <v>45.46153846153846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'25'!F69</f>
        <v>10839</v>
      </c>
      <c r="F69" s="122">
        <v>10845</v>
      </c>
      <c r="G69" s="112">
        <f t="shared" si="6"/>
        <v>6</v>
      </c>
      <c r="H69" s="99">
        <f>G69+'25'!H69</f>
        <v>304</v>
      </c>
      <c r="I69" s="118"/>
      <c r="J69" s="175">
        <f>H69/DAY(B2)</f>
        <v>11.692307692307692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'25'!F70</f>
        <v>8411</v>
      </c>
      <c r="F70" s="122">
        <v>8429</v>
      </c>
      <c r="G70" s="112">
        <f t="shared" si="6"/>
        <v>18</v>
      </c>
      <c r="H70" s="99">
        <f>G70+'25'!H70</f>
        <v>309</v>
      </c>
      <c r="I70" s="118"/>
      <c r="J70" s="175">
        <f>H70/DAY(B2)</f>
        <v>11.884615384615385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292</v>
      </c>
      <c r="H71" s="99">
        <f>G71+'25'!H71</f>
        <v>7008</v>
      </c>
      <c r="I71" s="154"/>
      <c r="J71" s="175">
        <f>H71/DAY(B2)</f>
        <v>269.53846153846155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'25'!F74</f>
        <v>908831</v>
      </c>
      <c r="F74" s="123">
        <v>909160</v>
      </c>
      <c r="G74" s="112">
        <f t="shared" ref="G74:G78" si="7">F74-E74</f>
        <v>329</v>
      </c>
      <c r="H74" s="99">
        <f>G74+'25'!H74</f>
        <v>7853.8510000000242</v>
      </c>
      <c r="I74" s="154"/>
      <c r="J74" s="175">
        <f>H74/DAY(B2)</f>
        <v>302.07119230769325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'25'!F76</f>
        <v>172743</v>
      </c>
      <c r="F76" s="123">
        <v>172835</v>
      </c>
      <c r="G76" s="112">
        <f t="shared" si="7"/>
        <v>92</v>
      </c>
      <c r="H76" s="99">
        <f>G76+'25'!H76</f>
        <v>2860</v>
      </c>
      <c r="I76" s="154"/>
      <c r="J76" s="175">
        <f>H76/DAY(B2)</f>
        <v>110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'25'!F77</f>
        <v>42468</v>
      </c>
      <c r="F77" s="123">
        <v>42518</v>
      </c>
      <c r="G77" s="112">
        <f t="shared" si="7"/>
        <v>50</v>
      </c>
      <c r="H77" s="99">
        <f>G77+'25'!H77</f>
        <v>1215.8000000000029</v>
      </c>
      <c r="I77" s="154"/>
      <c r="J77" s="175">
        <f>H77/DAY(B2)</f>
        <v>46.761538461538571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'25'!F78</f>
        <v>9548</v>
      </c>
      <c r="F78" s="123">
        <v>9550</v>
      </c>
      <c r="G78" s="112">
        <f t="shared" si="7"/>
        <v>2</v>
      </c>
      <c r="H78" s="99">
        <f>G78+'25'!H78</f>
        <v>37</v>
      </c>
      <c r="I78" s="118"/>
      <c r="J78" s="175">
        <f>H78/DAY(B2)</f>
        <v>1.4230769230769231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'25'!F79</f>
        <v>0</v>
      </c>
      <c r="F79" s="117"/>
      <c r="G79" s="112">
        <f>G15-SUM(G74:G78)</f>
        <v>623</v>
      </c>
      <c r="H79" s="99">
        <f>G79+'25'!H79</f>
        <v>16089.58199999998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1096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0.40000000000145519</v>
      </c>
      <c r="I84" s="118"/>
      <c r="J84" s="175">
        <f>H84/DAY(B2)</f>
        <v>1.5384615384671353E-2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'25'!F85</f>
        <v>2681</v>
      </c>
      <c r="F85" s="164">
        <v>2681</v>
      </c>
      <c r="G85" s="112">
        <f t="shared" si="8"/>
        <v>0</v>
      </c>
      <c r="H85" s="99">
        <f>G85+'25'!H85</f>
        <v>420.57999999999993</v>
      </c>
      <c r="I85" s="118">
        <f>G82+G83+G84+G85</f>
        <v>0</v>
      </c>
      <c r="J85" s="175">
        <f>H85/DAY(B2)</f>
        <v>16.176153846153845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'25'!F86</f>
        <v>43564</v>
      </c>
      <c r="F86" s="164">
        <v>43564</v>
      </c>
      <c r="G86" s="112">
        <f t="shared" si="8"/>
        <v>0</v>
      </c>
      <c r="H86" s="99">
        <f>G86+'25'!H86</f>
        <v>122</v>
      </c>
      <c r="I86" s="118"/>
      <c r="J86" s="175">
        <f>H86/DAY(B2)</f>
        <v>4.6923076923076925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'25'!F87</f>
        <v>34662</v>
      </c>
      <c r="F87" s="164">
        <v>34686</v>
      </c>
      <c r="G87" s="112">
        <f t="shared" si="8"/>
        <v>24</v>
      </c>
      <c r="H87" s="99">
        <f>G87+'25'!H87</f>
        <v>87.5</v>
      </c>
      <c r="I87" s="118"/>
      <c r="J87" s="175">
        <f>H87/DAY(B2)</f>
        <v>3.3653846153846154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'25'!F88</f>
        <v>24077</v>
      </c>
      <c r="F88" s="164">
        <v>24077.22</v>
      </c>
      <c r="G88" s="112">
        <f t="shared" si="8"/>
        <v>0.22000000000116415</v>
      </c>
      <c r="H88" s="99">
        <f>G88+'25'!H88</f>
        <v>13.790000000000873</v>
      </c>
      <c r="I88" s="118">
        <f>G86+G87+G88</f>
        <v>24.220000000001164</v>
      </c>
      <c r="J88" s="175">
        <f>H88/DAY(B2)</f>
        <v>0.53038461538464898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'25'!F89</f>
        <v>26146</v>
      </c>
      <c r="F89" s="164">
        <v>26156.69</v>
      </c>
      <c r="G89" s="112">
        <f t="shared" si="8"/>
        <v>10.68999999999869</v>
      </c>
      <c r="H89" s="99">
        <f>G89+'25'!H89</f>
        <v>265.56999999999971</v>
      </c>
      <c r="I89" s="118"/>
      <c r="J89" s="175">
        <f>H89/DAY(B2)</f>
        <v>10.214230769230758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'25'!F90</f>
        <v>71289</v>
      </c>
      <c r="F90" s="164">
        <v>71296.63</v>
      </c>
      <c r="G90" s="112">
        <f t="shared" si="8"/>
        <v>7.6300000000046566</v>
      </c>
      <c r="H90" s="99">
        <f>G90+'25'!H90</f>
        <v>133.30999999999767</v>
      </c>
      <c r="I90" s="118">
        <f>G89+G90</f>
        <v>18.320000000003347</v>
      </c>
      <c r="J90" s="175">
        <f>H90/DAY(B2)</f>
        <v>5.1273076923076024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'25'!F91</f>
        <v>3530.75</v>
      </c>
      <c r="F91" s="122">
        <v>3542.8</v>
      </c>
      <c r="G91" s="112">
        <f t="shared" si="8"/>
        <v>12.050000000000182</v>
      </c>
      <c r="H91" s="99">
        <f>G91+'25'!H91</f>
        <v>291.71000000000004</v>
      </c>
      <c r="I91" s="165"/>
      <c r="J91" s="175">
        <f>H91/DAY(B2)</f>
        <v>11.219615384615386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'25'!F92</f>
        <v>5741</v>
      </c>
      <c r="F92" s="122">
        <v>5741</v>
      </c>
      <c r="G92" s="112">
        <f t="shared" si="8"/>
        <v>0</v>
      </c>
      <c r="H92" s="99">
        <f>G92+'25'!H92</f>
        <v>-6.9999999999708962E-2</v>
      </c>
      <c r="I92" s="165"/>
      <c r="J92" s="175">
        <f>H92/DAY(B2)</f>
        <v>-2.6923076922964985E-3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5157</v>
      </c>
      <c r="H94" s="99">
        <f>G94+'25'!H94</f>
        <v>130820.22999999998</v>
      </c>
      <c r="I94" s="118"/>
      <c r="J94" s="175">
        <f>H94/DAY(B2)</f>
        <v>5031.5473076923072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0.24893801892257192</v>
      </c>
      <c r="H95" s="99">
        <f>G95+'25'!H95</f>
        <v>6.411177389080958</v>
      </c>
      <c r="I95" s="167"/>
      <c r="J95" s="175">
        <f>H95/DAY(B2)</f>
        <v>0.246583745733883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2872</v>
      </c>
      <c r="H96" s="99">
        <f>G96+'25'!H96</f>
        <v>104777.87999999999</v>
      </c>
      <c r="I96" s="118"/>
      <c r="J96" s="175">
        <f>H96/DAY(B2)</f>
        <v>4029.9184615384611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0.1386368024715196</v>
      </c>
      <c r="H97" s="99">
        <f>G97+'25'!H97</f>
        <v>5.12906197840588</v>
      </c>
      <c r="I97" s="167"/>
      <c r="J97" s="175">
        <f>H97/DAY(B2)</f>
        <v>0.1972716145540723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3217</v>
      </c>
      <c r="H98" s="99">
        <f>G98+'25'!H98</f>
        <v>78583.710000000006</v>
      </c>
      <c r="I98" s="168"/>
      <c r="J98" s="175">
        <f>H98/DAY(B2)</f>
        <v>3022.4503846153848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0.15529059664027806</v>
      </c>
      <c r="H99" s="99">
        <f>G99+'25'!H99</f>
        <v>3.8474647082689755</v>
      </c>
      <c r="I99" s="168"/>
      <c r="J99" s="175">
        <f>H99/DAY(B2)</f>
        <v>0.14797941185649904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2135</v>
      </c>
      <c r="H100" s="99">
        <f>G100+'25'!H100</f>
        <v>52385.57</v>
      </c>
      <c r="I100" s="118"/>
      <c r="J100" s="175">
        <f>H100/DAY(B2)</f>
        <v>2014.8296153846154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0.10306043637767909</v>
      </c>
      <c r="H101" s="99">
        <f>G101+'25'!H101</f>
        <v>2.56390490178527</v>
      </c>
      <c r="I101" s="168"/>
      <c r="J101" s="175">
        <f>H101/DAY(B2)</f>
        <v>9.8611726991741158E-2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1963</v>
      </c>
      <c r="H102" s="99">
        <f>G102+'25'!H102</f>
        <v>56521.630000000005</v>
      </c>
      <c r="I102" s="168"/>
      <c r="J102" s="175">
        <f>H102/DAY(B2)</f>
        <v>2173.9088461538463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9.475767522687778E-2</v>
      </c>
      <c r="H103" s="99">
        <f>G103+'25'!H103</f>
        <v>2.7628013365005346</v>
      </c>
      <c r="I103" s="118"/>
      <c r="J103" s="175">
        <f>H103/DAY(B2)</f>
        <v>0.10626158986540518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1650</v>
      </c>
      <c r="H104" s="99">
        <f>G104+'25'!H104</f>
        <v>43409.91</v>
      </c>
      <c r="I104" s="118"/>
      <c r="J104" s="175">
        <f>H104/DAY(B2)</f>
        <v>1669.6119230769232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7.9648580807105615E-2</v>
      </c>
      <c r="H105" s="99">
        <f>G105+'25'!H105</f>
        <v>2.1292525499649972</v>
      </c>
      <c r="I105" s="187"/>
      <c r="J105" s="188">
        <f>H105/DAY(B2)</f>
        <v>8.1894328844807587E-2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'25'!F112</f>
        <v>59792</v>
      </c>
      <c r="F112" s="237">
        <v>59859</v>
      </c>
      <c r="G112" s="112">
        <f t="shared" ref="G112:G123" si="9">F112-E112</f>
        <v>67</v>
      </c>
      <c r="H112" s="99">
        <f>G112+'25'!H112</f>
        <v>1805</v>
      </c>
      <c r="I112" s="165"/>
      <c r="J112" s="328">
        <f>H112/DAY(B2)</f>
        <v>69.42307692307692</v>
      </c>
    </row>
    <row r="113" spans="1:18" ht="27.75" x14ac:dyDescent="0.5">
      <c r="A113" s="871" t="s">
        <v>253</v>
      </c>
      <c r="B113" s="872"/>
      <c r="C113" s="873"/>
      <c r="D113" s="146" t="s">
        <v>183</v>
      </c>
      <c r="E113" s="95">
        <f>'25'!F113</f>
        <v>58117</v>
      </c>
      <c r="F113" s="237">
        <v>58595</v>
      </c>
      <c r="G113" s="112">
        <f t="shared" si="9"/>
        <v>478</v>
      </c>
      <c r="H113" s="99">
        <f>G113+'25'!H113</f>
        <v>12194.11</v>
      </c>
      <c r="I113" s="165"/>
      <c r="J113" s="328">
        <f>H113/DAY(B2)</f>
        <v>469.00423076923079</v>
      </c>
    </row>
    <row r="114" spans="1:18" ht="27.75" x14ac:dyDescent="0.5">
      <c r="A114" s="871" t="s">
        <v>254</v>
      </c>
      <c r="B114" s="872"/>
      <c r="C114" s="873"/>
      <c r="D114" s="146" t="s">
        <v>183</v>
      </c>
      <c r="E114" s="95">
        <f>'25'!F114</f>
        <v>40668</v>
      </c>
      <c r="F114" s="237">
        <v>40939</v>
      </c>
      <c r="G114" s="112">
        <f t="shared" si="9"/>
        <v>271</v>
      </c>
      <c r="H114" s="99">
        <f>G114+'25'!H114</f>
        <v>7779</v>
      </c>
      <c r="I114" s="165"/>
      <c r="J114" s="328">
        <f>H114/DAY(B2)</f>
        <v>299.19230769230768</v>
      </c>
    </row>
    <row r="115" spans="1:18" ht="27.75" x14ac:dyDescent="0.5">
      <c r="A115" s="871" t="s">
        <v>255</v>
      </c>
      <c r="B115" s="872"/>
      <c r="C115" s="873"/>
      <c r="D115" s="146" t="s">
        <v>183</v>
      </c>
      <c r="E115" s="95">
        <f>'25'!F115</f>
        <v>9392</v>
      </c>
      <c r="F115" s="237">
        <v>9402</v>
      </c>
      <c r="G115" s="112">
        <f t="shared" si="9"/>
        <v>10</v>
      </c>
      <c r="H115" s="99">
        <f>G115+'25'!H115</f>
        <v>307.35000000000036</v>
      </c>
      <c r="I115" s="165"/>
      <c r="J115" s="328">
        <f>H115/DAY(B2)</f>
        <v>11.821153846153861</v>
      </c>
    </row>
    <row r="116" spans="1:18" ht="27.75" x14ac:dyDescent="0.5">
      <c r="A116" s="878" t="s">
        <v>96</v>
      </c>
      <c r="B116" s="879"/>
      <c r="C116" s="880"/>
      <c r="D116" s="146" t="s">
        <v>183</v>
      </c>
      <c r="E116" s="95">
        <f>'25'!F116</f>
        <v>7938</v>
      </c>
      <c r="F116" s="237">
        <v>8358</v>
      </c>
      <c r="G116" s="112">
        <f t="shared" si="9"/>
        <v>420</v>
      </c>
      <c r="H116" s="99">
        <f>G116+'25'!H116</f>
        <v>8358</v>
      </c>
      <c r="I116" s="165"/>
      <c r="J116" s="328">
        <f>H116/DAY(B2)</f>
        <v>321.46153846153845</v>
      </c>
      <c r="Q116" s="871" t="s">
        <v>311</v>
      </c>
      <c r="R116" s="873"/>
    </row>
    <row r="117" spans="1:18" ht="27.75" x14ac:dyDescent="0.5">
      <c r="A117" s="878" t="s">
        <v>184</v>
      </c>
      <c r="B117" s="879"/>
      <c r="C117" s="880"/>
      <c r="D117" s="146" t="s">
        <v>183</v>
      </c>
      <c r="E117" s="95">
        <f>'25'!F117</f>
        <v>7347</v>
      </c>
      <c r="F117" s="237">
        <v>7544</v>
      </c>
      <c r="G117" s="112">
        <f t="shared" si="9"/>
        <v>197</v>
      </c>
      <c r="H117" s="99">
        <f>G117+'25'!H117</f>
        <v>4206.05</v>
      </c>
      <c r="I117" s="165"/>
      <c r="J117" s="328">
        <f>H117/DAY(B2)</f>
        <v>161.77115384615385</v>
      </c>
      <c r="Q117" s="871" t="s">
        <v>312</v>
      </c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'25'!F118</f>
        <v>262195</v>
      </c>
      <c r="F118" s="237">
        <v>262676</v>
      </c>
      <c r="G118" s="112">
        <f t="shared" si="9"/>
        <v>481</v>
      </c>
      <c r="H118" s="99">
        <f>G118+'25'!H118</f>
        <v>10223.690000000002</v>
      </c>
      <c r="I118" s="165"/>
      <c r="J118" s="328">
        <f>H118/DAY(B2)</f>
        <v>393.21884615384624</v>
      </c>
      <c r="Q118" s="871" t="s">
        <v>311</v>
      </c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'25'!F119</f>
        <v>268818</v>
      </c>
      <c r="F119" s="237">
        <v>269272</v>
      </c>
      <c r="G119" s="112">
        <f t="shared" si="9"/>
        <v>454</v>
      </c>
      <c r="H119" s="99">
        <f>G119+'25'!H119</f>
        <v>11123.450000000012</v>
      </c>
      <c r="I119" s="165"/>
      <c r="J119" s="328">
        <f>H119/DAY(B2)</f>
        <v>427.82500000000044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'25'!F120</f>
        <v>53678</v>
      </c>
      <c r="F120" s="237">
        <v>54148</v>
      </c>
      <c r="G120" s="112">
        <f t="shared" si="9"/>
        <v>470</v>
      </c>
      <c r="H120" s="99">
        <f>G120+'25'!H120</f>
        <v>11188.39</v>
      </c>
      <c r="I120" s="165"/>
      <c r="J120" s="328">
        <f>H120/DAY(B2)</f>
        <v>430.32269230769231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'25'!F121</f>
        <v>416840</v>
      </c>
      <c r="F121" s="237">
        <v>417628</v>
      </c>
      <c r="G121" s="112">
        <f t="shared" si="9"/>
        <v>788</v>
      </c>
      <c r="H121" s="99">
        <f>G121+'25'!H121</f>
        <v>19593.570000000007</v>
      </c>
      <c r="I121" s="165"/>
      <c r="J121" s="328">
        <f>H121/DAY(B2)</f>
        <v>753.59884615384647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'25'!F122</f>
        <v>131814</v>
      </c>
      <c r="F122" s="237">
        <v>132035</v>
      </c>
      <c r="G122" s="112">
        <f t="shared" si="9"/>
        <v>221</v>
      </c>
      <c r="H122" s="99">
        <f>G122+'25'!H122</f>
        <v>5848.820000000007</v>
      </c>
      <c r="I122" s="165"/>
      <c r="J122" s="328">
        <f>H122/DAY(B2)</f>
        <v>224.95461538461566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'25'!F123</f>
        <v>160533</v>
      </c>
      <c r="F123" s="237">
        <v>160817</v>
      </c>
      <c r="G123" s="112">
        <f t="shared" si="9"/>
        <v>284</v>
      </c>
      <c r="H123" s="99">
        <f>G123+'25'!H123</f>
        <v>6770.0499999999884</v>
      </c>
      <c r="I123" s="165"/>
      <c r="J123" s="328">
        <f>H123/DAY(B2)</f>
        <v>260.38653846153801</v>
      </c>
    </row>
    <row r="124" spans="1:18" ht="27.75" x14ac:dyDescent="0.5">
      <c r="A124" s="875"/>
      <c r="B124" s="876"/>
      <c r="C124" s="877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4141</v>
      </c>
      <c r="H125" s="156"/>
      <c r="I125" s="327">
        <f>G125-(G39+G53)</f>
        <v>924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 x14ac:dyDescent="0.5">
      <c r="A128" s="871" t="s">
        <v>318</v>
      </c>
      <c r="B128" s="872"/>
      <c r="C128" s="873"/>
      <c r="D128" s="151" t="s">
        <v>183</v>
      </c>
      <c r="E128" s="95">
        <f>'25'!F128</f>
        <v>55591</v>
      </c>
      <c r="F128" s="165">
        <v>55975</v>
      </c>
      <c r="G128" s="112">
        <f t="shared" ref="G128:G134" si="10">F128-E128</f>
        <v>384</v>
      </c>
      <c r="H128" s="99">
        <f>G128+'25'!H128</f>
        <v>8229</v>
      </c>
      <c r="I128" s="165"/>
      <c r="J128" s="328">
        <f>H128/DAY(B2)</f>
        <v>316.5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'25'!F129</f>
        <v>32638</v>
      </c>
      <c r="F129" s="165">
        <v>32904</v>
      </c>
      <c r="G129" s="112">
        <f t="shared" si="10"/>
        <v>266</v>
      </c>
      <c r="H129" s="99">
        <f>G129+'25'!H129</f>
        <v>5993.130000000001</v>
      </c>
      <c r="I129" s="165"/>
      <c r="J129" s="328">
        <f>H129/DAY(B2)</f>
        <v>230.50500000000005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'25'!F130</f>
        <v>51283</v>
      </c>
      <c r="F130" s="165">
        <v>51968</v>
      </c>
      <c r="G130" s="112">
        <f t="shared" si="10"/>
        <v>685</v>
      </c>
      <c r="H130" s="99">
        <f>G130+'25'!H130</f>
        <v>16274</v>
      </c>
      <c r="I130" s="165"/>
      <c r="J130" s="328">
        <f>H130/DAY(B2)</f>
        <v>625.92307692307691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'25'!F131</f>
        <v>18329</v>
      </c>
      <c r="F131" s="165">
        <v>18457</v>
      </c>
      <c r="G131" s="112">
        <f t="shared" si="10"/>
        <v>128</v>
      </c>
      <c r="H131" s="99">
        <f>G131+'25'!H131</f>
        <v>3149.3199999999997</v>
      </c>
      <c r="I131" s="165"/>
      <c r="J131" s="328">
        <f>H131/DAY(B2)</f>
        <v>121.1276923076923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'25'!F132</f>
        <v>61814</v>
      </c>
      <c r="F132" s="165">
        <v>62218</v>
      </c>
      <c r="G132" s="112">
        <f t="shared" si="10"/>
        <v>404</v>
      </c>
      <c r="H132" s="99">
        <f>G132+'25'!H132</f>
        <v>10369.699999999997</v>
      </c>
      <c r="I132" s="165"/>
      <c r="J132" s="328">
        <f>H132/DAY(B2)</f>
        <v>398.83461538461529</v>
      </c>
    </row>
    <row r="133" spans="1:15" ht="27.75" x14ac:dyDescent="0.5">
      <c r="A133" s="871" t="s">
        <v>362</v>
      </c>
      <c r="B133" s="872"/>
      <c r="C133" s="873"/>
      <c r="D133" s="151" t="s">
        <v>183</v>
      </c>
      <c r="E133" s="95">
        <f>'25'!F133</f>
        <v>121364</v>
      </c>
      <c r="F133" s="165">
        <v>122035</v>
      </c>
      <c r="G133" s="112">
        <f t="shared" si="10"/>
        <v>671</v>
      </c>
      <c r="H133" s="99">
        <f>G133+'25'!H133</f>
        <v>16691.300000000003</v>
      </c>
      <c r="I133" s="165"/>
      <c r="J133" s="328">
        <f>H133/DAY(B2)</f>
        <v>641.97307692307709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'25'!F134</f>
        <v>12896</v>
      </c>
      <c r="F134" s="165">
        <v>13048</v>
      </c>
      <c r="G134" s="112">
        <f t="shared" si="10"/>
        <v>152</v>
      </c>
      <c r="H134" s="99">
        <f>G134+'25'!H134</f>
        <v>4446.7700000000004</v>
      </c>
      <c r="I134" s="165"/>
      <c r="J134" s="328">
        <f>H134/DAY(B2)</f>
        <v>171.0296153846154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2690</v>
      </c>
      <c r="H135" s="99">
        <f>G135+'23'!H135</f>
        <v>28716.3</v>
      </c>
      <c r="I135" s="327">
        <f>G135-(G35+G49)</f>
        <v>-369</v>
      </c>
      <c r="J135" s="328"/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'25'!F138</f>
        <v>868692</v>
      </c>
      <c r="F138" s="147">
        <v>868858</v>
      </c>
      <c r="G138" s="112">
        <f t="shared" ref="G138:G152" si="11">F138-E138</f>
        <v>166</v>
      </c>
      <c r="H138" s="99">
        <f>G138+'25'!H138</f>
        <v>2685</v>
      </c>
      <c r="I138" s="118"/>
      <c r="J138" s="328">
        <f>H138/DAY(B2)</f>
        <v>103.26923076923077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'25'!F139</f>
        <v>886696</v>
      </c>
      <c r="F139" s="148">
        <v>886698</v>
      </c>
      <c r="G139" s="112">
        <f t="shared" si="11"/>
        <v>2</v>
      </c>
      <c r="H139" s="99">
        <f>G139+'25'!H139</f>
        <v>125</v>
      </c>
      <c r="I139" s="118"/>
      <c r="J139" s="328">
        <f>H139/DAY(B2)</f>
        <v>4.8076923076923075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'25'!F140</f>
        <v>88955</v>
      </c>
      <c r="F140" s="149">
        <v>88955</v>
      </c>
      <c r="G140" s="112">
        <f t="shared" si="11"/>
        <v>0</v>
      </c>
      <c r="H140" s="99">
        <f>G140+'25'!H140</f>
        <v>33</v>
      </c>
      <c r="I140" s="118"/>
      <c r="J140" s="328">
        <f>H140/DAY(B2)</f>
        <v>1.2692307692307692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'25'!F141</f>
        <v>59160</v>
      </c>
      <c r="F141" s="149">
        <v>59336</v>
      </c>
      <c r="G141" s="112">
        <f t="shared" si="11"/>
        <v>176</v>
      </c>
      <c r="H141" s="99">
        <f>G141+'25'!H141</f>
        <v>4650.4199999999983</v>
      </c>
      <c r="I141" s="118"/>
      <c r="J141" s="328">
        <f>H141/DAY(B2)</f>
        <v>178.86230769230764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'25'!F142</f>
        <v>22984</v>
      </c>
      <c r="F142" s="148">
        <v>23053</v>
      </c>
      <c r="G142" s="112">
        <f t="shared" si="11"/>
        <v>69</v>
      </c>
      <c r="H142" s="99">
        <f>G142+'25'!H142</f>
        <v>1768.9000000000015</v>
      </c>
      <c r="I142" s="140"/>
      <c r="J142" s="328">
        <f>H142/DAY(B2)</f>
        <v>68.034615384615435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'25'!F143</f>
        <v>4536</v>
      </c>
      <c r="F143" s="149">
        <v>4561</v>
      </c>
      <c r="G143" s="112">
        <f t="shared" si="11"/>
        <v>25</v>
      </c>
      <c r="H143" s="99">
        <f>G143+'25'!H143</f>
        <v>725.61000000000013</v>
      </c>
      <c r="I143" s="140"/>
      <c r="J143" s="328">
        <f>H143/DAY(B2)</f>
        <v>27.908076923076926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'25'!F144</f>
        <v>881770</v>
      </c>
      <c r="F144" s="149">
        <v>882004</v>
      </c>
      <c r="G144" s="112">
        <f t="shared" si="11"/>
        <v>234</v>
      </c>
      <c r="H144" s="99">
        <f>G144+'25'!H144</f>
        <v>5517</v>
      </c>
      <c r="I144" s="140"/>
      <c r="J144" s="328">
        <f>H144/DAY(B2)</f>
        <v>212.19230769230768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'25'!F145</f>
        <v>5304</v>
      </c>
      <c r="F145" s="149">
        <v>5321</v>
      </c>
      <c r="G145" s="112">
        <f t="shared" si="11"/>
        <v>17</v>
      </c>
      <c r="H145" s="99">
        <f>G145+'25'!H145</f>
        <v>362.15999999999985</v>
      </c>
      <c r="I145" s="140"/>
      <c r="J145" s="328">
        <f>H145/DAY(B2)</f>
        <v>13.929230769230763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'25'!F146</f>
        <v>748507</v>
      </c>
      <c r="F146" s="148">
        <v>748959</v>
      </c>
      <c r="G146" s="112">
        <f t="shared" si="11"/>
        <v>452</v>
      </c>
      <c r="H146" s="99">
        <f>G146+'25'!H146</f>
        <v>11626</v>
      </c>
      <c r="I146" s="140"/>
      <c r="J146" s="328">
        <f>H146/DAY(B2)</f>
        <v>447.15384615384613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'25'!F147</f>
        <v>636492</v>
      </c>
      <c r="F147" s="148">
        <v>636867</v>
      </c>
      <c r="G147" s="112">
        <f t="shared" si="11"/>
        <v>375</v>
      </c>
      <c r="H147" s="99">
        <f>G147+'25'!H147</f>
        <v>10254.479999999981</v>
      </c>
      <c r="I147" s="140"/>
      <c r="J147" s="328">
        <f>H147/DAY(B2)</f>
        <v>394.40307692307618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'25'!F148</f>
        <v>697242</v>
      </c>
      <c r="F148" s="150">
        <v>697466</v>
      </c>
      <c r="G148" s="112">
        <f t="shared" si="11"/>
        <v>224</v>
      </c>
      <c r="H148" s="99">
        <f>G148+'25'!H148</f>
        <v>8023.0400000000373</v>
      </c>
      <c r="I148" s="124"/>
      <c r="J148" s="328">
        <f>H148/DAY(B2)</f>
        <v>308.57846153846299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'25'!F149</f>
        <v>39842</v>
      </c>
      <c r="F149" s="146">
        <v>40452</v>
      </c>
      <c r="G149" s="112">
        <f t="shared" si="11"/>
        <v>610</v>
      </c>
      <c r="H149" s="99">
        <f>G149+'25'!H149</f>
        <v>15773.8</v>
      </c>
      <c r="I149" s="119"/>
      <c r="J149" s="328">
        <f>H149/DAY(B2)</f>
        <v>606.68461538461531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'25'!F150</f>
        <v>16526</v>
      </c>
      <c r="F150" s="233">
        <v>16749</v>
      </c>
      <c r="G150" s="112">
        <f t="shared" si="11"/>
        <v>223</v>
      </c>
      <c r="H150" s="99">
        <f>G150+'25'!H150</f>
        <v>5898.17</v>
      </c>
      <c r="I150" s="119"/>
      <c r="J150" s="328">
        <f>H150/DAY(B2)</f>
        <v>226.85269230769231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'25'!F151</f>
        <v>91579</v>
      </c>
      <c r="F151" s="233">
        <v>91818</v>
      </c>
      <c r="G151" s="112">
        <f t="shared" si="11"/>
        <v>239</v>
      </c>
      <c r="H151" s="99">
        <f>G151+'25'!H151</f>
        <v>6338</v>
      </c>
      <c r="I151" s="119"/>
      <c r="J151" s="328">
        <f>H151/DAY(B2)</f>
        <v>243.76923076923077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'25'!F152</f>
        <v>3768</v>
      </c>
      <c r="F152" s="233">
        <v>3900</v>
      </c>
      <c r="G152" s="112">
        <f t="shared" si="11"/>
        <v>132</v>
      </c>
      <c r="H152" s="99">
        <f>G152+'25'!H152</f>
        <v>2240</v>
      </c>
      <c r="I152" s="119"/>
      <c r="J152" s="328">
        <f>H152/DAY(B2)</f>
        <v>86.15384615384616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2944</v>
      </c>
      <c r="H153" s="363"/>
      <c r="I153" s="119">
        <f>G153-(G38+G52)</f>
        <v>809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'25'!F155</f>
        <v>49737</v>
      </c>
      <c r="F155" s="592">
        <v>50430</v>
      </c>
      <c r="G155" s="112">
        <f t="shared" ref="G155:G158" si="12">F155-E155</f>
        <v>693</v>
      </c>
      <c r="H155" s="99">
        <f>G155+'25'!H155</f>
        <v>17485</v>
      </c>
      <c r="I155" s="364"/>
      <c r="J155" s="328">
        <f>H155/DAY(B2)</f>
        <v>672.5</v>
      </c>
    </row>
    <row r="156" spans="1:10" ht="27.75" x14ac:dyDescent="0.5">
      <c r="A156" s="851" t="s">
        <v>347</v>
      </c>
      <c r="B156" s="851"/>
      <c r="C156" s="851"/>
      <c r="D156" s="117" t="s">
        <v>130</v>
      </c>
      <c r="E156" s="95">
        <f>'25'!F156</f>
        <v>4092</v>
      </c>
      <c r="F156" s="155">
        <v>4142</v>
      </c>
      <c r="G156" s="112">
        <f t="shared" si="12"/>
        <v>50</v>
      </c>
      <c r="H156" s="99">
        <f>G156+'25'!H156</f>
        <v>1354</v>
      </c>
      <c r="I156" s="165"/>
      <c r="J156" s="328">
        <f>H156/DAY(B2)</f>
        <v>52.07692307692308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>
        <f>'25'!F157</f>
        <v>6829</v>
      </c>
      <c r="F157" s="155">
        <v>6934</v>
      </c>
      <c r="G157" s="112">
        <f t="shared" si="12"/>
        <v>105</v>
      </c>
      <c r="H157" s="99">
        <f>G157+'25'!H157</f>
        <v>742.54</v>
      </c>
      <c r="I157" s="165"/>
      <c r="J157" s="328">
        <f>H157/DAY(B2)</f>
        <v>28.559230769230769</v>
      </c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>
        <f>'25'!F158</f>
        <v>75.760000000000005</v>
      </c>
      <c r="F158" s="155">
        <v>75.760000000000005</v>
      </c>
      <c r="G158" s="112">
        <f t="shared" si="12"/>
        <v>0</v>
      </c>
      <c r="H158" s="99">
        <f>G158+'25'!H158</f>
        <v>1.5900000000000034</v>
      </c>
      <c r="I158" s="165"/>
      <c r="J158" s="328">
        <f>H158/DAY(B2)</f>
        <v>6.1153846153846288E-2</v>
      </c>
    </row>
    <row r="159" spans="1:10" ht="27.75" x14ac:dyDescent="0.5">
      <c r="A159" s="935"/>
      <c r="B159" s="936"/>
      <c r="C159" s="93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472794</v>
      </c>
      <c r="F161" s="235">
        <v>472807</v>
      </c>
      <c r="G161" s="238">
        <f t="shared" ref="G161:G165" si="13">F161-E161</f>
        <v>13</v>
      </c>
      <c r="H161" s="99">
        <f>G161+'25'!H161</f>
        <v>753.44000000000233</v>
      </c>
      <c r="I161" s="236"/>
      <c r="J161" s="239">
        <f>H161/DAY(B2)</f>
        <v>28.978461538461627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89447</v>
      </c>
      <c r="F162" s="235">
        <v>89470</v>
      </c>
      <c r="G162" s="238">
        <f t="shared" si="13"/>
        <v>23</v>
      </c>
      <c r="H162" s="99">
        <f>G162+'25'!H162</f>
        <v>953.60000000000582</v>
      </c>
      <c r="I162" s="236"/>
      <c r="J162" s="239">
        <f>H162/DAY(B2)</f>
        <v>36.676923076923302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81074</v>
      </c>
      <c r="F163" s="235">
        <v>81225</v>
      </c>
      <c r="G163" s="238">
        <f t="shared" si="13"/>
        <v>151</v>
      </c>
      <c r="H163" s="99">
        <f>G163+'25'!H163</f>
        <v>2004.8999999999942</v>
      </c>
      <c r="I163" s="236"/>
      <c r="J163" s="239">
        <f>H163/DAY(B2)</f>
        <v>77.111538461538231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4370</v>
      </c>
      <c r="F164" s="235">
        <v>4370</v>
      </c>
      <c r="G164" s="238">
        <f t="shared" si="13"/>
        <v>0</v>
      </c>
      <c r="H164" s="99">
        <f>G164+'25'!H164</f>
        <v>50</v>
      </c>
      <c r="I164" s="236"/>
      <c r="J164" s="239">
        <f>H164/DAY(B2)</f>
        <v>1.9230769230769231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30073</v>
      </c>
      <c r="F165" s="235">
        <v>30079</v>
      </c>
      <c r="G165" s="238">
        <f t="shared" si="13"/>
        <v>6</v>
      </c>
      <c r="H165" s="99">
        <f>G165+'25'!H165</f>
        <v>221.75</v>
      </c>
      <c r="I165" s="236"/>
      <c r="J165" s="239">
        <f>H165/DAY(B2)</f>
        <v>8.5288461538461533</v>
      </c>
    </row>
    <row r="166" spans="1:10" ht="29.25" x14ac:dyDescent="0.5">
      <c r="A166" s="860"/>
      <c r="B166" s="860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'25'!F173</f>
        <v>8185</v>
      </c>
      <c r="F173" s="155">
        <v>8187</v>
      </c>
      <c r="G173" s="155">
        <f>F173-E173</f>
        <v>2</v>
      </c>
      <c r="H173" s="99">
        <f>G173+'25'!H173</f>
        <v>61</v>
      </c>
      <c r="I173" s="155"/>
      <c r="J173" s="178">
        <f>H173/DAY(B2)</f>
        <v>2.3461538461538463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'25'!F174</f>
        <v>38972</v>
      </c>
      <c r="F174" s="157">
        <v>38987</v>
      </c>
      <c r="G174" s="155">
        <f t="shared" ref="G174:G175" si="14">F174-E174</f>
        <v>15</v>
      </c>
      <c r="H174" s="99">
        <f>G174+'25'!H174</f>
        <v>372</v>
      </c>
      <c r="I174" s="155"/>
      <c r="J174" s="178">
        <f>H174/DAY(B2)</f>
        <v>14.307692307692308</v>
      </c>
    </row>
    <row r="175" spans="1:10" ht="27.75" x14ac:dyDescent="0.5">
      <c r="A175" s="864" t="s">
        <v>76</v>
      </c>
      <c r="B175" s="904"/>
      <c r="C175" s="865"/>
      <c r="D175" s="228" t="s">
        <v>142</v>
      </c>
      <c r="E175" s="95">
        <f>'25'!F175</f>
        <v>22112</v>
      </c>
      <c r="F175" s="155">
        <v>22123</v>
      </c>
      <c r="G175" s="155">
        <f t="shared" si="14"/>
        <v>11</v>
      </c>
      <c r="H175" s="99">
        <f>G175+'25'!H175</f>
        <v>310</v>
      </c>
      <c r="I175" s="155"/>
      <c r="J175" s="178">
        <f>H175/DAY(B2)</f>
        <v>11.923076923076923</v>
      </c>
    </row>
    <row r="176" spans="1:10" ht="27.75" x14ac:dyDescent="0.5">
      <c r="A176" s="855" t="s">
        <v>196</v>
      </c>
      <c r="B176" s="856"/>
      <c r="C176" s="483"/>
      <c r="D176" s="228" t="s">
        <v>142</v>
      </c>
      <c r="E176" s="95"/>
      <c r="F176" s="155"/>
      <c r="G176" s="155">
        <f>SUM(G173:G175)</f>
        <v>28</v>
      </c>
      <c r="H176" s="99">
        <f>G176+'25'!H176</f>
        <v>743</v>
      </c>
      <c r="I176" s="155"/>
      <c r="J176" s="178">
        <f>H176/DAY(B2)</f>
        <v>28.576923076923077</v>
      </c>
    </row>
    <row r="177" spans="1:10" ht="27.75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864" t="s">
        <v>210</v>
      </c>
      <c r="B178" s="865"/>
      <c r="C178" s="333"/>
      <c r="D178" s="228" t="s">
        <v>142</v>
      </c>
      <c r="E178" s="95">
        <f>'25'!F178</f>
        <v>82765</v>
      </c>
      <c r="F178" s="155">
        <v>82829</v>
      </c>
      <c r="G178" s="155">
        <f>F178-E178</f>
        <v>64</v>
      </c>
      <c r="H178" s="99">
        <f>G178+'25'!H178</f>
        <v>1514</v>
      </c>
      <c r="I178" s="155"/>
      <c r="J178" s="178">
        <f>H178/DAY(B2)</f>
        <v>58.230769230769234</v>
      </c>
    </row>
    <row r="179" spans="1:10" ht="27.75" x14ac:dyDescent="0.5">
      <c r="A179" s="864" t="s">
        <v>211</v>
      </c>
      <c r="B179" s="865"/>
      <c r="C179" s="333"/>
      <c r="D179" s="228" t="s">
        <v>142</v>
      </c>
      <c r="E179" s="95">
        <f>'25'!F179</f>
        <v>35342</v>
      </c>
      <c r="F179" s="155">
        <v>35341</v>
      </c>
      <c r="G179" s="155">
        <v>5873</v>
      </c>
      <c r="H179" s="99">
        <f>G179+'25'!H179</f>
        <v>6412</v>
      </c>
      <c r="I179" s="155"/>
      <c r="J179" s="178">
        <f>H179/DAY(B2)</f>
        <v>246.61538461538461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'25'!F180</f>
        <v>5862</v>
      </c>
      <c r="F180" s="155">
        <v>5873</v>
      </c>
      <c r="G180" s="155">
        <f t="shared" ref="G180" si="15">F180-E180</f>
        <v>11</v>
      </c>
      <c r="H180" s="99">
        <f>G180+'25'!H180</f>
        <v>171</v>
      </c>
      <c r="I180" s="155"/>
      <c r="J180" s="178">
        <f>H180/DAY(B2)</f>
        <v>6.5769230769230766</v>
      </c>
    </row>
    <row r="181" spans="1:10" ht="27.75" x14ac:dyDescent="0.5">
      <c r="A181" s="866" t="s">
        <v>108</v>
      </c>
      <c r="B181" s="867"/>
      <c r="C181" s="483"/>
      <c r="D181" s="228" t="s">
        <v>142</v>
      </c>
      <c r="E181" s="95"/>
      <c r="F181" s="155"/>
      <c r="G181" s="155">
        <f>SUM(G178:G180)</f>
        <v>5948</v>
      </c>
      <c r="H181" s="99">
        <f>G181+'25'!H181</f>
        <v>8097</v>
      </c>
      <c r="I181" s="155"/>
      <c r="J181" s="178">
        <f>H181/DAY(B2)</f>
        <v>311.42307692307691</v>
      </c>
    </row>
    <row r="182" spans="1:10" ht="27.75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'25'!F183</f>
        <v>15704</v>
      </c>
      <c r="F183" s="157">
        <v>15712</v>
      </c>
      <c r="G183" s="157">
        <f>F183-E183</f>
        <v>8</v>
      </c>
      <c r="H183" s="99">
        <f>G183+'25'!H183</f>
        <v>367</v>
      </c>
      <c r="I183" s="155"/>
      <c r="J183" s="178">
        <f>H183/DAY(B2)</f>
        <v>14.115384615384615</v>
      </c>
    </row>
    <row r="184" spans="1:10" ht="27.75" x14ac:dyDescent="0.5">
      <c r="A184" s="864" t="s">
        <v>215</v>
      </c>
      <c r="B184" s="865"/>
      <c r="C184" s="334"/>
      <c r="D184" s="228" t="s">
        <v>142</v>
      </c>
      <c r="E184" s="95">
        <f>'25'!F184</f>
        <v>10780</v>
      </c>
      <c r="F184" s="157">
        <v>10792</v>
      </c>
      <c r="G184" s="157">
        <f t="shared" ref="G184:G185" si="16">F184-E184</f>
        <v>12</v>
      </c>
      <c r="H184" s="99">
        <f>G184+'25'!H184</f>
        <v>274</v>
      </c>
      <c r="I184" s="155"/>
      <c r="J184" s="178">
        <f>H184/DAY(B2)</f>
        <v>10.538461538461538</v>
      </c>
    </row>
    <row r="185" spans="1:10" ht="27.75" x14ac:dyDescent="0.5">
      <c r="A185" s="864" t="s">
        <v>216</v>
      </c>
      <c r="B185" s="865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855" t="s">
        <v>196</v>
      </c>
      <c r="B186" s="856"/>
      <c r="C186" s="482"/>
      <c r="D186" s="228" t="s">
        <v>142</v>
      </c>
      <c r="E186" s="95"/>
      <c r="F186" s="157"/>
      <c r="G186" s="157">
        <f>SUM(G183:G185)</f>
        <v>20</v>
      </c>
      <c r="H186" s="99">
        <f>G186+'25'!H186</f>
        <v>641</v>
      </c>
      <c r="I186" s="157"/>
      <c r="J186" s="178">
        <f>H186/DAY(B2)</f>
        <v>24.653846153846153</v>
      </c>
    </row>
    <row r="187" spans="1:10" ht="27.75" x14ac:dyDescent="0.5">
      <c r="A187" s="857" t="s">
        <v>217</v>
      </c>
      <c r="B187" s="858"/>
      <c r="C187" s="333"/>
      <c r="D187" s="228" t="s">
        <v>142</v>
      </c>
      <c r="E187" s="95">
        <f>'25'!F187</f>
        <v>0</v>
      </c>
      <c r="F187" s="159"/>
      <c r="G187" s="460">
        <f>G62+G19</f>
        <v>212</v>
      </c>
      <c r="H187" s="99">
        <f>G187+'25'!H187</f>
        <v>5088</v>
      </c>
      <c r="I187" s="158"/>
      <c r="J187" s="179">
        <f>H187/DAY(B2)</f>
        <v>195.69230769230768</v>
      </c>
    </row>
    <row r="188" spans="1:10" ht="27.75" x14ac:dyDescent="0.5">
      <c r="A188" s="857" t="s">
        <v>218</v>
      </c>
      <c r="B188" s="858"/>
      <c r="C188" s="333"/>
      <c r="D188" s="228" t="s">
        <v>142</v>
      </c>
      <c r="E188" s="95">
        <f>'25'!F188</f>
        <v>0</v>
      </c>
      <c r="F188" s="159"/>
      <c r="G188" s="460">
        <f>G65+G66+G67+G69+G70</f>
        <v>231</v>
      </c>
      <c r="H188" s="99">
        <f>G188+'25'!H188</f>
        <v>3126</v>
      </c>
      <c r="I188" s="158"/>
      <c r="J188" s="179">
        <f>H188/DAY(B2)</f>
        <v>120.23076923076923</v>
      </c>
    </row>
    <row r="189" spans="1:10" ht="27.75" x14ac:dyDescent="0.5">
      <c r="A189" s="857" t="s">
        <v>219</v>
      </c>
      <c r="B189" s="858"/>
      <c r="C189" s="333"/>
      <c r="D189" s="228" t="s">
        <v>142</v>
      </c>
      <c r="E189" s="95">
        <f>'25'!F189</f>
        <v>0</v>
      </c>
      <c r="F189" s="157"/>
      <c r="G189" s="457">
        <f>G181</f>
        <v>5948</v>
      </c>
      <c r="H189" s="99">
        <f>G189+'25'!H189</f>
        <v>6488</v>
      </c>
      <c r="I189" s="158"/>
      <c r="J189" s="179">
        <f>H189/DAY(B2)</f>
        <v>249.53846153846155</v>
      </c>
    </row>
    <row r="190" spans="1:10" ht="27.75" x14ac:dyDescent="0.5">
      <c r="A190" s="778"/>
      <c r="B190" s="779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Q33" sqref="Q3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303</v>
      </c>
      <c r="B2" s="262">
        <v>44619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182100</v>
      </c>
      <c r="F7" s="95">
        <v>200936</v>
      </c>
      <c r="G7" s="112">
        <f>F7-E7</f>
        <v>18836</v>
      </c>
      <c r="H7" s="99">
        <f>G7+'26'!H7</f>
        <v>549814.77</v>
      </c>
      <c r="I7" s="113">
        <f>'1'!I7</f>
        <v>12000</v>
      </c>
      <c r="J7" s="175">
        <f>H7/DAY(B2)</f>
        <v>20363.510000000002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243300</v>
      </c>
      <c r="F8" s="95">
        <v>262354</v>
      </c>
      <c r="G8" s="115">
        <f>F8-E8</f>
        <v>19054</v>
      </c>
      <c r="H8" s="99">
        <f>G8+'26'!H8</f>
        <v>553832.44999999995</v>
      </c>
      <c r="I8" s="116"/>
      <c r="J8" s="175">
        <f>H8/DAY(B2)</f>
        <v>20512.312962962962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689785</v>
      </c>
      <c r="F9" s="598">
        <v>702000</v>
      </c>
      <c r="G9" s="112">
        <f>F9-E9</f>
        <v>12215</v>
      </c>
      <c r="H9" s="99">
        <f>G9+'26'!H9</f>
        <v>419746.15</v>
      </c>
      <c r="I9" s="124">
        <f>I7-J7</f>
        <v>-8363.510000000002</v>
      </c>
      <c r="J9" s="175">
        <f>H9/DAY(B2)</f>
        <v>15546.153703703705</v>
      </c>
      <c r="K9" s="79">
        <f>K8-100</f>
        <v>1715817</v>
      </c>
      <c r="L9" s="66"/>
      <c r="N9" s="87"/>
      <c r="O9" s="71">
        <f>G8-G7</f>
        <v>218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213736</v>
      </c>
      <c r="F10" s="353">
        <v>219840</v>
      </c>
      <c r="G10" s="112">
        <f t="shared" ref="G10:G12" si="0">F10-E10</f>
        <v>6104</v>
      </c>
      <c r="H10" s="99">
        <f>G10+'26'!H10</f>
        <v>114581.03</v>
      </c>
      <c r="I10" s="282"/>
      <c r="J10" s="175">
        <f>H10/DAY(B2)</f>
        <v>4243.7418518518516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37170</v>
      </c>
      <c r="F11" s="95">
        <v>37560</v>
      </c>
      <c r="G11" s="112">
        <f t="shared" si="0"/>
        <v>390</v>
      </c>
      <c r="H11" s="99">
        <f>G11+'26'!H11</f>
        <v>390</v>
      </c>
      <c r="I11" s="282"/>
      <c r="J11" s="175">
        <f>H11/DAY(B2)</f>
        <v>14.444444444444445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40390</v>
      </c>
      <c r="G12" s="112">
        <f t="shared" si="0"/>
        <v>380</v>
      </c>
      <c r="H12" s="99">
        <f>G12+'26'!H12</f>
        <v>380</v>
      </c>
      <c r="I12" s="282"/>
      <c r="J12" s="175">
        <f>H12/DAY(B2)</f>
        <v>14.074074074074074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19089</v>
      </c>
      <c r="H13" s="99">
        <f>G13+'26'!H13</f>
        <v>518342.74999999994</v>
      </c>
      <c r="I13" s="120">
        <f>G7-G13</f>
        <v>-253</v>
      </c>
      <c r="J13" s="175">
        <f>H13/DAY(B2)</f>
        <v>19197.879629629628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'26'!F15</f>
        <v>1934693</v>
      </c>
      <c r="F15" s="123">
        <v>1935790</v>
      </c>
      <c r="G15" s="112">
        <f>(F15-E15)</f>
        <v>1097</v>
      </c>
      <c r="H15" s="99">
        <f>G15+'26'!H15</f>
        <v>29153.233000000007</v>
      </c>
      <c r="I15" s="113">
        <f>'1'!I15</f>
        <v>800</v>
      </c>
      <c r="J15" s="175">
        <f>H15/DAY(B2)</f>
        <v>1079.7493703703706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-279.74937037037057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'26'!F18</f>
        <v>26</v>
      </c>
      <c r="F18" s="122">
        <v>25</v>
      </c>
      <c r="G18" s="119">
        <f>F18*10</f>
        <v>250</v>
      </c>
      <c r="H18" s="99">
        <f>G18+'26'!H18</f>
        <v>6190</v>
      </c>
      <c r="I18" s="113">
        <f>'1'!I18</f>
        <v>65</v>
      </c>
      <c r="J18" s="175">
        <f>H18/DAY(B2)</f>
        <v>229.25925925925927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'26'!F19</f>
        <v>155277</v>
      </c>
      <c r="F19" s="122">
        <v>155337</v>
      </c>
      <c r="G19" s="112">
        <f t="shared" ref="G19" si="1">F19-E19</f>
        <v>60</v>
      </c>
      <c r="H19" s="99">
        <f>G19+'26'!H19</f>
        <v>1446</v>
      </c>
      <c r="I19" s="335"/>
      <c r="J19" s="175">
        <f>H19/DAY(B2)</f>
        <v>53.555555555555557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310</v>
      </c>
      <c r="H20" s="99">
        <f>G20+'26'!H20</f>
        <v>7636</v>
      </c>
      <c r="I20" s="336">
        <f>I18-J20</f>
        <v>-217.81481481481484</v>
      </c>
      <c r="J20" s="175">
        <f>H20/DAY(B2)</f>
        <v>282.81481481481484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920</v>
      </c>
      <c r="G23" s="112">
        <f t="shared" si="2"/>
        <v>-1080</v>
      </c>
      <c r="H23" s="99">
        <f>G23+'26'!H23</f>
        <v>-1080</v>
      </c>
      <c r="I23" s="118"/>
      <c r="J23" s="175">
        <f>H23/DAY(B2)</f>
        <v>-40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3890</v>
      </c>
      <c r="G24" s="112">
        <f t="shared" si="2"/>
        <v>-1080</v>
      </c>
      <c r="H24" s="99">
        <f>G24+'26'!H24</f>
        <v>-1080</v>
      </c>
      <c r="I24" s="118"/>
      <c r="J24" s="175">
        <f>H24/DAY(B2)</f>
        <v>-40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v>18319</v>
      </c>
      <c r="F27" s="136">
        <v>9</v>
      </c>
      <c r="G27" s="137">
        <f>E27*F27</f>
        <v>164871</v>
      </c>
      <c r="H27" s="99">
        <f>G27+'26'!H27</f>
        <v>4977877.0500000007</v>
      </c>
      <c r="I27" s="138"/>
      <c r="J27" s="175">
        <f>H27/DAY(B2)</f>
        <v>184365.81666666668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1097</v>
      </c>
      <c r="F28" s="136">
        <v>70</v>
      </c>
      <c r="G28" s="137">
        <f>E28*F28</f>
        <v>76790</v>
      </c>
      <c r="H28" s="99">
        <f>G28+'26'!H28</f>
        <v>1618370.1160000004</v>
      </c>
      <c r="I28" s="140"/>
      <c r="J28" s="175">
        <f>H28/DAY(B2)</f>
        <v>59939.63392592594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-1080</v>
      </c>
      <c r="F29" s="136">
        <v>69</v>
      </c>
      <c r="G29" s="137">
        <f>E29*F29</f>
        <v>-74520</v>
      </c>
      <c r="H29" s="99">
        <f>G29+'26'!H29</f>
        <v>-74520</v>
      </c>
      <c r="I29" s="140"/>
      <c r="J29" s="175">
        <f>H29/DAY(B2)</f>
        <v>-2760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151</v>
      </c>
      <c r="G30" s="137">
        <f>E30*F30</f>
        <v>9060</v>
      </c>
      <c r="H30" s="99">
        <f>G30+'26'!H30</f>
        <v>212546</v>
      </c>
      <c r="I30" s="140"/>
      <c r="J30" s="175">
        <f>H30/DAY(B2)</f>
        <v>7872.0740740740739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G31+'26'!H31</f>
        <v>495200</v>
      </c>
      <c r="I31" s="140"/>
      <c r="J31" s="175">
        <f>H31/DAY(B2)</f>
        <v>18340.740740740741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196201</v>
      </c>
      <c r="H32" s="99">
        <f>G32+'26'!H32</f>
        <v>7229473.1660000011</v>
      </c>
      <c r="I32" s="144"/>
      <c r="J32" s="175">
        <f>H32/DAY(B2)</f>
        <v>267758.26540740742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71374</v>
      </c>
      <c r="F35" s="145">
        <v>72893</v>
      </c>
      <c r="G35" s="112">
        <f t="shared" ref="G35:G46" si="3">F35-E35</f>
        <v>1519</v>
      </c>
      <c r="H35" s="99">
        <f>G35+'26'!H35</f>
        <v>40888.020000000004</v>
      </c>
      <c r="I35" s="95"/>
      <c r="J35" s="175">
        <f>H35/DAY(B2)</f>
        <v>1514.3711111111113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68602</v>
      </c>
      <c r="F36" s="145">
        <v>69406</v>
      </c>
      <c r="G36" s="112">
        <f t="shared" si="3"/>
        <v>804</v>
      </c>
      <c r="H36" s="99">
        <f>G36+'26'!H36</f>
        <v>25947.260000000002</v>
      </c>
      <c r="I36" s="95"/>
      <c r="J36" s="175">
        <f>H36/DAY(B2)</f>
        <v>961.00962962962967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78835</v>
      </c>
      <c r="F37" s="145">
        <v>80379</v>
      </c>
      <c r="G37" s="112">
        <f t="shared" si="3"/>
        <v>1544</v>
      </c>
      <c r="H37" s="99">
        <f>G37+'26'!H37</f>
        <v>44953.91</v>
      </c>
      <c r="I37" s="95"/>
      <c r="J37" s="175">
        <f>H37/DAY(B2)</f>
        <v>1664.9596296296297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90762</v>
      </c>
      <c r="F38" s="108">
        <v>92847</v>
      </c>
      <c r="G38" s="112">
        <f t="shared" si="3"/>
        <v>2085</v>
      </c>
      <c r="H38" s="99">
        <f>G38+'26'!H38</f>
        <v>54470.57</v>
      </c>
      <c r="I38" s="95"/>
      <c r="J38" s="175">
        <f>H38/DAY(B2)</f>
        <v>2017.4285185185186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137757</v>
      </c>
      <c r="F39" s="145">
        <v>140786</v>
      </c>
      <c r="G39" s="112">
        <f t="shared" si="3"/>
        <v>3029</v>
      </c>
      <c r="H39" s="99">
        <f>G39+'26'!H39</f>
        <v>81612.710000000006</v>
      </c>
      <c r="I39" s="95"/>
      <c r="J39" s="175">
        <f>H39/DAY(B2)</f>
        <v>3022.6929629629631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31836</v>
      </c>
      <c r="F40" s="145">
        <v>32110</v>
      </c>
      <c r="G40" s="112">
        <f t="shared" si="3"/>
        <v>274</v>
      </c>
      <c r="H40" s="99">
        <f>G40+'26'!H40</f>
        <v>9993.0099999999984</v>
      </c>
      <c r="I40" s="95"/>
      <c r="J40" s="175">
        <f>H40/DAY(B2)</f>
        <v>370.11148148148141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63</v>
      </c>
      <c r="F41" s="145">
        <v>63</v>
      </c>
      <c r="G41" s="112">
        <f t="shared" si="3"/>
        <v>0</v>
      </c>
      <c r="H41" s="99">
        <f>G41+'26'!H41</f>
        <v>0.27000000000000313</v>
      </c>
      <c r="I41" s="95"/>
      <c r="J41" s="175">
        <f>H41/DAY(B2)</f>
        <v>1.0000000000000116E-2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177135</v>
      </c>
      <c r="F42" s="145">
        <v>177135</v>
      </c>
      <c r="G42" s="112">
        <f t="shared" si="3"/>
        <v>0</v>
      </c>
      <c r="H42" s="99">
        <f>G42+'26'!H42</f>
        <v>77005.259999999995</v>
      </c>
      <c r="I42" s="95"/>
      <c r="J42" s="175">
        <f>H42/DAY(B2)</f>
        <v>2852.0466666666666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169956</v>
      </c>
      <c r="F43" s="145">
        <v>172157</v>
      </c>
      <c r="G43" s="112">
        <f t="shared" si="3"/>
        <v>2201</v>
      </c>
      <c r="H43" s="99">
        <f>G43+'26'!H43</f>
        <v>57305.399999999994</v>
      </c>
      <c r="I43" s="95"/>
      <c r="J43" s="175">
        <f>H43/DAY(B2)</f>
        <v>2122.422222222222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11456</v>
      </c>
      <c r="H47" s="99">
        <f>G47+'26'!H47</f>
        <v>392176.41000000009</v>
      </c>
      <c r="I47" s="95"/>
      <c r="J47" s="175">
        <f>H47/DAY(B2)</f>
        <v>14525.052222222226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61343</v>
      </c>
      <c r="F49" s="145">
        <v>62640</v>
      </c>
      <c r="G49" s="112">
        <f t="shared" ref="G49:G58" si="4">F49-E49</f>
        <v>1297</v>
      </c>
      <c r="H49" s="99">
        <f>G49+'26'!H49</f>
        <v>37643.81</v>
      </c>
      <c r="I49" s="95"/>
      <c r="J49" s="175">
        <f>H49/DAY(B2)</f>
        <v>1394.2151851851852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87765</v>
      </c>
      <c r="F50" s="145">
        <v>88730</v>
      </c>
      <c r="G50" s="112">
        <f t="shared" si="4"/>
        <v>965</v>
      </c>
      <c r="H50" s="99">
        <f>G50+'26'!H50</f>
        <v>32343.370000000003</v>
      </c>
      <c r="I50" s="95"/>
      <c r="J50" s="175">
        <f>H50/DAY(B2)</f>
        <v>1197.9025925925928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76</v>
      </c>
      <c r="G51" s="112">
        <f t="shared" si="4"/>
        <v>76</v>
      </c>
      <c r="H51" s="99">
        <f>G51+'26'!H51</f>
        <v>76</v>
      </c>
      <c r="I51" s="95"/>
      <c r="J51" s="175">
        <f>H51/DAY(B2)</f>
        <v>2.8148148148148149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10</v>
      </c>
      <c r="G52" s="112">
        <f t="shared" si="4"/>
        <v>10</v>
      </c>
      <c r="H52" s="99">
        <f>G52+'26'!H52</f>
        <v>10</v>
      </c>
      <c r="I52" s="95"/>
      <c r="J52" s="175">
        <f>H52/DAY(B2)</f>
        <v>0.37037037037037035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18227</v>
      </c>
      <c r="F54" s="145">
        <v>18755</v>
      </c>
      <c r="G54" s="112">
        <f t="shared" si="4"/>
        <v>528</v>
      </c>
      <c r="H54" s="99">
        <f>G54+'26'!H54</f>
        <v>13607.58</v>
      </c>
      <c r="I54" s="95"/>
      <c r="J54" s="175">
        <f>H54/DAY(B2)</f>
        <v>503.98444444444442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90579</v>
      </c>
      <c r="F55" s="145">
        <v>90579</v>
      </c>
      <c r="G55" s="112">
        <f t="shared" si="4"/>
        <v>0</v>
      </c>
      <c r="H55" s="99">
        <f>G55+'26'!H55</f>
        <v>16212.89</v>
      </c>
      <c r="I55" s="95"/>
      <c r="J55" s="175">
        <f>H55/DAY(B2)</f>
        <v>600.47740740740744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20170</v>
      </c>
      <c r="F56" s="145">
        <v>22779</v>
      </c>
      <c r="G56" s="112">
        <f t="shared" si="4"/>
        <v>2609</v>
      </c>
      <c r="H56" s="99">
        <f>G56+'26'!H56</f>
        <v>14168.46</v>
      </c>
      <c r="I56" s="95"/>
      <c r="J56" s="175">
        <f>H56/DAY(B2)</f>
        <v>524.75777777777773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10499</v>
      </c>
      <c r="F58" s="145">
        <v>10712</v>
      </c>
      <c r="G58" s="112">
        <f t="shared" si="4"/>
        <v>213</v>
      </c>
      <c r="H58" s="99">
        <f>G58+'26'!H58</f>
        <v>5915.79</v>
      </c>
      <c r="I58" s="95"/>
      <c r="J58" s="175">
        <f>H58/DAY(B2)</f>
        <v>219.10333333333332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5698</v>
      </c>
      <c r="H59" s="99">
        <f>G59+'26'!H59</f>
        <v>119977.9</v>
      </c>
      <c r="I59" s="95">
        <f>G7-G60</f>
        <v>1682</v>
      </c>
      <c r="J59" s="175">
        <f>H59/DAY(B2)</f>
        <v>4443.6259259259259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17154</v>
      </c>
      <c r="H60" s="99">
        <f>G60+'26'!H60</f>
        <v>512154.31000000006</v>
      </c>
      <c r="I60" s="95">
        <f>G13-G60</f>
        <v>1935</v>
      </c>
      <c r="J60" s="175">
        <f>H60/DAY(B2)</f>
        <v>18968.678148148148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'26'!F62</f>
        <v>273218</v>
      </c>
      <c r="F62" s="122">
        <v>273366</v>
      </c>
      <c r="G62" s="112">
        <f t="shared" ref="G62:G63" si="5">F62-E62</f>
        <v>148</v>
      </c>
      <c r="H62" s="99">
        <f>G62+'26'!H62</f>
        <v>3850</v>
      </c>
      <c r="I62" s="118"/>
      <c r="J62" s="175">
        <f>H62/DAY(B2)</f>
        <v>142.59259259259258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'26'!F63</f>
        <v>218987</v>
      </c>
      <c r="F63" s="122">
        <v>219090</v>
      </c>
      <c r="G63" s="112">
        <f t="shared" si="5"/>
        <v>103</v>
      </c>
      <c r="H63" s="99">
        <f>G63+'26'!H63</f>
        <v>3293</v>
      </c>
      <c r="I63" s="118"/>
      <c r="J63" s="175">
        <f>H63/DAY(B2)</f>
        <v>121.96296296296296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'26'!F64</f>
        <v>0</v>
      </c>
      <c r="F64" s="122"/>
      <c r="G64" s="112">
        <f>G62+G63</f>
        <v>251</v>
      </c>
      <c r="H64" s="99">
        <f>G64+'26'!H64</f>
        <v>7143</v>
      </c>
      <c r="I64" s="118"/>
      <c r="J64" s="175">
        <f>H64/DAY(B2)</f>
        <v>264.55555555555554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'26'!F65</f>
        <v>437595</v>
      </c>
      <c r="F65" s="122">
        <v>437691</v>
      </c>
      <c r="G65" s="112">
        <f t="shared" ref="G65:G70" si="6">F65-E65</f>
        <v>96</v>
      </c>
      <c r="H65" s="99">
        <f>G65+'26'!H65</f>
        <v>2768</v>
      </c>
      <c r="I65" s="118"/>
      <c r="J65" s="175">
        <f>H65/DAY(B2)</f>
        <v>102.51851851851852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'26'!F66</f>
        <v>108381</v>
      </c>
      <c r="F66" s="122">
        <v>108408</v>
      </c>
      <c r="G66" s="112">
        <f t="shared" si="6"/>
        <v>27</v>
      </c>
      <c r="H66" s="99">
        <f>G66+'26'!H66</f>
        <v>1110</v>
      </c>
      <c r="I66" s="118"/>
      <c r="J66" s="175">
        <f>H66/DAY(B2)</f>
        <v>41.111111111111114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'26'!F67</f>
        <v>106106</v>
      </c>
      <c r="F67" s="122">
        <v>106185</v>
      </c>
      <c r="G67" s="112">
        <f t="shared" si="6"/>
        <v>79</v>
      </c>
      <c r="H67" s="99">
        <f>G67+'26'!H67</f>
        <v>1537</v>
      </c>
      <c r="I67" s="118"/>
      <c r="J67" s="175">
        <f>H67/DAY(B2)</f>
        <v>56.925925925925924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'26'!F68</f>
        <v>158859</v>
      </c>
      <c r="F68" s="122">
        <v>158876</v>
      </c>
      <c r="G68" s="112">
        <f t="shared" si="6"/>
        <v>17</v>
      </c>
      <c r="H68" s="99">
        <f>G68+'26'!H68</f>
        <v>1199</v>
      </c>
      <c r="I68" s="118"/>
      <c r="J68" s="175">
        <f>H68/DAY(B2)</f>
        <v>44.407407407407405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'26'!F69</f>
        <v>10845</v>
      </c>
      <c r="F69" s="122">
        <v>10865</v>
      </c>
      <c r="G69" s="112">
        <f t="shared" si="6"/>
        <v>20</v>
      </c>
      <c r="H69" s="99">
        <f>G69+'26'!H69</f>
        <v>324</v>
      </c>
      <c r="I69" s="118"/>
      <c r="J69" s="175">
        <f>H69/DAY(B2)</f>
        <v>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'26'!F70</f>
        <v>8429</v>
      </c>
      <c r="F70" s="122">
        <v>8442</v>
      </c>
      <c r="G70" s="112">
        <f t="shared" si="6"/>
        <v>13</v>
      </c>
      <c r="H70" s="99">
        <f>G70+'26'!H70</f>
        <v>322</v>
      </c>
      <c r="I70" s="118"/>
      <c r="J70" s="175">
        <f>H70/DAY(B2)</f>
        <v>11.925925925925926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252</v>
      </c>
      <c r="H71" s="99">
        <f>G71+'26'!H71</f>
        <v>7260</v>
      </c>
      <c r="I71" s="154"/>
      <c r="J71" s="175">
        <f>H71/DAY(B2)</f>
        <v>268.88888888888891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'26'!F74</f>
        <v>909160</v>
      </c>
      <c r="F74" s="117">
        <v>909494</v>
      </c>
      <c r="G74" s="112">
        <f t="shared" ref="G74:G78" si="7">F74-E74</f>
        <v>334</v>
      </c>
      <c r="H74" s="99">
        <f>G74+'26'!H74</f>
        <v>8187.8510000000242</v>
      </c>
      <c r="I74" s="154"/>
      <c r="J74" s="175">
        <f>H74/DAY(B2)</f>
        <v>303.25374074074165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'26'!F76</f>
        <v>172835</v>
      </c>
      <c r="F76" s="123">
        <v>172925</v>
      </c>
      <c r="G76" s="112">
        <f t="shared" si="7"/>
        <v>90</v>
      </c>
      <c r="H76" s="99">
        <f>G76+'26'!H76</f>
        <v>2950</v>
      </c>
      <c r="I76" s="154"/>
      <c r="J76" s="175">
        <f>H76/DAY(B2)</f>
        <v>109.25925925925925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'26'!F77</f>
        <v>42518</v>
      </c>
      <c r="F77" s="123">
        <v>42563</v>
      </c>
      <c r="G77" s="112">
        <f t="shared" si="7"/>
        <v>45</v>
      </c>
      <c r="H77" s="99">
        <f>G77+'26'!H77</f>
        <v>1260.8000000000029</v>
      </c>
      <c r="I77" s="154"/>
      <c r="J77" s="175">
        <f>H77/DAY(B2)</f>
        <v>46.696296296296403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'26'!F78</f>
        <v>9550</v>
      </c>
      <c r="F78" s="123">
        <v>9551</v>
      </c>
      <c r="G78" s="112">
        <f t="shared" si="7"/>
        <v>1</v>
      </c>
      <c r="H78" s="99">
        <f>G78+'26'!H78</f>
        <v>38</v>
      </c>
      <c r="I78" s="118"/>
      <c r="J78" s="175">
        <f>H78/DAY(B2)</f>
        <v>1.4074074074074074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'26'!F79</f>
        <v>0</v>
      </c>
      <c r="F79" s="123"/>
      <c r="G79" s="112">
        <f>G15-SUM(G74:G78)</f>
        <v>627</v>
      </c>
      <c r="H79" s="99">
        <f>G79+'26'!H79</f>
        <v>16716.58199999998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1097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0.40000000000145519</v>
      </c>
      <c r="I84" s="118"/>
      <c r="J84" s="175">
        <f>H84/DAY(B2)</f>
        <v>1.4814814814868712E-2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'26'!F85</f>
        <v>2681</v>
      </c>
      <c r="F85" s="164">
        <v>2681</v>
      </c>
      <c r="G85" s="112">
        <f t="shared" si="8"/>
        <v>0</v>
      </c>
      <c r="H85" s="99">
        <f>G85+'26'!H85</f>
        <v>420.57999999999993</v>
      </c>
      <c r="I85" s="118">
        <f>G82+G83+G84+G85</f>
        <v>0</v>
      </c>
      <c r="J85" s="175">
        <f>H85/DAY(B2)</f>
        <v>15.577037037037034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'26'!F86</f>
        <v>43564</v>
      </c>
      <c r="F86" s="164">
        <v>43564</v>
      </c>
      <c r="G86" s="112">
        <f t="shared" si="8"/>
        <v>0</v>
      </c>
      <c r="H86" s="99">
        <f>G86+'26'!H86</f>
        <v>122</v>
      </c>
      <c r="I86" s="118"/>
      <c r="J86" s="175">
        <f>H86/DAY(B2)</f>
        <v>4.5185185185185182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'26'!F87</f>
        <v>34686</v>
      </c>
      <c r="F87" s="164">
        <v>34710</v>
      </c>
      <c r="G87" s="112">
        <f t="shared" si="8"/>
        <v>24</v>
      </c>
      <c r="H87" s="99">
        <f>G87+'26'!H87</f>
        <v>111.5</v>
      </c>
      <c r="I87" s="118"/>
      <c r="J87" s="175">
        <f>H87/DAY(B2)</f>
        <v>4.1296296296296298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'26'!F88</f>
        <v>24077.22</v>
      </c>
      <c r="F88" s="164">
        <v>24077.22</v>
      </c>
      <c r="G88" s="112">
        <f t="shared" si="8"/>
        <v>0</v>
      </c>
      <c r="H88" s="99">
        <f>G88+'26'!H88</f>
        <v>13.790000000000873</v>
      </c>
      <c r="I88" s="118">
        <f>G86+G87+G88</f>
        <v>24</v>
      </c>
      <c r="J88" s="175">
        <f>H88/DAY(B2)</f>
        <v>0.51074074074077302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'26'!F89</f>
        <v>26156.69</v>
      </c>
      <c r="F89" s="164">
        <v>26166.92</v>
      </c>
      <c r="G89" s="112">
        <f t="shared" si="8"/>
        <v>10.229999999999563</v>
      </c>
      <c r="H89" s="99">
        <f>G89+'26'!H89</f>
        <v>275.79999999999927</v>
      </c>
      <c r="I89" s="118"/>
      <c r="J89" s="175">
        <f>H89/DAY(B2)</f>
        <v>10.214814814814789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'26'!F90</f>
        <v>71296.63</v>
      </c>
      <c r="F90" s="164">
        <v>71303.759999999995</v>
      </c>
      <c r="G90" s="112">
        <f t="shared" si="8"/>
        <v>7.1299999999901047</v>
      </c>
      <c r="H90" s="99">
        <v>23</v>
      </c>
      <c r="I90" s="118">
        <f>G89+G90</f>
        <v>17.359999999989668</v>
      </c>
      <c r="J90" s="175">
        <f>H90/DAY(B2)</f>
        <v>0.85185185185185186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'26'!F91</f>
        <v>3542.8</v>
      </c>
      <c r="F91" s="122">
        <v>3555.07</v>
      </c>
      <c r="G91" s="112">
        <f t="shared" si="8"/>
        <v>12.269999999999982</v>
      </c>
      <c r="H91" s="99">
        <f>G91+'26'!H91</f>
        <v>303.98</v>
      </c>
      <c r="I91" s="165"/>
      <c r="J91" s="175">
        <f>H91/DAY(B2)</f>
        <v>11.258518518518519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'26'!F92</f>
        <v>5741</v>
      </c>
      <c r="F92" s="122">
        <v>5741</v>
      </c>
      <c r="G92" s="112">
        <f t="shared" si="8"/>
        <v>0</v>
      </c>
      <c r="H92" s="99">
        <f>G92+'26'!H92</f>
        <v>-6.9999999999708962E-2</v>
      </c>
      <c r="I92" s="165"/>
      <c r="J92" s="175">
        <f>H92/DAY(B2)</f>
        <v>-2.5925925925818134E-3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5017</v>
      </c>
      <c r="H94" s="99">
        <f>G94+'26'!H94</f>
        <v>135837.22999999998</v>
      </c>
      <c r="I94" s="118"/>
      <c r="J94" s="175">
        <f>H94/DAY(B2)</f>
        <v>5031.008518518518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0.26635166702059887</v>
      </c>
      <c r="H95" s="99">
        <f>G95+'26'!H95</f>
        <v>6.677529056101557</v>
      </c>
      <c r="I95" s="167"/>
      <c r="J95" s="175">
        <f>H95/DAY(B2)</f>
        <v>0.24731589096672432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2609</v>
      </c>
      <c r="H96" s="99">
        <f>G96+'26'!H96</f>
        <v>107386.87999999999</v>
      </c>
      <c r="I96" s="118"/>
      <c r="J96" s="175">
        <f>H96/DAY(B2)</f>
        <v>3977.2918518518513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0.13851136122318963</v>
      </c>
      <c r="H97" s="99">
        <f>G97+'26'!H97</f>
        <v>5.2675733396290694</v>
      </c>
      <c r="I97" s="167"/>
      <c r="J97" s="175">
        <f>H97/DAY(B2)</f>
        <v>0.19509530887515072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3029</v>
      </c>
      <c r="H98" s="99">
        <f>G98+'26'!H98</f>
        <v>81612.710000000006</v>
      </c>
      <c r="I98" s="168"/>
      <c r="J98" s="175">
        <f>H98/DAY(B2)</f>
        <v>3022.6929629629631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0.1608090889785517</v>
      </c>
      <c r="H99" s="99">
        <f>G99+'26'!H99</f>
        <v>4.0082737972475275</v>
      </c>
      <c r="I99" s="168"/>
      <c r="J99" s="175">
        <f>H99/DAY(B2)</f>
        <v>0.14845458508324175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2095</v>
      </c>
      <c r="H100" s="99">
        <f>G100+'26'!H100</f>
        <v>54480.57</v>
      </c>
      <c r="I100" s="118"/>
      <c r="J100" s="175">
        <f>H100/DAY(B2)</f>
        <v>2017.7988888888888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0.11122318963686557</v>
      </c>
      <c r="H101" s="99">
        <f>G101+'26'!H101</f>
        <v>2.6751280914221356</v>
      </c>
      <c r="I101" s="168"/>
      <c r="J101" s="175">
        <f>H101/DAY(B2)</f>
        <v>9.9078818200819832E-2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1769</v>
      </c>
      <c r="H102" s="99">
        <f>G102+'26'!H102</f>
        <v>58290.630000000005</v>
      </c>
      <c r="I102" s="168"/>
      <c r="J102" s="175">
        <f>H102/DAY(B2)</f>
        <v>2158.9122222222222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9.3915905712465497E-2</v>
      </c>
      <c r="H103" s="99">
        <f>G103+'26'!H103</f>
        <v>2.8567172422130001</v>
      </c>
      <c r="I103" s="118"/>
      <c r="J103" s="175">
        <f>H103/DAY(B2)</f>
        <v>0.10580434230418519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1620</v>
      </c>
      <c r="H104" s="99">
        <f>G104+'26'!H104</f>
        <v>45029.91</v>
      </c>
      <c r="I104" s="118"/>
      <c r="J104" s="175">
        <f>H104/DAY(B2)</f>
        <v>1667.7744444444445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8.6005521342110855E-2</v>
      </c>
      <c r="H105" s="99">
        <f>G105+'26'!H105</f>
        <v>2.2152580713071082</v>
      </c>
      <c r="I105" s="187"/>
      <c r="J105" s="188">
        <f>H105/DAY(B2)</f>
        <v>8.20465952335966E-2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'26'!F112</f>
        <v>59859</v>
      </c>
      <c r="F112" s="237">
        <v>59925</v>
      </c>
      <c r="G112" s="112">
        <f t="shared" ref="G112:G123" si="9">F112-E112</f>
        <v>66</v>
      </c>
      <c r="H112" s="99">
        <f>G112+'26'!H112</f>
        <v>1871</v>
      </c>
      <c r="I112" s="165"/>
      <c r="J112" s="328">
        <f>H112/DAY(B2)</f>
        <v>69.296296296296291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'26'!F113</f>
        <v>58595</v>
      </c>
      <c r="F113" s="237">
        <v>59053</v>
      </c>
      <c r="G113" s="112">
        <f t="shared" si="9"/>
        <v>458</v>
      </c>
      <c r="H113" s="99">
        <f>G113+'26'!H113</f>
        <v>12652.11</v>
      </c>
      <c r="I113" s="165"/>
      <c r="J113" s="328">
        <f>H113/DAY(B2)</f>
        <v>468.59666666666669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'26'!F114</f>
        <v>40939</v>
      </c>
      <c r="F114" s="237">
        <v>412203</v>
      </c>
      <c r="G114" s="112">
        <f t="shared" si="9"/>
        <v>371264</v>
      </c>
      <c r="H114" s="99">
        <f>G114+'26'!H114</f>
        <v>379043</v>
      </c>
      <c r="I114" s="165"/>
      <c r="J114" s="328">
        <f>H114/DAY(B2)</f>
        <v>14038.62962962963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'26'!F115</f>
        <v>9402</v>
      </c>
      <c r="F115" s="237">
        <v>9411</v>
      </c>
      <c r="G115" s="112">
        <f t="shared" si="9"/>
        <v>9</v>
      </c>
      <c r="H115" s="99">
        <f>G115+'26'!H115</f>
        <v>316.35000000000036</v>
      </c>
      <c r="I115" s="165"/>
      <c r="J115" s="328">
        <f>H115/DAY(B2)</f>
        <v>11.716666666666681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'26'!F116</f>
        <v>8358</v>
      </c>
      <c r="F116" s="237">
        <v>8718</v>
      </c>
      <c r="G116" s="112">
        <f t="shared" si="9"/>
        <v>360</v>
      </c>
      <c r="H116" s="99">
        <f>G116+'26'!H116</f>
        <v>8718</v>
      </c>
      <c r="I116" s="165"/>
      <c r="J116" s="328">
        <f>H116/DAY(B2)</f>
        <v>322.88888888888891</v>
      </c>
      <c r="Q116" s="871" t="s">
        <v>311</v>
      </c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'26'!F117</f>
        <v>7544</v>
      </c>
      <c r="F117" s="237">
        <v>7738</v>
      </c>
      <c r="G117" s="112">
        <f t="shared" si="9"/>
        <v>194</v>
      </c>
      <c r="H117" s="99">
        <f>G117+'26'!H117</f>
        <v>4400.05</v>
      </c>
      <c r="I117" s="165"/>
      <c r="J117" s="328">
        <f>H117/DAY(B2)</f>
        <v>162.96481481481482</v>
      </c>
      <c r="Q117" s="871" t="s">
        <v>312</v>
      </c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'26'!F118</f>
        <v>262676</v>
      </c>
      <c r="F118" s="237">
        <v>263121</v>
      </c>
      <c r="G118" s="112">
        <f t="shared" si="9"/>
        <v>445</v>
      </c>
      <c r="H118" s="99">
        <f>G118+'26'!H118</f>
        <v>10668.690000000002</v>
      </c>
      <c r="I118" s="165"/>
      <c r="J118" s="328">
        <f>H118/DAY(B2)</f>
        <v>395.13666666666677</v>
      </c>
      <c r="Q118" s="871" t="s">
        <v>311</v>
      </c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'26'!F119</f>
        <v>269272</v>
      </c>
      <c r="F119" s="237">
        <v>269683</v>
      </c>
      <c r="G119" s="112">
        <f t="shared" si="9"/>
        <v>411</v>
      </c>
      <c r="H119" s="99">
        <f>G119+'26'!H119</f>
        <v>11534.450000000012</v>
      </c>
      <c r="I119" s="165"/>
      <c r="J119" s="328">
        <f>H119/DAY(B2)</f>
        <v>427.20185185185227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'26'!F120</f>
        <v>54148</v>
      </c>
      <c r="F120" s="237">
        <v>54554</v>
      </c>
      <c r="G120" s="112">
        <f t="shared" si="9"/>
        <v>406</v>
      </c>
      <c r="H120" s="99">
        <f>G120+'26'!H120</f>
        <v>11594.39</v>
      </c>
      <c r="I120" s="165"/>
      <c r="J120" s="328">
        <f>H120/DAY(B2)</f>
        <v>429.42185185185184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'26'!F121</f>
        <v>417628</v>
      </c>
      <c r="F121" s="237">
        <v>418364</v>
      </c>
      <c r="G121" s="112">
        <f t="shared" si="9"/>
        <v>736</v>
      </c>
      <c r="H121" s="99">
        <f>G121+'26'!H121</f>
        <v>20329.570000000007</v>
      </c>
      <c r="I121" s="165"/>
      <c r="J121" s="328">
        <f>H121/DAY(B2)</f>
        <v>752.94703703703726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'26'!F122</f>
        <v>132035</v>
      </c>
      <c r="F122" s="237">
        <v>132212</v>
      </c>
      <c r="G122" s="112">
        <f t="shared" si="9"/>
        <v>177</v>
      </c>
      <c r="H122" s="99">
        <f>G122+'26'!H122</f>
        <v>6025.820000000007</v>
      </c>
      <c r="I122" s="165"/>
      <c r="J122" s="328">
        <f>H122/DAY(B2)</f>
        <v>223.17851851851879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'26'!F123</f>
        <v>160817</v>
      </c>
      <c r="F123" s="237">
        <v>161080</v>
      </c>
      <c r="G123" s="112">
        <f t="shared" si="9"/>
        <v>263</v>
      </c>
      <c r="H123" s="99">
        <f>G123+'26'!H123</f>
        <v>7033.0499999999884</v>
      </c>
      <c r="I123" s="165"/>
      <c r="J123" s="328">
        <f>H123/DAY(B2)</f>
        <v>260.48333333333289</v>
      </c>
    </row>
    <row r="124" spans="1:18" ht="29.25" customHeight="1" x14ac:dyDescent="0.5">
      <c r="A124" s="875"/>
      <c r="B124" s="876"/>
      <c r="C124" s="877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374789</v>
      </c>
      <c r="H125" s="156"/>
      <c r="I125" s="327">
        <f>G125-(G39+G53)</f>
        <v>371760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'26'!F128</f>
        <v>55975</v>
      </c>
      <c r="F128" s="155">
        <v>56274</v>
      </c>
      <c r="G128" s="112">
        <f t="shared" ref="G128:G134" si="10">F128-E128</f>
        <v>299</v>
      </c>
      <c r="H128" s="99">
        <f>G128+'26'!H128</f>
        <v>8528</v>
      </c>
      <c r="I128" s="165"/>
      <c r="J128" s="328">
        <f>H128/DAY(B2)</f>
        <v>315.85185185185185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'26'!F129</f>
        <v>32904</v>
      </c>
      <c r="F129" s="155">
        <v>33088</v>
      </c>
      <c r="G129" s="112">
        <f t="shared" si="10"/>
        <v>184</v>
      </c>
      <c r="H129" s="99">
        <f>G129+'26'!H129</f>
        <v>6177.130000000001</v>
      </c>
      <c r="I129" s="165"/>
      <c r="J129" s="328">
        <f>H129/DAY(B2)</f>
        <v>228.78259259259264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'26'!F130</f>
        <v>51968</v>
      </c>
      <c r="F130" s="155">
        <v>52624</v>
      </c>
      <c r="G130" s="112">
        <f t="shared" si="10"/>
        <v>656</v>
      </c>
      <c r="H130" s="99">
        <f>G130+'26'!H130</f>
        <v>16930</v>
      </c>
      <c r="I130" s="165"/>
      <c r="J130" s="328">
        <f>H130/DAY(B2)</f>
        <v>627.03703703703707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'26'!F131</f>
        <v>18457</v>
      </c>
      <c r="F131" s="155">
        <v>18575</v>
      </c>
      <c r="G131" s="112">
        <f t="shared" si="10"/>
        <v>118</v>
      </c>
      <c r="H131" s="99">
        <f>G131+'26'!H131</f>
        <v>3267.3199999999997</v>
      </c>
      <c r="I131" s="165"/>
      <c r="J131" s="328">
        <f>H131/DAY(B2)</f>
        <v>121.01185185185184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'26'!F132</f>
        <v>62218</v>
      </c>
      <c r="F132" s="155">
        <v>62566</v>
      </c>
      <c r="G132" s="112">
        <f t="shared" si="10"/>
        <v>348</v>
      </c>
      <c r="H132" s="99">
        <f>G132+'26'!H132</f>
        <v>10717.699999999997</v>
      </c>
      <c r="I132" s="165"/>
      <c r="J132" s="328">
        <f>H132/DAY(B2)</f>
        <v>396.95185185185176</v>
      </c>
    </row>
    <row r="133" spans="1:15" ht="27.75" x14ac:dyDescent="0.5">
      <c r="A133" s="871" t="s">
        <v>362</v>
      </c>
      <c r="B133" s="872"/>
      <c r="C133" s="873"/>
      <c r="D133" s="151" t="s">
        <v>183</v>
      </c>
      <c r="E133" s="95">
        <f>'26'!F133</f>
        <v>122035</v>
      </c>
      <c r="F133" s="155">
        <v>122682</v>
      </c>
      <c r="G133" s="112">
        <f t="shared" si="10"/>
        <v>647</v>
      </c>
      <c r="H133" s="99">
        <f>G133+'26'!H133</f>
        <v>17338.300000000003</v>
      </c>
      <c r="I133" s="165"/>
      <c r="J133" s="328">
        <f>H133/DAY(B2)</f>
        <v>642.15925925925933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'26'!F134</f>
        <v>13048</v>
      </c>
      <c r="F134" s="155">
        <v>13196</v>
      </c>
      <c r="G134" s="112">
        <f t="shared" si="10"/>
        <v>148</v>
      </c>
      <c r="H134" s="99">
        <f>G134+'26'!H134</f>
        <v>4594.7700000000004</v>
      </c>
      <c r="I134" s="165"/>
      <c r="J134" s="328">
        <f>H134/DAY(B2)</f>
        <v>170.17666666666668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2400</v>
      </c>
      <c r="H135" s="99">
        <f>G135+'23'!H135</f>
        <v>28426.3</v>
      </c>
      <c r="I135" s="327">
        <f>G135-(G35+G49)</f>
        <v>-416</v>
      </c>
      <c r="J135" s="328"/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'26'!F138</f>
        <v>868858</v>
      </c>
      <c r="F138" s="147">
        <v>869046</v>
      </c>
      <c r="G138" s="112">
        <f t="shared" ref="G138:G152" si="11">F138-E138</f>
        <v>188</v>
      </c>
      <c r="H138" s="99">
        <f>G138+'26'!H138</f>
        <v>2873</v>
      </c>
      <c r="I138" s="118"/>
      <c r="J138" s="328">
        <f>H138/DAY(B2)</f>
        <v>106.4074074074074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'26'!F139</f>
        <v>886698</v>
      </c>
      <c r="F139" s="148">
        <v>886698</v>
      </c>
      <c r="G139" s="112">
        <f t="shared" si="11"/>
        <v>0</v>
      </c>
      <c r="H139" s="99">
        <f>G139+'26'!H139</f>
        <v>125</v>
      </c>
      <c r="I139" s="118"/>
      <c r="J139" s="328">
        <f>H139/DAY(B2)</f>
        <v>4.6296296296296298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'26'!F140</f>
        <v>88955</v>
      </c>
      <c r="F140" s="149">
        <v>88955</v>
      </c>
      <c r="G140" s="112">
        <f t="shared" si="11"/>
        <v>0</v>
      </c>
      <c r="H140" s="99">
        <f>G140+'26'!H140</f>
        <v>33</v>
      </c>
      <c r="I140" s="118"/>
      <c r="J140" s="328">
        <f>H140/DAY(B2)</f>
        <v>1.2222222222222223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'26'!F141</f>
        <v>59336</v>
      </c>
      <c r="F141" s="149">
        <v>59525</v>
      </c>
      <c r="G141" s="112">
        <f t="shared" si="11"/>
        <v>189</v>
      </c>
      <c r="H141" s="99">
        <f>G141+'26'!H141</f>
        <v>4839.4199999999983</v>
      </c>
      <c r="I141" s="118"/>
      <c r="J141" s="328">
        <f>H141/DAY(B2)</f>
        <v>179.23777777777772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'26'!F142</f>
        <v>23053</v>
      </c>
      <c r="F142" s="148">
        <v>23121</v>
      </c>
      <c r="G142" s="112">
        <f t="shared" si="11"/>
        <v>68</v>
      </c>
      <c r="H142" s="99">
        <f>G142+'26'!H142</f>
        <v>1836.9000000000015</v>
      </c>
      <c r="I142" s="140"/>
      <c r="J142" s="328">
        <f>H142/DAY(B2)</f>
        <v>68.033333333333388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'26'!F143</f>
        <v>4561</v>
      </c>
      <c r="F143" s="149">
        <v>4588</v>
      </c>
      <c r="G143" s="112">
        <f t="shared" si="11"/>
        <v>27</v>
      </c>
      <c r="H143" s="99">
        <f>G143+'26'!H143</f>
        <v>752.61000000000013</v>
      </c>
      <c r="I143" s="140"/>
      <c r="J143" s="328">
        <f>H143/DAY(B2)</f>
        <v>27.87444444444445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'26'!F144</f>
        <v>882004</v>
      </c>
      <c r="F144" s="149">
        <v>882239</v>
      </c>
      <c r="G144" s="112">
        <f t="shared" si="11"/>
        <v>235</v>
      </c>
      <c r="H144" s="99">
        <f>G144+'26'!H144</f>
        <v>5752</v>
      </c>
      <c r="I144" s="140"/>
      <c r="J144" s="328">
        <f>H144/DAY(B2)</f>
        <v>213.03703703703704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'26'!F145</f>
        <v>5321</v>
      </c>
      <c r="F145" s="149">
        <v>5341</v>
      </c>
      <c r="G145" s="112">
        <f t="shared" si="11"/>
        <v>20</v>
      </c>
      <c r="H145" s="99">
        <f>G145+'26'!H145</f>
        <v>382.15999999999985</v>
      </c>
      <c r="I145" s="140"/>
      <c r="J145" s="328">
        <f>H145/DAY(B2)</f>
        <v>14.154074074074069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'26'!F146</f>
        <v>748959</v>
      </c>
      <c r="F146" s="148">
        <v>749410</v>
      </c>
      <c r="G146" s="112">
        <f t="shared" si="11"/>
        <v>451</v>
      </c>
      <c r="H146" s="99">
        <f>G146+'26'!H146</f>
        <v>12077</v>
      </c>
      <c r="I146" s="140"/>
      <c r="J146" s="328">
        <f>H146/DAY(B2)</f>
        <v>447.2962962962963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'26'!F147</f>
        <v>636867</v>
      </c>
      <c r="F147" s="148">
        <v>637220</v>
      </c>
      <c r="G147" s="112">
        <f t="shared" si="11"/>
        <v>353</v>
      </c>
      <c r="H147" s="99">
        <f>G147+'26'!H147</f>
        <v>10607.479999999981</v>
      </c>
      <c r="I147" s="140"/>
      <c r="J147" s="328">
        <f>H147/DAY(B2)</f>
        <v>392.86962962962895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'26'!F148</f>
        <v>697466</v>
      </c>
      <c r="F148" s="150">
        <v>697775</v>
      </c>
      <c r="G148" s="112">
        <f t="shared" si="11"/>
        <v>309</v>
      </c>
      <c r="H148" s="99">
        <f>G148+'26'!H148</f>
        <v>8332.0400000000373</v>
      </c>
      <c r="I148" s="124"/>
      <c r="J148" s="328">
        <f>H148/DAY(B2)</f>
        <v>308.59407407407548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'26'!F149</f>
        <v>40452</v>
      </c>
      <c r="F149" s="146">
        <v>41043</v>
      </c>
      <c r="G149" s="112">
        <f t="shared" si="11"/>
        <v>591</v>
      </c>
      <c r="H149" s="99">
        <f>G149+'26'!H149</f>
        <v>16364.8</v>
      </c>
      <c r="I149" s="119"/>
      <c r="J149" s="328">
        <f>H149/DAY(B2)</f>
        <v>606.10370370370367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'26'!F150</f>
        <v>16749</v>
      </c>
      <c r="F150" s="233">
        <v>16975</v>
      </c>
      <c r="G150" s="112">
        <f t="shared" si="11"/>
        <v>226</v>
      </c>
      <c r="H150" s="99">
        <f>G150+'26'!H150</f>
        <v>6124.17</v>
      </c>
      <c r="I150" s="119"/>
      <c r="J150" s="328">
        <f>H150/DAY(B2)</f>
        <v>226.82111111111112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'26'!F151</f>
        <v>91818</v>
      </c>
      <c r="F151" s="233">
        <v>92055</v>
      </c>
      <c r="G151" s="112">
        <f t="shared" si="11"/>
        <v>237</v>
      </c>
      <c r="H151" s="99">
        <f>G151+'26'!H151</f>
        <v>6575</v>
      </c>
      <c r="I151" s="119"/>
      <c r="J151" s="328">
        <f>H151/DAY(B2)</f>
        <v>243.5185185185185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'26'!F152</f>
        <v>3900</v>
      </c>
      <c r="F152" s="233">
        <v>4028</v>
      </c>
      <c r="G152" s="112">
        <f t="shared" si="11"/>
        <v>128</v>
      </c>
      <c r="H152" s="99">
        <f>G152+'26'!H152</f>
        <v>2368</v>
      </c>
      <c r="I152" s="119"/>
      <c r="J152" s="328">
        <f>H152/DAY(B2)</f>
        <v>87.703703703703709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3022</v>
      </c>
      <c r="H153" s="363"/>
      <c r="I153" s="119">
        <f>G153-(G38+G52)</f>
        <v>927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'26'!F155</f>
        <v>50430</v>
      </c>
      <c r="F155" s="471">
        <v>51095</v>
      </c>
      <c r="G155" s="112">
        <f t="shared" ref="G155:G158" si="12">F155-E155</f>
        <v>665</v>
      </c>
      <c r="H155" s="99">
        <f>G155+'26'!H155</f>
        <v>18150</v>
      </c>
      <c r="I155" s="364"/>
      <c r="J155" s="328">
        <f>H155/DAY(B2)</f>
        <v>672.22222222222217</v>
      </c>
    </row>
    <row r="156" spans="1:10" ht="27.75" x14ac:dyDescent="0.5">
      <c r="A156" s="851" t="s">
        <v>347</v>
      </c>
      <c r="B156" s="851"/>
      <c r="C156" s="851"/>
      <c r="D156" s="117" t="s">
        <v>130</v>
      </c>
      <c r="E156" s="95">
        <f>'26'!F156</f>
        <v>4142</v>
      </c>
      <c r="F156" s="155">
        <v>4188</v>
      </c>
      <c r="G156" s="112">
        <f t="shared" si="12"/>
        <v>46</v>
      </c>
      <c r="H156" s="99">
        <f>G156+'26'!H156</f>
        <v>1400</v>
      </c>
      <c r="I156" s="165"/>
      <c r="J156" s="328">
        <f>H156/DAY(B2)</f>
        <v>51.851851851851855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>
        <f>'26'!F157</f>
        <v>6934</v>
      </c>
      <c r="F157" s="155">
        <v>7013</v>
      </c>
      <c r="G157" s="112">
        <f t="shared" si="12"/>
        <v>79</v>
      </c>
      <c r="H157" s="99">
        <f>G157+'26'!H157</f>
        <v>821.54</v>
      </c>
      <c r="I157" s="165"/>
      <c r="J157" s="328">
        <f>H157/DAY(B2)</f>
        <v>30.427407407407404</v>
      </c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>
        <f>'26'!F158</f>
        <v>75.760000000000005</v>
      </c>
      <c r="F158" s="155">
        <v>75.760000000000005</v>
      </c>
      <c r="G158" s="112">
        <f t="shared" si="12"/>
        <v>0</v>
      </c>
      <c r="H158" s="99">
        <f>G158+'26'!H158</f>
        <v>1.5900000000000034</v>
      </c>
      <c r="I158" s="165"/>
      <c r="J158" s="328">
        <f>H158/DAY(B2)</f>
        <v>5.8888888888889018E-2</v>
      </c>
    </row>
    <row r="159" spans="1:10" ht="27.75" x14ac:dyDescent="0.5">
      <c r="A159" s="935"/>
      <c r="B159" s="936"/>
      <c r="C159" s="937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472807</v>
      </c>
      <c r="F161" s="235">
        <v>472824</v>
      </c>
      <c r="G161" s="238">
        <f t="shared" ref="G161:G165" si="13">F161-E161</f>
        <v>17</v>
      </c>
      <c r="H161" s="99">
        <f>G161+'26'!H161</f>
        <v>770.44000000000233</v>
      </c>
      <c r="I161" s="236"/>
      <c r="J161" s="239">
        <f>H161/DAY(B2)</f>
        <v>28.534814814814901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89470</v>
      </c>
      <c r="F162" s="235">
        <v>89487</v>
      </c>
      <c r="G162" s="238">
        <f t="shared" si="13"/>
        <v>17</v>
      </c>
      <c r="H162" s="99">
        <f>G162+'26'!H162</f>
        <v>970.60000000000582</v>
      </c>
      <c r="I162" s="236"/>
      <c r="J162" s="239">
        <f>H162/DAY(B2)</f>
        <v>35.948148148148363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81225</v>
      </c>
      <c r="F163" s="235">
        <v>81346</v>
      </c>
      <c r="G163" s="238">
        <f t="shared" si="13"/>
        <v>121</v>
      </c>
      <c r="H163" s="99">
        <f>G163+'26'!H163</f>
        <v>2125.8999999999942</v>
      </c>
      <c r="I163" s="236"/>
      <c r="J163" s="239">
        <f>H163/DAY(B2)</f>
        <v>78.737037037036828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4370</v>
      </c>
      <c r="F164" s="235">
        <v>4380</v>
      </c>
      <c r="G164" s="238">
        <f t="shared" si="13"/>
        <v>10</v>
      </c>
      <c r="H164" s="99">
        <f>G164+'26'!H164</f>
        <v>60</v>
      </c>
      <c r="I164" s="236"/>
      <c r="J164" s="239">
        <f>H164/DAY(B2)</f>
        <v>2.2222222222222223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30079</v>
      </c>
      <c r="F165" s="235">
        <v>30085</v>
      </c>
      <c r="G165" s="238">
        <f t="shared" si="13"/>
        <v>6</v>
      </c>
      <c r="H165" s="99">
        <f>G165+'26'!H165</f>
        <v>227.75</v>
      </c>
      <c r="I165" s="236"/>
      <c r="J165" s="239">
        <f>H165/DAY(B2)</f>
        <v>8.4351851851851851</v>
      </c>
    </row>
    <row r="166" spans="1:10" ht="29.25" x14ac:dyDescent="0.5">
      <c r="A166" s="860"/>
      <c r="B166" s="860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'26'!F173</f>
        <v>8187</v>
      </c>
      <c r="F173" s="155">
        <v>8190</v>
      </c>
      <c r="G173" s="155">
        <f>F173-E173</f>
        <v>3</v>
      </c>
      <c r="H173" s="99">
        <f>G173+'26'!H173</f>
        <v>64</v>
      </c>
      <c r="I173" s="155"/>
      <c r="J173" s="178">
        <f>H173/DAY(B2)</f>
        <v>2.3703703703703702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'26'!F174</f>
        <v>38987</v>
      </c>
      <c r="F174" s="157">
        <v>39002</v>
      </c>
      <c r="G174" s="155">
        <f t="shared" ref="G174:G175" si="14">F174-E174</f>
        <v>15</v>
      </c>
      <c r="H174" s="99">
        <f>G174+'26'!H174</f>
        <v>387</v>
      </c>
      <c r="I174" s="155"/>
      <c r="J174" s="178">
        <f>H174/DAY(B2)</f>
        <v>14.333333333333334</v>
      </c>
    </row>
    <row r="175" spans="1:10" ht="27.75" x14ac:dyDescent="0.5">
      <c r="A175" s="864" t="s">
        <v>76</v>
      </c>
      <c r="B175" s="904"/>
      <c r="C175" s="865"/>
      <c r="D175" s="228" t="s">
        <v>142</v>
      </c>
      <c r="E175" s="95">
        <f>'26'!F175</f>
        <v>22123</v>
      </c>
      <c r="F175" s="155">
        <v>22135</v>
      </c>
      <c r="G175" s="155">
        <f t="shared" si="14"/>
        <v>12</v>
      </c>
      <c r="H175" s="99">
        <f>G175+'26'!H175</f>
        <v>322</v>
      </c>
      <c r="I175" s="155"/>
      <c r="J175" s="178">
        <f>H175/DAY(B2)</f>
        <v>11.925925925925926</v>
      </c>
    </row>
    <row r="176" spans="1:10" ht="27.75" x14ac:dyDescent="0.5">
      <c r="A176" s="855" t="s">
        <v>196</v>
      </c>
      <c r="B176" s="856"/>
      <c r="C176" s="483"/>
      <c r="D176" s="228" t="s">
        <v>142</v>
      </c>
      <c r="E176" s="95"/>
      <c r="F176" s="155"/>
      <c r="G176" s="155">
        <f>SUM(G173:G175)</f>
        <v>30</v>
      </c>
      <c r="H176" s="99">
        <f>G176+'26'!H176</f>
        <v>773</v>
      </c>
      <c r="I176" s="155"/>
      <c r="J176" s="178">
        <f>H176/DAY(B2)</f>
        <v>28.62962962962963</v>
      </c>
    </row>
    <row r="177" spans="1:10" ht="27.75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864" t="s">
        <v>210</v>
      </c>
      <c r="B178" s="865"/>
      <c r="C178" s="333"/>
      <c r="D178" s="228" t="s">
        <v>142</v>
      </c>
      <c r="E178" s="95">
        <f>'26'!F178</f>
        <v>82829</v>
      </c>
      <c r="F178" s="155">
        <v>82883</v>
      </c>
      <c r="G178" s="155">
        <f>F178-E178</f>
        <v>54</v>
      </c>
      <c r="H178" s="99">
        <f>G178+'26'!H178</f>
        <v>1568</v>
      </c>
      <c r="I178" s="155"/>
      <c r="J178" s="178">
        <f>H178/DAY(B2)</f>
        <v>58.074074074074076</v>
      </c>
    </row>
    <row r="179" spans="1:10" ht="27.75" x14ac:dyDescent="0.5">
      <c r="A179" s="864" t="s">
        <v>211</v>
      </c>
      <c r="B179" s="865"/>
      <c r="C179" s="333"/>
      <c r="D179" s="228" t="s">
        <v>142</v>
      </c>
      <c r="E179" s="95">
        <f>'26'!F179</f>
        <v>35341</v>
      </c>
      <c r="F179" s="155">
        <v>35341</v>
      </c>
      <c r="G179" s="155">
        <f t="shared" ref="G179:G180" si="15">F179-E179</f>
        <v>0</v>
      </c>
      <c r="H179" s="99">
        <f>G179+'26'!H179</f>
        <v>6412</v>
      </c>
      <c r="I179" s="155"/>
      <c r="J179" s="178">
        <f>H179/DAY(B2)</f>
        <v>237.4814814814815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'26'!F180</f>
        <v>5873</v>
      </c>
      <c r="F180" s="155">
        <v>5877</v>
      </c>
      <c r="G180" s="155">
        <f t="shared" si="15"/>
        <v>4</v>
      </c>
      <c r="H180" s="99">
        <f>G180+'26'!H180</f>
        <v>175</v>
      </c>
      <c r="I180" s="155"/>
      <c r="J180" s="178">
        <f>H180/DAY(B2)</f>
        <v>6.4814814814814818</v>
      </c>
    </row>
    <row r="181" spans="1:10" ht="27.75" x14ac:dyDescent="0.5">
      <c r="A181" s="866" t="s">
        <v>108</v>
      </c>
      <c r="B181" s="867"/>
      <c r="C181" s="483"/>
      <c r="D181" s="228" t="s">
        <v>142</v>
      </c>
      <c r="E181" s="95"/>
      <c r="F181" s="155"/>
      <c r="G181" s="155">
        <f>SUM(G178:G180)</f>
        <v>58</v>
      </c>
      <c r="H181" s="99">
        <f>G181+'26'!H181</f>
        <v>8155</v>
      </c>
      <c r="I181" s="155"/>
      <c r="J181" s="178">
        <f>H181/DAY(B2)</f>
        <v>302.03703703703701</v>
      </c>
    </row>
    <row r="182" spans="1:10" ht="27.75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'26'!F183</f>
        <v>15712</v>
      </c>
      <c r="F183" s="157">
        <v>15735</v>
      </c>
      <c r="G183" s="157">
        <f>F183-E183</f>
        <v>23</v>
      </c>
      <c r="H183" s="99">
        <f>G183+'26'!H183</f>
        <v>390</v>
      </c>
      <c r="I183" s="155"/>
      <c r="J183" s="178">
        <f>H183/DAY(B2)</f>
        <v>14.444444444444445</v>
      </c>
    </row>
    <row r="184" spans="1:10" ht="27.75" x14ac:dyDescent="0.5">
      <c r="A184" s="864" t="s">
        <v>215</v>
      </c>
      <c r="B184" s="865"/>
      <c r="C184" s="334"/>
      <c r="D184" s="228" t="s">
        <v>142</v>
      </c>
      <c r="E184" s="95">
        <f>'26'!F184</f>
        <v>10792</v>
      </c>
      <c r="F184" s="157">
        <v>10806</v>
      </c>
      <c r="G184" s="157">
        <f t="shared" ref="G184:G185" si="16">F184-E184</f>
        <v>14</v>
      </c>
      <c r="H184" s="99">
        <f>G184+'26'!H184</f>
        <v>288</v>
      </c>
      <c r="I184" s="155"/>
      <c r="J184" s="178">
        <f>H184/DAY(B2)</f>
        <v>10.666666666666666</v>
      </c>
    </row>
    <row r="185" spans="1:10" ht="25.5" customHeight="1" x14ac:dyDescent="0.5">
      <c r="A185" s="864" t="s">
        <v>216</v>
      </c>
      <c r="B185" s="865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855" t="s">
        <v>196</v>
      </c>
      <c r="B186" s="856"/>
      <c r="C186" s="482"/>
      <c r="D186" s="228" t="s">
        <v>142</v>
      </c>
      <c r="E186" s="95"/>
      <c r="F186" s="157"/>
      <c r="G186" s="157">
        <f>SUM(G183:G185)</f>
        <v>37</v>
      </c>
      <c r="H186" s="99">
        <f>G186+'26'!H186</f>
        <v>678</v>
      </c>
      <c r="I186" s="157"/>
      <c r="J186" s="178">
        <f>H186/DAY(B2)</f>
        <v>25.111111111111111</v>
      </c>
    </row>
    <row r="187" spans="1:10" ht="27.75" x14ac:dyDescent="0.5">
      <c r="A187" s="857" t="s">
        <v>217</v>
      </c>
      <c r="B187" s="858"/>
      <c r="C187" s="333"/>
      <c r="D187" s="228" t="s">
        <v>142</v>
      </c>
      <c r="E187" s="95">
        <f>'26'!F187</f>
        <v>0</v>
      </c>
      <c r="F187" s="159"/>
      <c r="G187" s="460">
        <f>G62+G19</f>
        <v>208</v>
      </c>
      <c r="H187" s="99">
        <f>G187+'26'!H187</f>
        <v>5296</v>
      </c>
      <c r="I187" s="158"/>
      <c r="J187" s="179">
        <f>H187/DAY(B2)</f>
        <v>196.14814814814815</v>
      </c>
    </row>
    <row r="188" spans="1:10" ht="27.75" x14ac:dyDescent="0.5">
      <c r="A188" s="857" t="s">
        <v>218</v>
      </c>
      <c r="B188" s="858"/>
      <c r="C188" s="333"/>
      <c r="D188" s="228" t="s">
        <v>142</v>
      </c>
      <c r="E188" s="95">
        <f>'26'!F188</f>
        <v>0</v>
      </c>
      <c r="F188" s="159"/>
      <c r="G188" s="460">
        <f>G65+G66+G67+G69+G70</f>
        <v>235</v>
      </c>
      <c r="H188" s="99">
        <f>G188+'26'!H188</f>
        <v>3361</v>
      </c>
      <c r="I188" s="158"/>
      <c r="J188" s="179">
        <f>H188/DAY(B2)</f>
        <v>124.48148148148148</v>
      </c>
    </row>
    <row r="189" spans="1:10" ht="27.75" x14ac:dyDescent="0.5">
      <c r="A189" s="857" t="s">
        <v>219</v>
      </c>
      <c r="B189" s="858"/>
      <c r="C189" s="333"/>
      <c r="D189" s="230" t="s">
        <v>142</v>
      </c>
      <c r="E189" s="95">
        <f>'26'!F189</f>
        <v>0</v>
      </c>
      <c r="F189" s="157"/>
      <c r="G189" s="457">
        <f>G181</f>
        <v>58</v>
      </c>
      <c r="H189" s="99">
        <f>G189+'26'!H189</f>
        <v>6546</v>
      </c>
      <c r="I189" s="158"/>
      <c r="J189" s="179">
        <f>H189/DAY(B2)</f>
        <v>242.44444444444446</v>
      </c>
    </row>
    <row r="190" spans="1:10" ht="27.75" x14ac:dyDescent="0.5">
      <c r="A190" s="778"/>
      <c r="B190" s="779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303</v>
      </c>
      <c r="B2" s="262">
        <v>44589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200936</v>
      </c>
      <c r="F7" s="95">
        <f>E7+22000</f>
        <v>222936</v>
      </c>
      <c r="G7" s="112">
        <f>F7-E7+7214</f>
        <v>29214</v>
      </c>
      <c r="H7" s="99">
        <f>G7+'27'!H7</f>
        <v>579028.77</v>
      </c>
      <c r="I7" s="113">
        <f>'1'!I7</f>
        <v>12000</v>
      </c>
      <c r="J7" s="175">
        <f>H7/DAY(B2)</f>
        <v>20679.598928571428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262354</v>
      </c>
      <c r="F8" s="95">
        <f>E8+20000</f>
        <v>282354</v>
      </c>
      <c r="G8" s="115">
        <f>F8-E8</f>
        <v>20000</v>
      </c>
      <c r="H8" s="99">
        <f>G8+'27'!H8</f>
        <v>573832.44999999995</v>
      </c>
      <c r="I8" s="116"/>
      <c r="J8" s="175">
        <f>H8/DAY(B2)</f>
        <v>20494.01607142857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19800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702000</v>
      </c>
      <c r="F9" s="598">
        <v>237905</v>
      </c>
      <c r="G9" s="112">
        <f>F9-E9</f>
        <v>-464095</v>
      </c>
      <c r="H9" s="99">
        <f>G9+'27'!H9</f>
        <v>-44348.849999999977</v>
      </c>
      <c r="I9" s="124">
        <f>I7-J7</f>
        <v>-8679.5989285714277</v>
      </c>
      <c r="J9" s="175">
        <f>H9/DAY(B2)</f>
        <v>-1583.8874999999991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219840</v>
      </c>
      <c r="F10" s="353">
        <v>99061</v>
      </c>
      <c r="G10" s="112">
        <f t="shared" ref="G10:G12" si="0">F10-E10</f>
        <v>-120779</v>
      </c>
      <c r="H10" s="99">
        <f>G10+'27'!H10</f>
        <v>-6197.9700000000012</v>
      </c>
      <c r="I10" s="282"/>
      <c r="J10" s="175">
        <f>H10/DAY(B2)</f>
        <v>-221.35607142857148</v>
      </c>
      <c r="K10" s="79"/>
      <c r="L10" s="66"/>
      <c r="N10" s="87"/>
      <c r="O10" s="71">
        <f>F7-O8</f>
        <v>203136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37170</v>
      </c>
      <c r="G11" s="112">
        <f t="shared" si="0"/>
        <v>-390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40390</v>
      </c>
      <c r="F12" s="117">
        <v>40010</v>
      </c>
      <c r="G12" s="112">
        <f t="shared" si="0"/>
        <v>-380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9414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-585644</v>
      </c>
      <c r="H13" s="99">
        <f>G13+'27'!H13</f>
        <v>-67301.250000000058</v>
      </c>
      <c r="I13" s="120">
        <f>G7-G13</f>
        <v>614858</v>
      </c>
      <c r="J13" s="175">
        <f>H13/DAY(B2)</f>
        <v>-2403.6160714285734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'27'!F15</f>
        <v>1935790</v>
      </c>
      <c r="F15" s="598">
        <f>E15+1100</f>
        <v>1936890</v>
      </c>
      <c r="G15" s="112">
        <f>(F15-E15)</f>
        <v>1100</v>
      </c>
      <c r="H15" s="99">
        <f>G15+'27'!H15</f>
        <v>30253.233000000007</v>
      </c>
      <c r="I15" s="113">
        <f>'1'!I15</f>
        <v>800</v>
      </c>
      <c r="J15" s="175">
        <f>H15/DAY(B2)</f>
        <v>1080.4726071428574</v>
      </c>
      <c r="K15" s="79"/>
      <c r="L15" s="66"/>
      <c r="N15" s="87"/>
      <c r="O15" s="71">
        <f>G8-200</f>
        <v>19800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-280.47260714285744</v>
      </c>
      <c r="J16" s="176"/>
      <c r="K16" s="79"/>
      <c r="L16" s="66"/>
      <c r="N16" s="87"/>
      <c r="O16" s="71"/>
    </row>
    <row r="17" spans="1:16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892" t="s">
        <v>141</v>
      </c>
      <c r="B18" s="893"/>
      <c r="C18" s="894"/>
      <c r="D18" s="151" t="s">
        <v>142</v>
      </c>
      <c r="E18" s="95">
        <f>'27'!F18</f>
        <v>25</v>
      </c>
      <c r="F18" s="122">
        <v>4</v>
      </c>
      <c r="G18" s="119">
        <f>F18*10</f>
        <v>40</v>
      </c>
      <c r="H18" s="99">
        <f>G18+'27'!H18</f>
        <v>6230</v>
      </c>
      <c r="I18" s="113">
        <f>'1'!I18</f>
        <v>65</v>
      </c>
      <c r="J18" s="175">
        <f>H18/DAY(B2)</f>
        <v>222.5</v>
      </c>
      <c r="K18" s="79"/>
      <c r="L18" s="66"/>
      <c r="N18" s="87"/>
      <c r="O18" s="71"/>
    </row>
    <row r="19" spans="1:16" ht="27.75" x14ac:dyDescent="0.5">
      <c r="A19" s="892" t="s">
        <v>69</v>
      </c>
      <c r="B19" s="893"/>
      <c r="C19" s="894"/>
      <c r="D19" s="151" t="s">
        <v>142</v>
      </c>
      <c r="E19" s="95">
        <f>'27'!F19</f>
        <v>155337</v>
      </c>
      <c r="F19" s="122">
        <v>153727</v>
      </c>
      <c r="G19" s="112">
        <f t="shared" ref="G19" si="1">F19-E19</f>
        <v>-1610</v>
      </c>
      <c r="H19" s="99">
        <f>G19+'27'!H19</f>
        <v>-164</v>
      </c>
      <c r="I19" s="335"/>
      <c r="J19" s="175">
        <f>H19/DAY(B2)</f>
        <v>-5.8571428571428568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-1570</v>
      </c>
      <c r="H20" s="99">
        <f>G20+'27'!H20</f>
        <v>6066</v>
      </c>
      <c r="I20" s="336">
        <f>I18-J20</f>
        <v>-151.64285714285714</v>
      </c>
      <c r="J20" s="175">
        <f>H20/DAY(B2)</f>
        <v>216.64285714285714</v>
      </c>
      <c r="K20" s="79"/>
      <c r="L20" s="66"/>
      <c r="N20" s="87"/>
      <c r="O20" s="71"/>
    </row>
    <row r="21" spans="1:16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'27'!F23</f>
        <v>920</v>
      </c>
      <c r="F23" s="122">
        <v>2000</v>
      </c>
      <c r="G23" s="119">
        <v>0</v>
      </c>
      <c r="H23" s="99">
        <f>G23+'27'!H23</f>
        <v>-1080</v>
      </c>
      <c r="I23" s="118"/>
      <c r="J23" s="175">
        <f>H23/DAY(B2)</f>
        <v>-38.571428571428569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3890</v>
      </c>
      <c r="F24" s="128">
        <v>4970</v>
      </c>
      <c r="G24" s="119">
        <v>0</v>
      </c>
      <c r="H24" s="99">
        <f>G24+'27'!H24</f>
        <v>-1080</v>
      </c>
      <c r="I24" s="118"/>
      <c r="J24" s="175">
        <f>H24/DAY(B2)</f>
        <v>-38.571428571428569</v>
      </c>
      <c r="K24" s="79"/>
      <c r="L24" s="66"/>
      <c r="N24" s="87"/>
      <c r="O24" s="71"/>
    </row>
    <row r="25" spans="1:16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20000</v>
      </c>
      <c r="F27" s="136">
        <v>9</v>
      </c>
      <c r="G27" s="137">
        <f>E27*F27</f>
        <v>180000</v>
      </c>
      <c r="H27" s="99">
        <f>G27+'27'!H27</f>
        <v>5157877.0500000007</v>
      </c>
      <c r="I27" s="138"/>
      <c r="J27" s="175">
        <f>H27/DAY(B2)</f>
        <v>184209.89464285717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70.849999999999994</v>
      </c>
      <c r="G28" s="137">
        <f>E28*F28</f>
        <v>77935</v>
      </c>
      <c r="H28" s="99">
        <f>G28+'27'!H28</f>
        <v>1696305.1160000004</v>
      </c>
      <c r="I28" s="140"/>
      <c r="J28" s="175">
        <f>H28/DAY(B2)</f>
        <v>60582.325571428584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-74520</v>
      </c>
      <c r="I29" s="140"/>
      <c r="J29" s="175">
        <f>H29/DAY(B2)</f>
        <v>-2661.4285714285716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-1610</v>
      </c>
      <c r="F30" s="136">
        <v>151.53</v>
      </c>
      <c r="G30" s="137">
        <f>E30*F30</f>
        <v>-243963.3</v>
      </c>
      <c r="H30" s="99">
        <f>G30+'27'!H30</f>
        <v>-31417.299999999988</v>
      </c>
      <c r="I30" s="140"/>
      <c r="J30" s="175">
        <f>H30/DAY(B2)</f>
        <v>-1122.0464285714281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40</v>
      </c>
      <c r="F31" s="136">
        <v>80</v>
      </c>
      <c r="G31" s="137">
        <f>E31*F31</f>
        <v>3200</v>
      </c>
      <c r="H31" s="99">
        <f>G31+'27'!H31</f>
        <v>498400</v>
      </c>
      <c r="I31" s="140"/>
      <c r="J31" s="175">
        <f>H31/DAY(B2)</f>
        <v>17800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17171.700000000012</v>
      </c>
      <c r="H32" s="99">
        <f>G32+'27'!H32</f>
        <v>7246644.8660000013</v>
      </c>
      <c r="I32" s="144"/>
      <c r="J32" s="175">
        <f>H32/DAY(B2)</f>
        <v>258808.74521428577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72893</v>
      </c>
      <c r="F35" s="145">
        <v>28354</v>
      </c>
      <c r="G35" s="112">
        <f t="shared" ref="G35:G46" si="3">F35-E35</f>
        <v>-44539</v>
      </c>
      <c r="H35" s="99">
        <f>G35+'27'!H35</f>
        <v>-3650.9799999999959</v>
      </c>
      <c r="I35" s="95"/>
      <c r="J35" s="175">
        <f>H35/DAY(B2)</f>
        <v>-130.39214285714272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69406</v>
      </c>
      <c r="F36" s="145">
        <v>41279</v>
      </c>
      <c r="G36" s="112">
        <f t="shared" si="3"/>
        <v>-28127</v>
      </c>
      <c r="H36" s="99">
        <f>G36+'27'!H36</f>
        <v>-2179.739999999998</v>
      </c>
      <c r="I36" s="95"/>
      <c r="J36" s="175">
        <f>H36/DAY(B2)</f>
        <v>-77.847857142857066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80379</v>
      </c>
      <c r="F37" s="145">
        <v>30673</v>
      </c>
      <c r="G37" s="112">
        <f t="shared" si="3"/>
        <v>-49706</v>
      </c>
      <c r="H37" s="99">
        <f>G37+'27'!H37</f>
        <v>-4752.0899999999965</v>
      </c>
      <c r="I37" s="95"/>
      <c r="J37" s="175">
        <f>H37/DAY(B2)</f>
        <v>-169.71749999999989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92847</v>
      </c>
      <c r="F38" s="108">
        <v>33370</v>
      </c>
      <c r="G38" s="112">
        <f t="shared" si="3"/>
        <v>-59477</v>
      </c>
      <c r="H38" s="99">
        <f>G38+'27'!H38</f>
        <v>-5006.43</v>
      </c>
      <c r="I38" s="95"/>
      <c r="J38" s="175">
        <f>H38/DAY(B2)</f>
        <v>-178.80107142857145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140786</v>
      </c>
      <c r="F39" s="145">
        <v>51302</v>
      </c>
      <c r="G39" s="112">
        <f t="shared" si="3"/>
        <v>-89484</v>
      </c>
      <c r="H39" s="99">
        <f>G39+'27'!H39</f>
        <v>-7871.2899999999936</v>
      </c>
      <c r="I39" s="95"/>
      <c r="J39" s="175">
        <f>H39/DAY(B2)</f>
        <v>-281.11749999999978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32110</v>
      </c>
      <c r="F40" s="145">
        <v>18927</v>
      </c>
      <c r="G40" s="112">
        <f t="shared" si="3"/>
        <v>-13183</v>
      </c>
      <c r="H40" s="99">
        <f>G40+'27'!H40</f>
        <v>-3189.9900000000016</v>
      </c>
      <c r="I40" s="95"/>
      <c r="J40" s="175">
        <f>H40/DAY(B2)</f>
        <v>-113.92821428571435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63</v>
      </c>
      <c r="F41" s="145">
        <v>0</v>
      </c>
      <c r="G41" s="112">
        <f t="shared" si="3"/>
        <v>-63</v>
      </c>
      <c r="H41" s="99">
        <f>G41+'27'!H41</f>
        <v>-62.73</v>
      </c>
      <c r="I41" s="95"/>
      <c r="J41" s="175">
        <f>H41/DAY(B2)</f>
        <v>-2.2403571428571429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177135</v>
      </c>
      <c r="F42" s="145">
        <v>88355</v>
      </c>
      <c r="G42" s="112">
        <f t="shared" si="3"/>
        <v>-88780</v>
      </c>
      <c r="H42" s="99">
        <f>G42+'27'!H42</f>
        <v>-11774.740000000005</v>
      </c>
      <c r="I42" s="95"/>
      <c r="J42" s="175">
        <f>H42/DAY(B2)</f>
        <v>-420.52642857142877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172157</v>
      </c>
      <c r="F43" s="145">
        <v>109003</v>
      </c>
      <c r="G43" s="112">
        <f t="shared" si="3"/>
        <v>-63154</v>
      </c>
      <c r="H43" s="99">
        <f>G43+'27'!H43</f>
        <v>-5848.6000000000058</v>
      </c>
      <c r="I43" s="95"/>
      <c r="J43" s="175">
        <f>H43/DAY(B2)</f>
        <v>-208.87857142857163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-436513</v>
      </c>
      <c r="H47" s="99">
        <f>G47+'27'!H47</f>
        <v>-44336.589999999909</v>
      </c>
      <c r="I47" s="95"/>
      <c r="J47" s="175">
        <f>H47/DAY(B2)</f>
        <v>-1583.4496428571397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62640</v>
      </c>
      <c r="F49" s="145">
        <v>22352</v>
      </c>
      <c r="G49" s="112">
        <f t="shared" ref="G49:G58" si="4">F49-E49</f>
        <v>-40288</v>
      </c>
      <c r="H49" s="99">
        <f>G49+'27'!H49</f>
        <v>-2644.1900000000023</v>
      </c>
      <c r="I49" s="95"/>
      <c r="J49" s="175">
        <f>H49/DAY(B2)</f>
        <v>-94.435357142857228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88730</v>
      </c>
      <c r="F50" s="145">
        <v>53282</v>
      </c>
      <c r="G50" s="112">
        <f t="shared" si="4"/>
        <v>-35448</v>
      </c>
      <c r="H50" s="99">
        <f>G50+'27'!H50</f>
        <v>-3104.6299999999974</v>
      </c>
      <c r="I50" s="95"/>
      <c r="J50" s="175">
        <f>H50/DAY(B2)</f>
        <v>-110.87964285714277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76</v>
      </c>
      <c r="F51" s="145">
        <v>0</v>
      </c>
      <c r="G51" s="112">
        <f t="shared" si="4"/>
        <v>-76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0</v>
      </c>
      <c r="G52" s="112">
        <f t="shared" si="4"/>
        <v>-10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18755</v>
      </c>
      <c r="F54" s="145">
        <v>5147</v>
      </c>
      <c r="G54" s="112">
        <f t="shared" si="4"/>
        <v>-13608</v>
      </c>
      <c r="H54" s="99">
        <f>G54+'27'!H54</f>
        <v>-0.42000000000007276</v>
      </c>
      <c r="I54" s="95"/>
      <c r="J54" s="175">
        <f>H54/DAY(B2)</f>
        <v>-1.5000000000002598E-2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90579</v>
      </c>
      <c r="F55" s="145">
        <v>74366</v>
      </c>
      <c r="G55" s="112">
        <f t="shared" si="4"/>
        <v>-16213</v>
      </c>
      <c r="H55" s="99">
        <f>G55+'27'!H55</f>
        <v>-0.11000000000058208</v>
      </c>
      <c r="I55" s="95"/>
      <c r="J55" s="175">
        <f>H55/DAY(B2)</f>
        <v>-3.9285714285922169E-3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22779</v>
      </c>
      <c r="F56" s="145">
        <v>8610.5400000000009</v>
      </c>
      <c r="G56" s="112">
        <f t="shared" si="4"/>
        <v>-14168.46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10712</v>
      </c>
      <c r="F58" s="145">
        <v>4198</v>
      </c>
      <c r="G58" s="112">
        <f t="shared" si="4"/>
        <v>-6514</v>
      </c>
      <c r="H58" s="99">
        <f>G58+'27'!H58</f>
        <v>-598.21</v>
      </c>
      <c r="I58" s="95"/>
      <c r="J58" s="175">
        <f>H58/DAY(B2)</f>
        <v>-21.364642857142858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-126325.45999999999</v>
      </c>
      <c r="H59" s="99">
        <f>G59+'27'!H59</f>
        <v>-6347.5599999999977</v>
      </c>
      <c r="I59" s="95">
        <f>G7-G60</f>
        <v>592052.46</v>
      </c>
      <c r="J59" s="175">
        <f>H59/DAY(B2)</f>
        <v>-226.69857142857134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-562838.46</v>
      </c>
      <c r="H60" s="99">
        <f>G60+'27'!H60</f>
        <v>-50684.149999999907</v>
      </c>
      <c r="I60" s="95">
        <f>G13-G60</f>
        <v>-22805.540000000037</v>
      </c>
      <c r="J60" s="175">
        <f>H60/DAY(B2)</f>
        <v>-1810.148214285711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'27'!F62</f>
        <v>273366</v>
      </c>
      <c r="F62" s="122">
        <v>269217</v>
      </c>
      <c r="G62" s="112">
        <f t="shared" ref="G62:G63" si="5">F62-E62</f>
        <v>-4149</v>
      </c>
      <c r="H62" s="99">
        <f>G62+'27'!H62</f>
        <v>-299</v>
      </c>
      <c r="I62" s="118"/>
      <c r="J62" s="175">
        <f>H62/DAY(B2)</f>
        <v>-10.678571428571429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'27'!F63</f>
        <v>219090</v>
      </c>
      <c r="F63" s="122">
        <v>215418</v>
      </c>
      <c r="G63" s="112">
        <f t="shared" si="5"/>
        <v>-3672</v>
      </c>
      <c r="H63" s="99">
        <f>G63+'27'!H63</f>
        <v>-379</v>
      </c>
      <c r="I63" s="118"/>
      <c r="J63" s="175">
        <f>H63/DAY(B2)</f>
        <v>-13.535714285714286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'27'!F64</f>
        <v>0</v>
      </c>
      <c r="F64" s="122"/>
      <c r="G64" s="112">
        <f>G62+G63</f>
        <v>-7821</v>
      </c>
      <c r="H64" s="99">
        <f>G64+'27'!H64</f>
        <v>-678</v>
      </c>
      <c r="I64" s="118"/>
      <c r="J64" s="175">
        <f>H64/DAY(B2)</f>
        <v>-24.214285714285715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'27'!F65</f>
        <v>437691</v>
      </c>
      <c r="F65" s="122">
        <v>434685</v>
      </c>
      <c r="G65" s="112">
        <f t="shared" ref="G65:G70" si="6">F65-E65</f>
        <v>-3006</v>
      </c>
      <c r="H65" s="99">
        <f>G65+'27'!H65</f>
        <v>-238</v>
      </c>
      <c r="I65" s="118"/>
      <c r="J65" s="175">
        <f>H65/DAY(B2)</f>
        <v>-8.5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'27'!F66</f>
        <v>108408</v>
      </c>
      <c r="F66" s="122">
        <v>107679</v>
      </c>
      <c r="G66" s="112">
        <f t="shared" si="6"/>
        <v>-729</v>
      </c>
      <c r="H66" s="99">
        <f>G66+'27'!H66</f>
        <v>381</v>
      </c>
      <c r="I66" s="118"/>
      <c r="J66" s="175">
        <f>H66/DAY(B2)</f>
        <v>13.607142857142858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'27'!F67</f>
        <v>106185</v>
      </c>
      <c r="F67" s="122">
        <v>104571</v>
      </c>
      <c r="G67" s="112">
        <f t="shared" si="6"/>
        <v>-1614</v>
      </c>
      <c r="H67" s="99">
        <f>G67+'27'!H67</f>
        <v>-77</v>
      </c>
      <c r="I67" s="118"/>
      <c r="J67" s="175">
        <f>H67/DAY(B2)</f>
        <v>-2.75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'27'!F68</f>
        <v>158876</v>
      </c>
      <c r="F68" s="122">
        <v>157595</v>
      </c>
      <c r="G68" s="112">
        <f t="shared" si="6"/>
        <v>-1281</v>
      </c>
      <c r="H68" s="99">
        <f>G68+'27'!H68</f>
        <v>-82</v>
      </c>
      <c r="I68" s="118"/>
      <c r="J68" s="175">
        <f>H68/DAY(B2)</f>
        <v>-2.9285714285714284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'27'!F69</f>
        <v>10865</v>
      </c>
      <c r="F69" s="122">
        <v>10517</v>
      </c>
      <c r="G69" s="112">
        <f t="shared" si="6"/>
        <v>-348</v>
      </c>
      <c r="H69" s="99">
        <f>G69+'27'!H69</f>
        <v>-24</v>
      </c>
      <c r="I69" s="118"/>
      <c r="J69" s="175">
        <f>H69/DAY(B2)</f>
        <v>-0.8571428571428571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'27'!F70</f>
        <v>8442</v>
      </c>
      <c r="F70" s="122">
        <v>8075</v>
      </c>
      <c r="G70" s="112">
        <f t="shared" si="6"/>
        <v>-367</v>
      </c>
      <c r="H70" s="99">
        <f>G70+'27'!H70</f>
        <v>-45</v>
      </c>
      <c r="I70" s="118"/>
      <c r="J70" s="175">
        <f>H70/DAY(B2)</f>
        <v>-1.6071428571428572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-7345</v>
      </c>
      <c r="H71" s="99">
        <f>G71+'27'!H71</f>
        <v>-85</v>
      </c>
      <c r="I71" s="154"/>
      <c r="J71" s="175">
        <f>H71/DAY(B2)</f>
        <v>-3.0357142857142856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'27'!F74</f>
        <v>909494</v>
      </c>
      <c r="F74" s="117">
        <v>900401</v>
      </c>
      <c r="G74" s="112">
        <f t="shared" ref="G74:G78" si="7">F74-E74</f>
        <v>-9093</v>
      </c>
      <c r="H74" s="99">
        <f>G74+'27'!H74</f>
        <v>-905.14899999997579</v>
      </c>
      <c r="I74" s="154"/>
      <c r="J74" s="175">
        <f>H74/DAY(B2)</f>
        <v>-32.326749999999137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'27'!F76</f>
        <v>172925</v>
      </c>
      <c r="F76" s="123">
        <v>169707</v>
      </c>
      <c r="G76" s="112">
        <f t="shared" si="7"/>
        <v>-3218</v>
      </c>
      <c r="H76" s="99">
        <f>G76+'27'!H76</f>
        <v>-268</v>
      </c>
      <c r="I76" s="154"/>
      <c r="J76" s="175">
        <f>H76/DAY(B2)</f>
        <v>-9.5714285714285712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'27'!F77</f>
        <v>42563</v>
      </c>
      <c r="F77" s="123">
        <v>41193</v>
      </c>
      <c r="G77" s="112">
        <f t="shared" si="7"/>
        <v>-1370</v>
      </c>
      <c r="H77" s="99">
        <f>G77+'27'!H77</f>
        <v>-109.19999999999709</v>
      </c>
      <c r="I77" s="154"/>
      <c r="J77" s="175">
        <f>H77/DAY(B2)</f>
        <v>-3.899999999999896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'27'!F78</f>
        <v>9551</v>
      </c>
      <c r="F78" s="123">
        <v>9511</v>
      </c>
      <c r="G78" s="112">
        <f t="shared" si="7"/>
        <v>-40</v>
      </c>
      <c r="H78" s="99">
        <f>G78+'27'!H78</f>
        <v>-2</v>
      </c>
      <c r="I78" s="118"/>
      <c r="J78" s="175">
        <f>H78/DAY(B2)</f>
        <v>-7.1428571428571425E-2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'27'!F79</f>
        <v>0</v>
      </c>
      <c r="F79" s="123"/>
      <c r="G79" s="112">
        <f>G15-SUM(G74:G78)</f>
        <v>14821</v>
      </c>
      <c r="H79" s="99">
        <f>G79+'27'!H79</f>
        <v>31537.58199999998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41675.4</v>
      </c>
      <c r="G84" s="112">
        <f t="shared" si="8"/>
        <v>0</v>
      </c>
      <c r="H84" s="99">
        <f>G84+'27'!H84</f>
        <v>0.40000000000145519</v>
      </c>
      <c r="I84" s="118"/>
      <c r="J84" s="175">
        <f>H84/DAY(B2)</f>
        <v>1.4285714285766258E-2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488">
        <f>'27'!F85</f>
        <v>2681</v>
      </c>
      <c r="F85" s="164">
        <v>2190</v>
      </c>
      <c r="G85" s="236">
        <f t="shared" si="8"/>
        <v>-491</v>
      </c>
      <c r="H85" s="99">
        <f>G85+'27'!H85</f>
        <v>-70.420000000000073</v>
      </c>
      <c r="I85" s="118">
        <f>G82+G83+G84+G85</f>
        <v>-491</v>
      </c>
      <c r="J85" s="175">
        <f>H85/DAY(B2)</f>
        <v>-2.5150000000000028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'27'!F86</f>
        <v>43564</v>
      </c>
      <c r="F86" s="164">
        <v>43442</v>
      </c>
      <c r="G86" s="112">
        <f t="shared" si="8"/>
        <v>-122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'27'!F87</f>
        <v>34710</v>
      </c>
      <c r="F87" s="164">
        <v>34598.550000000003</v>
      </c>
      <c r="G87" s="112">
        <f t="shared" si="8"/>
        <v>-111.44999999999709</v>
      </c>
      <c r="H87" s="99">
        <f>G87+'27'!H87</f>
        <v>5.0000000002910383E-2</v>
      </c>
      <c r="I87" s="118"/>
      <c r="J87" s="175">
        <f>H87/DAY(B2)</f>
        <v>1.7857142858182279E-3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'27'!F88</f>
        <v>24077.22</v>
      </c>
      <c r="F88" s="164">
        <v>24063.43</v>
      </c>
      <c r="G88" s="112">
        <f t="shared" si="8"/>
        <v>-13.790000000000873</v>
      </c>
      <c r="H88" s="99">
        <f>G88+'27'!H88</f>
        <v>0</v>
      </c>
      <c r="I88" s="118">
        <f>G86+G87+G88</f>
        <v>-247.23999999999796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'27'!F89</f>
        <v>26166.92</v>
      </c>
      <c r="F89" s="164">
        <v>25862.68</v>
      </c>
      <c r="G89" s="112">
        <f t="shared" si="8"/>
        <v>-304.23999999999796</v>
      </c>
      <c r="H89" s="99">
        <f>G89+'27'!H89</f>
        <v>-28.43999999999869</v>
      </c>
      <c r="I89" s="118"/>
      <c r="J89" s="175">
        <f>H89/DAY(B2)</f>
        <v>-1.0157142857142389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'27'!F90</f>
        <v>71303.759999999995</v>
      </c>
      <c r="F90" s="164">
        <v>71158.149999999994</v>
      </c>
      <c r="G90" s="112">
        <f t="shared" si="8"/>
        <v>-145.61000000000058</v>
      </c>
      <c r="H90" s="99">
        <f>G90+'27'!H90</f>
        <v>-122.61000000000058</v>
      </c>
      <c r="I90" s="118">
        <f>G89+G90</f>
        <v>-449.84999999999854</v>
      </c>
      <c r="J90" s="175">
        <f>H90/DAY(B2)</f>
        <v>-4.3789285714285926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'27'!F91</f>
        <v>3555.07</v>
      </c>
      <c r="F91" s="122">
        <v>3226</v>
      </c>
      <c r="G91" s="112">
        <v>0</v>
      </c>
      <c r="H91" s="99">
        <f>G91+'27'!H91</f>
        <v>303.98</v>
      </c>
      <c r="I91" s="165"/>
      <c r="J91" s="175">
        <f>H91/DAY(B2)</f>
        <v>10.856428571428571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'27'!F92</f>
        <v>5741</v>
      </c>
      <c r="F92" s="122">
        <v>5732.08</v>
      </c>
      <c r="G92" s="112">
        <f t="shared" si="8"/>
        <v>-8.9200000000000728</v>
      </c>
      <c r="H92" s="99">
        <f>G92+'27'!H92</f>
        <v>-8.9899999999997817</v>
      </c>
      <c r="I92" s="165"/>
      <c r="J92" s="175">
        <f>H92/DAY(B2)</f>
        <v>-0.32107142857142079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-147981</v>
      </c>
      <c r="H94" s="99">
        <f>G94+'27'!H94</f>
        <v>-12143.770000000019</v>
      </c>
      <c r="I94" s="118"/>
      <c r="J94" s="175">
        <f>H94/DAY(B2)</f>
        <v>-433.7060714285721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-5.0654138426781676</v>
      </c>
      <c r="H95" s="99">
        <f>G95+'27'!H95</f>
        <v>1.6121152134233894</v>
      </c>
      <c r="I95" s="167"/>
      <c r="J95" s="175">
        <f>H95/DAY(B2)</f>
        <v>5.7575543336549621E-2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-119224.45999999999</v>
      </c>
      <c r="H96" s="99">
        <f>G96+'27'!H96</f>
        <v>-11837.580000000002</v>
      </c>
      <c r="I96" s="118"/>
      <c r="J96" s="175">
        <f>H96/DAY(B2)</f>
        <v>-422.77071428571435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-4.0810727733278558</v>
      </c>
      <c r="H97" s="99">
        <f>G97+'27'!H97</f>
        <v>1.1865005663012136</v>
      </c>
      <c r="I97" s="167"/>
      <c r="J97" s="175">
        <f>H97/DAY(B2)</f>
        <v>4.2375020225043344E-2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-89484</v>
      </c>
      <c r="H98" s="99">
        <f>G98+'27'!H98</f>
        <v>-7871.2899999999936</v>
      </c>
      <c r="I98" s="168"/>
      <c r="J98" s="175">
        <f>H98/DAY(B2)</f>
        <v>-281.11749999999978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-3.0630519613883753</v>
      </c>
      <c r="H99" s="99">
        <f>G99+'27'!H99</f>
        <v>0.9452218358591522</v>
      </c>
      <c r="I99" s="168"/>
      <c r="J99" s="175">
        <f>H99/DAY(B2)</f>
        <v>3.3757922709255435E-2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-59487</v>
      </c>
      <c r="H100" s="99">
        <f>G100+'27'!H100</f>
        <v>-5006.43</v>
      </c>
      <c r="I100" s="118"/>
      <c r="J100" s="175">
        <f>H100/DAY(B2)</f>
        <v>-178.80107142857145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-2.0362497432737729</v>
      </c>
      <c r="H101" s="99">
        <f>G101+'27'!H101</f>
        <v>0.63887834814836264</v>
      </c>
      <c r="I101" s="168"/>
      <c r="J101" s="175">
        <f>H101/DAY(B2)</f>
        <v>2.2817083862441523E-2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-63575</v>
      </c>
      <c r="H102" s="99">
        <f>G102+'27'!H102</f>
        <v>-5284.3699999999953</v>
      </c>
      <c r="I102" s="168"/>
      <c r="J102" s="175">
        <f>H102/DAY(B2)</f>
        <v>-188.72749999999982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-2.1761826521530772</v>
      </c>
      <c r="H103" s="99">
        <f>G103+'27'!H103</f>
        <v>0.68053459005992289</v>
      </c>
      <c r="I103" s="118"/>
      <c r="J103" s="175">
        <f>H103/DAY(B2)</f>
        <v>2.4304806787854388E-2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-49782</v>
      </c>
      <c r="H104" s="99">
        <f>G104+'27'!H104</f>
        <v>-4752.0899999999965</v>
      </c>
      <c r="I104" s="118"/>
      <c r="J104" s="175">
        <f>H104/DAY(B2)</f>
        <v>-169.71749999999989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-1.7040460053399056</v>
      </c>
      <c r="H105" s="99">
        <f>G105+'27'!H105</f>
        <v>0.51121206596720259</v>
      </c>
      <c r="I105" s="187"/>
      <c r="J105" s="188">
        <f>H105/DAY(B2)</f>
        <v>1.8257573784542951E-2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'27'!F112</f>
        <v>59925</v>
      </c>
      <c r="F112" s="237">
        <v>57824</v>
      </c>
      <c r="G112" s="112">
        <f t="shared" ref="G112:G123" si="9">F112-E112</f>
        <v>-2101</v>
      </c>
      <c r="H112" s="99">
        <f>G112+'27'!H112</f>
        <v>-230</v>
      </c>
      <c r="I112" s="165"/>
      <c r="J112" s="328">
        <f>H112/DAY(B2)</f>
        <v>-8.2142857142857135</v>
      </c>
    </row>
    <row r="113" spans="1:18" ht="29.25" customHeight="1" x14ac:dyDescent="0.5">
      <c r="A113" s="871" t="s">
        <v>253</v>
      </c>
      <c r="B113" s="872"/>
      <c r="C113" s="873"/>
      <c r="D113" s="146" t="s">
        <v>183</v>
      </c>
      <c r="E113" s="95">
        <f>'27'!F113</f>
        <v>59053</v>
      </c>
      <c r="F113" s="237">
        <v>45015</v>
      </c>
      <c r="G113" s="112">
        <f t="shared" si="9"/>
        <v>-14038</v>
      </c>
      <c r="H113" s="99">
        <f>G113+'27'!H113</f>
        <v>-1385.8899999999994</v>
      </c>
      <c r="I113" s="165"/>
      <c r="J113" s="328">
        <f>H113/DAY(B2)</f>
        <v>-49.496071428571405</v>
      </c>
    </row>
    <row r="114" spans="1:18" ht="29.25" customHeight="1" x14ac:dyDescent="0.5">
      <c r="A114" s="871" t="s">
        <v>254</v>
      </c>
      <c r="B114" s="872"/>
      <c r="C114" s="873"/>
      <c r="D114" s="146" t="s">
        <v>183</v>
      </c>
      <c r="E114" s="95">
        <f>'27'!F114</f>
        <v>412203</v>
      </c>
      <c r="F114" s="237">
        <v>32387</v>
      </c>
      <c r="G114" s="112">
        <f t="shared" si="9"/>
        <v>-379816</v>
      </c>
      <c r="H114" s="99">
        <f>G114+'27'!H114</f>
        <v>-773</v>
      </c>
      <c r="I114" s="165"/>
      <c r="J114" s="328">
        <f>H114/DAY(B2)</f>
        <v>-27.607142857142858</v>
      </c>
    </row>
    <row r="115" spans="1:18" ht="29.25" customHeight="1" x14ac:dyDescent="0.5">
      <c r="A115" s="871" t="s">
        <v>255</v>
      </c>
      <c r="B115" s="872"/>
      <c r="C115" s="873"/>
      <c r="D115" s="146" t="s">
        <v>183</v>
      </c>
      <c r="E115" s="95">
        <f>'27'!F115</f>
        <v>9411</v>
      </c>
      <c r="F115" s="237">
        <v>9063</v>
      </c>
      <c r="G115" s="112">
        <f t="shared" si="9"/>
        <v>-348</v>
      </c>
      <c r="H115" s="99">
        <f>G115+'27'!H115</f>
        <v>-31.649999999999636</v>
      </c>
      <c r="I115" s="165"/>
      <c r="J115" s="328">
        <f>H115/DAY(B2)</f>
        <v>-1.13035714285713</v>
      </c>
    </row>
    <row r="116" spans="1:18" ht="29.25" customHeight="1" x14ac:dyDescent="0.5">
      <c r="A116" s="878" t="s">
        <v>96</v>
      </c>
      <c r="B116" s="879"/>
      <c r="C116" s="880"/>
      <c r="D116" s="146" t="s">
        <v>183</v>
      </c>
      <c r="E116" s="95">
        <f>'27'!F116</f>
        <v>8718</v>
      </c>
      <c r="F116" s="237">
        <v>0</v>
      </c>
      <c r="G116" s="112">
        <f t="shared" si="9"/>
        <v>-8718</v>
      </c>
      <c r="H116" s="99">
        <f>G116+'27'!H116</f>
        <v>0</v>
      </c>
      <c r="I116" s="165"/>
      <c r="J116" s="328">
        <f>H116/DAY(B2)</f>
        <v>0</v>
      </c>
      <c r="Q116" s="871"/>
      <c r="R116" s="873"/>
    </row>
    <row r="117" spans="1:18" ht="29.25" customHeight="1" x14ac:dyDescent="0.5">
      <c r="A117" s="878" t="s">
        <v>184</v>
      </c>
      <c r="B117" s="879"/>
      <c r="C117" s="880"/>
      <c r="D117" s="146" t="s">
        <v>183</v>
      </c>
      <c r="E117" s="95">
        <f>'27'!F117</f>
        <v>7738</v>
      </c>
      <c r="F117" s="237">
        <v>3253</v>
      </c>
      <c r="G117" s="112">
        <f t="shared" si="9"/>
        <v>-4485</v>
      </c>
      <c r="H117" s="99">
        <f>G117+'27'!H117</f>
        <v>-84.949999999999818</v>
      </c>
      <c r="I117" s="165"/>
      <c r="J117" s="328">
        <f>H117/DAY(B2)</f>
        <v>-3.0339285714285649</v>
      </c>
      <c r="Q117" s="871"/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'27'!F118</f>
        <v>263121</v>
      </c>
      <c r="F118" s="237">
        <v>251486</v>
      </c>
      <c r="G118" s="112">
        <f t="shared" si="9"/>
        <v>-11635</v>
      </c>
      <c r="H118" s="99">
        <f>G118+'27'!H118</f>
        <v>-966.30999999999767</v>
      </c>
      <c r="I118" s="165"/>
      <c r="J118" s="328">
        <f>H118/DAY(B2)</f>
        <v>-34.511071428571348</v>
      </c>
      <c r="Q118" s="871"/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'27'!F119</f>
        <v>269683</v>
      </c>
      <c r="F119" s="237">
        <v>256886</v>
      </c>
      <c r="G119" s="112">
        <f t="shared" si="9"/>
        <v>-12797</v>
      </c>
      <c r="H119" s="99">
        <f>G119+'27'!H119</f>
        <v>-1262.5499999999884</v>
      </c>
      <c r="I119" s="165"/>
      <c r="J119" s="328">
        <f>H119/DAY(B2)</f>
        <v>-45.091071428571013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'27'!F120</f>
        <v>54554</v>
      </c>
      <c r="F120" s="237">
        <v>41690</v>
      </c>
      <c r="G120" s="112">
        <f t="shared" si="9"/>
        <v>-12864</v>
      </c>
      <c r="H120" s="99">
        <f>G120+'27'!H120</f>
        <v>-1269.6100000000006</v>
      </c>
      <c r="I120" s="165"/>
      <c r="J120" s="328">
        <f>H120/DAY(B2)</f>
        <v>-45.343214285714303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'27'!F121</f>
        <v>418364</v>
      </c>
      <c r="F121" s="237">
        <v>395861</v>
      </c>
      <c r="G121" s="112">
        <f t="shared" si="9"/>
        <v>-22503</v>
      </c>
      <c r="H121" s="99">
        <f>G121+'27'!H121</f>
        <v>-2173.429999999993</v>
      </c>
      <c r="I121" s="165"/>
      <c r="J121" s="328">
        <f>H121/DAY(B2)</f>
        <v>-77.622499999999746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'27'!F122</f>
        <v>132212</v>
      </c>
      <c r="F122" s="237">
        <v>125574</v>
      </c>
      <c r="G122" s="112">
        <f t="shared" si="9"/>
        <v>-6638</v>
      </c>
      <c r="H122" s="99">
        <f>G122+'27'!H122</f>
        <v>-612.17999999999302</v>
      </c>
      <c r="I122" s="165"/>
      <c r="J122" s="328">
        <f>H122/DAY(B2)</f>
        <v>-21.863571428571181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'27'!F123</f>
        <v>161080</v>
      </c>
      <c r="F123" s="237">
        <v>153220</v>
      </c>
      <c r="G123" s="112">
        <f t="shared" si="9"/>
        <v>-7860</v>
      </c>
      <c r="H123" s="99">
        <f>G123+'27'!H123</f>
        <v>-826.95000000001164</v>
      </c>
      <c r="I123" s="165"/>
      <c r="J123" s="328">
        <f>H123/DAY(B2)</f>
        <v>-29.533928571428987</v>
      </c>
    </row>
    <row r="124" spans="1:18" ht="29.25" customHeight="1" x14ac:dyDescent="0.5">
      <c r="A124" s="875"/>
      <c r="B124" s="876"/>
      <c r="C124" s="877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-483803</v>
      </c>
      <c r="H125" s="156"/>
      <c r="I125" s="327">
        <f>G125-(G39+G53)</f>
        <v>-394319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 x14ac:dyDescent="0.5">
      <c r="A128" s="871" t="s">
        <v>318</v>
      </c>
      <c r="B128" s="872"/>
      <c r="C128" s="873"/>
      <c r="D128" s="151" t="s">
        <v>183</v>
      </c>
      <c r="E128" s="95">
        <f>'27'!F128</f>
        <v>56274</v>
      </c>
      <c r="F128" s="165">
        <v>46835</v>
      </c>
      <c r="G128" s="112">
        <f t="shared" ref="G128:G134" si="10">F128-E128</f>
        <v>-9439</v>
      </c>
      <c r="H128" s="99">
        <f>G128+'27'!H128</f>
        <v>-911</v>
      </c>
      <c r="I128" s="165"/>
      <c r="J128" s="328">
        <f>H128/DAY(B2)</f>
        <v>-32.535714285714285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'27'!F129</f>
        <v>33088</v>
      </c>
      <c r="F129" s="165">
        <v>26369</v>
      </c>
      <c r="G129" s="112">
        <f t="shared" si="10"/>
        <v>-6719</v>
      </c>
      <c r="H129" s="99">
        <f>G129+'27'!H129</f>
        <v>-541.86999999999898</v>
      </c>
      <c r="I129" s="165"/>
      <c r="J129" s="328">
        <f>H129/DAY(B2)</f>
        <v>-19.352499999999964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'27'!F130</f>
        <v>52624</v>
      </c>
      <c r="F130" s="165">
        <v>34366</v>
      </c>
      <c r="G130" s="112">
        <f t="shared" si="10"/>
        <v>-18258</v>
      </c>
      <c r="H130" s="99">
        <f>G130+'27'!H130</f>
        <v>-1328</v>
      </c>
      <c r="I130" s="165"/>
      <c r="J130" s="328">
        <f>H130/DAY(B2)</f>
        <v>-47.428571428571431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'27'!F131</f>
        <v>18575</v>
      </c>
      <c r="F131" s="165">
        <v>15155</v>
      </c>
      <c r="G131" s="112">
        <f t="shared" si="10"/>
        <v>-3420</v>
      </c>
      <c r="H131" s="99">
        <f>G131+'27'!H131</f>
        <v>-152.68000000000029</v>
      </c>
      <c r="I131" s="165"/>
      <c r="J131" s="328">
        <f>H131/DAY(B2)</f>
        <v>-5.4528571428571535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'27'!F132</f>
        <v>62566</v>
      </c>
      <c r="F132" s="165">
        <v>51353</v>
      </c>
      <c r="G132" s="112">
        <f t="shared" si="10"/>
        <v>-11213</v>
      </c>
      <c r="H132" s="99">
        <f>G132+'27'!H132</f>
        <v>-495.30000000000291</v>
      </c>
      <c r="I132" s="165"/>
      <c r="J132" s="328">
        <f>H132/DAY(B2)</f>
        <v>-17.68928571428582</v>
      </c>
    </row>
    <row r="133" spans="1:15" ht="27.75" x14ac:dyDescent="0.5">
      <c r="A133" s="871" t="s">
        <v>362</v>
      </c>
      <c r="B133" s="872"/>
      <c r="C133" s="873"/>
      <c r="D133" s="151" t="s">
        <v>183</v>
      </c>
      <c r="E133" s="95">
        <f>'27'!F133</f>
        <v>122682</v>
      </c>
      <c r="F133" s="165">
        <v>103916</v>
      </c>
      <c r="G133" s="112">
        <f t="shared" si="10"/>
        <v>-18766</v>
      </c>
      <c r="H133" s="99">
        <f>G133+'27'!H133</f>
        <v>-1427.6999999999971</v>
      </c>
      <c r="I133" s="165"/>
      <c r="J133" s="328">
        <f>H133/DAY(B2)</f>
        <v>-50.989285714285607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'27'!F134</f>
        <v>13196</v>
      </c>
      <c r="F134" s="158">
        <v>8139</v>
      </c>
      <c r="G134" s="112">
        <f t="shared" si="10"/>
        <v>-5057</v>
      </c>
      <c r="H134" s="99">
        <f>G134+'27'!H134</f>
        <v>-462.22999999999956</v>
      </c>
      <c r="I134" s="165"/>
      <c r="J134" s="328">
        <f>H134/DAY(B2)</f>
        <v>-16.508214285714271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-72872</v>
      </c>
      <c r="H135" s="99">
        <f>G135+'23'!H135</f>
        <v>-46845.7</v>
      </c>
      <c r="I135" s="327">
        <f>G135-(G35+G49)</f>
        <v>11955</v>
      </c>
      <c r="J135" s="328"/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'27'!F138</f>
        <v>869046</v>
      </c>
      <c r="F138" s="147">
        <v>865997</v>
      </c>
      <c r="G138" s="112">
        <f t="shared" ref="G138:G152" si="11">F138-E138</f>
        <v>-3049</v>
      </c>
      <c r="H138" s="99">
        <f>G138+'27'!H138</f>
        <v>-176</v>
      </c>
      <c r="I138" s="118"/>
      <c r="J138" s="328">
        <f>H138/DAY(B2)</f>
        <v>-6.2857142857142856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'27'!F139</f>
        <v>886698</v>
      </c>
      <c r="F139" s="148">
        <v>886570</v>
      </c>
      <c r="G139" s="112">
        <f t="shared" si="11"/>
        <v>-128</v>
      </c>
      <c r="H139" s="99">
        <f>G139+'27'!H139</f>
        <v>-3</v>
      </c>
      <c r="I139" s="118"/>
      <c r="J139" s="328">
        <f>H139/DAY(B2)</f>
        <v>-0.10714285714285714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'27'!F140</f>
        <v>88955</v>
      </c>
      <c r="F140" s="149">
        <v>88922</v>
      </c>
      <c r="G140" s="112">
        <f t="shared" si="11"/>
        <v>-33</v>
      </c>
      <c r="H140" s="99">
        <f>G140+'27'!H140</f>
        <v>0</v>
      </c>
      <c r="I140" s="118"/>
      <c r="J140" s="328">
        <f>H140/DAY(B2)</f>
        <v>0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'27'!F141</f>
        <v>59525</v>
      </c>
      <c r="F141" s="149">
        <v>54154</v>
      </c>
      <c r="G141" s="112">
        <f t="shared" si="11"/>
        <v>-5371</v>
      </c>
      <c r="H141" s="99">
        <f>G141+'27'!H141</f>
        <v>-531.58000000000175</v>
      </c>
      <c r="I141" s="118"/>
      <c r="J141" s="328">
        <f>H141/DAY(B2)</f>
        <v>-18.985000000000063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'27'!F142</f>
        <v>23121</v>
      </c>
      <c r="F142" s="148">
        <v>21049</v>
      </c>
      <c r="G142" s="112">
        <f t="shared" si="11"/>
        <v>-2072</v>
      </c>
      <c r="H142" s="99">
        <f>G142+'27'!H142</f>
        <v>-235.09999999999854</v>
      </c>
      <c r="I142" s="140"/>
      <c r="J142" s="328">
        <f>H142/DAY(B2)</f>
        <v>-8.3964285714285189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'27'!F143</f>
        <v>4588</v>
      </c>
      <c r="F143" s="149">
        <v>3762</v>
      </c>
      <c r="G143" s="112">
        <f t="shared" si="11"/>
        <v>-826</v>
      </c>
      <c r="H143" s="99">
        <f>G143+'27'!H143</f>
        <v>-73.389999999999873</v>
      </c>
      <c r="I143" s="140"/>
      <c r="J143" s="328">
        <f>H143/DAY(B2)</f>
        <v>-2.6210714285714238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'27'!F144</f>
        <v>882239</v>
      </c>
      <c r="F144" s="149">
        <v>875870</v>
      </c>
      <c r="G144" s="112">
        <f t="shared" si="11"/>
        <v>-6369</v>
      </c>
      <c r="H144" s="99">
        <f>G144+'27'!H144</f>
        <v>-617</v>
      </c>
      <c r="I144" s="140"/>
      <c r="J144" s="328">
        <f>H144/DAY(B2)</f>
        <v>-22.035714285714285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'27'!F145</f>
        <v>5341</v>
      </c>
      <c r="F145" s="149">
        <v>4935</v>
      </c>
      <c r="G145" s="112">
        <f t="shared" si="11"/>
        <v>-406</v>
      </c>
      <c r="H145" s="99">
        <f>G145+'27'!H145</f>
        <v>-23.840000000000146</v>
      </c>
      <c r="I145" s="140"/>
      <c r="J145" s="328">
        <f>H145/DAY(B2)</f>
        <v>-0.85142857142857664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'27'!F146</f>
        <v>749410</v>
      </c>
      <c r="F146" s="148">
        <v>736078</v>
      </c>
      <c r="G146" s="112">
        <f t="shared" si="11"/>
        <v>-13332</v>
      </c>
      <c r="H146" s="99">
        <f>G146+'27'!H146</f>
        <v>-1255</v>
      </c>
      <c r="I146" s="140"/>
      <c r="J146" s="328">
        <f>H146/DAY(B2)</f>
        <v>-44.821428571428569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'27'!F147</f>
        <v>637220</v>
      </c>
      <c r="F147" s="148">
        <v>625551</v>
      </c>
      <c r="G147" s="112">
        <f t="shared" si="11"/>
        <v>-11669</v>
      </c>
      <c r="H147" s="99">
        <f>G147+'27'!H147</f>
        <v>-1061.5200000000186</v>
      </c>
      <c r="I147" s="140"/>
      <c r="J147" s="328">
        <f>H147/DAY(B2)</f>
        <v>-37.911428571429234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'27'!F148</f>
        <v>697775</v>
      </c>
      <c r="F148" s="150">
        <v>688880</v>
      </c>
      <c r="G148" s="112">
        <f t="shared" si="11"/>
        <v>-8895</v>
      </c>
      <c r="H148" s="99">
        <f>G148+'27'!H148</f>
        <v>-562.95999999996275</v>
      </c>
      <c r="I148" s="124"/>
      <c r="J148" s="328">
        <f>H148/DAY(B2)</f>
        <v>-20.105714285712956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'27'!F149</f>
        <v>41043</v>
      </c>
      <c r="F149" s="146">
        <v>23289</v>
      </c>
      <c r="G149" s="112">
        <f t="shared" si="11"/>
        <v>-17754</v>
      </c>
      <c r="H149" s="99">
        <f>G149+'27'!H149</f>
        <v>-1389.2000000000007</v>
      </c>
      <c r="I149" s="119"/>
      <c r="J149" s="328">
        <f>H149/DAY(B2)</f>
        <v>-49.614285714285742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'27'!F150</f>
        <v>16975</v>
      </c>
      <c r="F150" s="233">
        <v>10179</v>
      </c>
      <c r="G150" s="112">
        <f t="shared" si="11"/>
        <v>-6796</v>
      </c>
      <c r="H150" s="99">
        <f>G150+'27'!H150</f>
        <v>-671.82999999999993</v>
      </c>
      <c r="I150" s="119"/>
      <c r="J150" s="328">
        <f>H150/DAY(B2)</f>
        <v>-23.993928571428569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'27'!F151</f>
        <v>92055</v>
      </c>
      <c r="F151" s="233">
        <v>84703</v>
      </c>
      <c r="G151" s="112">
        <f t="shared" si="11"/>
        <v>-7352</v>
      </c>
      <c r="H151" s="99">
        <f>G151+'27'!H151</f>
        <v>-777</v>
      </c>
      <c r="I151" s="119"/>
      <c r="J151" s="328">
        <f>H151/DAY(B2)</f>
        <v>-27.75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'27'!F152</f>
        <v>4028</v>
      </c>
      <c r="F152" s="233">
        <v>1614</v>
      </c>
      <c r="G152" s="112">
        <f t="shared" si="11"/>
        <v>-2414</v>
      </c>
      <c r="H152" s="99">
        <f>G152+'27'!H152</f>
        <v>-46</v>
      </c>
      <c r="I152" s="119"/>
      <c r="J152" s="328">
        <f>H152/DAY(B2)</f>
        <v>-1.6428571428571428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-86466</v>
      </c>
      <c r="H153" s="363"/>
      <c r="I153" s="119">
        <f>G153-(G38+G52)</f>
        <v>-26979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687">
        <f>'27'!F155</f>
        <v>51095</v>
      </c>
      <c r="F155" s="688">
        <v>30396</v>
      </c>
      <c r="G155" s="112">
        <f t="shared" ref="G155:G158" si="12">F155-E155</f>
        <v>-20699</v>
      </c>
      <c r="H155" s="99">
        <f>G155+'27'!H155</f>
        <v>-2549</v>
      </c>
      <c r="I155" s="364"/>
      <c r="J155" s="328">
        <f>H155/DAY(B2)</f>
        <v>-91.035714285714292</v>
      </c>
    </row>
    <row r="156" spans="1:10" ht="27.75" x14ac:dyDescent="0.5">
      <c r="A156" s="851" t="s">
        <v>347</v>
      </c>
      <c r="B156" s="851"/>
      <c r="C156" s="851"/>
      <c r="D156" s="117" t="s">
        <v>130</v>
      </c>
      <c r="E156" s="95">
        <f>'27'!F156</f>
        <v>4188</v>
      </c>
      <c r="F156" s="155">
        <v>2564</v>
      </c>
      <c r="G156" s="112">
        <f t="shared" si="12"/>
        <v>-1624</v>
      </c>
      <c r="H156" s="99">
        <f>G156+'27'!H156</f>
        <v>-224</v>
      </c>
      <c r="I156" s="165"/>
      <c r="J156" s="328">
        <f>H156/DAY(B2)</f>
        <v>-8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155">
        <v>3582</v>
      </c>
      <c r="F157" s="157">
        <v>3692</v>
      </c>
      <c r="G157" s="112">
        <f t="shared" si="12"/>
        <v>110</v>
      </c>
      <c r="H157" s="99"/>
      <c r="I157" s="165"/>
      <c r="J157" s="328"/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155">
        <v>45.49</v>
      </c>
      <c r="F158" s="155">
        <v>45.55</v>
      </c>
      <c r="G158" s="112">
        <f t="shared" si="12"/>
        <v>5.9999999999995168E-2</v>
      </c>
      <c r="H158" s="99"/>
      <c r="I158" s="165"/>
      <c r="J158" s="328"/>
    </row>
    <row r="159" spans="1:10" ht="27.75" x14ac:dyDescent="0.5">
      <c r="A159" s="935"/>
      <c r="B159" s="936"/>
      <c r="C159" s="93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472824</v>
      </c>
      <c r="F161" s="235">
        <v>471960</v>
      </c>
      <c r="G161" s="238">
        <f t="shared" ref="G161:G165" si="13">F161-E161</f>
        <v>-864</v>
      </c>
      <c r="H161" s="99">
        <f>G161+'27'!H161</f>
        <v>-93.559999999997672</v>
      </c>
      <c r="I161" s="236"/>
      <c r="J161" s="239">
        <f>H161/DAY(B2)</f>
        <v>-3.3414285714284881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89487</v>
      </c>
      <c r="F162" s="235">
        <v>88439</v>
      </c>
      <c r="G162" s="238">
        <f t="shared" si="13"/>
        <v>-1048</v>
      </c>
      <c r="H162" s="99">
        <f>G162+'27'!H162</f>
        <v>-77.399999999994179</v>
      </c>
      <c r="I162" s="236"/>
      <c r="J162" s="239">
        <f>H162/DAY(B2)</f>
        <v>-2.7642857142855064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81346</v>
      </c>
      <c r="F163" s="235">
        <v>79102.5</v>
      </c>
      <c r="G163" s="238">
        <f t="shared" si="13"/>
        <v>-2243.5</v>
      </c>
      <c r="H163" s="99">
        <f>G163+'27'!H163</f>
        <v>-117.60000000000582</v>
      </c>
      <c r="I163" s="236"/>
      <c r="J163" s="239">
        <f>H163/DAY(B2)</f>
        <v>-4.200000000000208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4380</v>
      </c>
      <c r="F164" s="235">
        <v>4317.3999999999996</v>
      </c>
      <c r="G164" s="238">
        <f t="shared" si="13"/>
        <v>-62.600000000000364</v>
      </c>
      <c r="H164" s="99">
        <f>G164+'27'!H164</f>
        <v>-2.6000000000003638</v>
      </c>
      <c r="I164" s="236"/>
      <c r="J164" s="239">
        <f>H164/DAY(B2)</f>
        <v>-9.285714285715585E-2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30085</v>
      </c>
      <c r="F165" s="235">
        <v>29828</v>
      </c>
      <c r="G165" s="238">
        <f t="shared" si="13"/>
        <v>-257</v>
      </c>
      <c r="H165" s="99">
        <f>G165+'27'!H165</f>
        <v>-29.25</v>
      </c>
      <c r="I165" s="236"/>
      <c r="J165" s="239">
        <f>H165/DAY(B2)</f>
        <v>-1.0446428571428572</v>
      </c>
    </row>
    <row r="166" spans="1:10" ht="29.25" x14ac:dyDescent="0.5">
      <c r="A166" s="860"/>
      <c r="B166" s="860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'27'!F173</f>
        <v>8190</v>
      </c>
      <c r="F173" s="155">
        <v>8126</v>
      </c>
      <c r="G173" s="155">
        <f>F173-E173</f>
        <v>-64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'27'!F174</f>
        <v>39002</v>
      </c>
      <c r="F174" s="157">
        <v>38576</v>
      </c>
      <c r="G174" s="155">
        <f t="shared" ref="G174:G175" si="14">F174-E174</f>
        <v>-426</v>
      </c>
      <c r="H174" s="99">
        <f>G174+'27'!H174</f>
        <v>-39</v>
      </c>
      <c r="I174" s="155"/>
      <c r="J174" s="178">
        <f>H174/DAY(B2)</f>
        <v>-1.3928571428571428</v>
      </c>
    </row>
    <row r="175" spans="1:10" ht="27.75" x14ac:dyDescent="0.5">
      <c r="A175" s="864" t="s">
        <v>76</v>
      </c>
      <c r="B175" s="904"/>
      <c r="C175" s="865"/>
      <c r="D175" s="228" t="s">
        <v>142</v>
      </c>
      <c r="E175" s="95">
        <f>'27'!F175</f>
        <v>22135</v>
      </c>
      <c r="F175" s="155">
        <v>21783</v>
      </c>
      <c r="G175" s="155">
        <f t="shared" si="14"/>
        <v>-352</v>
      </c>
      <c r="H175" s="99">
        <f>G175+'27'!H175</f>
        <v>-30</v>
      </c>
      <c r="I175" s="155"/>
      <c r="J175" s="178">
        <f>H175/DAY(B2)</f>
        <v>-1.0714285714285714</v>
      </c>
    </row>
    <row r="176" spans="1:10" ht="27.75" x14ac:dyDescent="0.5">
      <c r="A176" s="855" t="s">
        <v>196</v>
      </c>
      <c r="B176" s="856"/>
      <c r="C176" s="483"/>
      <c r="D176" s="228" t="s">
        <v>142</v>
      </c>
      <c r="E176" s="95"/>
      <c r="F176" s="155"/>
      <c r="G176" s="155">
        <f>SUM(G173:G175)</f>
        <v>-842</v>
      </c>
      <c r="H176" s="99">
        <f>G176+'27'!H176</f>
        <v>-69</v>
      </c>
      <c r="I176" s="155"/>
      <c r="J176" s="178">
        <f>H176/DAY(B2)</f>
        <v>-2.4642857142857144</v>
      </c>
    </row>
    <row r="177" spans="1:10" ht="27.75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864" t="s">
        <v>210</v>
      </c>
      <c r="B178" s="865"/>
      <c r="C178" s="333"/>
      <c r="D178" s="228" t="s">
        <v>142</v>
      </c>
      <c r="E178" s="95">
        <f>'27'!F178</f>
        <v>82883</v>
      </c>
      <c r="F178" s="155">
        <v>81101</v>
      </c>
      <c r="G178" s="155">
        <f>F178-E178</f>
        <v>-1782</v>
      </c>
      <c r="H178" s="99">
        <f>G178+'27'!H178</f>
        <v>-214</v>
      </c>
      <c r="I178" s="155"/>
      <c r="J178" s="178">
        <f>H178/DAY(B2)</f>
        <v>-7.6428571428571432</v>
      </c>
    </row>
    <row r="179" spans="1:10" ht="27.75" x14ac:dyDescent="0.5">
      <c r="A179" s="864" t="s">
        <v>211</v>
      </c>
      <c r="B179" s="865"/>
      <c r="C179" s="333"/>
      <c r="D179" s="228" t="s">
        <v>142</v>
      </c>
      <c r="E179" s="95">
        <f>'27'!F179</f>
        <v>35341</v>
      </c>
      <c r="F179" s="155">
        <v>34711</v>
      </c>
      <c r="G179" s="155">
        <f t="shared" ref="G179:G180" si="15">F179-E179</f>
        <v>-630</v>
      </c>
      <c r="H179" s="99">
        <f>G179+'27'!H179</f>
        <v>5782</v>
      </c>
      <c r="I179" s="155"/>
      <c r="J179" s="178">
        <f>H179/DAY(B2)</f>
        <v>206.5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'27'!F180</f>
        <v>5877</v>
      </c>
      <c r="F180" s="155">
        <v>5675</v>
      </c>
      <c r="G180" s="155">
        <f t="shared" si="15"/>
        <v>-202</v>
      </c>
      <c r="H180" s="99">
        <f>G180+'27'!H180</f>
        <v>-27</v>
      </c>
      <c r="I180" s="155"/>
      <c r="J180" s="178">
        <f>H180/DAY(B2)</f>
        <v>-0.9642857142857143</v>
      </c>
    </row>
    <row r="181" spans="1:10" ht="27.75" x14ac:dyDescent="0.5">
      <c r="A181" s="866" t="s">
        <v>108</v>
      </c>
      <c r="B181" s="867"/>
      <c r="C181" s="483"/>
      <c r="D181" s="228" t="s">
        <v>142</v>
      </c>
      <c r="E181" s="95"/>
      <c r="F181" s="155"/>
      <c r="G181" s="155">
        <f>SUM(G178:G180)</f>
        <v>-2614</v>
      </c>
      <c r="H181" s="99">
        <f>G181+'27'!H181</f>
        <v>5541</v>
      </c>
      <c r="I181" s="155"/>
      <c r="J181" s="178">
        <f>H181/DAY(B2)</f>
        <v>197.89285714285714</v>
      </c>
    </row>
    <row r="182" spans="1:10" ht="27.75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'27'!F183</f>
        <v>15735</v>
      </c>
      <c r="F183" s="157">
        <v>15316</v>
      </c>
      <c r="G183" s="157">
        <f>F183-E183</f>
        <v>-419</v>
      </c>
      <c r="H183" s="99">
        <f>G183+'27'!H183</f>
        <v>-29</v>
      </c>
      <c r="I183" s="155"/>
      <c r="J183" s="178">
        <f>H183/DAY(B2)</f>
        <v>-1.0357142857142858</v>
      </c>
    </row>
    <row r="184" spans="1:10" ht="27.75" x14ac:dyDescent="0.5">
      <c r="A184" s="864" t="s">
        <v>215</v>
      </c>
      <c r="B184" s="865"/>
      <c r="C184" s="334"/>
      <c r="D184" s="228" t="s">
        <v>142</v>
      </c>
      <c r="E184" s="95">
        <f>'27'!F184</f>
        <v>10806</v>
      </c>
      <c r="F184" s="157">
        <v>10482</v>
      </c>
      <c r="G184" s="157">
        <f t="shared" ref="G184:G185" si="16">F184-E184</f>
        <v>-324</v>
      </c>
      <c r="H184" s="99">
        <f>G184+'27'!H184</f>
        <v>-36</v>
      </c>
      <c r="I184" s="155"/>
      <c r="J184" s="178">
        <f>H184/DAY(B2)</f>
        <v>-1.2857142857142858</v>
      </c>
    </row>
    <row r="185" spans="1:10" ht="27.75" x14ac:dyDescent="0.5">
      <c r="A185" s="864" t="s">
        <v>216</v>
      </c>
      <c r="B185" s="865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855" t="s">
        <v>196</v>
      </c>
      <c r="B186" s="856"/>
      <c r="C186" s="482"/>
      <c r="D186" s="228" t="s">
        <v>142</v>
      </c>
      <c r="E186" s="95"/>
      <c r="F186" s="157"/>
      <c r="G186" s="157">
        <f>SUM(G183:G185)</f>
        <v>-743</v>
      </c>
      <c r="H186" s="99">
        <f>G186+'27'!H186</f>
        <v>-65</v>
      </c>
      <c r="I186" s="157"/>
      <c r="J186" s="178">
        <f>H186/DAY(B2)</f>
        <v>-2.3214285714285716</v>
      </c>
    </row>
    <row r="187" spans="1:10" ht="27.75" x14ac:dyDescent="0.5">
      <c r="A187" s="857" t="s">
        <v>217</v>
      </c>
      <c r="B187" s="858"/>
      <c r="C187" s="333"/>
      <c r="D187" s="230" t="s">
        <v>142</v>
      </c>
      <c r="E187" s="95">
        <f>'27'!F187</f>
        <v>0</v>
      </c>
      <c r="F187" s="159"/>
      <c r="G187" s="460">
        <f>G62+G19</f>
        <v>-5759</v>
      </c>
      <c r="H187" s="99">
        <f>G187+'27'!H187</f>
        <v>-463</v>
      </c>
      <c r="I187" s="158"/>
      <c r="J187" s="179">
        <f>H187/DAY(B2)</f>
        <v>-16.535714285714285</v>
      </c>
    </row>
    <row r="188" spans="1:10" ht="27.75" x14ac:dyDescent="0.5">
      <c r="A188" s="857" t="s">
        <v>218</v>
      </c>
      <c r="B188" s="858"/>
      <c r="C188" s="333"/>
      <c r="D188" s="230" t="s">
        <v>142</v>
      </c>
      <c r="E188" s="95">
        <f>'27'!F188</f>
        <v>0</v>
      </c>
      <c r="F188" s="159"/>
      <c r="G188" s="460">
        <f>G65+G66+G67+G69+G70</f>
        <v>-6064</v>
      </c>
      <c r="H188" s="99">
        <f>G188+'27'!H188</f>
        <v>-2703</v>
      </c>
      <c r="I188" s="158"/>
      <c r="J188" s="179">
        <f>H188/DAY(B2)</f>
        <v>-96.535714285714292</v>
      </c>
    </row>
    <row r="189" spans="1:10" ht="27.75" x14ac:dyDescent="0.5">
      <c r="A189" s="857" t="s">
        <v>219</v>
      </c>
      <c r="B189" s="858"/>
      <c r="C189" s="333"/>
      <c r="D189" s="230" t="s">
        <v>142</v>
      </c>
      <c r="E189" s="95">
        <f>'27'!F189</f>
        <v>0</v>
      </c>
      <c r="F189" s="157"/>
      <c r="G189" s="457">
        <f>G181</f>
        <v>-2614</v>
      </c>
      <c r="H189" s="99">
        <f>G189+'27'!H189</f>
        <v>3932</v>
      </c>
      <c r="I189" s="158"/>
      <c r="J189" s="179">
        <f>H189/DAY(B2)</f>
        <v>140.42857142857142</v>
      </c>
    </row>
    <row r="190" spans="1:10" ht="27.75" x14ac:dyDescent="0.5">
      <c r="A190" s="778"/>
      <c r="B190" s="779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303</v>
      </c>
      <c r="B2" s="262">
        <v>44590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v>599110</v>
      </c>
      <c r="F7" s="95">
        <f>E7+22000</f>
        <v>621110</v>
      </c>
      <c r="G7" s="112">
        <f>F7-E7</f>
        <v>22000</v>
      </c>
      <c r="H7" s="99">
        <f>G7+'28'!H7</f>
        <v>601028.77</v>
      </c>
      <c r="I7" s="113">
        <f>'1'!I7</f>
        <v>12000</v>
      </c>
      <c r="J7" s="175">
        <f>H7/DAY(B2)</f>
        <v>20725.13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282354</v>
      </c>
      <c r="F8" s="95">
        <f>E8+20000</f>
        <v>302354</v>
      </c>
      <c r="G8" s="115">
        <f>F8-E8</f>
        <v>20000</v>
      </c>
      <c r="H8" s="99">
        <f>G8+'28'!H8</f>
        <v>593832.44999999995</v>
      </c>
      <c r="I8" s="116"/>
      <c r="J8" s="175">
        <f>H8/DAY(B2)</f>
        <v>20476.981034482757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237905</v>
      </c>
      <c r="F9" s="598">
        <v>252509</v>
      </c>
      <c r="G9" s="112">
        <f>F9-E9</f>
        <v>14604</v>
      </c>
      <c r="H9" s="99">
        <f>G9+'28'!H9</f>
        <v>-29744.849999999977</v>
      </c>
      <c r="I9" s="124">
        <f>I7-J7</f>
        <v>-8725.130000000001</v>
      </c>
      <c r="J9" s="175">
        <f>H9/DAY(B2)</f>
        <v>-1025.6844827586199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99061</v>
      </c>
      <c r="F10" s="353">
        <v>101121</v>
      </c>
      <c r="G10" s="112">
        <f t="shared" ref="G10:G12" si="0">F10-E10</f>
        <v>2060</v>
      </c>
      <c r="H10" s="99">
        <f>G10+'28'!H10</f>
        <v>-4137.9700000000012</v>
      </c>
      <c r="I10" s="282"/>
      <c r="J10" s="175">
        <f>H10/DAY(B2)</f>
        <v>-142.68862068965521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37170</v>
      </c>
      <c r="F11" s="95">
        <v>37170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16664</v>
      </c>
      <c r="H13" s="99">
        <f>G13+'28'!H13</f>
        <v>-50637.250000000058</v>
      </c>
      <c r="I13" s="120">
        <f>G7-G13</f>
        <v>5336</v>
      </c>
      <c r="J13" s="175">
        <f>H13/DAY(B2)</f>
        <v>-1746.1120689655193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5" t="s">
        <v>138</v>
      </c>
      <c r="B15" s="205"/>
      <c r="C15" s="205"/>
      <c r="D15" s="151" t="s">
        <v>139</v>
      </c>
      <c r="E15" s="95">
        <f>'28'!F15</f>
        <v>1936890</v>
      </c>
      <c r="F15" s="123">
        <f>E15+1100</f>
        <v>1937990</v>
      </c>
      <c r="G15" s="112">
        <f>(F15-E15)</f>
        <v>1100</v>
      </c>
      <c r="H15" s="99">
        <f>G15+'28'!H15</f>
        <v>31353.233000000007</v>
      </c>
      <c r="I15" s="113">
        <f>'1'!I15</f>
        <v>800</v>
      </c>
      <c r="J15" s="175">
        <f>H15/DAY(B2)</f>
        <v>1081.1459655172416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-281.14596551724162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'28'!F18</f>
        <v>4</v>
      </c>
      <c r="F18" s="122">
        <v>26</v>
      </c>
      <c r="G18" s="119">
        <f>F18*10</f>
        <v>260</v>
      </c>
      <c r="H18" s="99">
        <f>G18+'28'!H18</f>
        <v>6490</v>
      </c>
      <c r="I18" s="113">
        <f>'1'!I18</f>
        <v>65</v>
      </c>
      <c r="J18" s="175">
        <f>H18/DAY(B2)</f>
        <v>223.79310344827587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'28'!F19</f>
        <v>153727</v>
      </c>
      <c r="F19" s="122">
        <v>153779</v>
      </c>
      <c r="G19" s="112">
        <f t="shared" ref="G19" si="1">F19-E19</f>
        <v>52</v>
      </c>
      <c r="H19" s="99">
        <f>G19+'28'!H19</f>
        <v>-112</v>
      </c>
      <c r="I19" s="335"/>
      <c r="J19" s="175">
        <f>H19/DAY(B2)</f>
        <v>-3.8620689655172415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312</v>
      </c>
      <c r="H20" s="99">
        <f>G20+'28'!H20</f>
        <v>6378</v>
      </c>
      <c r="I20" s="336">
        <f>I18-J20</f>
        <v>-154.93103448275863</v>
      </c>
      <c r="J20" s="175">
        <f>H20/DAY(B2)</f>
        <v>219.93103448275863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-1080</v>
      </c>
      <c r="I23" s="118"/>
      <c r="J23" s="175">
        <f>H23/DAY(B2)</f>
        <v>-37.241379310344826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-1080</v>
      </c>
      <c r="I24" s="118"/>
      <c r="J24" s="175">
        <f>H24/DAY(B2)</f>
        <v>-37.241379310344826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20000</v>
      </c>
      <c r="F27" s="136">
        <v>9</v>
      </c>
      <c r="G27" s="137">
        <f>E27*F27</f>
        <v>180000</v>
      </c>
      <c r="H27" s="99">
        <f>G27+'28'!H27</f>
        <v>5337877.0500000007</v>
      </c>
      <c r="I27" s="138"/>
      <c r="J27" s="175">
        <f>H27/DAY(B2)</f>
        <v>184064.725862069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G28+'28'!H28</f>
        <v>1753505.1160000004</v>
      </c>
      <c r="I28" s="140"/>
      <c r="J28" s="175">
        <f>H28/DAY(B2)</f>
        <v>60465.693655172428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-74520</v>
      </c>
      <c r="I29" s="140"/>
      <c r="J29" s="175">
        <f>H29/DAY(B2)</f>
        <v>-2569.655172413793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G30+'28'!H30</f>
        <v>-23825.299999999988</v>
      </c>
      <c r="I30" s="140"/>
      <c r="J30" s="175">
        <f>H30/DAY(B2)</f>
        <v>-821.5620689655168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519200</v>
      </c>
      <c r="I31" s="140"/>
      <c r="J31" s="175">
        <f>H31/DAY(B2)</f>
        <v>17903.448275862069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265592</v>
      </c>
      <c r="H32" s="99">
        <f>G32+'28'!H32</f>
        <v>7512236.8660000013</v>
      </c>
      <c r="I32" s="144"/>
      <c r="J32" s="175">
        <f>H32/DAY(B2)</f>
        <v>259042.65055172419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28354</v>
      </c>
      <c r="F35" s="145">
        <v>29546</v>
      </c>
      <c r="G35" s="112">
        <f t="shared" ref="G35:G46" si="3">F35-E35</f>
        <v>1192</v>
      </c>
      <c r="H35" s="99">
        <f>G35+'28'!H35</f>
        <v>-2458.9799999999959</v>
      </c>
      <c r="I35" s="95"/>
      <c r="J35" s="175">
        <f>H35/DAY(B2)</f>
        <v>-84.792413793103307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41279</v>
      </c>
      <c r="F36" s="145">
        <v>41974</v>
      </c>
      <c r="G36" s="112">
        <f t="shared" si="3"/>
        <v>695</v>
      </c>
      <c r="H36" s="99">
        <f>G36+'28'!H36</f>
        <v>-1484.739999999998</v>
      </c>
      <c r="I36" s="95"/>
      <c r="J36" s="175">
        <f>H36/DAY(B2)</f>
        <v>-51.197931034482686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30673</v>
      </c>
      <c r="F37" s="145">
        <v>32284</v>
      </c>
      <c r="G37" s="112">
        <f t="shared" si="3"/>
        <v>1611</v>
      </c>
      <c r="H37" s="99">
        <f>G37+'28'!H37</f>
        <v>-3141.0899999999965</v>
      </c>
      <c r="I37" s="95"/>
      <c r="J37" s="175">
        <f>H37/DAY(B2)</f>
        <v>-108.31344827586194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33370</v>
      </c>
      <c r="F38" s="108">
        <v>35120</v>
      </c>
      <c r="G38" s="112">
        <f t="shared" si="3"/>
        <v>1750</v>
      </c>
      <c r="H38" s="99">
        <f>G38+'28'!H38</f>
        <v>-3256.4300000000003</v>
      </c>
      <c r="I38" s="95"/>
      <c r="J38" s="175">
        <f>H38/DAY(B2)</f>
        <v>-112.29068965517243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51302</v>
      </c>
      <c r="F39" s="145">
        <v>53908</v>
      </c>
      <c r="G39" s="112">
        <f t="shared" si="3"/>
        <v>2606</v>
      </c>
      <c r="H39" s="99">
        <f>G39+'28'!H39</f>
        <v>-5265.2899999999936</v>
      </c>
      <c r="I39" s="95"/>
      <c r="J39" s="175">
        <f>H39/DAY(B2)</f>
        <v>-181.56172413793081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18927</v>
      </c>
      <c r="F40" s="145">
        <v>19480</v>
      </c>
      <c r="G40" s="112">
        <f t="shared" si="3"/>
        <v>553</v>
      </c>
      <c r="H40" s="99">
        <f>G40+'28'!H40</f>
        <v>-2636.9900000000016</v>
      </c>
      <c r="I40" s="95"/>
      <c r="J40" s="175">
        <f>H40/DAY(B2)</f>
        <v>-90.930689655172472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0</v>
      </c>
      <c r="F41" s="145">
        <v>0</v>
      </c>
      <c r="G41" s="112">
        <f t="shared" si="3"/>
        <v>0</v>
      </c>
      <c r="H41" s="99">
        <f>G41+'28'!H41</f>
        <v>-62.73</v>
      </c>
      <c r="I41" s="95"/>
      <c r="J41" s="175">
        <f>H41/DAY(B2)</f>
        <v>-2.1631034482758618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88355</v>
      </c>
      <c r="F42" s="145">
        <v>91927</v>
      </c>
      <c r="G42" s="112">
        <f t="shared" si="3"/>
        <v>3572</v>
      </c>
      <c r="H42" s="99">
        <f>G42+'28'!H42</f>
        <v>-8202.7400000000052</v>
      </c>
      <c r="I42" s="95"/>
      <c r="J42" s="175">
        <f>H42/DAY(B2)</f>
        <v>-282.85310344827604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109003</v>
      </c>
      <c r="F43" s="145">
        <v>111068</v>
      </c>
      <c r="G43" s="112">
        <f t="shared" si="3"/>
        <v>2065</v>
      </c>
      <c r="H43" s="99">
        <f>G43+'28'!H43</f>
        <v>-3783.6000000000058</v>
      </c>
      <c r="I43" s="95"/>
      <c r="J43" s="175">
        <f>H43/DAY(B2)</f>
        <v>-130.46896551724157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14044</v>
      </c>
      <c r="H47" s="99">
        <f>G47+'28'!H47</f>
        <v>-30292.589999999909</v>
      </c>
      <c r="I47" s="95"/>
      <c r="J47" s="175">
        <f>H47/DAY(B2)</f>
        <v>-1044.5720689655141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22352</v>
      </c>
      <c r="F49" s="145">
        <v>23268</v>
      </c>
      <c r="G49" s="112">
        <f t="shared" ref="G49:G58" si="4">F49-E49</f>
        <v>916</v>
      </c>
      <c r="H49" s="99">
        <f>G49+'28'!H49</f>
        <v>-1728.1900000000023</v>
      </c>
      <c r="I49" s="95"/>
      <c r="J49" s="175">
        <f>H49/DAY(B2)</f>
        <v>-59.592758620689736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53282</v>
      </c>
      <c r="F50" s="145">
        <v>54265</v>
      </c>
      <c r="G50" s="112">
        <f t="shared" si="4"/>
        <v>983</v>
      </c>
      <c r="H50" s="99">
        <f>G50+'28'!H50</f>
        <v>-2121.6299999999974</v>
      </c>
      <c r="I50" s="95"/>
      <c r="J50" s="175">
        <f>H50/DAY(B2)</f>
        <v>-73.159655172413707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5147</v>
      </c>
      <c r="F54" s="145">
        <v>5147</v>
      </c>
      <c r="G54" s="112">
        <f t="shared" si="4"/>
        <v>0</v>
      </c>
      <c r="H54" s="99">
        <f>G54+'28'!H54</f>
        <v>-0.42000000000007276</v>
      </c>
      <c r="I54" s="95"/>
      <c r="J54" s="175">
        <f>H54/DAY(B2)</f>
        <v>-1.4482758620692164E-2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74366</v>
      </c>
      <c r="F55" s="145">
        <v>74366</v>
      </c>
      <c r="G55" s="112">
        <f t="shared" si="4"/>
        <v>0</v>
      </c>
      <c r="H55" s="99">
        <f>G55+'28'!H55</f>
        <v>-0.11000000000058208</v>
      </c>
      <c r="I55" s="95"/>
      <c r="J55" s="175">
        <f>H55/DAY(B2)</f>
        <v>-3.7931034482959337E-3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8610.5400000000009</v>
      </c>
      <c r="F56" s="145">
        <v>8610.5400000000009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4198</v>
      </c>
      <c r="F58" s="145">
        <v>4409</v>
      </c>
      <c r="G58" s="112">
        <f t="shared" si="4"/>
        <v>211</v>
      </c>
      <c r="H58" s="99">
        <f>G58+'28'!H58</f>
        <v>-387.21000000000004</v>
      </c>
      <c r="I58" s="95"/>
      <c r="J58" s="175">
        <f>H58/DAY(B2)</f>
        <v>-13.352068965517242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2110</v>
      </c>
      <c r="H59" s="99">
        <f>G59+'28'!H59</f>
        <v>-4237.5599999999977</v>
      </c>
      <c r="I59" s="95">
        <f>G7-G60</f>
        <v>5846</v>
      </c>
      <c r="J59" s="175">
        <f>H59/DAY(B2)</f>
        <v>-146.12275862068958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16154</v>
      </c>
      <c r="H60" s="99">
        <f>G60+'28'!H60</f>
        <v>-34530.149999999907</v>
      </c>
      <c r="I60" s="95">
        <f>G13-G60</f>
        <v>510</v>
      </c>
      <c r="J60" s="175">
        <f>H60/DAY(B2)</f>
        <v>-1190.6948275862037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'28'!F62</f>
        <v>269217</v>
      </c>
      <c r="F62" s="122">
        <v>269319</v>
      </c>
      <c r="G62" s="112">
        <f t="shared" ref="G62:G63" si="5">F62-E62</f>
        <v>102</v>
      </c>
      <c r="H62" s="99">
        <f>G62+'28'!H62</f>
        <v>-197</v>
      </c>
      <c r="I62" s="118"/>
      <c r="J62" s="175">
        <f>H62/DAY(B2)</f>
        <v>-6.7931034482758621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'28'!F63</f>
        <v>215418</v>
      </c>
      <c r="F63" s="122">
        <v>215557</v>
      </c>
      <c r="G63" s="112">
        <f t="shared" si="5"/>
        <v>139</v>
      </c>
      <c r="H63" s="99">
        <f>G63+'28'!H63</f>
        <v>-240</v>
      </c>
      <c r="I63" s="118"/>
      <c r="J63" s="175">
        <f>H63/DAY(B2)</f>
        <v>-8.2758620689655178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'28'!F64</f>
        <v>0</v>
      </c>
      <c r="F64" s="122"/>
      <c r="G64" s="112">
        <f>G62+G63</f>
        <v>241</v>
      </c>
      <c r="H64" s="99">
        <f>G64+'28'!H64</f>
        <v>-437</v>
      </c>
      <c r="I64" s="118"/>
      <c r="J64" s="175">
        <f>H64/DAY(B2)</f>
        <v>-15.068965517241379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'28'!F65</f>
        <v>434685</v>
      </c>
      <c r="F65" s="122">
        <v>434769</v>
      </c>
      <c r="G65" s="112">
        <f t="shared" ref="G65:G70" si="6">F65-E65</f>
        <v>84</v>
      </c>
      <c r="H65" s="99">
        <f>G65+'28'!H65</f>
        <v>-154</v>
      </c>
      <c r="I65" s="118"/>
      <c r="J65" s="175">
        <f>H65/DAY(B2)</f>
        <v>-5.3103448275862073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'28'!F66</f>
        <v>107679</v>
      </c>
      <c r="F66" s="122">
        <v>107701</v>
      </c>
      <c r="G66" s="112">
        <f t="shared" si="6"/>
        <v>22</v>
      </c>
      <c r="H66" s="99">
        <f>G66+'28'!H66</f>
        <v>403</v>
      </c>
      <c r="I66" s="118"/>
      <c r="J66" s="175">
        <f>H66/DAY(B2)</f>
        <v>13.896551724137931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'28'!F67</f>
        <v>104571</v>
      </c>
      <c r="F67" s="122">
        <v>104596</v>
      </c>
      <c r="G67" s="112">
        <f t="shared" si="6"/>
        <v>25</v>
      </c>
      <c r="H67" s="99">
        <f>G67+'28'!H67</f>
        <v>-52</v>
      </c>
      <c r="I67" s="118"/>
      <c r="J67" s="175">
        <f>H67/DAY(B2)</f>
        <v>-1.7931034482758621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'28'!F68</f>
        <v>157595</v>
      </c>
      <c r="F68" s="122">
        <v>157643</v>
      </c>
      <c r="G68" s="112">
        <f t="shared" si="6"/>
        <v>48</v>
      </c>
      <c r="H68" s="99">
        <f>G68+'28'!H68</f>
        <v>-34</v>
      </c>
      <c r="I68" s="118"/>
      <c r="J68" s="175">
        <f>H68/DAY(B2)</f>
        <v>-1.1724137931034482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'28'!F69</f>
        <v>10517</v>
      </c>
      <c r="F69" s="122">
        <v>10524</v>
      </c>
      <c r="G69" s="112">
        <f t="shared" si="6"/>
        <v>7</v>
      </c>
      <c r="H69" s="99">
        <f>G69+'28'!H69</f>
        <v>-17</v>
      </c>
      <c r="I69" s="118"/>
      <c r="J69" s="175">
        <f>H69/DAY(B2)</f>
        <v>-0.58620689655172409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'28'!F70</f>
        <v>8075</v>
      </c>
      <c r="F70" s="122">
        <v>8090</v>
      </c>
      <c r="G70" s="112">
        <f t="shared" si="6"/>
        <v>15</v>
      </c>
      <c r="H70" s="99">
        <f>G70+'28'!H70</f>
        <v>-30</v>
      </c>
      <c r="I70" s="118"/>
      <c r="J70" s="175">
        <f>H70/DAY(B2)</f>
        <v>-1.0344827586206897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95">
        <f>'28'!F71</f>
        <v>0</v>
      </c>
      <c r="F71" s="152">
        <v>18</v>
      </c>
      <c r="G71" s="153">
        <f>SUM(G65:G70)</f>
        <v>201</v>
      </c>
      <c r="H71" s="99">
        <f>G71+'28'!H71</f>
        <v>116</v>
      </c>
      <c r="I71" s="154"/>
      <c r="J71" s="175">
        <f>H71/DAY(B2)</f>
        <v>4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'28'!F74</f>
        <v>900401</v>
      </c>
      <c r="F74" s="117">
        <v>900704</v>
      </c>
      <c r="G74" s="112">
        <f t="shared" ref="G74:G78" si="7">F74-E74</f>
        <v>303</v>
      </c>
      <c r="H74" s="99">
        <f>G74+'28'!H74</f>
        <v>-602.14899999997579</v>
      </c>
      <c r="I74" s="154"/>
      <c r="J74" s="175">
        <f>H74/DAY(B2)</f>
        <v>-20.763758620688819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'28'!F76</f>
        <v>169707</v>
      </c>
      <c r="F76" s="123">
        <v>169805</v>
      </c>
      <c r="G76" s="112">
        <f t="shared" si="7"/>
        <v>98</v>
      </c>
      <c r="H76" s="99">
        <f>G76+'28'!H76</f>
        <v>-170</v>
      </c>
      <c r="I76" s="154"/>
      <c r="J76" s="175">
        <f>H76/DAY(B2)</f>
        <v>-5.8620689655172411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'28'!F77</f>
        <v>41193</v>
      </c>
      <c r="F77" s="123">
        <v>41239</v>
      </c>
      <c r="G77" s="112">
        <f t="shared" si="7"/>
        <v>46</v>
      </c>
      <c r="H77" s="99">
        <f>G77+'28'!H77</f>
        <v>-63.19999999999709</v>
      </c>
      <c r="I77" s="154"/>
      <c r="J77" s="175">
        <f>H77/DAY(B2)</f>
        <v>-2.1793103448274858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'28'!F78</f>
        <v>9511</v>
      </c>
      <c r="F78" s="123">
        <v>9513</v>
      </c>
      <c r="G78" s="112">
        <f t="shared" si="7"/>
        <v>2</v>
      </c>
      <c r="H78" s="99">
        <f>G78+'28'!H78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'28'!F79</f>
        <v>0</v>
      </c>
      <c r="F79" s="117"/>
      <c r="G79" s="112">
        <f>G15-SUM(G74:G78)</f>
        <v>651</v>
      </c>
      <c r="H79" s="99">
        <f>G79+'28'!H79</f>
        <v>32188.58199999998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'28'!F84</f>
        <v>41675.4</v>
      </c>
      <c r="F84" s="164">
        <v>41675.26</v>
      </c>
      <c r="G84" s="112">
        <f t="shared" si="8"/>
        <v>-0.13999999999941792</v>
      </c>
      <c r="H84" s="99">
        <f>G84+'28'!H84</f>
        <v>0.26000000000203727</v>
      </c>
      <c r="I84" s="118"/>
      <c r="J84" s="175">
        <f>H84/DAY(B2)</f>
        <v>8.965517241449561E-3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'28'!F85</f>
        <v>2190</v>
      </c>
      <c r="F85" s="164">
        <v>2214</v>
      </c>
      <c r="G85" s="112">
        <f t="shared" si="8"/>
        <v>24</v>
      </c>
      <c r="H85" s="99">
        <f>G85+'28'!H85</f>
        <v>-46.420000000000073</v>
      </c>
      <c r="I85" s="118">
        <f>G82+G83+G84+G85</f>
        <v>23.860000000000582</v>
      </c>
      <c r="J85" s="175">
        <f>H85/DAY(B2)</f>
        <v>-1.6006896551724163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'28'!F86</f>
        <v>43442</v>
      </c>
      <c r="F86" s="164">
        <v>43442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'28'!F87</f>
        <v>34598.550000000003</v>
      </c>
      <c r="F87" s="164">
        <v>34598.550000000003</v>
      </c>
      <c r="G87" s="112">
        <f t="shared" si="8"/>
        <v>0</v>
      </c>
      <c r="H87" s="99">
        <f>G87+'28'!H87</f>
        <v>5.0000000002910383E-2</v>
      </c>
      <c r="I87" s="118"/>
      <c r="J87" s="175">
        <f>H87/DAY(B2)</f>
        <v>1.7241379311348408E-3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'28'!F88</f>
        <v>24063.43</v>
      </c>
      <c r="F88" s="164">
        <v>24063.43</v>
      </c>
      <c r="G88" s="112">
        <f t="shared" si="8"/>
        <v>0</v>
      </c>
      <c r="H88" s="99">
        <f>G88+'28'!H88</f>
        <v>0</v>
      </c>
      <c r="I88" s="118">
        <f>G86+G87+G88</f>
        <v>0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'28'!F89</f>
        <v>25862.68</v>
      </c>
      <c r="F89" s="164">
        <v>25872.61</v>
      </c>
      <c r="G89" s="112">
        <f t="shared" si="8"/>
        <v>9.930000000000291</v>
      </c>
      <c r="H89" s="99">
        <f>G89+'28'!H89</f>
        <v>-18.509999999998399</v>
      </c>
      <c r="I89" s="118"/>
      <c r="J89" s="175">
        <f>H89/DAY(B2)</f>
        <v>-0.63827586206891029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'28'!F90</f>
        <v>71158.149999999994</v>
      </c>
      <c r="F90" s="164">
        <v>71159.08</v>
      </c>
      <c r="G90" s="112">
        <f t="shared" si="8"/>
        <v>0.930000000007567</v>
      </c>
      <c r="H90" s="99">
        <f>G90+'28'!H90</f>
        <v>-121.67999999999302</v>
      </c>
      <c r="I90" s="118">
        <f>G89+G90</f>
        <v>10.860000000007858</v>
      </c>
      <c r="J90" s="175">
        <f>H90/DAY(B2)</f>
        <v>-4.1958620689652761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'28'!F91</f>
        <v>3226</v>
      </c>
      <c r="F91" s="122">
        <v>3228.01</v>
      </c>
      <c r="G91" s="112">
        <f t="shared" si="8"/>
        <v>2.0100000000002183</v>
      </c>
      <c r="H91" s="99">
        <f>G91+'28'!H91</f>
        <v>305.99000000000024</v>
      </c>
      <c r="I91" s="165"/>
      <c r="J91" s="175">
        <f>H91/DAY(B2)</f>
        <v>10.551379310344835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'28'!F92</f>
        <v>5732.08</v>
      </c>
      <c r="F92" s="122">
        <v>5741.07</v>
      </c>
      <c r="G92" s="112">
        <f t="shared" si="8"/>
        <v>8.9899999999997817</v>
      </c>
      <c r="H92" s="99">
        <f>G92+'28'!H92</f>
        <v>0</v>
      </c>
      <c r="I92" s="165"/>
      <c r="J92" s="175">
        <f>H92/DAY(B2)</f>
        <v>0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4173</v>
      </c>
      <c r="H94" s="99">
        <f>G94+'28'!H94</f>
        <v>-7970.7700000000186</v>
      </c>
      <c r="I94" s="118"/>
      <c r="J94" s="175">
        <f>H94/DAY(B2)</f>
        <v>-274.8541379310351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0.18968181818181817</v>
      </c>
      <c r="H95" s="99">
        <f>G95+'28'!H95</f>
        <v>1.8017970316052074</v>
      </c>
      <c r="I95" s="167"/>
      <c r="J95" s="175">
        <f>H95/DAY(B2)</f>
        <v>6.2130932124317501E-2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3572</v>
      </c>
      <c r="H96" s="99">
        <f>G96+'28'!H96</f>
        <v>-8265.5800000000017</v>
      </c>
      <c r="I96" s="118"/>
      <c r="J96" s="175">
        <f>H96/DAY(B2)</f>
        <v>-285.02000000000004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0.16236363636363638</v>
      </c>
      <c r="H97" s="99">
        <f>G97+'28'!H97</f>
        <v>1.3488642026648501</v>
      </c>
      <c r="I97" s="167"/>
      <c r="J97" s="175">
        <f>H97/DAY(B2)</f>
        <v>4.6512558712581038E-2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2606</v>
      </c>
      <c r="H98" s="99">
        <f>G98+'28'!H98</f>
        <v>-5265.2899999999936</v>
      </c>
      <c r="I98" s="168"/>
      <c r="J98" s="175">
        <f>H98/DAY(B2)</f>
        <v>-181.56172413793081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0.11845454545454545</v>
      </c>
      <c r="H99" s="99">
        <f>G99+'28'!H99</f>
        <v>1.0636763813136976</v>
      </c>
      <c r="I99" s="168"/>
      <c r="J99" s="175">
        <f>H99/DAY(B2)</f>
        <v>3.667849590736888E-2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1750</v>
      </c>
      <c r="H100" s="99">
        <f>G100+'28'!H100</f>
        <v>-3256.4300000000003</v>
      </c>
      <c r="I100" s="118"/>
      <c r="J100" s="175">
        <f>H100/DAY(B2)</f>
        <v>-112.29068965517243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7.9545454545454544E-2</v>
      </c>
      <c r="H101" s="99">
        <f>G101+'28'!H101</f>
        <v>0.71842380269381723</v>
      </c>
      <c r="I101" s="168"/>
      <c r="J101" s="175">
        <f>H101/DAY(B2)</f>
        <v>2.477323457564887E-2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1678</v>
      </c>
      <c r="H102" s="99">
        <f>G102+'28'!H102</f>
        <v>-3606.3699999999953</v>
      </c>
      <c r="I102" s="168"/>
      <c r="J102" s="175">
        <f>H102/DAY(B2)</f>
        <v>-124.35758620689639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7.627272727272727E-2</v>
      </c>
      <c r="H103" s="99">
        <f>G103+'28'!H103</f>
        <v>0.75680731733265016</v>
      </c>
      <c r="I103" s="118"/>
      <c r="J103" s="175">
        <f>H103/DAY(B2)</f>
        <v>2.6096804045953454E-2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1611</v>
      </c>
      <c r="H104" s="99">
        <f>G104+'28'!H104</f>
        <v>-3141.0899999999965</v>
      </c>
      <c r="I104" s="118"/>
      <c r="J104" s="175">
        <f>H104/DAY(B2)</f>
        <v>-108.31344827586194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7.3227272727272724E-2</v>
      </c>
      <c r="H105" s="99">
        <f>G105+'28'!H105</f>
        <v>0.58443933869447529</v>
      </c>
      <c r="I105" s="187"/>
      <c r="J105" s="188">
        <f>H105/DAY(B2)</f>
        <v>2.015308064463708E-2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237">
        <v>57824</v>
      </c>
      <c r="F112" s="237">
        <v>57901</v>
      </c>
      <c r="G112" s="112">
        <f t="shared" ref="G112" si="9">F112-E112</f>
        <v>77</v>
      </c>
      <c r="H112" s="99">
        <f>G112+'28'!H112</f>
        <v>-153</v>
      </c>
      <c r="I112" s="165"/>
      <c r="J112" s="328">
        <f>H112/DAY(B2)</f>
        <v>-5.2758620689655169</v>
      </c>
    </row>
    <row r="113" spans="1:18" ht="27.75" x14ac:dyDescent="0.5">
      <c r="A113" s="871" t="s">
        <v>253</v>
      </c>
      <c r="B113" s="872"/>
      <c r="C113" s="873"/>
      <c r="D113" s="146" t="s">
        <v>183</v>
      </c>
      <c r="E113" s="95">
        <f>'28'!F113</f>
        <v>45015</v>
      </c>
      <c r="F113" s="237">
        <v>45482</v>
      </c>
      <c r="G113" s="112">
        <f t="shared" ref="G113:G123" si="10">F113-E113</f>
        <v>467</v>
      </c>
      <c r="H113" s="99">
        <f>G113+'28'!H113</f>
        <v>-918.88999999999942</v>
      </c>
      <c r="I113" s="165"/>
      <c r="J113" s="328">
        <f>H113/DAY(B2)</f>
        <v>-31.685862068965498</v>
      </c>
    </row>
    <row r="114" spans="1:18" ht="27.75" x14ac:dyDescent="0.5">
      <c r="A114" s="871" t="s">
        <v>254</v>
      </c>
      <c r="B114" s="872"/>
      <c r="C114" s="873"/>
      <c r="D114" s="146" t="s">
        <v>183</v>
      </c>
      <c r="E114" s="95">
        <f>'28'!F114</f>
        <v>32387</v>
      </c>
      <c r="F114" s="237">
        <v>32645</v>
      </c>
      <c r="G114" s="112">
        <f t="shared" si="10"/>
        <v>258</v>
      </c>
      <c r="H114" s="99">
        <f>G114+'28'!H114</f>
        <v>-515</v>
      </c>
      <c r="I114" s="165"/>
      <c r="J114" s="328">
        <f>H114/DAY(B2)</f>
        <v>-17.758620689655171</v>
      </c>
    </row>
    <row r="115" spans="1:18" ht="27.75" x14ac:dyDescent="0.5">
      <c r="A115" s="871" t="s">
        <v>255</v>
      </c>
      <c r="B115" s="872"/>
      <c r="C115" s="873"/>
      <c r="D115" s="146" t="s">
        <v>183</v>
      </c>
      <c r="E115" s="95">
        <f>'28'!F115</f>
        <v>9063</v>
      </c>
      <c r="F115" s="237">
        <v>9071</v>
      </c>
      <c r="G115" s="112">
        <f t="shared" si="10"/>
        <v>8</v>
      </c>
      <c r="H115" s="99">
        <f>G115+'28'!H115</f>
        <v>-23.649999999999636</v>
      </c>
      <c r="I115" s="165"/>
      <c r="J115" s="328">
        <f>H115/DAY(B2)</f>
        <v>-0.81551724137929782</v>
      </c>
    </row>
    <row r="116" spans="1:18" ht="27.75" x14ac:dyDescent="0.5">
      <c r="A116" s="878" t="s">
        <v>96</v>
      </c>
      <c r="B116" s="879"/>
      <c r="C116" s="880"/>
      <c r="D116" s="146" t="s">
        <v>183</v>
      </c>
      <c r="E116" s="95">
        <f>'28'!F116</f>
        <v>0</v>
      </c>
      <c r="F116" s="237">
        <v>0</v>
      </c>
      <c r="G116" s="112">
        <f t="shared" si="10"/>
        <v>0</v>
      </c>
      <c r="H116" s="99">
        <f>G116+'28'!H116</f>
        <v>0</v>
      </c>
      <c r="I116" s="165"/>
      <c r="J116" s="328">
        <f>H116/DAY(B2)</f>
        <v>0</v>
      </c>
      <c r="Q116" s="871" t="s">
        <v>311</v>
      </c>
      <c r="R116" s="873"/>
    </row>
    <row r="117" spans="1:18" ht="27.75" x14ac:dyDescent="0.5">
      <c r="A117" s="878" t="s">
        <v>184</v>
      </c>
      <c r="B117" s="879"/>
      <c r="C117" s="880"/>
      <c r="D117" s="146" t="s">
        <v>183</v>
      </c>
      <c r="E117" s="95">
        <f>'28'!F117</f>
        <v>3253</v>
      </c>
      <c r="F117" s="237">
        <v>3277</v>
      </c>
      <c r="G117" s="112">
        <f t="shared" si="10"/>
        <v>24</v>
      </c>
      <c r="H117" s="99">
        <f>G117+'28'!H117</f>
        <v>-60.949999999999818</v>
      </c>
      <c r="I117" s="165"/>
      <c r="J117" s="328">
        <f>H117/DAY(B2)</f>
        <v>-2.1017241379310283</v>
      </c>
      <c r="Q117" s="871" t="s">
        <v>312</v>
      </c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'28'!F118</f>
        <v>251486</v>
      </c>
      <c r="F118" s="237">
        <v>251822</v>
      </c>
      <c r="G118" s="112">
        <f t="shared" si="10"/>
        <v>336</v>
      </c>
      <c r="H118" s="99">
        <f>G118+'28'!H118</f>
        <v>-630.30999999999767</v>
      </c>
      <c r="I118" s="165"/>
      <c r="J118" s="328">
        <f>H118/DAY(B2)</f>
        <v>-21.734827586206816</v>
      </c>
      <c r="Q118" s="871" t="s">
        <v>311</v>
      </c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'28'!F119</f>
        <v>256886</v>
      </c>
      <c r="F119" s="237">
        <v>257303</v>
      </c>
      <c r="G119" s="112">
        <f t="shared" si="10"/>
        <v>417</v>
      </c>
      <c r="H119" s="99">
        <f>G119+'28'!H119</f>
        <v>-845.54999999998836</v>
      </c>
      <c r="I119" s="165"/>
      <c r="J119" s="328">
        <f>H119/DAY(B2)</f>
        <v>-29.156896551723737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'28'!F120</f>
        <v>41690</v>
      </c>
      <c r="F120" s="237">
        <v>42114</v>
      </c>
      <c r="G120" s="112">
        <f t="shared" si="10"/>
        <v>424</v>
      </c>
      <c r="H120" s="99">
        <f>G120+'28'!H120</f>
        <v>-845.61000000000058</v>
      </c>
      <c r="I120" s="165"/>
      <c r="J120" s="328">
        <f>H120/DAY(B2)</f>
        <v>-29.158965517241398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'28'!F121</f>
        <v>395861</v>
      </c>
      <c r="F121" s="237">
        <v>396571</v>
      </c>
      <c r="G121" s="112">
        <f t="shared" si="10"/>
        <v>710</v>
      </c>
      <c r="H121" s="99">
        <f>G121+'28'!H121</f>
        <v>-1463.429999999993</v>
      </c>
      <c r="I121" s="165"/>
      <c r="J121" s="328">
        <f>H121/DAY(B2)</f>
        <v>-50.463103448275618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'28'!F122</f>
        <v>125574</v>
      </c>
      <c r="F122" s="237">
        <v>125774</v>
      </c>
      <c r="G122" s="112">
        <f t="shared" si="10"/>
        <v>200</v>
      </c>
      <c r="H122" s="99">
        <f>G122+'28'!H122</f>
        <v>-412.17999999999302</v>
      </c>
      <c r="I122" s="165"/>
      <c r="J122" s="328">
        <f>H122/DAY(B2)</f>
        <v>-14.213103448275621</v>
      </c>
    </row>
    <row r="123" spans="1:18" ht="27.75" x14ac:dyDescent="0.5">
      <c r="A123" s="870" t="s">
        <v>102</v>
      </c>
      <c r="B123" s="870"/>
      <c r="C123" s="870"/>
      <c r="D123" s="151" t="s">
        <v>183</v>
      </c>
      <c r="E123" s="95">
        <f>'28'!F123</f>
        <v>153220</v>
      </c>
      <c r="F123" s="237">
        <v>153495</v>
      </c>
      <c r="G123" s="112">
        <f t="shared" si="10"/>
        <v>275</v>
      </c>
      <c r="H123" s="99">
        <f>G123+'28'!H123</f>
        <v>-551.95000000001164</v>
      </c>
      <c r="I123" s="165"/>
      <c r="J123" s="328">
        <f>H123/DAY(B2)</f>
        <v>-19.032758620690057</v>
      </c>
    </row>
    <row r="124" spans="1:18" ht="27.75" x14ac:dyDescent="0.5">
      <c r="A124" s="875"/>
      <c r="B124" s="876"/>
      <c r="C124" s="877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590</v>
      </c>
      <c r="J125" s="327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 x14ac:dyDescent="0.5">
      <c r="A128" s="871" t="s">
        <v>318</v>
      </c>
      <c r="B128" s="872"/>
      <c r="C128" s="873"/>
      <c r="D128" s="151" t="s">
        <v>183</v>
      </c>
      <c r="E128" s="95">
        <f>'28'!F128</f>
        <v>46835</v>
      </c>
      <c r="F128" s="165">
        <v>47138</v>
      </c>
      <c r="G128" s="112">
        <f t="shared" ref="G128:G134" si="11">F128-E128</f>
        <v>303</v>
      </c>
      <c r="H128" s="99">
        <f>G128+'28'!H128</f>
        <v>-608</v>
      </c>
      <c r="I128" s="165"/>
      <c r="J128" s="328">
        <f>H128/DAY(B2)</f>
        <v>-20.96551724137931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'28'!F129</f>
        <v>26369</v>
      </c>
      <c r="F129" s="165">
        <v>26567</v>
      </c>
      <c r="G129" s="112">
        <f t="shared" si="11"/>
        <v>198</v>
      </c>
      <c r="H129" s="99">
        <f>G129+'28'!H129</f>
        <v>-343.86999999999898</v>
      </c>
      <c r="I129" s="165"/>
      <c r="J129" s="328">
        <f>H129/DAY(B2)</f>
        <v>-11.857586206896517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'28'!F130</f>
        <v>34366</v>
      </c>
      <c r="F130" s="165">
        <v>34772</v>
      </c>
      <c r="G130" s="112">
        <f t="shared" si="11"/>
        <v>406</v>
      </c>
      <c r="H130" s="99">
        <f>G130+'28'!H130</f>
        <v>-922</v>
      </c>
      <c r="I130" s="165"/>
      <c r="J130" s="328">
        <f>H130/DAY(B2)</f>
        <v>-31.793103448275861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'28'!F131</f>
        <v>15155</v>
      </c>
      <c r="F131" s="165">
        <v>15216</v>
      </c>
      <c r="G131" s="112">
        <f t="shared" si="11"/>
        <v>61</v>
      </c>
      <c r="H131" s="99">
        <f>G131+'28'!H131</f>
        <v>-91.680000000000291</v>
      </c>
      <c r="I131" s="165"/>
      <c r="J131" s="328">
        <f>H131/DAY(B2)</f>
        <v>-3.1613793103448375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'28'!F132</f>
        <v>51353</v>
      </c>
      <c r="F132" s="165">
        <v>51518</v>
      </c>
      <c r="G132" s="112">
        <f t="shared" si="11"/>
        <v>165</v>
      </c>
      <c r="H132" s="99">
        <f>G132+'28'!H132</f>
        <v>-330.30000000000291</v>
      </c>
      <c r="I132" s="165"/>
      <c r="J132" s="328">
        <f>H132/DAY(B2)</f>
        <v>-11.389655172413894</v>
      </c>
    </row>
    <row r="133" spans="1:15" ht="27.75" x14ac:dyDescent="0.5">
      <c r="A133" s="871" t="s">
        <v>362</v>
      </c>
      <c r="B133" s="872"/>
      <c r="C133" s="873"/>
      <c r="D133" s="151" t="s">
        <v>183</v>
      </c>
      <c r="E133" s="95">
        <f>'28'!F133</f>
        <v>103916</v>
      </c>
      <c r="F133" s="165">
        <v>104410</v>
      </c>
      <c r="G133" s="112">
        <f t="shared" si="11"/>
        <v>494</v>
      </c>
      <c r="H133" s="99">
        <f>G133+'28'!H133</f>
        <v>-933.69999999999709</v>
      </c>
      <c r="I133" s="165"/>
      <c r="J133" s="328">
        <f>H133/DAY(B2)</f>
        <v>-32.196551724137834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'28'!F134</f>
        <v>8139</v>
      </c>
      <c r="F134" s="165">
        <v>8290</v>
      </c>
      <c r="G134" s="112">
        <f t="shared" si="11"/>
        <v>151</v>
      </c>
      <c r="H134" s="99">
        <f>G134+'28'!H134</f>
        <v>-311.22999999999956</v>
      </c>
      <c r="I134" s="165"/>
      <c r="J134" s="328">
        <f>H134/DAY(B2)</f>
        <v>-10.732068965517227</v>
      </c>
    </row>
    <row r="135" spans="1:15" ht="27.75" x14ac:dyDescent="0.5">
      <c r="A135" s="855" t="s">
        <v>196</v>
      </c>
      <c r="B135" s="856"/>
      <c r="C135" s="331"/>
      <c r="D135" s="151"/>
      <c r="E135" s="95"/>
      <c r="F135" s="165"/>
      <c r="G135" s="112">
        <f>SUM(G127:G134)</f>
        <v>1778</v>
      </c>
      <c r="H135" s="99">
        <f>G135+'23'!H135</f>
        <v>27804.3</v>
      </c>
      <c r="I135" s="327">
        <f>G135-(G35+G49)</f>
        <v>-330</v>
      </c>
      <c r="J135" s="328"/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'28'!F138</f>
        <v>865997</v>
      </c>
      <c r="F138" s="147">
        <v>866045</v>
      </c>
      <c r="G138" s="112">
        <f t="shared" ref="G138:G152" si="12">F138-E138</f>
        <v>48</v>
      </c>
      <c r="H138" s="99">
        <f>G138+'28'!H138</f>
        <v>-128</v>
      </c>
      <c r="I138" s="118"/>
      <c r="J138" s="328">
        <f>H138/DAY(B2)</f>
        <v>-4.4137931034482758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'28'!F139</f>
        <v>886570</v>
      </c>
      <c r="F139" s="148">
        <v>886570</v>
      </c>
      <c r="G139" s="112">
        <f t="shared" si="12"/>
        <v>0</v>
      </c>
      <c r="H139" s="99">
        <f>G139+'28'!H139</f>
        <v>-3</v>
      </c>
      <c r="I139" s="118"/>
      <c r="J139" s="328">
        <f>H139/DAY(B2)</f>
        <v>-0.10344827586206896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'28'!F140</f>
        <v>88922</v>
      </c>
      <c r="F140" s="149">
        <v>88922</v>
      </c>
      <c r="G140" s="112">
        <f t="shared" si="12"/>
        <v>0</v>
      </c>
      <c r="H140" s="99">
        <f>G140+'28'!H140</f>
        <v>0</v>
      </c>
      <c r="I140" s="118"/>
      <c r="J140" s="328">
        <f>H140/DAY(B2)</f>
        <v>0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'28'!F141</f>
        <v>54154</v>
      </c>
      <c r="F141" s="149">
        <v>54339</v>
      </c>
      <c r="G141" s="112">
        <f t="shared" si="12"/>
        <v>185</v>
      </c>
      <c r="H141" s="99">
        <f>G141+'28'!H141</f>
        <v>-346.58000000000175</v>
      </c>
      <c r="I141" s="118"/>
      <c r="J141" s="328">
        <f>H141/DAY(B2)</f>
        <v>-11.951034482758681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'28'!F142</f>
        <v>21049</v>
      </c>
      <c r="F142" s="148">
        <v>21127</v>
      </c>
      <c r="G142" s="112">
        <f t="shared" si="12"/>
        <v>78</v>
      </c>
      <c r="H142" s="99">
        <f>G142+'28'!H142</f>
        <v>-157.09999999999854</v>
      </c>
      <c r="I142" s="140"/>
      <c r="J142" s="328">
        <f>H142/DAY(B2)</f>
        <v>-5.4172413793102949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'28'!F143</f>
        <v>3762</v>
      </c>
      <c r="F143" s="149">
        <v>3787</v>
      </c>
      <c r="G143" s="112">
        <f t="shared" si="12"/>
        <v>25</v>
      </c>
      <c r="H143" s="99">
        <f>G143+'28'!H143</f>
        <v>-48.389999999999873</v>
      </c>
      <c r="I143" s="140"/>
      <c r="J143" s="328">
        <f>H143/DAY(B2)</f>
        <v>-1.6686206896551681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'28'!F144</f>
        <v>875870</v>
      </c>
      <c r="F144" s="149">
        <v>876070</v>
      </c>
      <c r="G144" s="112">
        <f t="shared" si="12"/>
        <v>200</v>
      </c>
      <c r="H144" s="99">
        <f>G144+'28'!H144</f>
        <v>-417</v>
      </c>
      <c r="I144" s="140"/>
      <c r="J144" s="328">
        <f>H144/DAY(B2)</f>
        <v>-14.379310344827585</v>
      </c>
    </row>
    <row r="145" spans="1:10" ht="27.75" x14ac:dyDescent="0.5">
      <c r="A145" s="870" t="s">
        <v>190</v>
      </c>
      <c r="B145" s="870"/>
      <c r="C145" s="870"/>
      <c r="D145" s="152" t="s">
        <v>183</v>
      </c>
      <c r="E145" s="95">
        <f>'28'!F145</f>
        <v>4935</v>
      </c>
      <c r="F145" s="149">
        <v>4943</v>
      </c>
      <c r="G145" s="112">
        <f t="shared" si="12"/>
        <v>8</v>
      </c>
      <c r="H145" s="99">
        <f>G145+'28'!H145</f>
        <v>-15.840000000000146</v>
      </c>
      <c r="I145" s="140"/>
      <c r="J145" s="328">
        <f>H145/DAY(B2)</f>
        <v>-0.54620689655172916</v>
      </c>
    </row>
    <row r="146" spans="1:10" ht="27.75" x14ac:dyDescent="0.5">
      <c r="A146" s="905" t="s">
        <v>191</v>
      </c>
      <c r="B146" s="890"/>
      <c r="C146" s="891"/>
      <c r="D146" s="152" t="s">
        <v>183</v>
      </c>
      <c r="E146" s="95">
        <f>'28'!F146</f>
        <v>736078</v>
      </c>
      <c r="F146" s="148">
        <v>736461</v>
      </c>
      <c r="G146" s="112">
        <f t="shared" si="12"/>
        <v>383</v>
      </c>
      <c r="H146" s="99">
        <f>G146+'28'!H146</f>
        <v>-872</v>
      </c>
      <c r="I146" s="140"/>
      <c r="J146" s="328">
        <f>H146/DAY(B2)</f>
        <v>-30.068965517241381</v>
      </c>
    </row>
    <row r="147" spans="1:10" ht="27.75" x14ac:dyDescent="0.5">
      <c r="A147" s="851" t="s">
        <v>192</v>
      </c>
      <c r="B147" s="851"/>
      <c r="C147" s="851"/>
      <c r="D147" s="152" t="s">
        <v>183</v>
      </c>
      <c r="E147" s="95">
        <f>'28'!F147</f>
        <v>625551</v>
      </c>
      <c r="F147" s="148">
        <v>625925</v>
      </c>
      <c r="G147" s="112">
        <f t="shared" si="12"/>
        <v>374</v>
      </c>
      <c r="H147" s="99">
        <f>G147+'28'!H147</f>
        <v>-687.52000000001863</v>
      </c>
      <c r="I147" s="140"/>
      <c r="J147" s="328">
        <f>H147/DAY(B2)</f>
        <v>-23.707586206897194</v>
      </c>
    </row>
    <row r="148" spans="1:10" ht="27.75" x14ac:dyDescent="0.5">
      <c r="A148" s="852" t="s">
        <v>193</v>
      </c>
      <c r="B148" s="853"/>
      <c r="C148" s="854"/>
      <c r="D148" s="123" t="s">
        <v>130</v>
      </c>
      <c r="E148" s="95">
        <f>'28'!F148</f>
        <v>688880</v>
      </c>
      <c r="F148" s="150">
        <v>689065</v>
      </c>
      <c r="G148" s="112">
        <f t="shared" si="12"/>
        <v>185</v>
      </c>
      <c r="H148" s="99">
        <f>G148+'28'!H148</f>
        <v>-377.95999999996275</v>
      </c>
      <c r="I148" s="124"/>
      <c r="J148" s="328">
        <f>H148/DAY(B2)</f>
        <v>-13.033103448274577</v>
      </c>
    </row>
    <row r="149" spans="1:10" ht="27.75" x14ac:dyDescent="0.5">
      <c r="A149" s="852" t="s">
        <v>336</v>
      </c>
      <c r="B149" s="853"/>
      <c r="C149" s="854"/>
      <c r="D149" s="227" t="s">
        <v>130</v>
      </c>
      <c r="E149" s="95">
        <f>'28'!F149</f>
        <v>23289</v>
      </c>
      <c r="F149" s="146">
        <v>23796</v>
      </c>
      <c r="G149" s="112">
        <f t="shared" si="12"/>
        <v>507</v>
      </c>
      <c r="H149" s="99">
        <f>G149+'28'!H149</f>
        <v>-882.20000000000073</v>
      </c>
      <c r="I149" s="119"/>
      <c r="J149" s="328">
        <f>H149/DAY(B2)</f>
        <v>-30.420689655172438</v>
      </c>
    </row>
    <row r="150" spans="1:10" ht="27.75" x14ac:dyDescent="0.5">
      <c r="A150" s="852" t="s">
        <v>337</v>
      </c>
      <c r="B150" s="853"/>
      <c r="C150" s="854"/>
      <c r="D150" s="117" t="s">
        <v>130</v>
      </c>
      <c r="E150" s="95">
        <f>'28'!F150</f>
        <v>10179</v>
      </c>
      <c r="F150" s="233">
        <v>10414</v>
      </c>
      <c r="G150" s="112">
        <f t="shared" si="12"/>
        <v>235</v>
      </c>
      <c r="H150" s="99">
        <f>G150+'28'!H150</f>
        <v>-436.82999999999993</v>
      </c>
      <c r="I150" s="119"/>
      <c r="J150" s="328">
        <f>H150/DAY(B2)</f>
        <v>-15.063103448275859</v>
      </c>
    </row>
    <row r="151" spans="1:10" ht="27.75" x14ac:dyDescent="0.5">
      <c r="A151" s="852" t="s">
        <v>338</v>
      </c>
      <c r="B151" s="853"/>
      <c r="C151" s="854"/>
      <c r="D151" s="117" t="s">
        <v>130</v>
      </c>
      <c r="E151" s="95">
        <f>'28'!F151</f>
        <v>84703</v>
      </c>
      <c r="F151" s="233">
        <v>84953</v>
      </c>
      <c r="G151" s="112">
        <f t="shared" si="12"/>
        <v>250</v>
      </c>
      <c r="H151" s="99">
        <f>G151+'28'!H151</f>
        <v>-527</v>
      </c>
      <c r="I151" s="119"/>
      <c r="J151" s="328">
        <f>H151/DAY(B2)</f>
        <v>-18.172413793103448</v>
      </c>
    </row>
    <row r="152" spans="1:10" ht="27.75" x14ac:dyDescent="0.5">
      <c r="A152" s="852" t="s">
        <v>339</v>
      </c>
      <c r="B152" s="853"/>
      <c r="C152" s="854"/>
      <c r="D152" s="117" t="s">
        <v>130</v>
      </c>
      <c r="E152" s="95">
        <f>'28'!F152</f>
        <v>1614</v>
      </c>
      <c r="F152" s="233">
        <v>1627</v>
      </c>
      <c r="G152" s="112">
        <f t="shared" si="12"/>
        <v>13</v>
      </c>
      <c r="H152" s="99">
        <f>G152+'28'!H152</f>
        <v>-33</v>
      </c>
      <c r="I152" s="119"/>
      <c r="J152" s="328">
        <f>H152/DAY(B2)</f>
        <v>-1.1379310344827587</v>
      </c>
    </row>
    <row r="153" spans="1:10" ht="27.75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2491</v>
      </c>
      <c r="H153" s="363"/>
      <c r="I153" s="119">
        <f>G153-(G38+G52)</f>
        <v>741</v>
      </c>
      <c r="J153" s="366"/>
    </row>
    <row r="154" spans="1:10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1.5" x14ac:dyDescent="0.55000000000000004">
      <c r="A155" s="851" t="s">
        <v>345</v>
      </c>
      <c r="B155" s="851"/>
      <c r="C155" s="851"/>
      <c r="D155" s="117" t="s">
        <v>130</v>
      </c>
      <c r="E155" s="95">
        <f>'28'!F155</f>
        <v>30396</v>
      </c>
      <c r="F155" s="471">
        <v>31038</v>
      </c>
      <c r="G155" s="112">
        <f t="shared" ref="G155:G158" si="13">F155-E155</f>
        <v>642</v>
      </c>
      <c r="H155" s="99">
        <f>G155+'28'!H155</f>
        <v>-1907</v>
      </c>
      <c r="I155" s="364"/>
      <c r="J155" s="328">
        <f>H155/DAY(B2)</f>
        <v>-65.758620689655174</v>
      </c>
    </row>
    <row r="156" spans="1:10" ht="27.75" x14ac:dyDescent="0.5">
      <c r="A156" s="851" t="s">
        <v>347</v>
      </c>
      <c r="B156" s="851"/>
      <c r="C156" s="851"/>
      <c r="D156" s="117" t="s">
        <v>130</v>
      </c>
      <c r="E156" s="95">
        <f>'28'!F156</f>
        <v>2564</v>
      </c>
      <c r="F156" s="155">
        <v>2621</v>
      </c>
      <c r="G156" s="112">
        <f t="shared" si="13"/>
        <v>57</v>
      </c>
      <c r="H156" s="99">
        <f>G156+'28'!H156</f>
        <v>-167</v>
      </c>
      <c r="I156" s="165"/>
      <c r="J156" s="328">
        <f>H156/DAY(B2)</f>
        <v>-5.7586206896551726</v>
      </c>
    </row>
    <row r="157" spans="1:10" ht="27.75" x14ac:dyDescent="0.5">
      <c r="A157" s="852" t="s">
        <v>363</v>
      </c>
      <c r="B157" s="853"/>
      <c r="C157" s="854"/>
      <c r="D157" s="117" t="s">
        <v>130</v>
      </c>
      <c r="E157" s="95">
        <f>'28'!F157</f>
        <v>3692</v>
      </c>
      <c r="F157" s="155">
        <v>3806</v>
      </c>
      <c r="G157" s="112">
        <f t="shared" si="13"/>
        <v>114</v>
      </c>
      <c r="H157" s="99">
        <f>G157+'28'!H157</f>
        <v>114</v>
      </c>
      <c r="I157" s="165"/>
      <c r="J157" s="328">
        <f>H157/DAY(B2)</f>
        <v>3.9310344827586206</v>
      </c>
    </row>
    <row r="158" spans="1:10" ht="27.75" x14ac:dyDescent="0.5">
      <c r="A158" s="852" t="s">
        <v>364</v>
      </c>
      <c r="B158" s="853"/>
      <c r="C158" s="854"/>
      <c r="D158" s="117" t="s">
        <v>130</v>
      </c>
      <c r="E158" s="95">
        <f>'28'!F158</f>
        <v>45.55</v>
      </c>
      <c r="F158" s="155">
        <v>45.61</v>
      </c>
      <c r="G158" s="112">
        <f t="shared" si="13"/>
        <v>6.0000000000002274E-2</v>
      </c>
      <c r="H158" s="99">
        <f>G158+'28'!H158</f>
        <v>6.0000000000002274E-2</v>
      </c>
      <c r="I158" s="165"/>
      <c r="J158" s="328">
        <f>H158/DAY(B2)</f>
        <v>2.0689655172414579E-3</v>
      </c>
    </row>
    <row r="159" spans="1:10" ht="27.75" x14ac:dyDescent="0.5">
      <c r="A159" s="935"/>
      <c r="B159" s="936"/>
      <c r="C159" s="93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471960</v>
      </c>
      <c r="F161" s="235">
        <v>471985</v>
      </c>
      <c r="G161" s="238">
        <f t="shared" ref="G161:G165" si="14">F161-E161</f>
        <v>25</v>
      </c>
      <c r="H161" s="99">
        <f>G161+'28'!H161</f>
        <v>-68.559999999997672</v>
      </c>
      <c r="I161" s="236"/>
      <c r="J161" s="239">
        <f>H161/DAY(B2)</f>
        <v>-2.3641379310344024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88439</v>
      </c>
      <c r="F162" s="235">
        <v>88468</v>
      </c>
      <c r="G162" s="238">
        <f t="shared" si="14"/>
        <v>29</v>
      </c>
      <c r="H162" s="99">
        <f>G162+'28'!H162</f>
        <v>-48.399999999994179</v>
      </c>
      <c r="I162" s="236"/>
      <c r="J162" s="239">
        <f>H162/DAY(B2)</f>
        <v>-1.6689655172411786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79102.5</v>
      </c>
      <c r="F163" s="235">
        <v>79150</v>
      </c>
      <c r="G163" s="238">
        <f t="shared" si="14"/>
        <v>47.5</v>
      </c>
      <c r="H163" s="99">
        <f>G163+'28'!H163</f>
        <v>-70.100000000005821</v>
      </c>
      <c r="I163" s="236"/>
      <c r="J163" s="239">
        <f>H163/DAY(B2)</f>
        <v>-2.4172413793105454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4317.3999999999996</v>
      </c>
      <c r="F164" s="235">
        <v>4320</v>
      </c>
      <c r="G164" s="238">
        <f t="shared" si="14"/>
        <v>2.6000000000003638</v>
      </c>
      <c r="H164" s="99">
        <f>G164+'28'!H164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29828</v>
      </c>
      <c r="F165" s="235">
        <v>29835</v>
      </c>
      <c r="G165" s="238">
        <f t="shared" si="14"/>
        <v>7</v>
      </c>
      <c r="H165" s="99">
        <f>G165+'28'!H165</f>
        <v>-22.25</v>
      </c>
      <c r="I165" s="236"/>
      <c r="J165" s="239">
        <f>H165/DAY(B2)</f>
        <v>-0.76724137931034486</v>
      </c>
    </row>
    <row r="166" spans="1:10" ht="29.25" x14ac:dyDescent="0.5">
      <c r="A166" s="860"/>
      <c r="B166" s="860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'28'!F173</f>
        <v>8126</v>
      </c>
      <c r="F173" s="155">
        <v>8126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'28'!F174</f>
        <v>38576</v>
      </c>
      <c r="F174" s="157">
        <v>38589</v>
      </c>
      <c r="G174" s="155">
        <f t="shared" ref="G174:G175" si="15">F174-E174</f>
        <v>13</v>
      </c>
      <c r="H174" s="99">
        <f>G174+'28'!H174</f>
        <v>-26</v>
      </c>
      <c r="I174" s="155"/>
      <c r="J174" s="178">
        <f>H174/DAY(B2)</f>
        <v>-0.89655172413793105</v>
      </c>
    </row>
    <row r="175" spans="1:10" ht="27.75" x14ac:dyDescent="0.5">
      <c r="A175" s="864" t="s">
        <v>76</v>
      </c>
      <c r="B175" s="904"/>
      <c r="C175" s="865"/>
      <c r="D175" s="228" t="s">
        <v>142</v>
      </c>
      <c r="E175" s="95">
        <f>'28'!F175</f>
        <v>21783</v>
      </c>
      <c r="F175" s="155">
        <v>21795</v>
      </c>
      <c r="G175" s="155">
        <f t="shared" si="15"/>
        <v>12</v>
      </c>
      <c r="H175" s="99">
        <f>G175+'28'!H175</f>
        <v>-18</v>
      </c>
      <c r="I175" s="155"/>
      <c r="J175" s="178">
        <f>H175/DAY(B2)</f>
        <v>-0.62068965517241381</v>
      </c>
    </row>
    <row r="176" spans="1:10" ht="27.75" x14ac:dyDescent="0.5">
      <c r="A176" s="855" t="s">
        <v>196</v>
      </c>
      <c r="B176" s="856"/>
      <c r="C176" s="483"/>
      <c r="D176" s="228"/>
      <c r="E176" s="95"/>
      <c r="F176" s="155"/>
      <c r="G176" s="155">
        <f>SUM(G173:G175)</f>
        <v>25</v>
      </c>
      <c r="H176" s="99">
        <f>G176+'28'!H176</f>
        <v>-44</v>
      </c>
      <c r="I176" s="155"/>
      <c r="J176" s="178">
        <f>H176/DAY(B2)</f>
        <v>-1.5172413793103448</v>
      </c>
    </row>
    <row r="177" spans="1:10" ht="27.75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864" t="s">
        <v>210</v>
      </c>
      <c r="B178" s="865"/>
      <c r="C178" s="333"/>
      <c r="D178" s="228" t="s">
        <v>142</v>
      </c>
      <c r="E178" s="95">
        <f>'28'!F178</f>
        <v>81101</v>
      </c>
      <c r="F178" s="155">
        <v>81143</v>
      </c>
      <c r="G178" s="155">
        <f>F178-E178</f>
        <v>42</v>
      </c>
      <c r="H178" s="99">
        <f>G178+'28'!H178</f>
        <v>-172</v>
      </c>
      <c r="I178" s="155"/>
      <c r="J178" s="178">
        <f>H178/DAY(B2)</f>
        <v>-5.931034482758621</v>
      </c>
    </row>
    <row r="179" spans="1:10" ht="27.75" x14ac:dyDescent="0.5">
      <c r="A179" s="864" t="s">
        <v>211</v>
      </c>
      <c r="B179" s="865"/>
      <c r="C179" s="333"/>
      <c r="D179" s="228" t="s">
        <v>142</v>
      </c>
      <c r="E179" s="95">
        <f>'28'!F179</f>
        <v>34711</v>
      </c>
      <c r="F179" s="155">
        <v>34729</v>
      </c>
      <c r="G179" s="155">
        <f t="shared" ref="G179:G180" si="16">F179-E179</f>
        <v>18</v>
      </c>
      <c r="H179" s="99">
        <f>G179+'28'!H179</f>
        <v>5800</v>
      </c>
      <c r="I179" s="155"/>
      <c r="J179" s="178">
        <f>H179/DAY(B2)</f>
        <v>200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'28'!F180</f>
        <v>5675</v>
      </c>
      <c r="F180" s="155">
        <v>5690</v>
      </c>
      <c r="G180" s="155">
        <f t="shared" si="16"/>
        <v>15</v>
      </c>
      <c r="H180" s="99">
        <f>G180+'28'!H180</f>
        <v>-12</v>
      </c>
      <c r="I180" s="155"/>
      <c r="J180" s="178">
        <f>H180/DAY(B2)</f>
        <v>-0.41379310344827586</v>
      </c>
    </row>
    <row r="181" spans="1:10" ht="27.75" x14ac:dyDescent="0.5">
      <c r="A181" s="866" t="s">
        <v>108</v>
      </c>
      <c r="B181" s="867"/>
      <c r="C181" s="483"/>
      <c r="D181" s="228"/>
      <c r="E181" s="95"/>
      <c r="F181" s="155"/>
      <c r="G181" s="155">
        <f>SUM(G178:G180)</f>
        <v>75</v>
      </c>
      <c r="H181" s="99">
        <f>G181+'28'!H181</f>
        <v>5616</v>
      </c>
      <c r="I181" s="155"/>
      <c r="J181" s="178">
        <f>H181/DAY(B2)</f>
        <v>193.65517241379311</v>
      </c>
    </row>
    <row r="182" spans="1:10" ht="27.75" x14ac:dyDescent="0.5">
      <c r="A182" s="864" t="s">
        <v>213</v>
      </c>
      <c r="B182" s="865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'28'!F183</f>
        <v>15316</v>
      </c>
      <c r="F183" s="157">
        <v>15324</v>
      </c>
      <c r="G183" s="157">
        <f>F183-E183</f>
        <v>8</v>
      </c>
      <c r="H183" s="99">
        <f>G183+'28'!H183</f>
        <v>-21</v>
      </c>
      <c r="I183" s="155"/>
      <c r="J183" s="178">
        <f>H183/DAY(B2)</f>
        <v>-0.72413793103448276</v>
      </c>
    </row>
    <row r="184" spans="1:10" ht="27.75" x14ac:dyDescent="0.5">
      <c r="A184" s="864" t="s">
        <v>215</v>
      </c>
      <c r="B184" s="865"/>
      <c r="C184" s="334"/>
      <c r="D184" s="228" t="s">
        <v>142</v>
      </c>
      <c r="E184" s="95">
        <f>'28'!F184</f>
        <v>10482</v>
      </c>
      <c r="F184" s="157">
        <v>10490</v>
      </c>
      <c r="G184" s="157">
        <f t="shared" ref="G184:G185" si="17">F184-E184</f>
        <v>8</v>
      </c>
      <c r="H184" s="99">
        <f>G184+'28'!H184</f>
        <v>-28</v>
      </c>
      <c r="I184" s="155"/>
      <c r="J184" s="178">
        <f>H184/DAY(B2)</f>
        <v>-0.96551724137931039</v>
      </c>
    </row>
    <row r="185" spans="1:10" ht="27.75" x14ac:dyDescent="0.5">
      <c r="A185" s="864" t="s">
        <v>216</v>
      </c>
      <c r="B185" s="865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855" t="s">
        <v>196</v>
      </c>
      <c r="B186" s="856"/>
      <c r="C186" s="482"/>
      <c r="D186" s="229"/>
      <c r="E186" s="95"/>
      <c r="F186" s="157"/>
      <c r="G186" s="157">
        <f>SUM(G183:G185)</f>
        <v>16</v>
      </c>
      <c r="H186" s="99">
        <f>G186+'28'!H186</f>
        <v>-49</v>
      </c>
      <c r="I186" s="157"/>
      <c r="J186" s="178">
        <f>H186/DAY(B2)</f>
        <v>-1.6896551724137931</v>
      </c>
    </row>
    <row r="187" spans="1:10" ht="27.75" x14ac:dyDescent="0.5">
      <c r="A187" s="857" t="s">
        <v>217</v>
      </c>
      <c r="B187" s="858"/>
      <c r="C187" s="333"/>
      <c r="D187" s="230" t="s">
        <v>142</v>
      </c>
      <c r="E187" s="95">
        <f>'28'!F187</f>
        <v>0</v>
      </c>
      <c r="F187" s="159"/>
      <c r="G187" s="593">
        <f>G62+G19</f>
        <v>154</v>
      </c>
      <c r="H187" s="99">
        <f>G187+'28'!H187</f>
        <v>-309</v>
      </c>
      <c r="I187" s="158"/>
      <c r="J187" s="179">
        <f>H187/DAY(B2)</f>
        <v>-10.655172413793103</v>
      </c>
    </row>
    <row r="188" spans="1:10" ht="27.75" x14ac:dyDescent="0.5">
      <c r="A188" s="857" t="s">
        <v>218</v>
      </c>
      <c r="B188" s="858"/>
      <c r="C188" s="333"/>
      <c r="D188" s="230" t="s">
        <v>142</v>
      </c>
      <c r="E188" s="95">
        <f>'28'!F188</f>
        <v>0</v>
      </c>
      <c r="F188" s="159"/>
      <c r="G188" s="593">
        <f>G65+G66+G67+G69+G70</f>
        <v>153</v>
      </c>
      <c r="H188" s="99">
        <f>G188+'28'!H188</f>
        <v>-2550</v>
      </c>
      <c r="I188" s="158"/>
      <c r="J188" s="179">
        <f>H188/DAY(B2)</f>
        <v>-87.931034482758619</v>
      </c>
    </row>
    <row r="189" spans="1:10" ht="27.75" x14ac:dyDescent="0.5">
      <c r="A189" s="857" t="s">
        <v>219</v>
      </c>
      <c r="B189" s="858"/>
      <c r="C189" s="333"/>
      <c r="D189" s="230" t="s">
        <v>142</v>
      </c>
      <c r="E189" s="95">
        <f>'28'!F189</f>
        <v>0</v>
      </c>
      <c r="F189" s="157"/>
      <c r="G189" s="499">
        <f>G181</f>
        <v>75</v>
      </c>
      <c r="H189" s="99">
        <f>G189+'28'!H189</f>
        <v>4007</v>
      </c>
      <c r="I189" s="158"/>
      <c r="J189" s="179">
        <f>H189/DAY(B2)</f>
        <v>138.17241379310346</v>
      </c>
    </row>
    <row r="190" spans="1:10" ht="27.75" x14ac:dyDescent="0.5">
      <c r="A190" s="778"/>
      <c r="B190" s="779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F15" sqref="F15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30.75" customHeight="1" x14ac:dyDescent="0.5">
      <c r="A2" s="191" t="s">
        <v>303</v>
      </c>
      <c r="B2" s="262">
        <v>44591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23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621110</v>
      </c>
      <c r="F7" s="95">
        <f>E7+22000</f>
        <v>643110</v>
      </c>
      <c r="G7" s="112">
        <f>F7-E7</f>
        <v>22000</v>
      </c>
      <c r="H7" s="99">
        <f>G7+'29'!H7</f>
        <v>623028.77</v>
      </c>
      <c r="I7" s="113">
        <f>'1'!I7</f>
        <v>12000</v>
      </c>
      <c r="J7" s="175">
        <f>H7/DAY(B2)</f>
        <v>20767.625666666667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302354</v>
      </c>
      <c r="F8" s="95">
        <f>E8+20000</f>
        <v>322354</v>
      </c>
      <c r="G8" s="112">
        <f>F8-E8</f>
        <v>20000</v>
      </c>
      <c r="H8" s="99">
        <f>G8+'29'!H8</f>
        <v>613832.44999999995</v>
      </c>
      <c r="I8" s="116"/>
      <c r="J8" s="175">
        <f>H8/DAY(B2)</f>
        <v>20461.081666666665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252509</v>
      </c>
      <c r="F9" s="598">
        <v>267226</v>
      </c>
      <c r="G9" s="357">
        <f>F9-E9</f>
        <v>14717</v>
      </c>
      <c r="H9" s="99">
        <f>G9+'29'!H9</f>
        <v>-15027.849999999977</v>
      </c>
      <c r="I9" s="124">
        <f>I7-J7</f>
        <v>-8767.6256666666668</v>
      </c>
      <c r="J9" s="175">
        <f>H9/DAY(B2)</f>
        <v>-500.92833333333255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101121</v>
      </c>
      <c r="F10" s="353">
        <v>103185</v>
      </c>
      <c r="G10" s="112">
        <f t="shared" ref="G10:G12" si="0">F10-E10</f>
        <v>2064</v>
      </c>
      <c r="H10" s="99">
        <f>G10+'29'!H10</f>
        <v>-2073.9700000000012</v>
      </c>
      <c r="I10" s="282"/>
      <c r="J10" s="175">
        <f>H10/DAY(B2)</f>
        <v>-69.132333333333378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37170</v>
      </c>
      <c r="F11" s="95">
        <v>37170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16781</v>
      </c>
      <c r="H13" s="99">
        <f>G13+'29'!H13</f>
        <v>-33856.250000000058</v>
      </c>
      <c r="I13" s="120">
        <f>G7-G13</f>
        <v>5219</v>
      </c>
      <c r="J13" s="175">
        <f>H13/DAY(B2)</f>
        <v>-1128.5416666666686</v>
      </c>
      <c r="K13" s="79"/>
      <c r="L13" s="66"/>
      <c r="N13" s="87"/>
      <c r="O13" s="71"/>
    </row>
    <row r="14" spans="1:15" ht="30.75" customHeight="1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'29'!F15</f>
        <v>1937990</v>
      </c>
      <c r="F15" s="123">
        <f>E15+1100</f>
        <v>1939090</v>
      </c>
      <c r="G15" s="112">
        <f>(F15-E15)</f>
        <v>1100</v>
      </c>
      <c r="H15" s="99">
        <f>G15+'29'!H15</f>
        <v>32453.233000000007</v>
      </c>
      <c r="I15" s="113">
        <f>'1'!I15</f>
        <v>800</v>
      </c>
      <c r="J15" s="175">
        <f>H15/DAY(B2)</f>
        <v>1081.7744333333335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-281.77443333333349</v>
      </c>
      <c r="J16" s="176"/>
      <c r="K16" s="79"/>
      <c r="L16" s="66"/>
      <c r="N16" s="87"/>
      <c r="O16" s="71"/>
    </row>
    <row r="17" spans="1:15" ht="30.75" customHeight="1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92" t="s">
        <v>141</v>
      </c>
      <c r="B18" s="893"/>
      <c r="C18" s="894"/>
      <c r="D18" s="151" t="s">
        <v>142</v>
      </c>
      <c r="E18" s="95">
        <f>'29'!F18</f>
        <v>26</v>
      </c>
      <c r="F18" s="122">
        <v>17</v>
      </c>
      <c r="G18" s="119">
        <f>F18*10</f>
        <v>170</v>
      </c>
      <c r="H18" s="99">
        <f>G18+'29'!H18</f>
        <v>6660</v>
      </c>
      <c r="I18" s="113">
        <f>'1'!I18</f>
        <v>65</v>
      </c>
      <c r="J18" s="175">
        <f>H18/DAY(B2)</f>
        <v>222</v>
      </c>
      <c r="K18" s="79"/>
      <c r="L18" s="66"/>
      <c r="N18" s="87"/>
      <c r="O18" s="71"/>
    </row>
    <row r="19" spans="1:15" ht="30.75" customHeight="1" x14ac:dyDescent="0.5">
      <c r="A19" s="892" t="s">
        <v>69</v>
      </c>
      <c r="B19" s="893"/>
      <c r="C19" s="894"/>
      <c r="D19" s="151" t="s">
        <v>142</v>
      </c>
      <c r="E19" s="95">
        <f>'29'!F19</f>
        <v>153779</v>
      </c>
      <c r="F19" s="122">
        <v>153835</v>
      </c>
      <c r="G19" s="112">
        <f t="shared" ref="G19" si="1">F19-E19</f>
        <v>56</v>
      </c>
      <c r="H19" s="99">
        <f>G19+'29'!H19</f>
        <v>-56</v>
      </c>
      <c r="I19" s="335"/>
      <c r="J19" s="175">
        <f>H19/DAY(B2)</f>
        <v>-1.8666666666666667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226</v>
      </c>
      <c r="H20" s="99">
        <f>G20+'29'!H20</f>
        <v>6604</v>
      </c>
      <c r="I20" s="336">
        <f>I18-J20</f>
        <v>-155.13333333333333</v>
      </c>
      <c r="J20" s="175">
        <f>H20/DAY(B2)</f>
        <v>220.13333333333333</v>
      </c>
      <c r="K20" s="79"/>
      <c r="L20" s="66"/>
      <c r="N20" s="87"/>
      <c r="O20" s="71"/>
    </row>
    <row r="21" spans="1:15" ht="30.75" customHeight="1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-1080</v>
      </c>
      <c r="I23" s="118"/>
      <c r="J23" s="175">
        <f>H23/DAY(B2)</f>
        <v>-36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-1080</v>
      </c>
      <c r="I24" s="118"/>
      <c r="J24" s="175">
        <f>H24/DAY(B2)</f>
        <v>-36</v>
      </c>
      <c r="K24" s="79"/>
      <c r="L24" s="66"/>
      <c r="N24" s="87"/>
      <c r="O24" s="71"/>
    </row>
    <row r="25" spans="1:15" s="88" customFormat="1" ht="30.75" customHeight="1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20000</v>
      </c>
      <c r="F27" s="136">
        <v>9</v>
      </c>
      <c r="G27" s="137">
        <f>E27*F27</f>
        <v>180000</v>
      </c>
      <c r="H27" s="99">
        <f>G27+'29'!H27</f>
        <v>5517877.0500000007</v>
      </c>
      <c r="I27" s="138"/>
      <c r="J27" s="175">
        <f>H27/DAY(B2)</f>
        <v>183929.23500000002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G28+'29'!H28</f>
        <v>1810705.1160000004</v>
      </c>
      <c r="I28" s="140"/>
      <c r="J28" s="175">
        <f>H28/DAY(B2)</f>
        <v>60356.837200000016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-74520</v>
      </c>
      <c r="I29" s="140"/>
      <c r="J29" s="175">
        <f>H29/DAY(B2)</f>
        <v>-2484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G30+'29'!H30</f>
        <v>-15649.299999999988</v>
      </c>
      <c r="I30" s="140"/>
      <c r="J30" s="175">
        <f>H30/DAY(B2)</f>
        <v>-521.64333333333298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G31+'29'!H31</f>
        <v>532800</v>
      </c>
      <c r="I31" s="140"/>
      <c r="J31" s="175">
        <f>H31/DAY(B2)</f>
        <v>17760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258976</v>
      </c>
      <c r="H32" s="99">
        <f>G32+'29'!H32</f>
        <v>7771212.8660000013</v>
      </c>
      <c r="I32" s="144"/>
      <c r="J32" s="175">
        <f>H32/DAY(B2)</f>
        <v>259040.42886666671</v>
      </c>
      <c r="K32" s="63"/>
      <c r="L32" s="89"/>
      <c r="N32" s="87"/>
      <c r="O32" s="71"/>
    </row>
    <row r="33" spans="1:15" ht="30.75" customHeight="1" x14ac:dyDescent="0.35">
      <c r="A33" s="924" t="s">
        <v>331</v>
      </c>
      <c r="B33" s="925"/>
      <c r="C33" s="92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29546</v>
      </c>
      <c r="F35" s="145">
        <v>30752</v>
      </c>
      <c r="G35" s="112">
        <f t="shared" ref="G35:G46" si="3">F35-E35</f>
        <v>1206</v>
      </c>
      <c r="H35" s="99">
        <f>G35+'29'!H35</f>
        <v>-1252.9799999999959</v>
      </c>
      <c r="I35" s="95"/>
      <c r="J35" s="175">
        <f>H35/DAY(B2)</f>
        <v>-41.765999999999863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41974</v>
      </c>
      <c r="F36" s="145">
        <v>42820</v>
      </c>
      <c r="G36" s="112">
        <f t="shared" si="3"/>
        <v>846</v>
      </c>
      <c r="H36" s="99">
        <f>G36+'29'!H36</f>
        <v>-638.73999999999796</v>
      </c>
      <c r="I36" s="95"/>
      <c r="J36" s="175">
        <f>H36/DAY(B2)</f>
        <v>-21.291333333333267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32284</v>
      </c>
      <c r="F37" s="145">
        <v>33837</v>
      </c>
      <c r="G37" s="112">
        <f t="shared" si="3"/>
        <v>1553</v>
      </c>
      <c r="H37" s="99">
        <f>G37+'29'!H37</f>
        <v>-1588.0899999999965</v>
      </c>
      <c r="I37" s="95"/>
      <c r="J37" s="175">
        <f>H37/DAY(B2)</f>
        <v>-52.936333333333216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35120</v>
      </c>
      <c r="F38" s="108">
        <v>36749</v>
      </c>
      <c r="G38" s="112">
        <f t="shared" si="3"/>
        <v>1629</v>
      </c>
      <c r="H38" s="99">
        <f>G38+'29'!H38</f>
        <v>-1627.4300000000003</v>
      </c>
      <c r="I38" s="95"/>
      <c r="J38" s="175">
        <f>H38/DAY(B2)</f>
        <v>-54.247666666666674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53908</v>
      </c>
      <c r="F39" s="145">
        <v>56524</v>
      </c>
      <c r="G39" s="112">
        <f t="shared" si="3"/>
        <v>2616</v>
      </c>
      <c r="H39" s="99">
        <f>G39+'29'!H39</f>
        <v>-2649.2899999999936</v>
      </c>
      <c r="I39" s="95"/>
      <c r="J39" s="175">
        <f>H39/DAY(B2)</f>
        <v>-88.309666666666459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19480</v>
      </c>
      <c r="F40" s="145">
        <v>20278</v>
      </c>
      <c r="G40" s="112">
        <f t="shared" si="3"/>
        <v>798</v>
      </c>
      <c r="H40" s="99">
        <f>G40+'29'!H40</f>
        <v>-1838.9900000000016</v>
      </c>
      <c r="I40" s="95"/>
      <c r="J40" s="175">
        <f>H40/DAY(B2)</f>
        <v>-61.299666666666717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-62.73</v>
      </c>
      <c r="I41" s="95"/>
      <c r="J41" s="175">
        <f>H41/DAY(B2)</f>
        <v>-2.0909999999999997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91927</v>
      </c>
      <c r="F42" s="145">
        <v>95811</v>
      </c>
      <c r="G42" s="112">
        <f t="shared" si="3"/>
        <v>3884</v>
      </c>
      <c r="H42" s="99">
        <f>G42+'29'!H42</f>
        <v>-4318.7400000000052</v>
      </c>
      <c r="I42" s="95"/>
      <c r="J42" s="175">
        <f>H42/DAY(B2)</f>
        <v>-143.95800000000017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111068</v>
      </c>
      <c r="F43" s="145">
        <v>112966</v>
      </c>
      <c r="G43" s="112">
        <f t="shared" si="3"/>
        <v>1898</v>
      </c>
      <c r="H43" s="99">
        <f>G43+'29'!H43</f>
        <v>-1885.6000000000058</v>
      </c>
      <c r="I43" s="95"/>
      <c r="J43" s="175">
        <f>H43/DAY(B2)</f>
        <v>-62.853333333333531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14430</v>
      </c>
      <c r="H47" s="99">
        <f>G47+'29'!H47</f>
        <v>-15862.589999999909</v>
      </c>
      <c r="I47" s="95"/>
      <c r="J47" s="175">
        <f>H47/DAY(B2)</f>
        <v>-528.75299999999697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23268</v>
      </c>
      <c r="F49" s="145">
        <v>24139</v>
      </c>
      <c r="G49" s="112">
        <f t="shared" ref="G49:G58" si="4">F49-E49</f>
        <v>871</v>
      </c>
      <c r="H49" s="99">
        <f>G49+'29'!H49</f>
        <v>-857.19000000000233</v>
      </c>
      <c r="I49" s="95"/>
      <c r="J49" s="175">
        <f>H49/DAY(B2)</f>
        <v>-28.573000000000079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54265</v>
      </c>
      <c r="F50" s="145">
        <v>55316</v>
      </c>
      <c r="G50" s="112">
        <f t="shared" si="4"/>
        <v>1051</v>
      </c>
      <c r="H50" s="99">
        <f>G50+'29'!H50</f>
        <v>-1070.6299999999974</v>
      </c>
      <c r="I50" s="95"/>
      <c r="J50" s="175">
        <f>H50/DAY(B2)</f>
        <v>-35.68766666666658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5147</v>
      </c>
      <c r="F54" s="145">
        <v>5147</v>
      </c>
      <c r="G54" s="112">
        <f t="shared" si="4"/>
        <v>0</v>
      </c>
      <c r="H54" s="99">
        <f>G54+'29'!H54</f>
        <v>-0.42000000000007276</v>
      </c>
      <c r="I54" s="95"/>
      <c r="J54" s="175">
        <f>H54/DAY(B2)</f>
        <v>-1.4000000000002425E-2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74366</v>
      </c>
      <c r="F55" s="376">
        <v>74366</v>
      </c>
      <c r="G55" s="112">
        <f t="shared" si="4"/>
        <v>0</v>
      </c>
      <c r="H55" s="99">
        <f>G55+'29'!H55</f>
        <v>-0.11000000000058208</v>
      </c>
      <c r="I55" s="95"/>
      <c r="J55" s="175">
        <f>H55/DAY(B2)</f>
        <v>-3.666666666686069E-3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4409</v>
      </c>
      <c r="F58" s="145">
        <v>4599</v>
      </c>
      <c r="G58" s="112">
        <f t="shared" si="4"/>
        <v>190</v>
      </c>
      <c r="H58" s="99">
        <f>G58+'29'!H58</f>
        <v>-197.21000000000004</v>
      </c>
      <c r="I58" s="95"/>
      <c r="J58" s="175">
        <f>H58/DAY(B2)</f>
        <v>-6.5736666666666679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2112</v>
      </c>
      <c r="H59" s="99">
        <f>G59+'29'!H59</f>
        <v>-2125.5599999999977</v>
      </c>
      <c r="I59" s="95">
        <f>G7-G60</f>
        <v>5458</v>
      </c>
      <c r="J59" s="175">
        <f>H59/DAY(B2)</f>
        <v>-70.851999999999919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16542</v>
      </c>
      <c r="H60" s="99">
        <f>G60+'29'!H60</f>
        <v>-17988.149999999907</v>
      </c>
      <c r="I60" s="95">
        <f>G13-G60</f>
        <v>239</v>
      </c>
      <c r="J60" s="175">
        <f>H60/DAY(B2)</f>
        <v>-599.60499999999695</v>
      </c>
      <c r="K60" s="79"/>
      <c r="L60" s="66"/>
      <c r="N60" s="87"/>
      <c r="O60" s="71"/>
    </row>
    <row r="61" spans="1:15" s="68" customFormat="1" ht="30.75" customHeight="1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92" t="s">
        <v>198</v>
      </c>
      <c r="B62" s="893"/>
      <c r="C62" s="894"/>
      <c r="D62" s="151" t="s">
        <v>142</v>
      </c>
      <c r="E62" s="95">
        <f>'29'!F62</f>
        <v>269319</v>
      </c>
      <c r="F62" s="122">
        <v>269433</v>
      </c>
      <c r="G62" s="112">
        <f t="shared" ref="G62:G63" si="5">F62-E62</f>
        <v>114</v>
      </c>
      <c r="H62" s="99">
        <f>G62+'29'!H62</f>
        <v>-83</v>
      </c>
      <c r="I62" s="118"/>
      <c r="J62" s="175">
        <f>H62/DAY(B2)</f>
        <v>-2.7666666666666666</v>
      </c>
      <c r="K62" s="80"/>
      <c r="L62" s="66"/>
      <c r="N62" s="87"/>
      <c r="O62" s="71"/>
    </row>
    <row r="63" spans="1:15" ht="30.75" customHeight="1" x14ac:dyDescent="0.5">
      <c r="A63" s="892" t="s">
        <v>199</v>
      </c>
      <c r="B63" s="893"/>
      <c r="C63" s="894"/>
      <c r="D63" s="151" t="s">
        <v>142</v>
      </c>
      <c r="E63" s="95">
        <f>'29'!F63</f>
        <v>215557</v>
      </c>
      <c r="F63" s="122">
        <v>215630</v>
      </c>
      <c r="G63" s="112">
        <f t="shared" si="5"/>
        <v>73</v>
      </c>
      <c r="H63" s="99">
        <f>G63+'29'!H63</f>
        <v>-167</v>
      </c>
      <c r="I63" s="118"/>
      <c r="J63" s="175">
        <f>H63/DAY(B2)</f>
        <v>-5.5666666666666664</v>
      </c>
      <c r="K63" s="69"/>
      <c r="L63" s="66"/>
      <c r="N63" s="87"/>
      <c r="O63" s="71"/>
    </row>
    <row r="64" spans="1:15" ht="30.75" customHeight="1" x14ac:dyDescent="0.5">
      <c r="A64" s="901" t="s">
        <v>200</v>
      </c>
      <c r="B64" s="902"/>
      <c r="C64" s="903"/>
      <c r="D64" s="151"/>
      <c r="E64" s="95">
        <f>'29'!F64</f>
        <v>0</v>
      </c>
      <c r="F64" s="122"/>
      <c r="G64" s="112">
        <f>G62+G63</f>
        <v>187</v>
      </c>
      <c r="H64" s="99">
        <f>G64+'29'!H64</f>
        <v>-250</v>
      </c>
      <c r="I64" s="118"/>
      <c r="J64" s="175">
        <f>H64/DAY(B2)</f>
        <v>-8.3333333333333339</v>
      </c>
      <c r="K64" s="69"/>
      <c r="L64" s="66"/>
      <c r="N64" s="87"/>
      <c r="O64" s="71"/>
    </row>
    <row r="65" spans="1:15" ht="30.75" customHeight="1" x14ac:dyDescent="0.5">
      <c r="A65" s="892" t="s">
        <v>201</v>
      </c>
      <c r="B65" s="893"/>
      <c r="C65" s="894"/>
      <c r="D65" s="151" t="s">
        <v>142</v>
      </c>
      <c r="E65" s="95">
        <f>'29'!F65</f>
        <v>434769</v>
      </c>
      <c r="F65" s="122">
        <v>434849</v>
      </c>
      <c r="G65" s="112">
        <f t="shared" ref="G65:G70" si="6">F65-E65</f>
        <v>80</v>
      </c>
      <c r="H65" s="99">
        <f>G65+'29'!H65</f>
        <v>-74</v>
      </c>
      <c r="I65" s="118"/>
      <c r="J65" s="175">
        <f>H65/DAY(B2)</f>
        <v>-2.4666666666666668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'29'!F66</f>
        <v>107701</v>
      </c>
      <c r="F66" s="122">
        <v>107728</v>
      </c>
      <c r="G66" s="112">
        <f t="shared" si="6"/>
        <v>27</v>
      </c>
      <c r="H66" s="99">
        <f>G66+'29'!H66</f>
        <v>430</v>
      </c>
      <c r="I66" s="118"/>
      <c r="J66" s="175">
        <f>H66/DAY(B2)</f>
        <v>14.333333333333334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'29'!F67</f>
        <v>104596</v>
      </c>
      <c r="F67" s="486">
        <v>104628</v>
      </c>
      <c r="G67" s="112">
        <f t="shared" si="6"/>
        <v>32</v>
      </c>
      <c r="H67" s="99">
        <f>G67+'29'!H67</f>
        <v>-20</v>
      </c>
      <c r="I67" s="118"/>
      <c r="J67" s="175">
        <f>H67/DAY(B2)</f>
        <v>-0.66666666666666663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'29'!F68</f>
        <v>157643</v>
      </c>
      <c r="F68" s="122">
        <v>157668</v>
      </c>
      <c r="G68" s="112">
        <f t="shared" si="6"/>
        <v>25</v>
      </c>
      <c r="H68" s="99">
        <f>G68+'29'!H68</f>
        <v>-9</v>
      </c>
      <c r="I68" s="118"/>
      <c r="J68" s="175">
        <f>H68/DAY(B2)</f>
        <v>-0.3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'29'!F69</f>
        <v>10524</v>
      </c>
      <c r="F69" s="122">
        <v>10532</v>
      </c>
      <c r="G69" s="112">
        <f t="shared" si="6"/>
        <v>8</v>
      </c>
      <c r="H69" s="99">
        <f>G69+'29'!H69</f>
        <v>-9</v>
      </c>
      <c r="I69" s="118"/>
      <c r="J69" s="175">
        <f>H69/DAY(B2)</f>
        <v>-0.3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'29'!F70</f>
        <v>8090</v>
      </c>
      <c r="F70" s="486">
        <v>8112</v>
      </c>
      <c r="G70" s="112">
        <f t="shared" si="6"/>
        <v>22</v>
      </c>
      <c r="H70" s="99">
        <f>G70+'29'!H70</f>
        <v>-8</v>
      </c>
      <c r="I70" s="118"/>
      <c r="J70" s="175">
        <f>H70/DAY(B2)</f>
        <v>-0.26666666666666666</v>
      </c>
      <c r="K70" s="69"/>
      <c r="L70" s="66"/>
      <c r="N70" s="87"/>
      <c r="O70" s="71"/>
    </row>
    <row r="71" spans="1:15" ht="30.75" customHeight="1" x14ac:dyDescent="0.5">
      <c r="A71" s="901" t="s">
        <v>208</v>
      </c>
      <c r="B71" s="902"/>
      <c r="C71" s="903"/>
      <c r="D71" s="152"/>
      <c r="E71" s="152"/>
      <c r="F71" s="152"/>
      <c r="G71" s="153">
        <f>SUM(G65:G70)</f>
        <v>194</v>
      </c>
      <c r="H71" s="99">
        <f>G71+'29'!H71</f>
        <v>310</v>
      </c>
      <c r="I71" s="154"/>
      <c r="J71" s="175">
        <f>H71/DAY(B2)</f>
        <v>10.333333333333334</v>
      </c>
      <c r="K71" s="69"/>
      <c r="L71" s="66"/>
      <c r="N71" s="87"/>
      <c r="O71" s="71"/>
    </row>
    <row r="72" spans="1:15" s="88" customFormat="1" ht="30.75" customHeight="1" x14ac:dyDescent="0.5">
      <c r="A72" s="888"/>
      <c r="B72" s="87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92" t="s">
        <v>220</v>
      </c>
      <c r="B74" s="893"/>
      <c r="C74" s="894"/>
      <c r="D74" s="151" t="s">
        <v>139</v>
      </c>
      <c r="E74" s="95">
        <f>'29'!F74</f>
        <v>900704</v>
      </c>
      <c r="F74" s="123">
        <v>901012</v>
      </c>
      <c r="G74" s="112">
        <f t="shared" ref="G74:G78" si="7">F74-E74</f>
        <v>308</v>
      </c>
      <c r="H74" s="99">
        <f>G74+'29'!H74</f>
        <v>-294.14899999997579</v>
      </c>
      <c r="I74" s="154"/>
      <c r="J74" s="175">
        <f>H74/DAY(B2)</f>
        <v>-9.8049666666658588</v>
      </c>
      <c r="K74" s="69"/>
      <c r="L74" s="66"/>
      <c r="N74" s="87"/>
      <c r="O74" s="71"/>
    </row>
    <row r="75" spans="1:15" ht="30.75" customHeight="1" x14ac:dyDescent="0.5">
      <c r="A75" s="892" t="s">
        <v>221</v>
      </c>
      <c r="B75" s="893"/>
      <c r="C75" s="894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89" t="s">
        <v>222</v>
      </c>
      <c r="B76" s="890"/>
      <c r="C76" s="891"/>
      <c r="D76" s="151" t="s">
        <v>139</v>
      </c>
      <c r="E76" s="95">
        <f>'29'!F76</f>
        <v>169805</v>
      </c>
      <c r="F76" s="123">
        <v>169900</v>
      </c>
      <c r="G76" s="112">
        <f t="shared" si="7"/>
        <v>95</v>
      </c>
      <c r="H76" s="99">
        <f>G76+'29'!H76</f>
        <v>-75</v>
      </c>
      <c r="I76" s="154"/>
      <c r="J76" s="175">
        <f>H76/DAY(B2)</f>
        <v>-2.5</v>
      </c>
      <c r="K76" s="69"/>
      <c r="L76" s="66"/>
      <c r="N76" s="87"/>
      <c r="O76" s="71"/>
    </row>
    <row r="77" spans="1:15" ht="30.75" customHeight="1" x14ac:dyDescent="0.5">
      <c r="A77" s="889" t="s">
        <v>223</v>
      </c>
      <c r="B77" s="890"/>
      <c r="C77" s="891"/>
      <c r="D77" s="151" t="s">
        <v>139</v>
      </c>
      <c r="E77" s="95">
        <f>'29'!F77</f>
        <v>41239</v>
      </c>
      <c r="F77" s="123">
        <v>41274</v>
      </c>
      <c r="G77" s="112">
        <f t="shared" si="7"/>
        <v>35</v>
      </c>
      <c r="H77" s="99">
        <f>G77+'29'!H77</f>
        <v>-28.19999999999709</v>
      </c>
      <c r="I77" s="154"/>
      <c r="J77" s="175">
        <f>H77/DAY(B2)</f>
        <v>-0.93999999999990302</v>
      </c>
      <c r="K77" s="69"/>
      <c r="L77" s="66"/>
      <c r="N77" s="87"/>
      <c r="O77" s="71"/>
    </row>
    <row r="78" spans="1:15" ht="30.75" customHeight="1" x14ac:dyDescent="0.5">
      <c r="A78" s="889" t="s">
        <v>224</v>
      </c>
      <c r="B78" s="890"/>
      <c r="C78" s="891"/>
      <c r="D78" s="151" t="s">
        <v>139</v>
      </c>
      <c r="E78" s="95">
        <f>'29'!F78</f>
        <v>9513</v>
      </c>
      <c r="F78" s="123">
        <v>9514</v>
      </c>
      <c r="G78" s="112">
        <f t="shared" si="7"/>
        <v>1</v>
      </c>
      <c r="H78" s="99">
        <f>G78+'29'!H78</f>
        <v>1</v>
      </c>
      <c r="I78" s="118"/>
      <c r="J78" s="175">
        <f>H78/DAY(B2)</f>
        <v>3.3333333333333333E-2</v>
      </c>
      <c r="K78" s="69"/>
      <c r="L78" s="66"/>
      <c r="N78" s="87"/>
      <c r="O78" s="71"/>
    </row>
    <row r="79" spans="1:15" s="57" customFormat="1" ht="30.75" customHeight="1" x14ac:dyDescent="0.5">
      <c r="A79" s="889" t="s">
        <v>225</v>
      </c>
      <c r="B79" s="890"/>
      <c r="C79" s="891"/>
      <c r="D79" s="151"/>
      <c r="E79" s="95">
        <f>'29'!F79</f>
        <v>0</v>
      </c>
      <c r="F79" s="117"/>
      <c r="G79" s="112">
        <f>G15-SUM(G74:G78)</f>
        <v>661</v>
      </c>
      <c r="H79" s="99">
        <f>G79+'29'!H79</f>
        <v>32849.58199999998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0.26000000000203727</v>
      </c>
      <c r="I84" s="118"/>
      <c r="J84" s="175">
        <f>H84/DAY(B2)</f>
        <v>8.6666666667345755E-3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'29'!F85</f>
        <v>2214</v>
      </c>
      <c r="F85" s="164">
        <v>2238</v>
      </c>
      <c r="G85" s="112">
        <f t="shared" si="8"/>
        <v>24</v>
      </c>
      <c r="H85" s="99">
        <f>G85+'29'!H85</f>
        <v>-22.420000000000073</v>
      </c>
      <c r="I85" s="118">
        <f>G82+G83+G84+G85</f>
        <v>24</v>
      </c>
      <c r="J85" s="175">
        <f>H85/DAY(B2)</f>
        <v>-0.74733333333333574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'29'!F86</f>
        <v>43442</v>
      </c>
      <c r="F86" s="164">
        <v>43442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5.0000000002910383E-2</v>
      </c>
      <c r="I87" s="118"/>
      <c r="J87" s="175">
        <f>H87/DAY(B2)</f>
        <v>1.6666666667636794E-3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'29'!F88</f>
        <v>24063.43</v>
      </c>
      <c r="F88" s="164">
        <v>24063.43</v>
      </c>
      <c r="G88" s="112">
        <f t="shared" si="8"/>
        <v>0</v>
      </c>
      <c r="H88" s="99">
        <f>G88+'29'!H88</f>
        <v>0</v>
      </c>
      <c r="I88" s="118">
        <f>G86+G87+G88</f>
        <v>0</v>
      </c>
      <c r="J88" s="175">
        <f>H88/DAY(B2)</f>
        <v>0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'29'!F89</f>
        <v>25872.61</v>
      </c>
      <c r="F89" s="164">
        <v>25881.82</v>
      </c>
      <c r="G89" s="112">
        <f t="shared" si="8"/>
        <v>9.2099999999991269</v>
      </c>
      <c r="H89" s="99">
        <f>G89+'29'!H89</f>
        <v>-9.2999999999992724</v>
      </c>
      <c r="I89" s="118"/>
      <c r="J89" s="175">
        <f>H89/DAY(B2)</f>
        <v>-0.30999999999997574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'29'!F90</f>
        <v>71159.08</v>
      </c>
      <c r="F90" s="164">
        <v>71161</v>
      </c>
      <c r="G90" s="112">
        <f t="shared" si="8"/>
        <v>1.9199999999982538</v>
      </c>
      <c r="H90" s="99">
        <f>G90+'29'!H90</f>
        <v>-119.75999999999476</v>
      </c>
      <c r="I90" s="118">
        <f>G89+G90</f>
        <v>11.129999999997381</v>
      </c>
      <c r="J90" s="175">
        <f>H90/DAY(B2)</f>
        <v>-3.9919999999998255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'29'!F91</f>
        <v>3228.01</v>
      </c>
      <c r="F91" s="122">
        <v>3239.62</v>
      </c>
      <c r="G91" s="112">
        <f t="shared" si="8"/>
        <v>11.609999999999673</v>
      </c>
      <c r="H91" s="99">
        <f>G91+'29'!H91</f>
        <v>317.59999999999991</v>
      </c>
      <c r="I91" s="165"/>
      <c r="J91" s="175">
        <f>H91/DAY(B2)</f>
        <v>10.586666666666664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'29'!F92</f>
        <v>5741.07</v>
      </c>
      <c r="F92" s="122">
        <v>5741.07</v>
      </c>
      <c r="G92" s="112">
        <f t="shared" si="8"/>
        <v>0</v>
      </c>
      <c r="H92" s="99">
        <f>G92+'29'!H92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3975</v>
      </c>
      <c r="H94" s="99">
        <f>G94+'29'!H94</f>
        <v>-3995.7700000000186</v>
      </c>
      <c r="I94" s="118"/>
      <c r="J94" s="175">
        <f>H94/DAY(B2)</f>
        <v>-133.19233333333395</v>
      </c>
      <c r="K94" s="69"/>
      <c r="L94" s="66"/>
      <c r="O94" s="71"/>
    </row>
    <row r="95" spans="1:15" ht="30.75" customHeight="1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0.18068181818181819</v>
      </c>
      <c r="H95" s="99">
        <f>G95+'29'!H95</f>
        <v>1.9824788497870256</v>
      </c>
      <c r="I95" s="167"/>
      <c r="J95" s="175">
        <f>H95/DAY(B2)</f>
        <v>6.6082628326234183E-2</v>
      </c>
      <c r="K95" s="69"/>
      <c r="L95" s="66"/>
      <c r="O95" s="71"/>
    </row>
    <row r="96" spans="1:15" ht="30.75" customHeight="1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3884</v>
      </c>
      <c r="H96" s="99">
        <f>G96+'29'!H96</f>
        <v>-4381.5800000000017</v>
      </c>
      <c r="I96" s="118"/>
      <c r="J96" s="175">
        <f>H96/DAY(B2)</f>
        <v>-146.05266666666674</v>
      </c>
      <c r="K96" s="69"/>
      <c r="L96" s="66"/>
      <c r="O96" s="71"/>
    </row>
    <row r="97" spans="1:15" ht="30.75" customHeight="1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0.17654545454545453</v>
      </c>
      <c r="H97" s="99">
        <f>G97+'29'!H97</f>
        <v>1.5254096572103046</v>
      </c>
      <c r="I97" s="167"/>
      <c r="J97" s="175">
        <f>H97/DAY(B2)</f>
        <v>5.0846988573676824E-2</v>
      </c>
      <c r="K97" s="69"/>
      <c r="L97" s="66"/>
      <c r="O97" s="71"/>
    </row>
    <row r="98" spans="1:15" ht="30.75" customHeight="1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2616</v>
      </c>
      <c r="H98" s="99">
        <f>G98+'29'!H98</f>
        <v>-2649.2899999999936</v>
      </c>
      <c r="I98" s="168"/>
      <c r="J98" s="175">
        <f>H98/DAY(B2)</f>
        <v>-88.309666666666459</v>
      </c>
      <c r="K98" s="69"/>
      <c r="L98" s="66"/>
      <c r="O98" s="71"/>
    </row>
    <row r="99" spans="1:15" ht="30.75" customHeight="1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0.11890909090909091</v>
      </c>
      <c r="H99" s="99">
        <f>G99+'29'!H99</f>
        <v>1.1825854722227884</v>
      </c>
      <c r="I99" s="168"/>
      <c r="J99" s="175">
        <f>H99/DAY(B2)</f>
        <v>3.9419515740759616E-2</v>
      </c>
      <c r="O99" s="71"/>
    </row>
    <row r="100" spans="1:15" ht="30.75" customHeight="1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1629</v>
      </c>
      <c r="H100" s="99">
        <f>G100+'29'!H100</f>
        <v>-1627.4300000000003</v>
      </c>
      <c r="I100" s="118"/>
      <c r="J100" s="175">
        <f>H100/DAY(B2)</f>
        <v>-54.247666666666674</v>
      </c>
      <c r="K100" s="70"/>
      <c r="O100" s="71"/>
    </row>
    <row r="101" spans="1:15" ht="30.75" customHeight="1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7.4045454545454539E-2</v>
      </c>
      <c r="H101" s="99">
        <f>G101+'29'!H101</f>
        <v>0.79246925723927175</v>
      </c>
      <c r="I101" s="168"/>
      <c r="J101" s="175">
        <f>H101/DAY(B2)</f>
        <v>2.6415641907975726E-2</v>
      </c>
      <c r="O101" s="71"/>
    </row>
    <row r="102" spans="1:15" ht="30.75" customHeight="1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1897</v>
      </c>
      <c r="H102" s="99">
        <f>G102+'29'!H102</f>
        <v>-1709.3699999999953</v>
      </c>
      <c r="I102" s="168"/>
      <c r="J102" s="175">
        <f>H102/DAY(B2)</f>
        <v>-56.978999999999843</v>
      </c>
      <c r="O102" s="71"/>
    </row>
    <row r="103" spans="1:15" ht="30.75" customHeight="1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8.6227272727272722E-2</v>
      </c>
      <c r="H103" s="99">
        <f>G103+'29'!H103</f>
        <v>0.84303459005992287</v>
      </c>
      <c r="I103" s="118"/>
      <c r="J103" s="175">
        <f>H103/DAY(B2)</f>
        <v>2.810115300199743E-2</v>
      </c>
      <c r="O103" s="71"/>
    </row>
    <row r="104" spans="1:15" ht="30.75" customHeight="1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1553</v>
      </c>
      <c r="H104" s="99">
        <f>G104+'29'!H104</f>
        <v>-1588.0899999999965</v>
      </c>
      <c r="I104" s="118"/>
      <c r="J104" s="175">
        <f>H104/DAY(B2)</f>
        <v>-52.936333333333216</v>
      </c>
      <c r="O104" s="71"/>
    </row>
    <row r="105" spans="1:15" ht="30.75" customHeight="1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7.0590909090909093E-2</v>
      </c>
      <c r="H105" s="99">
        <f>G105+'29'!H105</f>
        <v>0.65503024778538443</v>
      </c>
      <c r="I105" s="187"/>
      <c r="J105" s="188">
        <f>H105/DAY(B2)</f>
        <v>2.1834341592846147E-2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30.75" customHeight="1" x14ac:dyDescent="0.5">
      <c r="A109" s="909"/>
      <c r="B109" s="909"/>
    </row>
    <row r="110" spans="1:15" ht="30.75" customHeight="1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30.75" customHeight="1" x14ac:dyDescent="0.5">
      <c r="A111" s="875"/>
      <c r="B111" s="876"/>
      <c r="C111" s="877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71" t="s">
        <v>252</v>
      </c>
      <c r="B112" s="872"/>
      <c r="C112" s="873"/>
      <c r="D112" s="146" t="s">
        <v>183</v>
      </c>
      <c r="E112" s="95">
        <f>'29'!F112</f>
        <v>57901</v>
      </c>
      <c r="F112" s="237">
        <v>57977</v>
      </c>
      <c r="G112" s="112">
        <f t="shared" ref="G112:G123" si="9">F112-E112</f>
        <v>76</v>
      </c>
      <c r="H112" s="99">
        <f>G112+'29'!H112</f>
        <v>-77</v>
      </c>
      <c r="I112" s="165"/>
      <c r="J112" s="328">
        <f>H112/DAY(B2)</f>
        <v>-2.5666666666666669</v>
      </c>
    </row>
    <row r="113" spans="1:18" ht="30.75" customHeight="1" x14ac:dyDescent="0.5">
      <c r="A113" s="871" t="s">
        <v>253</v>
      </c>
      <c r="B113" s="872"/>
      <c r="C113" s="873"/>
      <c r="D113" s="146" t="s">
        <v>183</v>
      </c>
      <c r="E113" s="95">
        <f>'29'!F113</f>
        <v>45482</v>
      </c>
      <c r="F113" s="237">
        <v>45932</v>
      </c>
      <c r="G113" s="112">
        <f t="shared" si="9"/>
        <v>450</v>
      </c>
      <c r="H113" s="99">
        <f>G113+'29'!H113</f>
        <v>-468.88999999999942</v>
      </c>
      <c r="I113" s="165"/>
      <c r="J113" s="328">
        <f>H113/DAY(B2)</f>
        <v>-15.629666666666648</v>
      </c>
    </row>
    <row r="114" spans="1:18" ht="30.75" customHeight="1" x14ac:dyDescent="0.5">
      <c r="A114" s="871" t="s">
        <v>254</v>
      </c>
      <c r="B114" s="872"/>
      <c r="C114" s="873"/>
      <c r="D114" s="146" t="s">
        <v>183</v>
      </c>
      <c r="E114" s="95">
        <f>'29'!F114</f>
        <v>32645</v>
      </c>
      <c r="F114" s="237">
        <v>32897</v>
      </c>
      <c r="G114" s="112">
        <f t="shared" si="9"/>
        <v>252</v>
      </c>
      <c r="H114" s="99">
        <f>G114+'29'!H114</f>
        <v>-263</v>
      </c>
      <c r="I114" s="165"/>
      <c r="J114" s="328">
        <f>H114/DAY(B2)</f>
        <v>-8.7666666666666675</v>
      </c>
    </row>
    <row r="115" spans="1:18" ht="30.75" customHeight="1" x14ac:dyDescent="0.5">
      <c r="A115" s="871" t="s">
        <v>255</v>
      </c>
      <c r="B115" s="872"/>
      <c r="C115" s="873"/>
      <c r="D115" s="146" t="s">
        <v>183</v>
      </c>
      <c r="E115" s="95">
        <f>'29'!F115</f>
        <v>9071</v>
      </c>
      <c r="F115" s="237">
        <v>9081</v>
      </c>
      <c r="G115" s="112">
        <f t="shared" si="9"/>
        <v>10</v>
      </c>
      <c r="H115" s="99">
        <f>G115+'29'!H115</f>
        <v>-13.649999999999636</v>
      </c>
      <c r="I115" s="165"/>
      <c r="J115" s="328">
        <f>H115/DAY(B2)</f>
        <v>-0.45499999999998786</v>
      </c>
    </row>
    <row r="116" spans="1:18" ht="30.75" customHeight="1" x14ac:dyDescent="0.5">
      <c r="A116" s="878" t="s">
        <v>96</v>
      </c>
      <c r="B116" s="879"/>
      <c r="C116" s="880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28">
        <f>H116/DAY(B2)</f>
        <v>0</v>
      </c>
      <c r="Q116" s="871" t="s">
        <v>311</v>
      </c>
      <c r="R116" s="873"/>
    </row>
    <row r="117" spans="1:18" ht="30.75" customHeight="1" x14ac:dyDescent="0.5">
      <c r="A117" s="878" t="s">
        <v>184</v>
      </c>
      <c r="B117" s="879"/>
      <c r="C117" s="880"/>
      <c r="D117" s="146" t="s">
        <v>183</v>
      </c>
      <c r="E117" s="95">
        <f>'29'!F117</f>
        <v>3277</v>
      </c>
      <c r="F117" s="237">
        <v>3299</v>
      </c>
      <c r="G117" s="112">
        <f t="shared" si="9"/>
        <v>22</v>
      </c>
      <c r="H117" s="99">
        <f>G117+'29'!H117</f>
        <v>-38.949999999999818</v>
      </c>
      <c r="I117" s="165"/>
      <c r="J117" s="328">
        <f>H117/DAY(B2)</f>
        <v>-1.2983333333333273</v>
      </c>
      <c r="Q117" s="871" t="s">
        <v>312</v>
      </c>
      <c r="R117" s="873"/>
    </row>
    <row r="118" spans="1:18" ht="30.75" customHeight="1" x14ac:dyDescent="0.5">
      <c r="A118" s="870" t="s">
        <v>97</v>
      </c>
      <c r="B118" s="870"/>
      <c r="C118" s="870"/>
      <c r="D118" s="151" t="s">
        <v>183</v>
      </c>
      <c r="E118" s="95">
        <f>'29'!F118</f>
        <v>251822</v>
      </c>
      <c r="F118" s="237">
        <v>252133</v>
      </c>
      <c r="G118" s="112">
        <f t="shared" si="9"/>
        <v>311</v>
      </c>
      <c r="H118" s="99">
        <f>G118+'29'!H118</f>
        <v>-319.30999999999767</v>
      </c>
      <c r="I118" s="165"/>
      <c r="J118" s="328">
        <f>H118/DAY(B2)</f>
        <v>-10.643666666666588</v>
      </c>
      <c r="Q118" s="871" t="s">
        <v>311</v>
      </c>
      <c r="R118" s="873"/>
    </row>
    <row r="119" spans="1:18" ht="30.75" customHeight="1" x14ac:dyDescent="0.5">
      <c r="A119" s="870" t="s">
        <v>98</v>
      </c>
      <c r="B119" s="870"/>
      <c r="C119" s="870"/>
      <c r="D119" s="151" t="s">
        <v>183</v>
      </c>
      <c r="E119" s="95">
        <f>'29'!F119</f>
        <v>257303</v>
      </c>
      <c r="F119" s="237">
        <v>257722</v>
      </c>
      <c r="G119" s="112">
        <f t="shared" si="9"/>
        <v>419</v>
      </c>
      <c r="H119" s="99">
        <f>G119+'29'!H119</f>
        <v>-426.54999999998836</v>
      </c>
      <c r="I119" s="165"/>
      <c r="J119" s="328">
        <f>H119/DAY(B2)</f>
        <v>-14.218333333332945</v>
      </c>
    </row>
    <row r="120" spans="1:18" ht="30.75" customHeight="1" x14ac:dyDescent="0.5">
      <c r="A120" s="870" t="s">
        <v>99</v>
      </c>
      <c r="B120" s="870"/>
      <c r="C120" s="870"/>
      <c r="D120" s="151" t="s">
        <v>183</v>
      </c>
      <c r="E120" s="95">
        <f>'29'!F120</f>
        <v>42114</v>
      </c>
      <c r="F120" s="237">
        <v>42540</v>
      </c>
      <c r="G120" s="112">
        <f t="shared" si="9"/>
        <v>426</v>
      </c>
      <c r="H120" s="99">
        <f>G120+'29'!H120</f>
        <v>-419.61000000000058</v>
      </c>
      <c r="I120" s="165"/>
      <c r="J120" s="328">
        <f>H120/DAY(B2)</f>
        <v>-13.98700000000002</v>
      </c>
    </row>
    <row r="121" spans="1:18" ht="30.75" customHeight="1" x14ac:dyDescent="0.5">
      <c r="A121" s="870" t="s">
        <v>100</v>
      </c>
      <c r="B121" s="870"/>
      <c r="C121" s="870"/>
      <c r="D121" s="151" t="s">
        <v>183</v>
      </c>
      <c r="E121" s="95">
        <f>'29'!F121</f>
        <v>396571</v>
      </c>
      <c r="F121" s="237">
        <v>397304</v>
      </c>
      <c r="G121" s="112">
        <f t="shared" si="9"/>
        <v>733</v>
      </c>
      <c r="H121" s="99">
        <f>G121+'29'!H121</f>
        <v>-730.42999999999302</v>
      </c>
      <c r="I121" s="165"/>
      <c r="J121" s="328">
        <f>H121/DAY(B2)</f>
        <v>-24.347666666666434</v>
      </c>
    </row>
    <row r="122" spans="1:18" ht="30.75" customHeight="1" x14ac:dyDescent="0.5">
      <c r="A122" s="870" t="s">
        <v>101</v>
      </c>
      <c r="B122" s="870"/>
      <c r="C122" s="870"/>
      <c r="D122" s="151" t="s">
        <v>183</v>
      </c>
      <c r="E122" s="95">
        <f>'29'!F122</f>
        <v>125774</v>
      </c>
      <c r="F122" s="237">
        <v>125980</v>
      </c>
      <c r="G122" s="112">
        <f t="shared" si="9"/>
        <v>206</v>
      </c>
      <c r="H122" s="99">
        <f>G122+'29'!H122</f>
        <v>-206.17999999999302</v>
      </c>
      <c r="I122" s="165"/>
      <c r="J122" s="328">
        <f>H122/DAY(B2)</f>
        <v>-6.8726666666664338</v>
      </c>
    </row>
    <row r="123" spans="1:18" ht="30.75" customHeight="1" x14ac:dyDescent="0.5">
      <c r="A123" s="870" t="s">
        <v>102</v>
      </c>
      <c r="B123" s="870"/>
      <c r="C123" s="870"/>
      <c r="D123" s="151" t="s">
        <v>183</v>
      </c>
      <c r="E123" s="95">
        <f>'29'!F123</f>
        <v>153495</v>
      </c>
      <c r="F123" s="237">
        <v>153768</v>
      </c>
      <c r="G123" s="112">
        <f t="shared" si="9"/>
        <v>273</v>
      </c>
      <c r="H123" s="99">
        <f>G123+'29'!H123</f>
        <v>-278.95000000001164</v>
      </c>
      <c r="I123" s="165"/>
      <c r="J123" s="328">
        <f>H123/DAY(B2)</f>
        <v>-9.298333333333721</v>
      </c>
    </row>
    <row r="124" spans="1:18" ht="30.75" customHeight="1" x14ac:dyDescent="0.5">
      <c r="A124" s="875"/>
      <c r="B124" s="876"/>
      <c r="C124" s="877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 x14ac:dyDescent="0.5">
      <c r="A125" s="855" t="s">
        <v>196</v>
      </c>
      <c r="B125" s="856"/>
      <c r="C125" s="245"/>
      <c r="D125" s="307"/>
      <c r="E125" s="308"/>
      <c r="F125" s="308"/>
      <c r="G125" s="309">
        <f>SUM(G112:G124)</f>
        <v>3178</v>
      </c>
      <c r="H125" s="156"/>
      <c r="I125" s="327">
        <f>G125-(G39+G53)</f>
        <v>562</v>
      </c>
      <c r="J125" s="327"/>
    </row>
    <row r="126" spans="1:18" ht="30.75" customHeight="1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30.75" customHeight="1" x14ac:dyDescent="0.5">
      <c r="A127" s="860"/>
      <c r="B127" s="860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 x14ac:dyDescent="0.5">
      <c r="A128" s="871" t="s">
        <v>318</v>
      </c>
      <c r="B128" s="872"/>
      <c r="C128" s="873"/>
      <c r="D128" s="151" t="s">
        <v>183</v>
      </c>
      <c r="E128" s="95">
        <f>'29'!F128</f>
        <v>47138</v>
      </c>
      <c r="F128" s="165">
        <v>47434</v>
      </c>
      <c r="G128" s="112">
        <f t="shared" ref="G128:G134" si="10">F128-E128</f>
        <v>296</v>
      </c>
      <c r="H128" s="99">
        <f>G128+'29'!H128</f>
        <v>-312</v>
      </c>
      <c r="I128" s="165"/>
      <c r="J128" s="328">
        <f>H128/DAY(B2)</f>
        <v>-10.4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'29'!F129</f>
        <v>26567</v>
      </c>
      <c r="F129" s="165">
        <v>26720</v>
      </c>
      <c r="G129" s="112">
        <f t="shared" si="10"/>
        <v>153</v>
      </c>
      <c r="H129" s="99">
        <f>G129+'29'!H129</f>
        <v>-190.86999999999898</v>
      </c>
      <c r="I129" s="165"/>
      <c r="J129" s="328">
        <f>H129/DAY(B2)</f>
        <v>-6.3623333333332992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'29'!F130</f>
        <v>34772</v>
      </c>
      <c r="F130" s="165">
        <v>35218</v>
      </c>
      <c r="G130" s="112">
        <f t="shared" si="10"/>
        <v>446</v>
      </c>
      <c r="H130" s="99">
        <f>G130+'29'!H130</f>
        <v>-476</v>
      </c>
      <c r="I130" s="165"/>
      <c r="J130" s="328">
        <f>H130/DAY(B2)</f>
        <v>-15.866666666666667</v>
      </c>
      <c r="N130" s="240"/>
      <c r="O130" s="241"/>
    </row>
    <row r="131" spans="1:15" ht="30.75" customHeight="1" x14ac:dyDescent="0.5">
      <c r="A131" s="871" t="s">
        <v>321</v>
      </c>
      <c r="B131" s="872"/>
      <c r="C131" s="873"/>
      <c r="D131" s="151" t="s">
        <v>183</v>
      </c>
      <c r="E131" s="95">
        <f>'29'!F131</f>
        <v>15216</v>
      </c>
      <c r="F131" s="165">
        <v>15261</v>
      </c>
      <c r="G131" s="112">
        <f t="shared" si="10"/>
        <v>45</v>
      </c>
      <c r="H131" s="99">
        <f>G131+'29'!H131</f>
        <v>-46.680000000000291</v>
      </c>
      <c r="I131" s="165"/>
      <c r="J131" s="328">
        <f>H131/DAY(B2)</f>
        <v>-1.5560000000000096</v>
      </c>
      <c r="N131" s="240"/>
      <c r="O131" s="241"/>
    </row>
    <row r="132" spans="1:15" ht="30.75" customHeight="1" x14ac:dyDescent="0.5">
      <c r="A132" s="871" t="s">
        <v>322</v>
      </c>
      <c r="B132" s="872"/>
      <c r="C132" s="873"/>
      <c r="D132" s="151" t="s">
        <v>183</v>
      </c>
      <c r="E132" s="95">
        <f>'29'!F132</f>
        <v>51518</v>
      </c>
      <c r="F132" s="165">
        <v>51683</v>
      </c>
      <c r="G132" s="112">
        <f t="shared" si="10"/>
        <v>165</v>
      </c>
      <c r="H132" s="99">
        <f>G132+'29'!H132</f>
        <v>-165.30000000000291</v>
      </c>
      <c r="I132" s="165"/>
      <c r="J132" s="328">
        <f>H132/DAY(B2)</f>
        <v>-5.5100000000000966</v>
      </c>
    </row>
    <row r="133" spans="1:15" ht="30.75" customHeight="1" x14ac:dyDescent="0.5">
      <c r="A133" s="871" t="s">
        <v>362</v>
      </c>
      <c r="B133" s="872"/>
      <c r="C133" s="873"/>
      <c r="D133" s="151" t="s">
        <v>183</v>
      </c>
      <c r="E133" s="95">
        <f>'29'!F133</f>
        <v>104410</v>
      </c>
      <c r="F133" s="165">
        <v>104906</v>
      </c>
      <c r="G133" s="112">
        <f t="shared" si="10"/>
        <v>496</v>
      </c>
      <c r="H133" s="99">
        <f>G133+'29'!H133</f>
        <v>-437.69999999999709</v>
      </c>
      <c r="I133" s="165"/>
      <c r="J133" s="328">
        <f>H133/DAY(B2)</f>
        <v>-14.589999999999902</v>
      </c>
    </row>
    <row r="134" spans="1:15" ht="30.75" customHeight="1" x14ac:dyDescent="0.5">
      <c r="A134" s="871" t="s">
        <v>340</v>
      </c>
      <c r="B134" s="872"/>
      <c r="C134" s="873"/>
      <c r="D134" s="151" t="s">
        <v>183</v>
      </c>
      <c r="E134" s="95">
        <f>'29'!F134</f>
        <v>8290</v>
      </c>
      <c r="F134" s="594">
        <v>8446</v>
      </c>
      <c r="G134" s="112">
        <f t="shared" si="10"/>
        <v>156</v>
      </c>
      <c r="H134" s="99">
        <f>G134+'29'!H134</f>
        <v>-155.22999999999956</v>
      </c>
      <c r="I134" s="165"/>
      <c r="J134" s="328">
        <f>H134/DAY(B2)</f>
        <v>-5.174333333333319</v>
      </c>
    </row>
    <row r="135" spans="1:15" ht="30.75" customHeight="1" x14ac:dyDescent="0.5">
      <c r="A135" s="855" t="s">
        <v>196</v>
      </c>
      <c r="B135" s="856"/>
      <c r="C135" s="331"/>
      <c r="D135" s="151"/>
      <c r="E135" s="95"/>
      <c r="F135" s="165"/>
      <c r="G135" s="112">
        <f>SUM(G128:G134)</f>
        <v>1757</v>
      </c>
      <c r="H135" s="99">
        <f>G135+'23'!H135</f>
        <v>27783.3</v>
      </c>
      <c r="I135" s="327">
        <f>G135-(G35+G49)</f>
        <v>-320</v>
      </c>
      <c r="J135" s="328">
        <f>H135/DAY(B2)</f>
        <v>926.11</v>
      </c>
    </row>
    <row r="136" spans="1:15" ht="30.75" customHeight="1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70" t="s">
        <v>185</v>
      </c>
      <c r="B138" s="870"/>
      <c r="C138" s="870"/>
      <c r="D138" s="151" t="s">
        <v>183</v>
      </c>
      <c r="E138" s="95">
        <f>'29'!F138</f>
        <v>866045</v>
      </c>
      <c r="F138" s="147">
        <v>866114</v>
      </c>
      <c r="G138" s="112">
        <f t="shared" ref="G138:G152" si="11">F138-E138</f>
        <v>69</v>
      </c>
      <c r="H138" s="99">
        <f>G138+'29'!H138</f>
        <v>-59</v>
      </c>
      <c r="I138" s="118"/>
      <c r="J138" s="328">
        <f>H138/DAY(B2)</f>
        <v>-1.9666666666666666</v>
      </c>
    </row>
    <row r="139" spans="1:15" ht="30.75" customHeight="1" x14ac:dyDescent="0.5">
      <c r="A139" s="870" t="s">
        <v>186</v>
      </c>
      <c r="B139" s="870"/>
      <c r="C139" s="870"/>
      <c r="D139" s="151" t="s">
        <v>183</v>
      </c>
      <c r="E139" s="95">
        <f>'29'!F139</f>
        <v>886570</v>
      </c>
      <c r="F139" s="148">
        <v>886572</v>
      </c>
      <c r="G139" s="112">
        <f t="shared" si="11"/>
        <v>2</v>
      </c>
      <c r="H139" s="99">
        <f>G139+'29'!H139</f>
        <v>-1</v>
      </c>
      <c r="I139" s="118"/>
      <c r="J139" s="328">
        <f>H139/DAY(B2)</f>
        <v>-3.3333333333333333E-2</v>
      </c>
    </row>
    <row r="140" spans="1:15" ht="30.75" customHeight="1" x14ac:dyDescent="0.5">
      <c r="A140" s="870" t="s">
        <v>187</v>
      </c>
      <c r="B140" s="870"/>
      <c r="C140" s="870"/>
      <c r="D140" s="151" t="s">
        <v>183</v>
      </c>
      <c r="E140" s="95">
        <f>'29'!F140</f>
        <v>88922</v>
      </c>
      <c r="F140" s="149">
        <v>88922</v>
      </c>
      <c r="G140" s="112">
        <f t="shared" si="11"/>
        <v>0</v>
      </c>
      <c r="H140" s="99">
        <f>G140+'29'!H140</f>
        <v>0</v>
      </c>
      <c r="I140" s="118"/>
      <c r="J140" s="328">
        <f>H140/DAY(B2)</f>
        <v>0</v>
      </c>
    </row>
    <row r="141" spans="1:15" ht="30.75" customHeight="1" x14ac:dyDescent="0.5">
      <c r="A141" s="851" t="s">
        <v>188</v>
      </c>
      <c r="B141" s="851"/>
      <c r="C141" s="851"/>
      <c r="D141" s="151" t="s">
        <v>183</v>
      </c>
      <c r="E141" s="95">
        <f>'29'!F141</f>
        <v>54339</v>
      </c>
      <c r="F141" s="149">
        <v>54513</v>
      </c>
      <c r="G141" s="112">
        <f t="shared" si="11"/>
        <v>174</v>
      </c>
      <c r="H141" s="99">
        <f>G141+'29'!H141</f>
        <v>-172.58000000000175</v>
      </c>
      <c r="I141" s="118"/>
      <c r="J141" s="328">
        <f>H141/DAY(B2)</f>
        <v>-5.752666666666725</v>
      </c>
    </row>
    <row r="142" spans="1:15" ht="30.75" customHeight="1" x14ac:dyDescent="0.5">
      <c r="A142" s="851" t="s">
        <v>189</v>
      </c>
      <c r="B142" s="851"/>
      <c r="C142" s="851"/>
      <c r="D142" s="151" t="s">
        <v>183</v>
      </c>
      <c r="E142" s="95">
        <f>'29'!F142</f>
        <v>21127</v>
      </c>
      <c r="F142" s="148">
        <v>21204</v>
      </c>
      <c r="G142" s="112">
        <f t="shared" si="11"/>
        <v>77</v>
      </c>
      <c r="H142" s="99">
        <f>G142+'29'!H142</f>
        <v>-80.099999999998545</v>
      </c>
      <c r="I142" s="140"/>
      <c r="J142" s="328">
        <f>H142/DAY(B2)</f>
        <v>-2.6699999999999515</v>
      </c>
    </row>
    <row r="143" spans="1:15" ht="30.75" customHeight="1" x14ac:dyDescent="0.5">
      <c r="A143" s="870" t="s">
        <v>91</v>
      </c>
      <c r="B143" s="870"/>
      <c r="C143" s="870"/>
      <c r="D143" s="151" t="s">
        <v>183</v>
      </c>
      <c r="E143" s="95">
        <f>'29'!F143</f>
        <v>3787</v>
      </c>
      <c r="F143" s="149">
        <v>3807</v>
      </c>
      <c r="G143" s="112">
        <f t="shared" si="11"/>
        <v>20</v>
      </c>
      <c r="H143" s="99">
        <f>G143+'29'!H143</f>
        <v>-28.389999999999873</v>
      </c>
      <c r="I143" s="140"/>
      <c r="J143" s="328">
        <f>H143/DAY(B2)</f>
        <v>-0.94633333333332914</v>
      </c>
    </row>
    <row r="144" spans="1:15" ht="30.75" customHeight="1" x14ac:dyDescent="0.5">
      <c r="A144" s="851" t="s">
        <v>90</v>
      </c>
      <c r="B144" s="851"/>
      <c r="C144" s="851"/>
      <c r="D144" s="151" t="s">
        <v>183</v>
      </c>
      <c r="E144" s="95">
        <f>'29'!F144</f>
        <v>876070</v>
      </c>
      <c r="F144" s="149">
        <v>876271</v>
      </c>
      <c r="G144" s="112">
        <f t="shared" si="11"/>
        <v>201</v>
      </c>
      <c r="H144" s="99">
        <f>G144+'29'!H144</f>
        <v>-216</v>
      </c>
      <c r="I144" s="140"/>
      <c r="J144" s="328">
        <f>H144/DAY(B2)</f>
        <v>-7.2</v>
      </c>
    </row>
    <row r="145" spans="1:10" ht="30.75" customHeight="1" x14ac:dyDescent="0.5">
      <c r="A145" s="870" t="s">
        <v>190</v>
      </c>
      <c r="B145" s="870"/>
      <c r="C145" s="870"/>
      <c r="D145" s="152" t="s">
        <v>183</v>
      </c>
      <c r="E145" s="95">
        <f>'29'!F145</f>
        <v>4943</v>
      </c>
      <c r="F145" s="149">
        <v>4949</v>
      </c>
      <c r="G145" s="112">
        <f t="shared" si="11"/>
        <v>6</v>
      </c>
      <c r="H145" s="99">
        <f>G145+'29'!H145</f>
        <v>-9.8400000000001455</v>
      </c>
      <c r="I145" s="140"/>
      <c r="J145" s="328">
        <f>H145/DAY(B2)</f>
        <v>-0.32800000000000484</v>
      </c>
    </row>
    <row r="146" spans="1:10" ht="30.75" customHeight="1" x14ac:dyDescent="0.5">
      <c r="A146" s="905" t="s">
        <v>191</v>
      </c>
      <c r="B146" s="890"/>
      <c r="C146" s="891"/>
      <c r="D146" s="152" t="s">
        <v>183</v>
      </c>
      <c r="E146" s="95">
        <f>'29'!F146</f>
        <v>736461</v>
      </c>
      <c r="F146" s="148">
        <v>736947</v>
      </c>
      <c r="G146" s="112">
        <f t="shared" si="11"/>
        <v>486</v>
      </c>
      <c r="H146" s="99">
        <f>G146+'29'!H146</f>
        <v>-386</v>
      </c>
      <c r="I146" s="140"/>
      <c r="J146" s="328">
        <f>H146/DAY(B2)</f>
        <v>-12.866666666666667</v>
      </c>
    </row>
    <row r="147" spans="1:10" ht="30.75" customHeight="1" x14ac:dyDescent="0.5">
      <c r="A147" s="851" t="s">
        <v>192</v>
      </c>
      <c r="B147" s="851"/>
      <c r="C147" s="851"/>
      <c r="D147" s="152" t="s">
        <v>183</v>
      </c>
      <c r="E147" s="95">
        <f>'29'!F147</f>
        <v>625925</v>
      </c>
      <c r="F147" s="148">
        <v>626265</v>
      </c>
      <c r="G147" s="112">
        <f t="shared" si="11"/>
        <v>340</v>
      </c>
      <c r="H147" s="99">
        <f>G147+'29'!H147</f>
        <v>-347.52000000001863</v>
      </c>
      <c r="I147" s="140"/>
      <c r="J147" s="328">
        <f>H147/DAY(B2)</f>
        <v>-11.584000000000621</v>
      </c>
    </row>
    <row r="148" spans="1:10" ht="30.75" customHeight="1" x14ac:dyDescent="0.5">
      <c r="A148" s="852" t="s">
        <v>193</v>
      </c>
      <c r="B148" s="853"/>
      <c r="C148" s="854"/>
      <c r="D148" s="123" t="s">
        <v>130</v>
      </c>
      <c r="E148" s="95">
        <f>'29'!F148</f>
        <v>689065</v>
      </c>
      <c r="F148" s="150">
        <v>689285</v>
      </c>
      <c r="G148" s="112">
        <f t="shared" si="11"/>
        <v>220</v>
      </c>
      <c r="H148" s="99">
        <f>G148+'29'!H148</f>
        <v>-157.95999999996275</v>
      </c>
      <c r="I148" s="124"/>
      <c r="J148" s="328">
        <f>H148/DAY(B2)</f>
        <v>-5.2653333333320917</v>
      </c>
    </row>
    <row r="149" spans="1:10" ht="30.75" customHeight="1" x14ac:dyDescent="0.5">
      <c r="A149" s="852" t="s">
        <v>336</v>
      </c>
      <c r="B149" s="853"/>
      <c r="C149" s="854"/>
      <c r="D149" s="227" t="s">
        <v>130</v>
      </c>
      <c r="E149" s="95">
        <f>'29'!F149</f>
        <v>23796</v>
      </c>
      <c r="F149" s="146">
        <v>24279</v>
      </c>
      <c r="G149" s="112">
        <f t="shared" si="11"/>
        <v>483</v>
      </c>
      <c r="H149" s="99">
        <f>G149+'29'!H149</f>
        <v>-399.20000000000073</v>
      </c>
      <c r="I149" s="119"/>
      <c r="J149" s="328">
        <f>H149/DAY(B2)</f>
        <v>-13.306666666666692</v>
      </c>
    </row>
    <row r="150" spans="1:10" ht="30.75" customHeight="1" x14ac:dyDescent="0.5">
      <c r="A150" s="852" t="s">
        <v>337</v>
      </c>
      <c r="B150" s="853"/>
      <c r="C150" s="854"/>
      <c r="D150" s="117" t="s">
        <v>130</v>
      </c>
      <c r="E150" s="95">
        <f>'29'!F150</f>
        <v>10414</v>
      </c>
      <c r="F150" s="233">
        <v>10637</v>
      </c>
      <c r="G150" s="112">
        <f t="shared" si="11"/>
        <v>223</v>
      </c>
      <c r="H150" s="99">
        <f>G150+'29'!H150</f>
        <v>-213.82999999999993</v>
      </c>
      <c r="I150" s="119"/>
      <c r="J150" s="328">
        <f>H150/DAY(B2)</f>
        <v>-7.1276666666666646</v>
      </c>
    </row>
    <row r="151" spans="1:10" ht="30.75" customHeight="1" x14ac:dyDescent="0.5">
      <c r="A151" s="852" t="s">
        <v>338</v>
      </c>
      <c r="B151" s="853"/>
      <c r="C151" s="854"/>
      <c r="D151" s="117" t="s">
        <v>130</v>
      </c>
      <c r="E151" s="95">
        <f>'29'!F151</f>
        <v>84953</v>
      </c>
      <c r="F151" s="233">
        <v>85186</v>
      </c>
      <c r="G151" s="112">
        <f t="shared" si="11"/>
        <v>233</v>
      </c>
      <c r="H151" s="99">
        <f>G151+'29'!H151</f>
        <v>-294</v>
      </c>
      <c r="I151" s="119"/>
      <c r="J151" s="328">
        <f>H151/DAY(B2)</f>
        <v>-9.8000000000000007</v>
      </c>
    </row>
    <row r="152" spans="1:10" ht="30.75" customHeight="1" x14ac:dyDescent="0.5">
      <c r="A152" s="852" t="s">
        <v>339</v>
      </c>
      <c r="B152" s="853"/>
      <c r="C152" s="854"/>
      <c r="D152" s="117" t="s">
        <v>130</v>
      </c>
      <c r="E152" s="95">
        <f>'29'!F152</f>
        <v>1627</v>
      </c>
      <c r="F152" s="233">
        <v>1642</v>
      </c>
      <c r="G152" s="112">
        <f t="shared" si="11"/>
        <v>15</v>
      </c>
      <c r="H152" s="99">
        <f>G152+'29'!H152</f>
        <v>-18</v>
      </c>
      <c r="I152" s="119"/>
      <c r="J152" s="328">
        <f>H152/DAY(B2)</f>
        <v>-0.6</v>
      </c>
    </row>
    <row r="153" spans="1:10" ht="30.75" customHeight="1" x14ac:dyDescent="0.5">
      <c r="A153" s="855" t="s">
        <v>196</v>
      </c>
      <c r="B153" s="856"/>
      <c r="C153" s="365"/>
      <c r="D153" s="358"/>
      <c r="E153" s="360"/>
      <c r="F153" s="361"/>
      <c r="G153" s="362">
        <f>SUM(G138:G152)</f>
        <v>2549</v>
      </c>
      <c r="H153" s="363"/>
      <c r="I153" s="119">
        <f>G153-(G38+G52)</f>
        <v>920</v>
      </c>
      <c r="J153" s="366"/>
    </row>
    <row r="154" spans="1:10" ht="30.75" customHeight="1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30.75" customHeight="1" x14ac:dyDescent="0.55000000000000004">
      <c r="A155" s="851" t="s">
        <v>345</v>
      </c>
      <c r="B155" s="851"/>
      <c r="C155" s="851"/>
      <c r="D155" s="117" t="s">
        <v>130</v>
      </c>
      <c r="E155" s="95">
        <f>'29'!F155</f>
        <v>31038</v>
      </c>
      <c r="F155" s="374">
        <v>31715</v>
      </c>
      <c r="G155" s="112">
        <f t="shared" ref="G155:G158" si="12">F155-E155</f>
        <v>677</v>
      </c>
      <c r="H155" s="99">
        <f>G155+'29'!H155</f>
        <v>-1230</v>
      </c>
      <c r="I155" s="364"/>
      <c r="J155" s="328">
        <f>H155/DAY(B2)</f>
        <v>-41</v>
      </c>
    </row>
    <row r="156" spans="1:10" ht="30.75" customHeight="1" x14ac:dyDescent="0.5">
      <c r="A156" s="851" t="s">
        <v>347</v>
      </c>
      <c r="B156" s="851"/>
      <c r="C156" s="851"/>
      <c r="D156" s="117" t="s">
        <v>130</v>
      </c>
      <c r="E156" s="155">
        <v>2621</v>
      </c>
      <c r="F156" s="155">
        <v>2678</v>
      </c>
      <c r="G156" s="112">
        <f t="shared" si="12"/>
        <v>57</v>
      </c>
      <c r="H156" s="99">
        <f>G156+'29'!H156</f>
        <v>-110</v>
      </c>
      <c r="I156" s="165"/>
      <c r="J156" s="328">
        <f>H156/DAY(B2)</f>
        <v>-3.6666666666666665</v>
      </c>
    </row>
    <row r="157" spans="1:10" ht="30.75" customHeight="1" x14ac:dyDescent="0.5">
      <c r="A157" s="852" t="s">
        <v>363</v>
      </c>
      <c r="B157" s="853"/>
      <c r="C157" s="854"/>
      <c r="D157" s="117" t="s">
        <v>130</v>
      </c>
      <c r="E157" s="155">
        <v>3806</v>
      </c>
      <c r="F157" s="155">
        <v>3897</v>
      </c>
      <c r="G157" s="112">
        <f t="shared" si="12"/>
        <v>91</v>
      </c>
      <c r="H157" s="99">
        <f>G157+'29'!H157</f>
        <v>205</v>
      </c>
      <c r="I157" s="165"/>
      <c r="J157" s="328">
        <f>H157/DAY(B2)</f>
        <v>6.833333333333333</v>
      </c>
    </row>
    <row r="158" spans="1:10" ht="30.75" customHeight="1" x14ac:dyDescent="0.5">
      <c r="A158" s="852" t="s">
        <v>364</v>
      </c>
      <c r="B158" s="853"/>
      <c r="C158" s="854"/>
      <c r="D158" s="117" t="s">
        <v>130</v>
      </c>
      <c r="E158" s="155">
        <v>45.61</v>
      </c>
      <c r="F158" s="155">
        <v>46.66</v>
      </c>
      <c r="G158" s="112">
        <f t="shared" si="12"/>
        <v>1.0499999999999972</v>
      </c>
      <c r="H158" s="99">
        <f>G158+'29'!H158</f>
        <v>1.1099999999999994</v>
      </c>
      <c r="I158" s="165"/>
      <c r="J158" s="328">
        <f>H158/DAY(B2)</f>
        <v>3.6999999999999984E-2</v>
      </c>
    </row>
    <row r="159" spans="1:10" ht="30.75" customHeight="1" x14ac:dyDescent="0.5">
      <c r="A159" s="935"/>
      <c r="B159" s="936"/>
      <c r="C159" s="937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859"/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471985</v>
      </c>
      <c r="F161" s="235">
        <v>472011</v>
      </c>
      <c r="G161" s="238">
        <f t="shared" ref="G161:G165" si="13">F161-E161</f>
        <v>26</v>
      </c>
      <c r="H161" s="99">
        <f>G161+'29'!H161</f>
        <v>-42.559999999997672</v>
      </c>
      <c r="I161" s="236"/>
      <c r="J161" s="239">
        <f>H161/DAY(B2)</f>
        <v>-1.418666666666589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88468</v>
      </c>
      <c r="F162" s="235">
        <v>88480</v>
      </c>
      <c r="G162" s="238">
        <f t="shared" si="13"/>
        <v>12</v>
      </c>
      <c r="H162" s="99">
        <f>G162+'29'!H162</f>
        <v>-36.399999999994179</v>
      </c>
      <c r="I162" s="236"/>
      <c r="J162" s="239">
        <f>H162/DAY(B2)</f>
        <v>-1.2133333333331393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79150</v>
      </c>
      <c r="F163" s="235">
        <v>79184</v>
      </c>
      <c r="G163" s="238">
        <f t="shared" si="13"/>
        <v>34</v>
      </c>
      <c r="H163" s="99">
        <f>G163+'29'!H163</f>
        <v>-36.100000000005821</v>
      </c>
      <c r="I163" s="236"/>
      <c r="J163" s="239">
        <f>H163/DAY(B2)</f>
        <v>-1.2033333333335274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4320</v>
      </c>
      <c r="F164" s="235">
        <v>4320</v>
      </c>
      <c r="G164" s="238">
        <f t="shared" si="13"/>
        <v>0</v>
      </c>
      <c r="H164" s="99">
        <f>G164+'29'!H164</f>
        <v>0</v>
      </c>
      <c r="I164" s="236"/>
      <c r="J164" s="239">
        <f>H164/DAY(B2)</f>
        <v>0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29835</v>
      </c>
      <c r="F165" s="235">
        <v>29845</v>
      </c>
      <c r="G165" s="238">
        <f t="shared" si="13"/>
        <v>10</v>
      </c>
      <c r="H165" s="99">
        <f>G165+'29'!H165</f>
        <v>-12.25</v>
      </c>
      <c r="I165" s="236"/>
      <c r="J165" s="239">
        <f>H165/DAY(B2)</f>
        <v>-0.40833333333333333</v>
      </c>
    </row>
    <row r="166" spans="1:10" ht="30.75" customHeight="1" x14ac:dyDescent="0.5">
      <c r="A166" s="860"/>
      <c r="B166" s="860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860"/>
      <c r="B167" s="860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860"/>
      <c r="B168" s="860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30.75" customHeight="1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64" t="s">
        <v>209</v>
      </c>
      <c r="B173" s="865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 x14ac:dyDescent="0.5">
      <c r="A174" s="864" t="s">
        <v>75</v>
      </c>
      <c r="B174" s="865"/>
      <c r="C174" s="333"/>
      <c r="D174" s="228" t="s">
        <v>142</v>
      </c>
      <c r="E174" s="95">
        <f>'29'!F174</f>
        <v>38589</v>
      </c>
      <c r="F174" s="157">
        <v>38603</v>
      </c>
      <c r="G174" s="155">
        <f t="shared" ref="G174:G175" si="14">F174-E174</f>
        <v>14</v>
      </c>
      <c r="H174" s="99">
        <f>G174+'29'!H174</f>
        <v>-12</v>
      </c>
      <c r="I174" s="155"/>
      <c r="J174" s="178">
        <f>H174/DAY(B2)</f>
        <v>-0.4</v>
      </c>
    </row>
    <row r="175" spans="1:10" ht="30.75" customHeight="1" x14ac:dyDescent="0.5">
      <c r="A175" s="864" t="s">
        <v>76</v>
      </c>
      <c r="B175" s="904"/>
      <c r="C175" s="865"/>
      <c r="D175" s="228" t="s">
        <v>142</v>
      </c>
      <c r="E175" s="95">
        <f>'29'!F175</f>
        <v>21795</v>
      </c>
      <c r="F175" s="155">
        <v>21803</v>
      </c>
      <c r="G175" s="155">
        <f t="shared" si="14"/>
        <v>8</v>
      </c>
      <c r="H175" s="99">
        <f>G175+'29'!H175</f>
        <v>-10</v>
      </c>
      <c r="I175" s="155"/>
      <c r="J175" s="178">
        <f>H175/DAY(B2)</f>
        <v>-0.33333333333333331</v>
      </c>
    </row>
    <row r="176" spans="1:10" ht="30.75" customHeight="1" x14ac:dyDescent="0.5">
      <c r="A176" s="855" t="s">
        <v>196</v>
      </c>
      <c r="B176" s="856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G176+'29'!H176</f>
        <v>-22</v>
      </c>
      <c r="I176" s="155"/>
      <c r="J176" s="178">
        <f>H176/DAY(B2)</f>
        <v>-0.73333333333333328</v>
      </c>
    </row>
    <row r="177" spans="1:10" ht="30.75" customHeight="1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864" t="s">
        <v>210</v>
      </c>
      <c r="B178" s="865"/>
      <c r="C178" s="333"/>
      <c r="D178" s="228" t="s">
        <v>142</v>
      </c>
      <c r="E178" s="95">
        <f>'29'!F178</f>
        <v>81143</v>
      </c>
      <c r="F178" s="155">
        <v>81206</v>
      </c>
      <c r="G178" s="155">
        <f>F178-E178</f>
        <v>63</v>
      </c>
      <c r="H178" s="99">
        <f>G178+'29'!H178</f>
        <v>-109</v>
      </c>
      <c r="I178" s="155"/>
      <c r="J178" s="178">
        <f>H178/DAY(B2)</f>
        <v>-3.6333333333333333</v>
      </c>
    </row>
    <row r="179" spans="1:10" ht="30.75" customHeight="1" x14ac:dyDescent="0.5">
      <c r="A179" s="864" t="s">
        <v>211</v>
      </c>
      <c r="B179" s="865"/>
      <c r="C179" s="333"/>
      <c r="D179" s="228" t="s">
        <v>142</v>
      </c>
      <c r="E179" s="95">
        <f>'29'!F179</f>
        <v>34729</v>
      </c>
      <c r="F179" s="155">
        <v>34754</v>
      </c>
      <c r="G179" s="155">
        <f t="shared" ref="G179:G180" si="15">F179-E179</f>
        <v>25</v>
      </c>
      <c r="H179" s="99">
        <f>G179+'29'!H179</f>
        <v>5825</v>
      </c>
      <c r="I179" s="155"/>
      <c r="J179" s="178">
        <f>H179/DAY(B2)</f>
        <v>194.16666666666666</v>
      </c>
    </row>
    <row r="180" spans="1:10" ht="30.75" customHeight="1" x14ac:dyDescent="0.5">
      <c r="A180" s="864" t="s">
        <v>212</v>
      </c>
      <c r="B180" s="865"/>
      <c r="C180" s="333"/>
      <c r="D180" s="228" t="s">
        <v>142</v>
      </c>
      <c r="E180" s="95">
        <f>'29'!F180</f>
        <v>5690</v>
      </c>
      <c r="F180" s="155">
        <v>5693</v>
      </c>
      <c r="G180" s="155">
        <f t="shared" si="15"/>
        <v>3</v>
      </c>
      <c r="H180" s="99">
        <f>G180+'29'!H180</f>
        <v>-9</v>
      </c>
      <c r="I180" s="155"/>
      <c r="J180" s="178">
        <f>H180/DAY(B2)</f>
        <v>-0.3</v>
      </c>
    </row>
    <row r="181" spans="1:10" ht="30.75" customHeight="1" x14ac:dyDescent="0.5">
      <c r="A181" s="866" t="s">
        <v>108</v>
      </c>
      <c r="B181" s="867"/>
      <c r="C181" s="483"/>
      <c r="D181" s="228" t="s">
        <v>142</v>
      </c>
      <c r="E181" s="95"/>
      <c r="F181" s="155"/>
      <c r="G181" s="155">
        <f>SUM(G178:G180)</f>
        <v>91</v>
      </c>
      <c r="H181" s="99">
        <f>G181+'29'!H181</f>
        <v>5707</v>
      </c>
      <c r="I181" s="155"/>
      <c r="J181" s="178">
        <f>H181/DAY(B2)</f>
        <v>190.23333333333332</v>
      </c>
    </row>
    <row r="182" spans="1:10" ht="30.75" customHeight="1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864" t="s">
        <v>214</v>
      </c>
      <c r="B183" s="865"/>
      <c r="C183" s="334"/>
      <c r="D183" s="228" t="s">
        <v>142</v>
      </c>
      <c r="E183" s="95">
        <f>'29'!F183</f>
        <v>15324</v>
      </c>
      <c r="F183" s="157">
        <v>15334</v>
      </c>
      <c r="G183" s="157">
        <f>F183-E183</f>
        <v>10</v>
      </c>
      <c r="H183" s="99">
        <f>G183+'29'!H183</f>
        <v>-11</v>
      </c>
      <c r="I183" s="155"/>
      <c r="J183" s="178">
        <f>H183/DAY(B2)</f>
        <v>-0.36666666666666664</v>
      </c>
    </row>
    <row r="184" spans="1:10" ht="30.75" customHeight="1" x14ac:dyDescent="0.5">
      <c r="A184" s="864" t="s">
        <v>215</v>
      </c>
      <c r="B184" s="865"/>
      <c r="C184" s="334"/>
      <c r="D184" s="228" t="s">
        <v>142</v>
      </c>
      <c r="E184" s="95">
        <f>'29'!F184</f>
        <v>10490</v>
      </c>
      <c r="F184" s="157">
        <v>10511</v>
      </c>
      <c r="G184" s="157">
        <f t="shared" ref="G184:G185" si="16">F184-E184</f>
        <v>21</v>
      </c>
      <c r="H184" s="99">
        <f>G184+'29'!H184</f>
        <v>-7</v>
      </c>
      <c r="I184" s="155"/>
      <c r="J184" s="178">
        <f>H184/DAY(B2)</f>
        <v>-0.23333333333333334</v>
      </c>
    </row>
    <row r="185" spans="1:10" ht="30.75" customHeight="1" x14ac:dyDescent="0.5">
      <c r="A185" s="864" t="s">
        <v>216</v>
      </c>
      <c r="B185" s="865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855" t="s">
        <v>196</v>
      </c>
      <c r="B186" s="856"/>
      <c r="C186" s="482"/>
      <c r="D186" s="228" t="s">
        <v>142</v>
      </c>
      <c r="E186" s="95"/>
      <c r="F186" s="157"/>
      <c r="G186" s="157">
        <f>SUM(G183:G185)</f>
        <v>31</v>
      </c>
      <c r="H186" s="99">
        <f>G186+'29'!H186</f>
        <v>-18</v>
      </c>
      <c r="I186" s="157"/>
      <c r="J186" s="178">
        <f>H186/DAY(B2)</f>
        <v>-0.6</v>
      </c>
    </row>
    <row r="187" spans="1:10" ht="30.75" customHeight="1" x14ac:dyDescent="0.5">
      <c r="A187" s="857" t="s">
        <v>217</v>
      </c>
      <c r="B187" s="858"/>
      <c r="C187" s="333"/>
      <c r="D187" s="228" t="s">
        <v>142</v>
      </c>
      <c r="E187" s="95"/>
      <c r="F187" s="159"/>
      <c r="G187" s="159">
        <f>G62+G19</f>
        <v>170</v>
      </c>
      <c r="H187" s="99">
        <f>G187+'29'!H187</f>
        <v>-139</v>
      </c>
      <c r="I187" s="158"/>
      <c r="J187" s="179">
        <f>H187/DAY(B2)</f>
        <v>-4.6333333333333337</v>
      </c>
    </row>
    <row r="188" spans="1:10" ht="30.75" customHeight="1" x14ac:dyDescent="0.5">
      <c r="A188" s="857" t="s">
        <v>218</v>
      </c>
      <c r="B188" s="858"/>
      <c r="C188" s="333"/>
      <c r="D188" s="230" t="s">
        <v>142</v>
      </c>
      <c r="E188" s="95"/>
      <c r="F188" s="159"/>
      <c r="G188" s="159">
        <f>G65+G66+G67+G69+G70</f>
        <v>169</v>
      </c>
      <c r="H188" s="99">
        <f>G188+'29'!H188</f>
        <v>-2381</v>
      </c>
      <c r="I188" s="158"/>
      <c r="J188" s="179">
        <f>H188/DAY(B2)</f>
        <v>-79.36666666666666</v>
      </c>
    </row>
    <row r="189" spans="1:10" ht="30.75" customHeight="1" x14ac:dyDescent="0.5">
      <c r="A189" s="857" t="s">
        <v>219</v>
      </c>
      <c r="B189" s="858"/>
      <c r="C189" s="333"/>
      <c r="D189" s="230" t="s">
        <v>142</v>
      </c>
      <c r="E189" s="95"/>
      <c r="F189" s="157"/>
      <c r="G189" s="157">
        <f>G181</f>
        <v>91</v>
      </c>
      <c r="H189" s="99">
        <f>G189+'29'!H189</f>
        <v>4098</v>
      </c>
      <c r="I189" s="158"/>
      <c r="J189" s="179">
        <f>H189/DAY(B2)</f>
        <v>136.6</v>
      </c>
    </row>
    <row r="190" spans="1:10" ht="30.75" customHeight="1" x14ac:dyDescent="0.5">
      <c r="A190" s="778" t="s">
        <v>360</v>
      </c>
      <c r="B190" s="779"/>
      <c r="C190" s="481"/>
      <c r="D190" s="478"/>
      <c r="E190" s="478">
        <v>52942.203000000001</v>
      </c>
      <c r="F190" s="478">
        <v>52948.703000000001</v>
      </c>
      <c r="G190" s="478">
        <f>F190-E190</f>
        <v>6.5</v>
      </c>
      <c r="H190" s="479"/>
      <c r="I190" s="478"/>
      <c r="J190" s="480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F15" sqref="F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96" customWidth="1"/>
    <col min="7" max="7" width="28.88671875" style="496" customWidth="1"/>
    <col min="8" max="8" width="29.109375" style="161" customWidth="1"/>
    <col min="9" max="9" width="23.5546875" style="496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5" s="57" customFormat="1" ht="27" x14ac:dyDescent="0.5">
      <c r="A2" s="191" t="s">
        <v>350</v>
      </c>
      <c r="B2" s="262">
        <v>44592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973" t="s">
        <v>129</v>
      </c>
      <c r="B7" s="974"/>
      <c r="C7" s="975"/>
      <c r="D7" s="151" t="s">
        <v>130</v>
      </c>
      <c r="E7" s="95">
        <f>'30'!F7</f>
        <v>643110</v>
      </c>
      <c r="F7" s="95">
        <f>E7+22000</f>
        <v>665110</v>
      </c>
      <c r="G7" s="112">
        <f>F7-E7</f>
        <v>22000</v>
      </c>
      <c r="H7" s="99">
        <f>G7+'30'!H7</f>
        <v>645028.77</v>
      </c>
      <c r="I7" s="113">
        <f>'1'!I7</f>
        <v>12000</v>
      </c>
      <c r="J7" s="175">
        <f>H7/DAY(B2)</f>
        <v>20807.379677419354</v>
      </c>
      <c r="K7" s="172">
        <v>1375467</v>
      </c>
      <c r="L7" s="66"/>
      <c r="N7" s="87">
        <f>F7-'3'!E7</f>
        <v>-21384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322354</v>
      </c>
      <c r="F8" s="95">
        <f>E8+20000</f>
        <v>342354</v>
      </c>
      <c r="G8" s="115">
        <f>F8-E8</f>
        <v>20000</v>
      </c>
      <c r="H8" s="99">
        <f>G8+'30'!H8</f>
        <v>633832.44999999995</v>
      </c>
      <c r="I8" s="116"/>
      <c r="J8" s="175">
        <f>H8/DAY(B2)</f>
        <v>20446.208064516126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976" t="s">
        <v>132</v>
      </c>
      <c r="B9" s="977"/>
      <c r="C9" s="978"/>
      <c r="D9" s="151" t="s">
        <v>130</v>
      </c>
      <c r="E9" s="95">
        <f>'30'!F9</f>
        <v>267226</v>
      </c>
      <c r="F9" s="598">
        <v>282253.84999999998</v>
      </c>
      <c r="G9" s="112">
        <f>F9-E9</f>
        <v>15027.849999999977</v>
      </c>
      <c r="H9" s="99">
        <f>G9+'30'!H9</f>
        <v>0</v>
      </c>
      <c r="I9" s="124">
        <f>I7-J7</f>
        <v>-8807.3796774193543</v>
      </c>
      <c r="J9" s="175">
        <f>H9/DAY(B2)</f>
        <v>0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973" t="s">
        <v>133</v>
      </c>
      <c r="B10" s="974"/>
      <c r="C10" s="975"/>
      <c r="D10" s="151" t="s">
        <v>130</v>
      </c>
      <c r="E10" s="95">
        <f>'30'!F10</f>
        <v>103185</v>
      </c>
      <c r="F10" s="353">
        <v>105258.97</v>
      </c>
      <c r="G10" s="112">
        <f t="shared" ref="G10:G12" si="0">F10-E10</f>
        <v>2073.9700000000012</v>
      </c>
      <c r="H10" s="99">
        <f>G10+'30'!H10</f>
        <v>0</v>
      </c>
      <c r="I10" s="120"/>
      <c r="J10" s="175">
        <f>H10/DAY(B2)</f>
        <v>0</v>
      </c>
      <c r="K10" s="79"/>
      <c r="L10" s="66"/>
      <c r="N10" s="87"/>
      <c r="O10" s="71"/>
    </row>
    <row r="11" spans="1:15" ht="21.95" customHeight="1" x14ac:dyDescent="0.4">
      <c r="A11" s="973" t="s">
        <v>134</v>
      </c>
      <c r="B11" s="974"/>
      <c r="C11" s="975"/>
      <c r="D11" s="151" t="s">
        <v>130</v>
      </c>
      <c r="E11" s="95">
        <f>'30'!F11</f>
        <v>37170</v>
      </c>
      <c r="F11" s="95">
        <v>37170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973" t="s">
        <v>135</v>
      </c>
      <c r="B12" s="974"/>
      <c r="C12" s="975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17101.819999999978</v>
      </c>
      <c r="H13" s="99">
        <f>G13+'30'!H13</f>
        <v>-16754.43000000008</v>
      </c>
      <c r="I13" s="120">
        <f>G7-G13</f>
        <v>4898.1800000000221</v>
      </c>
      <c r="J13" s="175">
        <f>H13/DAY(B2)</f>
        <v>-540.46548387097039</v>
      </c>
      <c r="K13" s="79"/>
      <c r="L13" s="66"/>
      <c r="N13" s="87"/>
      <c r="O13" s="71"/>
    </row>
    <row r="14" spans="1:15" ht="29.25" x14ac:dyDescent="0.5">
      <c r="A14" s="916" t="s">
        <v>137</v>
      </c>
      <c r="B14" s="917"/>
      <c r="C14" s="918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92" t="s">
        <v>138</v>
      </c>
      <c r="B15" s="893"/>
      <c r="C15" s="894"/>
      <c r="D15" s="151" t="s">
        <v>139</v>
      </c>
      <c r="E15" s="95">
        <f>'30'!F15</f>
        <v>1939090</v>
      </c>
      <c r="F15" s="123">
        <f>E15+1100</f>
        <v>1940190</v>
      </c>
      <c r="G15" s="112">
        <f>(F15-E15)</f>
        <v>1100</v>
      </c>
      <c r="H15" s="99">
        <f>G15+'30'!H15</f>
        <v>33553.233000000007</v>
      </c>
      <c r="I15" s="113">
        <f>'1'!I15</f>
        <v>800</v>
      </c>
      <c r="J15" s="175">
        <f>H15/DAY(B2)</f>
        <v>1082.36235483871</v>
      </c>
      <c r="K15" s="79"/>
      <c r="L15" s="66"/>
      <c r="N15" s="87"/>
      <c r="O15" s="71"/>
    </row>
    <row r="16" spans="1:15" ht="21.95" customHeight="1" x14ac:dyDescent="0.4">
      <c r="A16" s="970"/>
      <c r="B16" s="971"/>
      <c r="C16" s="972"/>
      <c r="D16" s="152"/>
      <c r="E16" s="123"/>
      <c r="F16" s="123"/>
      <c r="G16" s="112"/>
      <c r="H16" s="124"/>
      <c r="I16" s="120">
        <f>I15-J15</f>
        <v>-282.36235483870996</v>
      </c>
      <c r="J16" s="176"/>
      <c r="K16" s="79"/>
      <c r="L16" s="66"/>
      <c r="N16" s="87"/>
      <c r="O16" s="71"/>
    </row>
    <row r="17" spans="1:15" ht="29.25" x14ac:dyDescent="0.5">
      <c r="A17" s="916" t="s">
        <v>140</v>
      </c>
      <c r="B17" s="917"/>
      <c r="C17" s="918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92" t="s">
        <v>141</v>
      </c>
      <c r="B18" s="893"/>
      <c r="C18" s="894"/>
      <c r="D18" s="151" t="s">
        <v>142</v>
      </c>
      <c r="E18" s="95">
        <f>'30'!F18</f>
        <v>17</v>
      </c>
      <c r="F18" s="164">
        <v>9</v>
      </c>
      <c r="G18" s="119">
        <f>F18*10</f>
        <v>90</v>
      </c>
      <c r="H18" s="99">
        <f>G18+'30'!H18</f>
        <v>6750</v>
      </c>
      <c r="I18" s="113">
        <f>'1'!I18</f>
        <v>65</v>
      </c>
      <c r="J18" s="175">
        <f>H18/DAY(B2)</f>
        <v>217.74193548387098</v>
      </c>
      <c r="K18" s="79"/>
      <c r="L18" s="66"/>
      <c r="N18" s="87"/>
      <c r="O18" s="71"/>
    </row>
    <row r="19" spans="1:15" ht="27.75" x14ac:dyDescent="0.5">
      <c r="A19" s="892" t="s">
        <v>69</v>
      </c>
      <c r="B19" s="893"/>
      <c r="C19" s="894"/>
      <c r="D19" s="151" t="s">
        <v>142</v>
      </c>
      <c r="E19" s="95">
        <f>'30'!F19</f>
        <v>153835</v>
      </c>
      <c r="F19" s="122">
        <v>153891</v>
      </c>
      <c r="G19" s="112">
        <f t="shared" ref="G19" si="1">F19-E19</f>
        <v>56</v>
      </c>
      <c r="H19" s="99">
        <f>G19+'30'!H19</f>
        <v>0</v>
      </c>
      <c r="I19" s="123"/>
      <c r="J19" s="175">
        <f>H19/DAY(B2)</f>
        <v>0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146</v>
      </c>
      <c r="H20" s="99">
        <f>G20+'30'!H20</f>
        <v>6750</v>
      </c>
      <c r="I20" s="336">
        <f>I18-J20</f>
        <v>-152.74193548387098</v>
      </c>
      <c r="J20" s="175">
        <f>H20/DAY(B2)</f>
        <v>217.74193548387098</v>
      </c>
      <c r="K20" s="79"/>
      <c r="L20" s="66"/>
      <c r="N20" s="87"/>
      <c r="O20" s="71"/>
    </row>
    <row r="21" spans="1:15" ht="29.25" x14ac:dyDescent="0.5">
      <c r="A21" s="916" t="s">
        <v>144</v>
      </c>
      <c r="B21" s="917"/>
      <c r="C21" s="918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-1080</v>
      </c>
      <c r="I23" s="95"/>
      <c r="J23" s="175">
        <f>H23/DAY(B2)</f>
        <v>-34.838709677419352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-1080</v>
      </c>
      <c r="I24" s="95"/>
      <c r="J24" s="175">
        <f>H24/DAY(B2)</f>
        <v>-34.838709677419352</v>
      </c>
      <c r="K24" s="79"/>
      <c r="L24" s="66"/>
      <c r="N24" s="87"/>
      <c r="O24" s="71"/>
    </row>
    <row r="25" spans="1:15" s="88" customFormat="1" ht="27" x14ac:dyDescent="0.35">
      <c r="A25" s="921" t="s">
        <v>149</v>
      </c>
      <c r="B25" s="922"/>
      <c r="C25" s="92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20000</v>
      </c>
      <c r="F27" s="136">
        <v>9</v>
      </c>
      <c r="G27" s="137">
        <f>E27*F27</f>
        <v>180000</v>
      </c>
      <c r="H27" s="99">
        <f>G27+'30'!H27</f>
        <v>5697877.0500000007</v>
      </c>
      <c r="I27" s="138"/>
      <c r="J27" s="175">
        <f>H27/DAY(B2)</f>
        <v>183802.48548387099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G28+'30'!H28</f>
        <v>1867905.1160000004</v>
      </c>
      <c r="I28" s="690"/>
      <c r="J28" s="175">
        <f>H28/DAY(B2)</f>
        <v>60255.003741935499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-74520</v>
      </c>
      <c r="I29" s="690"/>
      <c r="J29" s="175">
        <f>H29/DAY(B2)</f>
        <v>-2403.8709677419356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G30+'30'!H30</f>
        <v>-7473.2999999999884</v>
      </c>
      <c r="I30" s="690"/>
      <c r="J30" s="175">
        <f>H30/DAY(B2)</f>
        <v>-241.07419354838672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G31+'30'!H31</f>
        <v>540000</v>
      </c>
      <c r="I31" s="690"/>
      <c r="J31" s="175">
        <f>H31/DAY(B2)</f>
        <v>17419.354838709678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252576</v>
      </c>
      <c r="H32" s="99">
        <f>G32+'30'!H32</f>
        <v>8023788.8660000013</v>
      </c>
      <c r="I32" s="144"/>
      <c r="J32" s="175">
        <f>H32/DAY(B2)</f>
        <v>258831.89890322584</v>
      </c>
      <c r="K32" s="63"/>
      <c r="L32" s="89"/>
      <c r="N32" s="87"/>
      <c r="O32" s="71"/>
    </row>
    <row r="33" spans="1:15" ht="25.5" customHeight="1" x14ac:dyDescent="0.35">
      <c r="A33" s="924" t="s">
        <v>331</v>
      </c>
      <c r="B33" s="925"/>
      <c r="C33" s="925"/>
      <c r="D33" s="337"/>
      <c r="E33" s="691"/>
      <c r="F33" s="691"/>
      <c r="G33" s="691"/>
      <c r="H33" s="691"/>
      <c r="I33" s="691"/>
      <c r="J33" s="692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30752</v>
      </c>
      <c r="F35" s="145">
        <v>32004.98</v>
      </c>
      <c r="G35" s="112">
        <f t="shared" ref="G35:G46" si="3">F35-E35</f>
        <v>1252.9799999999996</v>
      </c>
      <c r="H35" s="99">
        <f>G35+'30'!H35</f>
        <v>3.637978807091713E-12</v>
      </c>
      <c r="I35" s="95"/>
      <c r="J35" s="175">
        <f>H35/DAY(B2)</f>
        <v>1.1735415506747461E-13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42820</v>
      </c>
      <c r="F36" s="145">
        <v>43458.74</v>
      </c>
      <c r="G36" s="112">
        <f t="shared" si="3"/>
        <v>638.73999999999796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33837</v>
      </c>
      <c r="F37" s="145">
        <v>35425.089999999997</v>
      </c>
      <c r="G37" s="112">
        <f t="shared" si="3"/>
        <v>1588.0899999999965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36749</v>
      </c>
      <c r="F38" s="108">
        <v>38376.43</v>
      </c>
      <c r="G38" s="112">
        <f t="shared" si="3"/>
        <v>1627.4300000000003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56524</v>
      </c>
      <c r="F39" s="145">
        <v>59173.29</v>
      </c>
      <c r="G39" s="112">
        <f t="shared" si="3"/>
        <v>2649.2900000000009</v>
      </c>
      <c r="H39" s="99">
        <f>G39+'30'!H39</f>
        <v>7.2759576141834259E-12</v>
      </c>
      <c r="I39" s="95"/>
      <c r="J39" s="175">
        <f>H39/DAY(B2)</f>
        <v>2.3470831013494922E-13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20278</v>
      </c>
      <c r="F40" s="145">
        <v>21249.86</v>
      </c>
      <c r="G40" s="112">
        <f t="shared" si="3"/>
        <v>971.86000000000058</v>
      </c>
      <c r="H40" s="99">
        <f>G40+'30'!H40</f>
        <v>-867.13000000000102</v>
      </c>
      <c r="I40" s="95"/>
      <c r="J40" s="175">
        <f>H40/DAY(B2)</f>
        <v>-27.971935483871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-62.73</v>
      </c>
      <c r="I41" s="95"/>
      <c r="J41" s="175">
        <f>H41/DAY(B2)</f>
        <v>-2.0235483870967741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95811</v>
      </c>
      <c r="F42" s="145">
        <v>100129.74</v>
      </c>
      <c r="G42" s="112">
        <f t="shared" si="3"/>
        <v>4318.7400000000052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112966</v>
      </c>
      <c r="F43" s="145">
        <v>114851.6</v>
      </c>
      <c r="G43" s="112">
        <f t="shared" si="3"/>
        <v>1885.6000000000058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14932.730000000007</v>
      </c>
      <c r="H47" s="99">
        <f>G47+'30'!H47</f>
        <v>-929.85999999990236</v>
      </c>
      <c r="I47" s="95"/>
      <c r="J47" s="175">
        <f>H47/DAY(B2)</f>
        <v>-29.995483870964591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24139</v>
      </c>
      <c r="F49" s="145">
        <v>24996.19</v>
      </c>
      <c r="G49" s="112">
        <f t="shared" ref="G49:G58" si="4">F49-E49</f>
        <v>857.18999999999869</v>
      </c>
      <c r="H49" s="99">
        <f>G49+'30'!H49</f>
        <v>-3.637978807091713E-12</v>
      </c>
      <c r="I49" s="95"/>
      <c r="J49" s="175">
        <f>H49/DAY(B2)</f>
        <v>-1.1735415506747461E-13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55316</v>
      </c>
      <c r="F50" s="145">
        <v>56386.63</v>
      </c>
      <c r="G50" s="112">
        <f t="shared" si="4"/>
        <v>1070.6299999999974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5147</v>
      </c>
      <c r="F54" s="145">
        <v>5147.42</v>
      </c>
      <c r="G54" s="112">
        <f t="shared" si="4"/>
        <v>0.42000000000007276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74366</v>
      </c>
      <c r="F55" s="145">
        <v>74366.11</v>
      </c>
      <c r="G55" s="112">
        <f t="shared" si="4"/>
        <v>0.11000000000058208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4599</v>
      </c>
      <c r="F58" s="145">
        <v>4796.21</v>
      </c>
      <c r="G58" s="112">
        <f t="shared" si="4"/>
        <v>197.21000000000004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2125.5599999999968</v>
      </c>
      <c r="H59" s="99">
        <f>G59+'30'!H59</f>
        <v>0</v>
      </c>
      <c r="I59" s="95">
        <f>G7-G60</f>
        <v>4941.7099999999955</v>
      </c>
      <c r="J59" s="175">
        <f>H59/DAY(B2)</f>
        <v>0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17058.290000000005</v>
      </c>
      <c r="H60" s="99">
        <f>G60+'30'!H60</f>
        <v>-929.85999999990236</v>
      </c>
      <c r="I60" s="95">
        <f>G13-G60</f>
        <v>43.52999999997337</v>
      </c>
      <c r="J60" s="175">
        <f>H60/DAY(B2)</f>
        <v>-29.995483870964591</v>
      </c>
      <c r="K60" s="79"/>
      <c r="L60" s="66"/>
      <c r="N60" s="87"/>
      <c r="O60" s="71"/>
    </row>
    <row r="61" spans="1:15" s="68" customFormat="1" ht="27.75" x14ac:dyDescent="0.5">
      <c r="A61" s="926" t="s">
        <v>332</v>
      </c>
      <c r="B61" s="927"/>
      <c r="C61" s="928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92" t="s">
        <v>198</v>
      </c>
      <c r="B62" s="893"/>
      <c r="C62" s="894"/>
      <c r="D62" s="151" t="s">
        <v>142</v>
      </c>
      <c r="E62" s="95">
        <f>'30'!F62</f>
        <v>269433</v>
      </c>
      <c r="F62" s="122">
        <v>269516</v>
      </c>
      <c r="G62" s="112">
        <f t="shared" ref="G62:G63" si="5">F62-E62</f>
        <v>83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92" t="s">
        <v>199</v>
      </c>
      <c r="B63" s="893"/>
      <c r="C63" s="894"/>
      <c r="D63" s="151" t="s">
        <v>142</v>
      </c>
      <c r="E63" s="95">
        <f>'30'!F63</f>
        <v>215630</v>
      </c>
      <c r="F63" s="164">
        <v>215797</v>
      </c>
      <c r="G63" s="112">
        <f t="shared" si="5"/>
        <v>167</v>
      </c>
      <c r="H63" s="99">
        <f>G63+'30'!H63</f>
        <v>0</v>
      </c>
      <c r="I63" s="95"/>
      <c r="J63" s="175">
        <f>H63/DAY(B2)</f>
        <v>0</v>
      </c>
      <c r="K63" s="69"/>
      <c r="L63" s="66"/>
      <c r="N63" s="87"/>
      <c r="O63" s="71"/>
    </row>
    <row r="64" spans="1:15" ht="29.25" x14ac:dyDescent="0.5">
      <c r="A64" s="901" t="s">
        <v>200</v>
      </c>
      <c r="B64" s="902"/>
      <c r="C64" s="903"/>
      <c r="D64" s="151"/>
      <c r="E64" s="95">
        <f>'30'!F64</f>
        <v>0</v>
      </c>
      <c r="F64" s="122"/>
      <c r="G64" s="112">
        <f>G62+G63</f>
        <v>250</v>
      </c>
      <c r="H64" s="99">
        <f>G64+'30'!H64</f>
        <v>0</v>
      </c>
      <c r="I64" s="95"/>
      <c r="J64" s="175">
        <f>H64/DAY(B2)</f>
        <v>0</v>
      </c>
      <c r="K64" s="69"/>
      <c r="L64" s="66"/>
      <c r="N64" s="87"/>
      <c r="O64" s="71"/>
    </row>
    <row r="65" spans="1:15" ht="27.75" x14ac:dyDescent="0.5">
      <c r="A65" s="892" t="s">
        <v>201</v>
      </c>
      <c r="B65" s="893"/>
      <c r="C65" s="894"/>
      <c r="D65" s="151" t="s">
        <v>142</v>
      </c>
      <c r="E65" s="95">
        <f>'30'!F65</f>
        <v>434849</v>
      </c>
      <c r="F65" s="122">
        <v>434923</v>
      </c>
      <c r="G65" s="112">
        <f t="shared" ref="G65:G70" si="6">F65-E65</f>
        <v>74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'30'!F66</f>
        <v>107728</v>
      </c>
      <c r="F66" s="122">
        <v>107743</v>
      </c>
      <c r="G66" s="112">
        <f t="shared" si="6"/>
        <v>15</v>
      </c>
      <c r="H66" s="99">
        <f>G66+'30'!H66</f>
        <v>445</v>
      </c>
      <c r="I66" s="95"/>
      <c r="J66" s="175">
        <f>H66/DAY(B2)</f>
        <v>14.35483870967742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'30'!F67</f>
        <v>104628</v>
      </c>
      <c r="F67" s="122">
        <v>104648</v>
      </c>
      <c r="G67" s="112">
        <f t="shared" si="6"/>
        <v>20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'30'!F68</f>
        <v>157668</v>
      </c>
      <c r="F68" s="122">
        <v>157697</v>
      </c>
      <c r="G68" s="112">
        <f t="shared" si="6"/>
        <v>29</v>
      </c>
      <c r="H68" s="99">
        <f>G68+'30'!H68</f>
        <v>20</v>
      </c>
      <c r="I68" s="95"/>
      <c r="J68" s="175">
        <f>H68/DAY(B2)</f>
        <v>0.64516129032258063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'30'!F69</f>
        <v>10532</v>
      </c>
      <c r="F69" s="122">
        <v>10541</v>
      </c>
      <c r="G69" s="112">
        <f t="shared" si="6"/>
        <v>9</v>
      </c>
      <c r="H69" s="99">
        <f>G69+'30'!H69</f>
        <v>0</v>
      </c>
      <c r="I69" s="95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'30'!F70</f>
        <v>8112</v>
      </c>
      <c r="F70" s="122">
        <v>8120</v>
      </c>
      <c r="G70" s="112">
        <f t="shared" si="6"/>
        <v>8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901" t="s">
        <v>208</v>
      </c>
      <c r="B71" s="902"/>
      <c r="C71" s="903"/>
      <c r="D71" s="152"/>
      <c r="E71" s="95">
        <f>'30'!F71</f>
        <v>0</v>
      </c>
      <c r="F71" s="152"/>
      <c r="G71" s="153">
        <f>SUM(G65:G70)</f>
        <v>155</v>
      </c>
      <c r="H71" s="99">
        <f>G71+'30'!H71</f>
        <v>465</v>
      </c>
      <c r="I71" s="693"/>
      <c r="J71" s="175">
        <f>H71/DAY(B2)</f>
        <v>15</v>
      </c>
      <c r="K71" s="69"/>
      <c r="L71" s="66"/>
      <c r="N71" s="87"/>
      <c r="O71" s="71"/>
    </row>
    <row r="72" spans="1:15" s="88" customFormat="1" ht="27.75" x14ac:dyDescent="0.5">
      <c r="A72" s="888"/>
      <c r="B72" s="873"/>
      <c r="C72" s="347"/>
      <c r="D72" s="180"/>
      <c r="E72" s="494" t="s">
        <v>207</v>
      </c>
      <c r="F72" s="494"/>
      <c r="G72" s="494"/>
      <c r="H72" s="181"/>
      <c r="I72" s="494"/>
      <c r="J72" s="694"/>
      <c r="N72" s="87"/>
      <c r="O72" s="71"/>
    </row>
    <row r="73" spans="1:15" ht="29.25" x14ac:dyDescent="0.5">
      <c r="A73" s="898" t="s">
        <v>333</v>
      </c>
      <c r="B73" s="899"/>
      <c r="C73" s="900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92" t="s">
        <v>220</v>
      </c>
      <c r="B74" s="893"/>
      <c r="C74" s="894"/>
      <c r="D74" s="151" t="s">
        <v>139</v>
      </c>
      <c r="E74" s="95">
        <f>'30'!F74</f>
        <v>901012</v>
      </c>
      <c r="F74" s="123">
        <v>901306.14899999998</v>
      </c>
      <c r="G74" s="112">
        <f t="shared" ref="G74:G78" si="7">F74-E74</f>
        <v>294.14899999997579</v>
      </c>
      <c r="H74" s="99">
        <f>G74+'30'!H74</f>
        <v>0</v>
      </c>
      <c r="I74" s="693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892" t="s">
        <v>221</v>
      </c>
      <c r="B75" s="893"/>
      <c r="C75" s="894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693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89" t="s">
        <v>222</v>
      </c>
      <c r="B76" s="890"/>
      <c r="C76" s="891"/>
      <c r="D76" s="151" t="s">
        <v>139</v>
      </c>
      <c r="E76" s="95">
        <f>'30'!F76</f>
        <v>169900</v>
      </c>
      <c r="F76" s="123">
        <v>169975</v>
      </c>
      <c r="G76" s="112">
        <f t="shared" si="7"/>
        <v>75</v>
      </c>
      <c r="H76" s="99">
        <f>G76+'30'!H76</f>
        <v>0</v>
      </c>
      <c r="I76" s="693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889" t="s">
        <v>223</v>
      </c>
      <c r="B77" s="890"/>
      <c r="C77" s="891"/>
      <c r="D77" s="151" t="s">
        <v>139</v>
      </c>
      <c r="E77" s="95">
        <f>'30'!F77</f>
        <v>41274</v>
      </c>
      <c r="F77" s="492">
        <v>41302.199999999997</v>
      </c>
      <c r="G77" s="112">
        <f t="shared" si="7"/>
        <v>28.19999999999709</v>
      </c>
      <c r="H77" s="99">
        <f>G77+'30'!H77</f>
        <v>0</v>
      </c>
      <c r="I77" s="693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889" t="s">
        <v>224</v>
      </c>
      <c r="B78" s="890"/>
      <c r="C78" s="891"/>
      <c r="D78" s="151" t="s">
        <v>139</v>
      </c>
      <c r="E78" s="95">
        <f>'30'!F78</f>
        <v>9514</v>
      </c>
      <c r="F78" s="492">
        <v>9516</v>
      </c>
      <c r="G78" s="112">
        <f t="shared" si="7"/>
        <v>2</v>
      </c>
      <c r="H78" s="99">
        <f>G78+'30'!H78</f>
        <v>3</v>
      </c>
      <c r="I78" s="95"/>
      <c r="J78" s="175">
        <f>H78/DAY(B2)</f>
        <v>9.6774193548387094E-2</v>
      </c>
      <c r="K78" s="69"/>
      <c r="L78" s="66"/>
      <c r="N78" s="87"/>
      <c r="O78" s="71"/>
    </row>
    <row r="79" spans="1:15" s="57" customFormat="1" ht="27.75" x14ac:dyDescent="0.5">
      <c r="A79" s="889" t="s">
        <v>225</v>
      </c>
      <c r="B79" s="890"/>
      <c r="C79" s="891"/>
      <c r="D79" s="151"/>
      <c r="E79" s="95">
        <f>'30'!F79</f>
        <v>0</v>
      </c>
      <c r="F79" s="123"/>
      <c r="G79" s="112">
        <f>G15-SUM(G74:G78)</f>
        <v>700.65100000002712</v>
      </c>
      <c r="H79" s="99">
        <f>G79+'30'!H79</f>
        <v>33550.233000000007</v>
      </c>
      <c r="I79" s="95"/>
      <c r="J79" s="175"/>
      <c r="K79" s="59"/>
      <c r="L79" s="58"/>
      <c r="N79" s="87"/>
      <c r="O79" s="71"/>
    </row>
    <row r="80" spans="1:15" s="57" customFormat="1" ht="29.25" x14ac:dyDescent="0.5">
      <c r="A80" s="901" t="s">
        <v>329</v>
      </c>
      <c r="B80" s="902"/>
      <c r="C80" s="903"/>
      <c r="D80" s="151"/>
      <c r="E80" s="117"/>
      <c r="F80" s="117"/>
      <c r="G80" s="112">
        <f>SUM(G74:G79)</f>
        <v>1100</v>
      </c>
      <c r="H80" s="99"/>
      <c r="I80" s="95"/>
      <c r="J80" s="175"/>
      <c r="K80" s="59"/>
      <c r="L80" s="58"/>
      <c r="N80" s="87"/>
      <c r="O80" s="71"/>
    </row>
    <row r="81" spans="1:15" ht="27" x14ac:dyDescent="0.4">
      <c r="A81" s="906" t="s">
        <v>226</v>
      </c>
      <c r="B81" s="907"/>
      <c r="C81" s="908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-46.680000000000291</v>
      </c>
      <c r="I82" s="95"/>
      <c r="J82" s="175">
        <f>H82/DAY(B2)</f>
        <v>-1.5058064516129126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95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0</v>
      </c>
      <c r="I84" s="95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'30'!F85</f>
        <v>2238</v>
      </c>
      <c r="F85" s="164">
        <v>2262</v>
      </c>
      <c r="G85" s="112">
        <f t="shared" si="8"/>
        <v>24</v>
      </c>
      <c r="H85" s="99">
        <f>G85+'30'!H85</f>
        <v>1.5799999999999272</v>
      </c>
      <c r="I85" s="95">
        <f>G82+G83+G84+G85</f>
        <v>23.739999999997963</v>
      </c>
      <c r="J85" s="175">
        <f>H85/DAY(B2)</f>
        <v>5.0967741935481523E-2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'30'!F86</f>
        <v>43442</v>
      </c>
      <c r="F86" s="164">
        <v>43442</v>
      </c>
      <c r="G86" s="112">
        <f t="shared" si="8"/>
        <v>0</v>
      </c>
      <c r="H86" s="99">
        <f>G86+'30'!H86</f>
        <v>0</v>
      </c>
      <c r="I86" s="95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</v>
      </c>
      <c r="G87" s="112">
        <f t="shared" si="8"/>
        <v>-5.0000000002910383E-2</v>
      </c>
      <c r="H87" s="99">
        <f>G87+'30'!H87</f>
        <v>0</v>
      </c>
      <c r="I87" s="95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'30'!F88</f>
        <v>24063.43</v>
      </c>
      <c r="F88" s="164">
        <v>24063.43</v>
      </c>
      <c r="G88" s="112">
        <f t="shared" si="8"/>
        <v>0</v>
      </c>
      <c r="H88" s="99">
        <f>G88+'30'!H88</f>
        <v>0</v>
      </c>
      <c r="I88" s="95">
        <f>G86+G87+G88</f>
        <v>-5.0000000002910383E-2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'30'!F89</f>
        <v>25881.82</v>
      </c>
      <c r="F89" s="164">
        <v>25891.119999999999</v>
      </c>
      <c r="G89" s="112">
        <f t="shared" si="8"/>
        <v>9.2999999999992724</v>
      </c>
      <c r="H89" s="99">
        <f>G89+'30'!H89</f>
        <v>0</v>
      </c>
      <c r="I89" s="95"/>
      <c r="J89" s="175">
        <f>H89/DAY(B2)</f>
        <v>0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'30'!F90</f>
        <v>71161</v>
      </c>
      <c r="F90" s="164">
        <v>71163.320000000007</v>
      </c>
      <c r="G90" s="112">
        <f>F90-E90</f>
        <v>2.3200000000069849</v>
      </c>
      <c r="H90" s="99">
        <f>G90+'30'!H90</f>
        <v>-117.43999999998778</v>
      </c>
      <c r="I90" s="95">
        <f>G89+G90</f>
        <v>11.620000000006257</v>
      </c>
      <c r="J90" s="175">
        <f>H90/DAY(B2)</f>
        <v>-3.7883870967737994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'30'!F91</f>
        <v>3239.62</v>
      </c>
      <c r="F91" s="122">
        <v>3251.09</v>
      </c>
      <c r="G91" s="112">
        <f t="shared" si="8"/>
        <v>11.470000000000255</v>
      </c>
      <c r="H91" s="99">
        <f>G91+'30'!H91</f>
        <v>329.07000000000016</v>
      </c>
      <c r="I91" s="155"/>
      <c r="J91" s="175">
        <f>H91/DAY(B2)</f>
        <v>10.615161290322586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'30'!F92</f>
        <v>5741.07</v>
      </c>
      <c r="F92" s="122">
        <v>5741.07</v>
      </c>
      <c r="G92" s="112">
        <f t="shared" si="8"/>
        <v>0</v>
      </c>
      <c r="H92" s="99">
        <f>G92+'30'!H92</f>
        <v>0</v>
      </c>
      <c r="I92" s="155"/>
      <c r="J92" s="175">
        <f>H92/DAY(B2)</f>
        <v>0</v>
      </c>
      <c r="O92" s="71"/>
    </row>
    <row r="93" spans="1:15" ht="29.25" x14ac:dyDescent="0.5">
      <c r="A93" s="895" t="s">
        <v>239</v>
      </c>
      <c r="B93" s="896"/>
      <c r="C93" s="89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92" t="s">
        <v>240</v>
      </c>
      <c r="B94" s="893"/>
      <c r="C94" s="894"/>
      <c r="D94" s="151" t="s">
        <v>130</v>
      </c>
      <c r="E94" s="151"/>
      <c r="F94" s="151"/>
      <c r="G94" s="99">
        <f>G35+G43+G49+G57</f>
        <v>3995.7700000000041</v>
      </c>
      <c r="H94" s="99">
        <f>G94+'30'!H94</f>
        <v>-1.4551915228366852E-11</v>
      </c>
      <c r="I94" s="95"/>
      <c r="J94" s="175">
        <f>H94/DAY(B2)</f>
        <v>-4.6941662026989843E-13</v>
      </c>
      <c r="K94" s="69"/>
      <c r="L94" s="66"/>
      <c r="O94" s="71"/>
    </row>
    <row r="95" spans="1:15" ht="27.75" x14ac:dyDescent="0.5">
      <c r="A95" s="892" t="s">
        <v>241</v>
      </c>
      <c r="B95" s="893"/>
      <c r="C95" s="894"/>
      <c r="D95" s="151" t="s">
        <v>23</v>
      </c>
      <c r="E95" s="146"/>
      <c r="F95" s="146"/>
      <c r="G95" s="166">
        <f>G94/G7</f>
        <v>0.18162590909090928</v>
      </c>
      <c r="H95" s="99">
        <f>G95+'30'!H95</f>
        <v>2.1641047588779347</v>
      </c>
      <c r="I95" s="695"/>
      <c r="J95" s="175">
        <f>H95/DAY(B2)</f>
        <v>6.9809830931546288E-2</v>
      </c>
      <c r="K95" s="69"/>
      <c r="L95" s="66"/>
      <c r="O95" s="71"/>
    </row>
    <row r="96" spans="1:15" ht="27.75" x14ac:dyDescent="0.5">
      <c r="A96" s="892" t="s">
        <v>242</v>
      </c>
      <c r="B96" s="893"/>
      <c r="C96" s="894"/>
      <c r="D96" s="151" t="s">
        <v>130</v>
      </c>
      <c r="E96" s="95"/>
      <c r="F96" s="95"/>
      <c r="G96" s="99">
        <f>G41+G42+G55+G56</f>
        <v>4318.8500000000058</v>
      </c>
      <c r="H96" s="99">
        <f>G96+'30'!H96</f>
        <v>-62.729999999995925</v>
      </c>
      <c r="I96" s="95"/>
      <c r="J96" s="175">
        <f>H96/DAY(B2)</f>
        <v>-2.0235483870966426</v>
      </c>
      <c r="K96" s="69"/>
      <c r="L96" s="66"/>
      <c r="O96" s="71"/>
    </row>
    <row r="97" spans="1:15" ht="27.75" x14ac:dyDescent="0.5">
      <c r="A97" s="892" t="s">
        <v>243</v>
      </c>
      <c r="B97" s="893"/>
      <c r="C97" s="894"/>
      <c r="D97" s="151" t="s">
        <v>23</v>
      </c>
      <c r="E97" s="95"/>
      <c r="F97" s="95"/>
      <c r="G97" s="166">
        <f>G96/G7</f>
        <v>0.19631136363636389</v>
      </c>
      <c r="H97" s="99">
        <f>G97+'30'!H97</f>
        <v>1.7217210208466684</v>
      </c>
      <c r="I97" s="695"/>
      <c r="J97" s="175">
        <f>H97/DAY(B2)</f>
        <v>5.553938776924737E-2</v>
      </c>
      <c r="K97" s="69"/>
      <c r="L97" s="66"/>
      <c r="O97" s="71"/>
    </row>
    <row r="98" spans="1:15" ht="27.75" x14ac:dyDescent="0.5">
      <c r="A98" s="892" t="s">
        <v>244</v>
      </c>
      <c r="B98" s="893"/>
      <c r="C98" s="894"/>
      <c r="D98" s="151" t="s">
        <v>130</v>
      </c>
      <c r="E98" s="95"/>
      <c r="F98" s="95"/>
      <c r="G98" s="99">
        <f>G39+G53</f>
        <v>2649.2900000000009</v>
      </c>
      <c r="H98" s="99">
        <f>G98+'30'!H98</f>
        <v>7.2759576141834259E-12</v>
      </c>
      <c r="I98" s="650"/>
      <c r="J98" s="175">
        <f>H98/DAY(B2)</f>
        <v>2.3470831013494922E-13</v>
      </c>
      <c r="K98" s="69"/>
      <c r="L98" s="66"/>
      <c r="O98" s="71"/>
    </row>
    <row r="99" spans="1:15" ht="27.75" x14ac:dyDescent="0.5">
      <c r="A99" s="892" t="s">
        <v>245</v>
      </c>
      <c r="B99" s="893"/>
      <c r="C99" s="894"/>
      <c r="D99" s="151" t="s">
        <v>23</v>
      </c>
      <c r="E99" s="95"/>
      <c r="F99" s="95"/>
      <c r="G99" s="166">
        <f>G98/G7</f>
        <v>0.12042227272727277</v>
      </c>
      <c r="H99" s="99">
        <f>G99+'30'!H99</f>
        <v>1.3030077449500612</v>
      </c>
      <c r="I99" s="650"/>
      <c r="J99" s="175">
        <f>H99/DAY(B2)</f>
        <v>4.2032507901614877E-2</v>
      </c>
      <c r="O99" s="71"/>
    </row>
    <row r="100" spans="1:15" ht="27.75" x14ac:dyDescent="0.5">
      <c r="A100" s="892" t="s">
        <v>246</v>
      </c>
      <c r="B100" s="893"/>
      <c r="C100" s="894"/>
      <c r="D100" s="151" t="s">
        <v>180</v>
      </c>
      <c r="E100" s="95"/>
      <c r="F100" s="95"/>
      <c r="G100" s="99">
        <f>G38+G52</f>
        <v>1627.4300000000003</v>
      </c>
      <c r="H100" s="99">
        <f>G100+'30'!H100</f>
        <v>0</v>
      </c>
      <c r="I100" s="95"/>
      <c r="J100" s="175">
        <f>H100/DAY(B2)</f>
        <v>0</v>
      </c>
      <c r="K100" s="70"/>
      <c r="O100" s="71"/>
    </row>
    <row r="101" spans="1:15" ht="27.75" x14ac:dyDescent="0.5">
      <c r="A101" s="892" t="s">
        <v>247</v>
      </c>
      <c r="B101" s="893"/>
      <c r="C101" s="894"/>
      <c r="D101" s="151" t="s">
        <v>23</v>
      </c>
      <c r="E101" s="95"/>
      <c r="F101" s="95"/>
      <c r="G101" s="166">
        <f>G100/G7</f>
        <v>7.397409090909092E-2</v>
      </c>
      <c r="H101" s="99">
        <f>G101+'30'!H101</f>
        <v>0.86644334814836266</v>
      </c>
      <c r="I101" s="650"/>
      <c r="J101" s="175">
        <f>H101/DAY(B2)</f>
        <v>2.7949785424140731E-2</v>
      </c>
      <c r="O101" s="71"/>
    </row>
    <row r="102" spans="1:15" ht="27.75" x14ac:dyDescent="0.5">
      <c r="A102" s="892" t="s">
        <v>248</v>
      </c>
      <c r="B102" s="893"/>
      <c r="C102" s="894"/>
      <c r="D102" s="151" t="s">
        <v>180</v>
      </c>
      <c r="E102" s="95"/>
      <c r="F102" s="95"/>
      <c r="G102" s="99">
        <f>G36+G50</f>
        <v>1709.3699999999953</v>
      </c>
      <c r="H102" s="99">
        <f>G102+'30'!H102</f>
        <v>0</v>
      </c>
      <c r="I102" s="650"/>
      <c r="J102" s="175">
        <f>H102/DAY(B2)</f>
        <v>0</v>
      </c>
      <c r="O102" s="71"/>
    </row>
    <row r="103" spans="1:15" ht="27.75" x14ac:dyDescent="0.5">
      <c r="A103" s="892" t="s">
        <v>249</v>
      </c>
      <c r="B103" s="893"/>
      <c r="C103" s="894"/>
      <c r="D103" s="151" t="s">
        <v>23</v>
      </c>
      <c r="E103" s="95"/>
      <c r="F103" s="95"/>
      <c r="G103" s="166">
        <f>G102/G7</f>
        <v>7.769863636363615E-2</v>
      </c>
      <c r="H103" s="99">
        <f>G103+'30'!H103</f>
        <v>0.92073322642355904</v>
      </c>
      <c r="I103" s="95"/>
      <c r="J103" s="175">
        <f>H103/DAY(B2)</f>
        <v>2.9701071820114808E-2</v>
      </c>
      <c r="O103" s="71"/>
    </row>
    <row r="104" spans="1:15" ht="27.75" x14ac:dyDescent="0.5">
      <c r="A104" s="892" t="s">
        <v>250</v>
      </c>
      <c r="B104" s="893"/>
      <c r="C104" s="894"/>
      <c r="D104" s="151" t="s">
        <v>180</v>
      </c>
      <c r="E104" s="95"/>
      <c r="F104" s="95"/>
      <c r="G104" s="99">
        <f>G37+G51</f>
        <v>1588.0899999999965</v>
      </c>
      <c r="H104" s="99">
        <f>G104+'30'!H104</f>
        <v>0</v>
      </c>
      <c r="I104" s="95"/>
      <c r="J104" s="175">
        <f>H104/DAY(B2)</f>
        <v>0</v>
      </c>
      <c r="O104" s="71"/>
    </row>
    <row r="105" spans="1:15" ht="28.5" thickBot="1" x14ac:dyDescent="0.55000000000000004">
      <c r="A105" s="885" t="s">
        <v>251</v>
      </c>
      <c r="B105" s="886"/>
      <c r="C105" s="887"/>
      <c r="D105" s="231" t="s">
        <v>23</v>
      </c>
      <c r="E105" s="185"/>
      <c r="F105" s="185"/>
      <c r="G105" s="186">
        <f>G104/G7</f>
        <v>7.2185909090908926E-2</v>
      </c>
      <c r="H105" s="99">
        <f>G105+'30'!H105</f>
        <v>0.72721615687629337</v>
      </c>
      <c r="I105" s="185"/>
      <c r="J105" s="188">
        <f>H105/DAY(B2)</f>
        <v>2.3458585705686884E-2</v>
      </c>
      <c r="O105" s="71"/>
    </row>
    <row r="106" spans="1:15" ht="29.25" x14ac:dyDescent="0.5">
      <c r="A106" s="105"/>
      <c r="B106" s="96"/>
      <c r="C106" s="96"/>
      <c r="D106" s="169"/>
      <c r="E106" s="495"/>
      <c r="F106" s="495"/>
      <c r="G106" s="495"/>
      <c r="H106" s="170"/>
      <c r="I106" s="495"/>
      <c r="J106" s="170"/>
      <c r="O106" s="71"/>
    </row>
    <row r="107" spans="1:15" ht="29.25" x14ac:dyDescent="0.5"/>
    <row r="108" spans="1:15" ht="31.5" x14ac:dyDescent="0.55000000000000004">
      <c r="A108" s="881" t="s">
        <v>324</v>
      </c>
      <c r="B108" s="881"/>
      <c r="C108" s="881"/>
      <c r="D108" s="881"/>
      <c r="E108" s="881"/>
      <c r="F108" s="881"/>
      <c r="G108" s="881"/>
      <c r="H108" s="881"/>
      <c r="I108" s="881"/>
      <c r="J108" s="881"/>
    </row>
    <row r="109" spans="1:15" ht="29.25" x14ac:dyDescent="0.5">
      <c r="A109" s="909"/>
      <c r="B109" s="909"/>
    </row>
    <row r="110" spans="1:15" ht="29.25" x14ac:dyDescent="0.5">
      <c r="A110" s="882" t="s">
        <v>165</v>
      </c>
      <c r="B110" s="883"/>
      <c r="C110" s="883"/>
      <c r="D110" s="883"/>
      <c r="E110" s="883"/>
      <c r="F110" s="883"/>
      <c r="G110" s="883"/>
      <c r="H110" s="883"/>
      <c r="I110" s="883"/>
      <c r="J110" s="884"/>
    </row>
    <row r="111" spans="1:15" ht="27.75" x14ac:dyDescent="0.5">
      <c r="A111" s="875"/>
      <c r="B111" s="876"/>
      <c r="C111" s="877"/>
      <c r="D111" s="165"/>
      <c r="E111" s="155"/>
      <c r="F111" s="155"/>
      <c r="G111" s="155"/>
      <c r="H111" s="156"/>
      <c r="I111" s="155"/>
      <c r="J111" s="156"/>
    </row>
    <row r="112" spans="1:15" ht="27.75" x14ac:dyDescent="0.5">
      <c r="A112" s="871" t="s">
        <v>252</v>
      </c>
      <c r="B112" s="872"/>
      <c r="C112" s="873"/>
      <c r="D112" s="146" t="s">
        <v>183</v>
      </c>
      <c r="E112" s="95">
        <f>'30'!F112</f>
        <v>57977</v>
      </c>
      <c r="F112" s="237">
        <v>58054</v>
      </c>
      <c r="G112" s="112">
        <f t="shared" ref="G112:G123" si="9">F112-E112</f>
        <v>77</v>
      </c>
      <c r="H112" s="99">
        <f>G112+'30'!H112</f>
        <v>0</v>
      </c>
      <c r="I112" s="155"/>
      <c r="J112" s="328">
        <f>H112/DAY(B2)</f>
        <v>0</v>
      </c>
    </row>
    <row r="113" spans="1:18" ht="27.75" x14ac:dyDescent="0.5">
      <c r="A113" s="871" t="s">
        <v>253</v>
      </c>
      <c r="B113" s="872"/>
      <c r="C113" s="873"/>
      <c r="D113" s="146" t="s">
        <v>183</v>
      </c>
      <c r="E113" s="95">
        <f>'30'!F113</f>
        <v>45932</v>
      </c>
      <c r="F113" s="237">
        <v>46400.89</v>
      </c>
      <c r="G113" s="112">
        <f t="shared" si="9"/>
        <v>468.88999999999942</v>
      </c>
      <c r="H113" s="99">
        <f>G113+'30'!H113</f>
        <v>0</v>
      </c>
      <c r="I113" s="155"/>
      <c r="J113" s="328">
        <f>H113/DAY(B2)</f>
        <v>0</v>
      </c>
    </row>
    <row r="114" spans="1:18" ht="27.75" x14ac:dyDescent="0.5">
      <c r="A114" s="871" t="s">
        <v>254</v>
      </c>
      <c r="B114" s="872"/>
      <c r="C114" s="873"/>
      <c r="D114" s="146" t="s">
        <v>183</v>
      </c>
      <c r="E114" s="95">
        <f>'30'!F114</f>
        <v>32897</v>
      </c>
      <c r="F114" s="237">
        <v>33160</v>
      </c>
      <c r="G114" s="112">
        <f t="shared" si="9"/>
        <v>263</v>
      </c>
      <c r="H114" s="99">
        <f>G114+'30'!H114</f>
        <v>0</v>
      </c>
      <c r="I114" s="155"/>
      <c r="J114" s="328">
        <f>H114/DAY(B2)</f>
        <v>0</v>
      </c>
    </row>
    <row r="115" spans="1:18" ht="27.75" x14ac:dyDescent="0.5">
      <c r="A115" s="871" t="s">
        <v>255</v>
      </c>
      <c r="B115" s="872"/>
      <c r="C115" s="873"/>
      <c r="D115" s="146" t="s">
        <v>183</v>
      </c>
      <c r="E115" s="95">
        <f>'30'!F115</f>
        <v>9081</v>
      </c>
      <c r="F115" s="237">
        <v>9094.65</v>
      </c>
      <c r="G115" s="112">
        <f t="shared" si="9"/>
        <v>13.649999999999636</v>
      </c>
      <c r="H115" s="99">
        <f>G115+'30'!H115</f>
        <v>0</v>
      </c>
      <c r="I115" s="155"/>
      <c r="J115" s="328">
        <f>H115/DAY(B2)</f>
        <v>0</v>
      </c>
    </row>
    <row r="116" spans="1:18" ht="27.75" x14ac:dyDescent="0.5">
      <c r="A116" s="878" t="s">
        <v>96</v>
      </c>
      <c r="B116" s="879"/>
      <c r="C116" s="880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55"/>
      <c r="J116" s="328">
        <f>H116/DAY(B2)</f>
        <v>0</v>
      </c>
      <c r="Q116" s="871"/>
      <c r="R116" s="873"/>
    </row>
    <row r="117" spans="1:18" ht="27.75" x14ac:dyDescent="0.5">
      <c r="A117" s="878" t="s">
        <v>184</v>
      </c>
      <c r="B117" s="879"/>
      <c r="C117" s="880"/>
      <c r="D117" s="146" t="s">
        <v>183</v>
      </c>
      <c r="E117" s="95">
        <f>'30'!F117</f>
        <v>3299</v>
      </c>
      <c r="F117" s="237">
        <v>3337.95</v>
      </c>
      <c r="G117" s="112">
        <f t="shared" si="9"/>
        <v>38.949999999999818</v>
      </c>
      <c r="H117" s="99">
        <f>G117+'30'!H117</f>
        <v>0</v>
      </c>
      <c r="I117" s="155"/>
      <c r="J117" s="328">
        <f>H117/DAY(B2)</f>
        <v>0</v>
      </c>
      <c r="Q117" s="871"/>
      <c r="R117" s="873"/>
    </row>
    <row r="118" spans="1:18" ht="27.75" x14ac:dyDescent="0.5">
      <c r="A118" s="870" t="s">
        <v>97</v>
      </c>
      <c r="B118" s="870"/>
      <c r="C118" s="870"/>
      <c r="D118" s="151" t="s">
        <v>183</v>
      </c>
      <c r="E118" s="95">
        <f>'30'!F118</f>
        <v>252133</v>
      </c>
      <c r="F118" s="237">
        <v>252452.31</v>
      </c>
      <c r="G118" s="112">
        <f t="shared" si="9"/>
        <v>319.30999999999767</v>
      </c>
      <c r="H118" s="99">
        <f>G118+'30'!H118</f>
        <v>0</v>
      </c>
      <c r="I118" s="155"/>
      <c r="J118" s="328">
        <f>H118/DAY(B2)</f>
        <v>0</v>
      </c>
      <c r="Q118" s="871"/>
      <c r="R118" s="873"/>
    </row>
    <row r="119" spans="1:18" ht="27.75" x14ac:dyDescent="0.5">
      <c r="A119" s="870" t="s">
        <v>98</v>
      </c>
      <c r="B119" s="870"/>
      <c r="C119" s="870"/>
      <c r="D119" s="151" t="s">
        <v>183</v>
      </c>
      <c r="E119" s="95">
        <f>'30'!F119</f>
        <v>257722</v>
      </c>
      <c r="F119" s="237">
        <v>258148.55</v>
      </c>
      <c r="G119" s="112">
        <f t="shared" si="9"/>
        <v>426.54999999998836</v>
      </c>
      <c r="H119" s="99">
        <f>G119+'30'!H119</f>
        <v>0</v>
      </c>
      <c r="I119" s="155"/>
      <c r="J119" s="328">
        <f>H119/DAY(B2)</f>
        <v>0</v>
      </c>
    </row>
    <row r="120" spans="1:18" ht="27.75" x14ac:dyDescent="0.5">
      <c r="A120" s="870" t="s">
        <v>99</v>
      </c>
      <c r="B120" s="870"/>
      <c r="C120" s="870"/>
      <c r="D120" s="151" t="s">
        <v>183</v>
      </c>
      <c r="E120" s="95">
        <f>'30'!F120</f>
        <v>42540</v>
      </c>
      <c r="F120" s="237">
        <v>42959.61</v>
      </c>
      <c r="G120" s="112">
        <f t="shared" si="9"/>
        <v>419.61000000000058</v>
      </c>
      <c r="H120" s="99">
        <f>G120+'30'!H120</f>
        <v>0</v>
      </c>
      <c r="I120" s="155"/>
      <c r="J120" s="328">
        <f>H120/DAY(B2)</f>
        <v>0</v>
      </c>
    </row>
    <row r="121" spans="1:18" ht="27.75" x14ac:dyDescent="0.5">
      <c r="A121" s="870" t="s">
        <v>100</v>
      </c>
      <c r="B121" s="870"/>
      <c r="C121" s="870"/>
      <c r="D121" s="151" t="s">
        <v>183</v>
      </c>
      <c r="E121" s="95">
        <f>'30'!F121</f>
        <v>397304</v>
      </c>
      <c r="F121" s="237">
        <v>398034.43</v>
      </c>
      <c r="G121" s="112">
        <f t="shared" si="9"/>
        <v>730.42999999999302</v>
      </c>
      <c r="H121" s="99">
        <f>G121+'30'!H121</f>
        <v>0</v>
      </c>
      <c r="I121" s="155"/>
      <c r="J121" s="328">
        <f>H121/DAY(B2)</f>
        <v>0</v>
      </c>
    </row>
    <row r="122" spans="1:18" ht="27.75" x14ac:dyDescent="0.5">
      <c r="A122" s="870" t="s">
        <v>101</v>
      </c>
      <c r="B122" s="870"/>
      <c r="C122" s="870"/>
      <c r="D122" s="151" t="s">
        <v>183</v>
      </c>
      <c r="E122" s="95">
        <f>'30'!F122</f>
        <v>125980</v>
      </c>
      <c r="F122" s="237">
        <v>126186.18</v>
      </c>
      <c r="G122" s="112">
        <f t="shared" si="9"/>
        <v>206.17999999999302</v>
      </c>
      <c r="H122" s="99">
        <f>G122+'30'!H122</f>
        <v>0</v>
      </c>
      <c r="I122" s="155"/>
      <c r="J122" s="328">
        <f>H122/DAY(B2)</f>
        <v>0</v>
      </c>
    </row>
    <row r="123" spans="1:18" ht="27.75" x14ac:dyDescent="0.5">
      <c r="A123" s="870" t="s">
        <v>348</v>
      </c>
      <c r="B123" s="870"/>
      <c r="C123" s="870"/>
      <c r="D123" s="151" t="s">
        <v>183</v>
      </c>
      <c r="E123" s="95">
        <f>'30'!F123</f>
        <v>153768</v>
      </c>
      <c r="F123" s="237">
        <v>154046.95000000001</v>
      </c>
      <c r="G123" s="112">
        <f t="shared" si="9"/>
        <v>278.95000000001164</v>
      </c>
      <c r="H123" s="99">
        <f>G123+'30'!H123</f>
        <v>0</v>
      </c>
      <c r="I123" s="155"/>
      <c r="J123" s="328">
        <f>H123/DAY(B2)</f>
        <v>0</v>
      </c>
    </row>
    <row r="124" spans="1:18" ht="27.75" x14ac:dyDescent="0.5">
      <c r="A124" s="875"/>
      <c r="B124" s="876"/>
      <c r="C124" s="877"/>
      <c r="D124" s="165"/>
      <c r="E124" s="95">
        <f>'30'!F124</f>
        <v>0</v>
      </c>
      <c r="F124" s="155"/>
      <c r="G124" s="156"/>
      <c r="H124" s="99">
        <f>G124+'30'!H124</f>
        <v>0</v>
      </c>
      <c r="I124" s="155"/>
      <c r="J124" s="156"/>
    </row>
    <row r="125" spans="1:18" ht="27.75" x14ac:dyDescent="0.5">
      <c r="A125" s="855" t="s">
        <v>196</v>
      </c>
      <c r="B125" s="969"/>
      <c r="C125" s="856"/>
      <c r="D125" s="307"/>
      <c r="E125" s="308"/>
      <c r="F125" s="308"/>
      <c r="G125" s="309">
        <f>SUM(G112:G124)</f>
        <v>3242.5199999999832</v>
      </c>
      <c r="H125" s="156"/>
      <c r="I125" s="156">
        <f>G125-(G39+G53)</f>
        <v>593.22999999998228</v>
      </c>
      <c r="J125" s="156"/>
    </row>
    <row r="126" spans="1:18" ht="27.75" x14ac:dyDescent="0.5">
      <c r="A126" s="874" t="s">
        <v>317</v>
      </c>
      <c r="B126" s="874"/>
      <c r="C126" s="874"/>
      <c r="D126" s="874"/>
      <c r="E126" s="874"/>
      <c r="F126" s="874"/>
      <c r="G126" s="874"/>
      <c r="H126" s="874"/>
      <c r="I126" s="874"/>
      <c r="J126" s="874"/>
    </row>
    <row r="127" spans="1:18" ht="27.75" x14ac:dyDescent="0.5">
      <c r="A127" s="860"/>
      <c r="B127" s="860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7.75" x14ac:dyDescent="0.5">
      <c r="A128" s="871" t="s">
        <v>318</v>
      </c>
      <c r="B128" s="872"/>
      <c r="C128" s="873"/>
      <c r="D128" s="151" t="s">
        <v>183</v>
      </c>
      <c r="E128" s="95">
        <f>'30'!F128</f>
        <v>47434</v>
      </c>
      <c r="F128" s="155">
        <v>47746</v>
      </c>
      <c r="G128" s="112">
        <f t="shared" ref="G128:G134" si="10">F128-E128</f>
        <v>312</v>
      </c>
      <c r="H128" s="99">
        <f>G128+'30'!H128</f>
        <v>0</v>
      </c>
      <c r="I128" s="155"/>
      <c r="J128" s="328">
        <f>H128/DAY(B2)</f>
        <v>0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'30'!F129</f>
        <v>26720</v>
      </c>
      <c r="F129" s="155">
        <v>26910.87</v>
      </c>
      <c r="G129" s="112">
        <f t="shared" si="10"/>
        <v>190.86999999999898</v>
      </c>
      <c r="H129" s="99">
        <f>G129+'30'!H129</f>
        <v>0</v>
      </c>
      <c r="I129" s="155"/>
      <c r="J129" s="328">
        <f>H129/DAY(B2)</f>
        <v>0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'30'!F130</f>
        <v>35218</v>
      </c>
      <c r="F130" s="155">
        <v>35694</v>
      </c>
      <c r="G130" s="112">
        <f t="shared" si="10"/>
        <v>476</v>
      </c>
      <c r="H130" s="99">
        <f>G130+'30'!H130</f>
        <v>0</v>
      </c>
      <c r="I130" s="155"/>
      <c r="J130" s="328">
        <f>H130/DAY(B2)</f>
        <v>0</v>
      </c>
      <c r="N130" s="240"/>
      <c r="O130" s="241"/>
    </row>
    <row r="131" spans="1:15" ht="27.75" x14ac:dyDescent="0.5">
      <c r="A131" s="871" t="s">
        <v>321</v>
      </c>
      <c r="B131" s="872"/>
      <c r="C131" s="873"/>
      <c r="D131" s="151" t="s">
        <v>183</v>
      </c>
      <c r="E131" s="95">
        <f>'30'!F131</f>
        <v>15261</v>
      </c>
      <c r="F131" s="155">
        <v>15307.68</v>
      </c>
      <c r="G131" s="112">
        <f t="shared" si="10"/>
        <v>46.680000000000291</v>
      </c>
      <c r="H131" s="99">
        <f>G131+'30'!H131</f>
        <v>0</v>
      </c>
      <c r="I131" s="155"/>
      <c r="J131" s="328">
        <f>H131/DAY(B2)</f>
        <v>0</v>
      </c>
      <c r="N131" s="240"/>
      <c r="O131" s="241"/>
    </row>
    <row r="132" spans="1:15" ht="27.75" x14ac:dyDescent="0.5">
      <c r="A132" s="871" t="s">
        <v>322</v>
      </c>
      <c r="B132" s="872"/>
      <c r="C132" s="873"/>
      <c r="D132" s="151" t="s">
        <v>183</v>
      </c>
      <c r="E132" s="95">
        <f>'30'!F132</f>
        <v>51683</v>
      </c>
      <c r="F132" s="155">
        <v>51848.3</v>
      </c>
      <c r="G132" s="112">
        <f t="shared" si="10"/>
        <v>165.30000000000291</v>
      </c>
      <c r="H132" s="99">
        <f>G132+'30'!H132</f>
        <v>0</v>
      </c>
      <c r="I132" s="155"/>
      <c r="J132" s="328">
        <f>H132/DAY(B2)</f>
        <v>0</v>
      </c>
    </row>
    <row r="133" spans="1:15" ht="27.75" x14ac:dyDescent="0.5">
      <c r="A133" s="871" t="s">
        <v>362</v>
      </c>
      <c r="B133" s="872"/>
      <c r="C133" s="873"/>
      <c r="D133" s="151" t="s">
        <v>183</v>
      </c>
      <c r="E133" s="95">
        <f>'30'!F133</f>
        <v>104906</v>
      </c>
      <c r="F133" s="155">
        <v>105343.7</v>
      </c>
      <c r="G133" s="112">
        <f t="shared" si="10"/>
        <v>437.69999999999709</v>
      </c>
      <c r="H133" s="99">
        <f>G133+'30'!H133</f>
        <v>0</v>
      </c>
      <c r="I133" s="155"/>
      <c r="J133" s="328">
        <f>H133/DAY(B2)</f>
        <v>0</v>
      </c>
    </row>
    <row r="134" spans="1:15" ht="27.75" x14ac:dyDescent="0.5">
      <c r="A134" s="871" t="s">
        <v>340</v>
      </c>
      <c r="B134" s="872"/>
      <c r="C134" s="873"/>
      <c r="D134" s="151" t="s">
        <v>183</v>
      </c>
      <c r="E134" s="95">
        <f>'30'!F134</f>
        <v>8446</v>
      </c>
      <c r="F134" s="155">
        <v>8601.23</v>
      </c>
      <c r="G134" s="112">
        <f t="shared" si="10"/>
        <v>155.22999999999956</v>
      </c>
      <c r="H134" s="99">
        <f>G134+'30'!H134</f>
        <v>0</v>
      </c>
      <c r="I134" s="155"/>
      <c r="J134" s="328">
        <f>H134/DAY(B2)</f>
        <v>0</v>
      </c>
    </row>
    <row r="135" spans="1:15" ht="27.75" x14ac:dyDescent="0.5">
      <c r="A135" s="855" t="s">
        <v>196</v>
      </c>
      <c r="B135" s="969"/>
      <c r="C135" s="856"/>
      <c r="D135" s="151"/>
      <c r="E135" s="95"/>
      <c r="F135" s="155"/>
      <c r="G135" s="112">
        <f>SUM(G128:G134)</f>
        <v>1783.7799999999988</v>
      </c>
      <c r="H135" s="99">
        <f>G135+'23'!H135</f>
        <v>27810.079999999998</v>
      </c>
      <c r="I135" s="156">
        <f>G135-(G35+G49)</f>
        <v>-326.38999999999942</v>
      </c>
      <c r="J135" s="328"/>
    </row>
    <row r="136" spans="1:15" ht="31.5" x14ac:dyDescent="0.55000000000000004">
      <c r="A136" s="859" t="s">
        <v>325</v>
      </c>
      <c r="B136" s="859"/>
      <c r="C136" s="859"/>
      <c r="D136" s="859"/>
      <c r="E136" s="859"/>
      <c r="F136" s="859"/>
      <c r="G136" s="859"/>
      <c r="H136" s="859"/>
      <c r="I136" s="859"/>
      <c r="J136" s="859"/>
    </row>
    <row r="137" spans="1:15" ht="29.25" x14ac:dyDescent="0.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7.75" x14ac:dyDescent="0.5">
      <c r="A138" s="870" t="s">
        <v>185</v>
      </c>
      <c r="B138" s="870"/>
      <c r="C138" s="870"/>
      <c r="D138" s="151" t="s">
        <v>183</v>
      </c>
      <c r="E138" s="95">
        <f>'30'!F138</f>
        <v>866114</v>
      </c>
      <c r="F138" s="147">
        <v>866173</v>
      </c>
      <c r="G138" s="112">
        <f t="shared" ref="G138:G152" si="11">F138-E138</f>
        <v>59</v>
      </c>
      <c r="H138" s="99">
        <f>G138+'30'!H138</f>
        <v>0</v>
      </c>
      <c r="I138" s="95"/>
      <c r="J138" s="328">
        <f>H138/DAY(B2)</f>
        <v>0</v>
      </c>
    </row>
    <row r="139" spans="1:15" ht="27.75" x14ac:dyDescent="0.5">
      <c r="A139" s="870" t="s">
        <v>186</v>
      </c>
      <c r="B139" s="870"/>
      <c r="C139" s="870"/>
      <c r="D139" s="151" t="s">
        <v>183</v>
      </c>
      <c r="E139" s="95">
        <f>'30'!F139</f>
        <v>886572</v>
      </c>
      <c r="F139" s="148">
        <v>886573</v>
      </c>
      <c r="G139" s="112">
        <f t="shared" si="11"/>
        <v>1</v>
      </c>
      <c r="H139" s="99">
        <f>G139+'30'!H139</f>
        <v>0</v>
      </c>
      <c r="I139" s="95"/>
      <c r="J139" s="328">
        <f>H139/DAY(B2)</f>
        <v>0</v>
      </c>
    </row>
    <row r="140" spans="1:15" ht="27.75" x14ac:dyDescent="0.5">
      <c r="A140" s="870" t="s">
        <v>187</v>
      </c>
      <c r="B140" s="870"/>
      <c r="C140" s="870"/>
      <c r="D140" s="151" t="s">
        <v>183</v>
      </c>
      <c r="E140" s="95">
        <f>'30'!F140</f>
        <v>88922</v>
      </c>
      <c r="F140" s="149">
        <v>88922</v>
      </c>
      <c r="G140" s="112">
        <f t="shared" si="11"/>
        <v>0</v>
      </c>
      <c r="H140" s="99">
        <f>G140+'30'!H140</f>
        <v>0</v>
      </c>
      <c r="I140" s="95"/>
      <c r="J140" s="328">
        <f>H140/DAY(B2)</f>
        <v>0</v>
      </c>
    </row>
    <row r="141" spans="1:15" ht="27.75" x14ac:dyDescent="0.5">
      <c r="A141" s="851" t="s">
        <v>188</v>
      </c>
      <c r="B141" s="851"/>
      <c r="C141" s="851"/>
      <c r="D141" s="151" t="s">
        <v>183</v>
      </c>
      <c r="E141" s="95">
        <f>'30'!F141</f>
        <v>54513</v>
      </c>
      <c r="F141" s="149">
        <v>54685.58</v>
      </c>
      <c r="G141" s="112">
        <f t="shared" si="11"/>
        <v>172.58000000000175</v>
      </c>
      <c r="H141" s="99">
        <f>G141+'30'!H141</f>
        <v>0</v>
      </c>
      <c r="I141" s="95"/>
      <c r="J141" s="328">
        <f>H141/DAY(B2)</f>
        <v>0</v>
      </c>
    </row>
    <row r="142" spans="1:15" ht="27.75" x14ac:dyDescent="0.5">
      <c r="A142" s="851" t="s">
        <v>189</v>
      </c>
      <c r="B142" s="851"/>
      <c r="C142" s="851"/>
      <c r="D142" s="151" t="s">
        <v>183</v>
      </c>
      <c r="E142" s="95">
        <f>'30'!F142</f>
        <v>21204</v>
      </c>
      <c r="F142" s="148">
        <v>21284.1</v>
      </c>
      <c r="G142" s="112">
        <f t="shared" si="11"/>
        <v>80.099999999998545</v>
      </c>
      <c r="H142" s="99">
        <f>G142+'30'!H142</f>
        <v>0</v>
      </c>
      <c r="I142" s="690"/>
      <c r="J142" s="328">
        <f>H142/DAY(B2)</f>
        <v>0</v>
      </c>
    </row>
    <row r="143" spans="1:15" ht="27.75" x14ac:dyDescent="0.5">
      <c r="A143" s="870" t="s">
        <v>91</v>
      </c>
      <c r="B143" s="870"/>
      <c r="C143" s="870"/>
      <c r="D143" s="151" t="s">
        <v>183</v>
      </c>
      <c r="E143" s="95">
        <f>'30'!F143</f>
        <v>3807</v>
      </c>
      <c r="F143" s="149">
        <v>3835.39</v>
      </c>
      <c r="G143" s="112">
        <f t="shared" si="11"/>
        <v>28.389999999999873</v>
      </c>
      <c r="H143" s="99">
        <f>G143+'30'!H143</f>
        <v>0</v>
      </c>
      <c r="I143" s="690"/>
      <c r="J143" s="328">
        <f>H143/DAY(B2)</f>
        <v>0</v>
      </c>
    </row>
    <row r="144" spans="1:15" ht="27.75" x14ac:dyDescent="0.5">
      <c r="A144" s="851" t="s">
        <v>90</v>
      </c>
      <c r="B144" s="851"/>
      <c r="C144" s="851"/>
      <c r="D144" s="151" t="s">
        <v>183</v>
      </c>
      <c r="E144" s="95">
        <f>'30'!F144</f>
        <v>876271</v>
      </c>
      <c r="F144" s="149">
        <v>876487</v>
      </c>
      <c r="G144" s="112">
        <f t="shared" si="11"/>
        <v>216</v>
      </c>
      <c r="H144" s="99">
        <f>G144+'30'!H144</f>
        <v>0</v>
      </c>
      <c r="I144" s="690"/>
      <c r="J144" s="328">
        <f>H144/DAY(B2)</f>
        <v>0</v>
      </c>
    </row>
    <row r="145" spans="1:11" ht="27.75" x14ac:dyDescent="0.5">
      <c r="A145" s="870" t="s">
        <v>190</v>
      </c>
      <c r="B145" s="870"/>
      <c r="C145" s="870"/>
      <c r="D145" s="152" t="s">
        <v>183</v>
      </c>
      <c r="E145" s="95">
        <f>'30'!F145</f>
        <v>4949</v>
      </c>
      <c r="F145" s="149">
        <v>4958.84</v>
      </c>
      <c r="G145" s="112">
        <f t="shared" si="11"/>
        <v>9.8400000000001455</v>
      </c>
      <c r="H145" s="99">
        <f>G145+'30'!H145</f>
        <v>0</v>
      </c>
      <c r="I145" s="690"/>
      <c r="J145" s="328">
        <f>H145/DAY(B2)</f>
        <v>0</v>
      </c>
    </row>
    <row r="146" spans="1:11" ht="27.75" x14ac:dyDescent="0.5">
      <c r="A146" s="905" t="s">
        <v>191</v>
      </c>
      <c r="B146" s="890"/>
      <c r="C146" s="891"/>
      <c r="D146" s="152" t="s">
        <v>183</v>
      </c>
      <c r="E146" s="95">
        <f>'30'!F146</f>
        <v>736947</v>
      </c>
      <c r="F146" s="148">
        <v>737333</v>
      </c>
      <c r="G146" s="112">
        <f t="shared" si="11"/>
        <v>386</v>
      </c>
      <c r="H146" s="99">
        <f>G146+'30'!H146</f>
        <v>0</v>
      </c>
      <c r="I146" s="690"/>
      <c r="J146" s="328">
        <f>H146/DAY(B2)</f>
        <v>0</v>
      </c>
    </row>
    <row r="147" spans="1:11" ht="27.75" x14ac:dyDescent="0.5">
      <c r="A147" s="851" t="s">
        <v>192</v>
      </c>
      <c r="B147" s="851"/>
      <c r="C147" s="851"/>
      <c r="D147" s="152" t="s">
        <v>183</v>
      </c>
      <c r="E147" s="95">
        <f>'30'!F147</f>
        <v>626265</v>
      </c>
      <c r="F147" s="148">
        <v>626612.52</v>
      </c>
      <c r="G147" s="112">
        <f t="shared" si="11"/>
        <v>347.52000000001863</v>
      </c>
      <c r="H147" s="99">
        <f>G147+'30'!H147</f>
        <v>0</v>
      </c>
      <c r="I147" s="690"/>
      <c r="J147" s="328">
        <f>H147/DAY(B2)</f>
        <v>0</v>
      </c>
    </row>
    <row r="148" spans="1:11" ht="27.75" x14ac:dyDescent="0.5">
      <c r="A148" s="852" t="s">
        <v>193</v>
      </c>
      <c r="B148" s="853"/>
      <c r="C148" s="854"/>
      <c r="D148" s="123" t="s">
        <v>130</v>
      </c>
      <c r="E148" s="95">
        <f>'30'!F148</f>
        <v>689285</v>
      </c>
      <c r="F148" s="150">
        <v>689442.96</v>
      </c>
      <c r="G148" s="112">
        <f t="shared" si="11"/>
        <v>157.95999999996275</v>
      </c>
      <c r="H148" s="99">
        <f>G148+'30'!H148</f>
        <v>0</v>
      </c>
      <c r="I148" s="124"/>
      <c r="J148" s="328">
        <f>H148/DAY(B2)</f>
        <v>0</v>
      </c>
    </row>
    <row r="149" spans="1:11" ht="27.75" x14ac:dyDescent="0.5">
      <c r="A149" s="852" t="s">
        <v>336</v>
      </c>
      <c r="B149" s="853"/>
      <c r="C149" s="854"/>
      <c r="D149" s="227" t="s">
        <v>130</v>
      </c>
      <c r="E149" s="95">
        <f>'30'!F149</f>
        <v>24279</v>
      </c>
      <c r="F149" s="146">
        <v>24678.2</v>
      </c>
      <c r="G149" s="112">
        <f t="shared" si="11"/>
        <v>399.20000000000073</v>
      </c>
      <c r="H149" s="99">
        <f>G149+'30'!H149</f>
        <v>0</v>
      </c>
      <c r="I149" s="119"/>
      <c r="J149" s="328">
        <f>H149/DAY(B2)</f>
        <v>0</v>
      </c>
    </row>
    <row r="150" spans="1:11" ht="27.75" x14ac:dyDescent="0.5">
      <c r="A150" s="852" t="s">
        <v>337</v>
      </c>
      <c r="B150" s="853"/>
      <c r="C150" s="854"/>
      <c r="D150" s="117" t="s">
        <v>130</v>
      </c>
      <c r="E150" s="95">
        <f>'30'!F150</f>
        <v>10637</v>
      </c>
      <c r="F150" s="233">
        <v>10850.83</v>
      </c>
      <c r="G150" s="112">
        <f t="shared" si="11"/>
        <v>213.82999999999993</v>
      </c>
      <c r="H150" s="99">
        <f>G150+'30'!H150</f>
        <v>0</v>
      </c>
      <c r="I150" s="119"/>
      <c r="J150" s="328">
        <f>H150/DAY(B2)</f>
        <v>0</v>
      </c>
    </row>
    <row r="151" spans="1:11" ht="27.75" x14ac:dyDescent="0.5">
      <c r="A151" s="852" t="s">
        <v>338</v>
      </c>
      <c r="B151" s="853"/>
      <c r="C151" s="854"/>
      <c r="D151" s="117" t="s">
        <v>130</v>
      </c>
      <c r="E151" s="95">
        <f>'30'!F151</f>
        <v>85186</v>
      </c>
      <c r="F151" s="233">
        <v>85480</v>
      </c>
      <c r="G151" s="112">
        <f t="shared" si="11"/>
        <v>294</v>
      </c>
      <c r="H151" s="99">
        <f>G151+'30'!H151</f>
        <v>0</v>
      </c>
      <c r="I151" s="119"/>
      <c r="J151" s="328">
        <f>H151/DAY(B2)</f>
        <v>0</v>
      </c>
    </row>
    <row r="152" spans="1:11" ht="27.75" x14ac:dyDescent="0.5">
      <c r="A152" s="852" t="s">
        <v>339</v>
      </c>
      <c r="B152" s="853"/>
      <c r="C152" s="854"/>
      <c r="D152" s="117" t="s">
        <v>130</v>
      </c>
      <c r="E152" s="95">
        <f>'30'!F152</f>
        <v>1642</v>
      </c>
      <c r="F152" s="233">
        <v>1660</v>
      </c>
      <c r="G152" s="112">
        <f t="shared" si="11"/>
        <v>18</v>
      </c>
      <c r="H152" s="99">
        <f>G152+'30'!H152</f>
        <v>0</v>
      </c>
      <c r="I152" s="119"/>
      <c r="J152" s="328">
        <f>H152/DAY(B2)</f>
        <v>0</v>
      </c>
    </row>
    <row r="153" spans="1:11" ht="27.75" x14ac:dyDescent="0.5">
      <c r="A153" s="855" t="s">
        <v>196</v>
      </c>
      <c r="B153" s="969"/>
      <c r="C153" s="856"/>
      <c r="D153" s="358"/>
      <c r="E153" s="360"/>
      <c r="F153" s="361"/>
      <c r="G153" s="362">
        <f>SUM(G138:G152)</f>
        <v>2383.4199999999823</v>
      </c>
      <c r="H153" s="363"/>
      <c r="I153" s="119">
        <f>G153-(G38+G52)</f>
        <v>755.98999999998205</v>
      </c>
      <c r="J153" s="366"/>
    </row>
    <row r="154" spans="1:11" ht="31.5" x14ac:dyDescent="0.55000000000000004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1" ht="31.5" x14ac:dyDescent="0.55000000000000004">
      <c r="A155" s="851" t="s">
        <v>345</v>
      </c>
      <c r="B155" s="851"/>
      <c r="C155" s="851"/>
      <c r="D155" s="117" t="s">
        <v>130</v>
      </c>
      <c r="E155" s="95">
        <f>'30'!F155</f>
        <v>31715</v>
      </c>
      <c r="F155" s="471">
        <v>32385</v>
      </c>
      <c r="G155" s="112">
        <f t="shared" ref="G155:G158" si="12">F155-E155</f>
        <v>670</v>
      </c>
      <c r="H155" s="99">
        <f>G155+'30'!H155</f>
        <v>-560</v>
      </c>
      <c r="I155" s="364"/>
      <c r="J155" s="328">
        <f>H155/DAY(B2)</f>
        <v>-18.06451612903226</v>
      </c>
    </row>
    <row r="156" spans="1:11" ht="27.75" x14ac:dyDescent="0.5">
      <c r="A156" s="851" t="s">
        <v>347</v>
      </c>
      <c r="B156" s="851"/>
      <c r="C156" s="851"/>
      <c r="D156" s="117" t="s">
        <v>130</v>
      </c>
      <c r="E156" s="95">
        <f>'30'!F156</f>
        <v>2678</v>
      </c>
      <c r="F156" s="155">
        <v>2736</v>
      </c>
      <c r="G156" s="112">
        <f t="shared" si="12"/>
        <v>58</v>
      </c>
      <c r="H156" s="99">
        <f>G156+'30'!H156</f>
        <v>-52</v>
      </c>
      <c r="I156" s="155"/>
      <c r="J156" s="328">
        <f>H156/DAY(B2)</f>
        <v>-1.6774193548387097</v>
      </c>
    </row>
    <row r="157" spans="1:11" ht="27.75" x14ac:dyDescent="0.5">
      <c r="A157" s="852" t="s">
        <v>363</v>
      </c>
      <c r="B157" s="853"/>
      <c r="C157" s="854"/>
      <c r="D157" s="117" t="s">
        <v>130</v>
      </c>
      <c r="E157" s="95">
        <f>'30'!F157</f>
        <v>3897</v>
      </c>
      <c r="F157" s="95">
        <v>4032</v>
      </c>
      <c r="G157" s="112">
        <f t="shared" si="12"/>
        <v>135</v>
      </c>
      <c r="H157" s="99">
        <f>G157+'30'!H157</f>
        <v>340</v>
      </c>
      <c r="I157" s="99"/>
      <c r="J157" s="155"/>
      <c r="K157" s="328"/>
    </row>
    <row r="158" spans="1:11" ht="27.75" x14ac:dyDescent="0.5">
      <c r="A158" s="852" t="s">
        <v>364</v>
      </c>
      <c r="B158" s="853"/>
      <c r="C158" s="854"/>
      <c r="D158" s="117" t="s">
        <v>130</v>
      </c>
      <c r="E158" s="95">
        <f>'30'!F158</f>
        <v>46.66</v>
      </c>
      <c r="F158" s="155">
        <v>46.66</v>
      </c>
      <c r="G158" s="112">
        <f t="shared" si="12"/>
        <v>0</v>
      </c>
      <c r="H158" s="99">
        <f>G158+'30'!H158</f>
        <v>1.1099999999999994</v>
      </c>
      <c r="I158" s="155"/>
      <c r="J158" s="328"/>
    </row>
    <row r="159" spans="1:11" ht="27.75" x14ac:dyDescent="0.5">
      <c r="A159" s="935"/>
      <c r="B159" s="936"/>
      <c r="C159" s="937"/>
      <c r="D159" s="117"/>
      <c r="E159" s="95"/>
      <c r="F159" s="155"/>
      <c r="G159" s="112"/>
      <c r="H159" s="99"/>
      <c r="I159" s="155"/>
      <c r="J159" s="328"/>
    </row>
    <row r="160" spans="1:11" ht="31.5" x14ac:dyDescent="0.55000000000000004">
      <c r="A160" s="859" t="s">
        <v>326</v>
      </c>
      <c r="B160" s="859"/>
      <c r="C160" s="859"/>
      <c r="D160" s="859"/>
      <c r="E160" s="859"/>
      <c r="F160" s="859"/>
      <c r="G160" s="859"/>
      <c r="H160" s="859"/>
      <c r="I160" s="859"/>
      <c r="J160" s="85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472011</v>
      </c>
      <c r="F161" s="235">
        <v>472053.56</v>
      </c>
      <c r="G161" s="238">
        <f t="shared" ref="G161:G165" si="13">F161-E161</f>
        <v>42.559999999997672</v>
      </c>
      <c r="H161" s="99">
        <f>G161+'30'!H161</f>
        <v>0</v>
      </c>
      <c r="I161" s="236"/>
      <c r="J161" s="239">
        <f>H161/DAY(B2)</f>
        <v>0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88480</v>
      </c>
      <c r="F162" s="235">
        <v>88516.4</v>
      </c>
      <c r="G162" s="238">
        <f t="shared" si="13"/>
        <v>36.399999999994179</v>
      </c>
      <c r="H162" s="99">
        <f>G162+'30'!H162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79184</v>
      </c>
      <c r="F163" s="235">
        <v>79220.100000000006</v>
      </c>
      <c r="G163" s="238">
        <f t="shared" si="13"/>
        <v>36.100000000005821</v>
      </c>
      <c r="H163" s="99">
        <f>G163+'30'!H163</f>
        <v>0</v>
      </c>
      <c r="I163" s="236"/>
      <c r="J163" s="239">
        <f>H163/DAY(B2)</f>
        <v>0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4320</v>
      </c>
      <c r="F164" s="235">
        <v>4320</v>
      </c>
      <c r="G164" s="238">
        <f t="shared" si="13"/>
        <v>0</v>
      </c>
      <c r="H164" s="99">
        <f>G164+'30'!H164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29845</v>
      </c>
      <c r="F165" s="235">
        <v>29857.25</v>
      </c>
      <c r="G165" s="238">
        <f t="shared" si="13"/>
        <v>12.25</v>
      </c>
      <c r="H165" s="99">
        <f>G165+'30'!H165</f>
        <v>0</v>
      </c>
      <c r="I165" s="236"/>
      <c r="J165" s="239">
        <f>H165/DAY(B2)</f>
        <v>0</v>
      </c>
    </row>
    <row r="166" spans="1:10" ht="29.25" x14ac:dyDescent="0.5">
      <c r="A166" s="860"/>
      <c r="B166" s="860"/>
      <c r="C166" s="246"/>
      <c r="D166" s="244" t="s">
        <v>180</v>
      </c>
      <c r="E166" s="95">
        <f>'30'!F166</f>
        <v>0</v>
      </c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9.25" x14ac:dyDescent="0.5">
      <c r="A167" s="860"/>
      <c r="B167" s="860"/>
      <c r="C167" s="246"/>
      <c r="D167" s="244" t="s">
        <v>180</v>
      </c>
      <c r="E167" s="95">
        <f>'30'!F167</f>
        <v>0</v>
      </c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9.25" x14ac:dyDescent="0.5">
      <c r="A168" s="860"/>
      <c r="B168" s="860"/>
      <c r="C168" s="246"/>
      <c r="D168" s="244" t="s">
        <v>180</v>
      </c>
      <c r="E168" s="95">
        <f>'30'!F168</f>
        <v>0</v>
      </c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61" t="s">
        <v>330</v>
      </c>
      <c r="B171" s="862"/>
      <c r="C171" s="862"/>
      <c r="D171" s="862"/>
      <c r="E171" s="862"/>
      <c r="F171" s="862"/>
      <c r="G171" s="862"/>
      <c r="H171" s="862"/>
      <c r="I171" s="862"/>
      <c r="J171" s="863"/>
    </row>
    <row r="172" spans="1:10" ht="27.75" x14ac:dyDescent="0.5">
      <c r="A172" s="868"/>
      <c r="B172" s="869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64" t="s">
        <v>209</v>
      </c>
      <c r="B173" s="865"/>
      <c r="C173" s="333"/>
      <c r="D173" s="228" t="s">
        <v>142</v>
      </c>
      <c r="E173" s="95">
        <f>'30'!F173</f>
        <v>8126</v>
      </c>
      <c r="F173" s="551">
        <v>8126</v>
      </c>
      <c r="G173" s="155">
        <f>F173-E173</f>
        <v>0</v>
      </c>
      <c r="H173" s="99">
        <f>G173+'30'!H173</f>
        <v>0</v>
      </c>
      <c r="I173" s="155"/>
      <c r="J173" s="178">
        <f>H173/DAY(B2)</f>
        <v>0</v>
      </c>
    </row>
    <row r="174" spans="1:10" ht="27.75" x14ac:dyDescent="0.5">
      <c r="A174" s="864" t="s">
        <v>75</v>
      </c>
      <c r="B174" s="865"/>
      <c r="C174" s="333"/>
      <c r="D174" s="228" t="s">
        <v>142</v>
      </c>
      <c r="E174" s="95">
        <f>'30'!F174</f>
        <v>38603</v>
      </c>
      <c r="F174" s="157">
        <v>38615</v>
      </c>
      <c r="G174" s="155">
        <f t="shared" ref="G174:G175" si="14">F174-E174</f>
        <v>12</v>
      </c>
      <c r="H174" s="99">
        <f>G174+'30'!H174</f>
        <v>0</v>
      </c>
      <c r="I174" s="155"/>
      <c r="J174" s="178">
        <f>H174/DAY(B2)</f>
        <v>0</v>
      </c>
    </row>
    <row r="175" spans="1:10" ht="27.75" x14ac:dyDescent="0.5">
      <c r="A175" s="864" t="s">
        <v>76</v>
      </c>
      <c r="B175" s="904"/>
      <c r="C175" s="865"/>
      <c r="D175" s="228" t="s">
        <v>142</v>
      </c>
      <c r="E175" s="95">
        <f>'30'!F175</f>
        <v>21803</v>
      </c>
      <c r="F175" s="155">
        <v>21813</v>
      </c>
      <c r="G175" s="155">
        <f t="shared" si="14"/>
        <v>10</v>
      </c>
      <c r="H175" s="99">
        <f>G175+'30'!H175</f>
        <v>0</v>
      </c>
      <c r="I175" s="155"/>
      <c r="J175" s="178">
        <f>H175/DAY(B2)</f>
        <v>0</v>
      </c>
    </row>
    <row r="176" spans="1:10" ht="27.75" x14ac:dyDescent="0.5">
      <c r="A176" s="855" t="s">
        <v>196</v>
      </c>
      <c r="B176" s="969"/>
      <c r="C176" s="856"/>
      <c r="D176" s="228" t="s">
        <v>142</v>
      </c>
      <c r="E176" s="95"/>
      <c r="F176" s="155"/>
      <c r="G176" s="155">
        <f>SUM(G173:G175)</f>
        <v>22</v>
      </c>
      <c r="H176" s="99">
        <f>G176+'30'!H176</f>
        <v>0</v>
      </c>
      <c r="I176" s="155"/>
      <c r="J176" s="178">
        <f>H176/DAY(B2)</f>
        <v>0</v>
      </c>
    </row>
    <row r="177" spans="1:10" ht="27.75" x14ac:dyDescent="0.5">
      <c r="A177" s="864" t="s">
        <v>77</v>
      </c>
      <c r="B177" s="865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864" t="s">
        <v>210</v>
      </c>
      <c r="B178" s="865"/>
      <c r="C178" s="333"/>
      <c r="D178" s="228" t="s">
        <v>142</v>
      </c>
      <c r="E178" s="95">
        <f>'30'!F178</f>
        <v>81206</v>
      </c>
      <c r="F178" s="155">
        <v>81315</v>
      </c>
      <c r="G178" s="155">
        <f>F178-E178</f>
        <v>109</v>
      </c>
      <c r="H178" s="99">
        <f>G178+'30'!H178</f>
        <v>0</v>
      </c>
      <c r="I178" s="155"/>
      <c r="J178" s="178">
        <f>H178/DAY(B2)</f>
        <v>0</v>
      </c>
    </row>
    <row r="179" spans="1:10" ht="27.75" x14ac:dyDescent="0.5">
      <c r="A179" s="864" t="s">
        <v>211</v>
      </c>
      <c r="B179" s="865"/>
      <c r="C179" s="333"/>
      <c r="D179" s="228" t="s">
        <v>142</v>
      </c>
      <c r="E179" s="95">
        <f>'30'!F179</f>
        <v>34754</v>
      </c>
      <c r="F179" s="157">
        <v>34803</v>
      </c>
      <c r="G179" s="155">
        <f t="shared" ref="G179:G180" si="15">F179-E179</f>
        <v>49</v>
      </c>
      <c r="H179" s="99">
        <f>G179+'30'!H179</f>
        <v>5874</v>
      </c>
      <c r="I179" s="155"/>
      <c r="J179" s="178">
        <f>H179/DAY(B2)</f>
        <v>189.48387096774192</v>
      </c>
    </row>
    <row r="180" spans="1:10" ht="27.75" x14ac:dyDescent="0.5">
      <c r="A180" s="864" t="s">
        <v>212</v>
      </c>
      <c r="B180" s="865"/>
      <c r="C180" s="333"/>
      <c r="D180" s="228" t="s">
        <v>142</v>
      </c>
      <c r="E180" s="95">
        <f>'30'!F180</f>
        <v>5693</v>
      </c>
      <c r="F180" s="157">
        <v>5702</v>
      </c>
      <c r="G180" s="155">
        <f t="shared" si="15"/>
        <v>9</v>
      </c>
      <c r="H180" s="99">
        <f>G180+'30'!H180</f>
        <v>0</v>
      </c>
      <c r="I180" s="155"/>
      <c r="J180" s="178">
        <f>H180/DAY(B2)</f>
        <v>0</v>
      </c>
    </row>
    <row r="181" spans="1:10" ht="27.75" x14ac:dyDescent="0.5">
      <c r="A181" s="866" t="s">
        <v>108</v>
      </c>
      <c r="B181" s="867"/>
      <c r="C181" s="483"/>
      <c r="D181" s="228" t="s">
        <v>142</v>
      </c>
      <c r="E181" s="95"/>
      <c r="F181" s="157"/>
      <c r="G181" s="155">
        <f>SUM(G178:G180)</f>
        <v>167</v>
      </c>
      <c r="H181" s="99">
        <f>G181+'30'!H181</f>
        <v>5874</v>
      </c>
      <c r="I181" s="155"/>
      <c r="J181" s="178">
        <f>H181/DAY(B2)</f>
        <v>189.48387096774192</v>
      </c>
    </row>
    <row r="182" spans="1:10" ht="27.75" x14ac:dyDescent="0.5">
      <c r="A182" s="864" t="s">
        <v>213</v>
      </c>
      <c r="B182" s="865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864" t="s">
        <v>214</v>
      </c>
      <c r="B183" s="865"/>
      <c r="C183" s="334"/>
      <c r="D183" s="228" t="s">
        <v>142</v>
      </c>
      <c r="E183" s="95">
        <f>'30'!F183</f>
        <v>15334</v>
      </c>
      <c r="F183" s="157">
        <v>15345</v>
      </c>
      <c r="G183" s="157">
        <f>F183-E183</f>
        <v>11</v>
      </c>
      <c r="H183" s="99">
        <f>G183+'30'!H183</f>
        <v>0</v>
      </c>
      <c r="I183" s="155"/>
      <c r="J183" s="178">
        <f>H183/DAY(B2)</f>
        <v>0</v>
      </c>
    </row>
    <row r="184" spans="1:10" ht="27.75" x14ac:dyDescent="0.5">
      <c r="A184" s="864" t="s">
        <v>215</v>
      </c>
      <c r="B184" s="865"/>
      <c r="C184" s="334"/>
      <c r="D184" s="228" t="s">
        <v>142</v>
      </c>
      <c r="E184" s="95">
        <f>'30'!F184</f>
        <v>10511</v>
      </c>
      <c r="F184" s="157">
        <v>10518</v>
      </c>
      <c r="G184" s="157">
        <f t="shared" ref="G184:G185" si="16">F184-E184</f>
        <v>7</v>
      </c>
      <c r="H184" s="99">
        <f>G184+'30'!H184</f>
        <v>0</v>
      </c>
      <c r="I184" s="155"/>
      <c r="J184" s="178">
        <f>H184/DAY(B2)</f>
        <v>0</v>
      </c>
    </row>
    <row r="185" spans="1:10" ht="27.75" x14ac:dyDescent="0.5">
      <c r="A185" s="864" t="s">
        <v>216</v>
      </c>
      <c r="B185" s="865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855" t="s">
        <v>196</v>
      </c>
      <c r="B186" s="856"/>
      <c r="C186" s="482"/>
      <c r="D186" s="228" t="s">
        <v>142</v>
      </c>
      <c r="E186" s="95"/>
      <c r="F186" s="157"/>
      <c r="G186" s="157">
        <f>SUM(G183:G185)</f>
        <v>18</v>
      </c>
      <c r="H186" s="99">
        <f>G186+'30'!H186</f>
        <v>0</v>
      </c>
      <c r="I186" s="157"/>
      <c r="J186" s="178">
        <f>H186/DAY(B2)</f>
        <v>0</v>
      </c>
    </row>
    <row r="187" spans="1:10" ht="27.75" x14ac:dyDescent="0.5">
      <c r="A187" s="857" t="s">
        <v>217</v>
      </c>
      <c r="B187" s="858"/>
      <c r="C187" s="333"/>
      <c r="D187" s="230" t="s">
        <v>142</v>
      </c>
      <c r="E187" s="95">
        <f>'30'!F187</f>
        <v>0</v>
      </c>
      <c r="F187" s="159"/>
      <c r="G187" s="460">
        <f>G62+G19</f>
        <v>139</v>
      </c>
      <c r="H187" s="99">
        <f>G187+'30'!H187</f>
        <v>0</v>
      </c>
      <c r="I187" s="157"/>
      <c r="J187" s="179">
        <f>H187/DAY(B2)</f>
        <v>0</v>
      </c>
    </row>
    <row r="188" spans="1:10" ht="27.75" x14ac:dyDescent="0.5">
      <c r="A188" s="857" t="s">
        <v>218</v>
      </c>
      <c r="B188" s="858"/>
      <c r="C188" s="333"/>
      <c r="D188" s="230" t="s">
        <v>142</v>
      </c>
      <c r="E188" s="95">
        <f>'30'!F188</f>
        <v>0</v>
      </c>
      <c r="F188" s="159"/>
      <c r="G188" s="460">
        <f>G65+G66+G67+G69+G70</f>
        <v>126</v>
      </c>
      <c r="H188" s="99">
        <f>G188+'30'!H188</f>
        <v>-2255</v>
      </c>
      <c r="I188" s="157"/>
      <c r="J188" s="179">
        <f>H188/DAY(B2)</f>
        <v>-72.741935483870961</v>
      </c>
    </row>
    <row r="189" spans="1:10" ht="27.75" x14ac:dyDescent="0.5">
      <c r="A189" s="857" t="s">
        <v>219</v>
      </c>
      <c r="B189" s="858"/>
      <c r="C189" s="333"/>
      <c r="D189" s="230" t="s">
        <v>142</v>
      </c>
      <c r="E189" s="95">
        <f>'30'!F189</f>
        <v>0</v>
      </c>
      <c r="F189" s="157"/>
      <c r="G189" s="689">
        <f>G181</f>
        <v>167</v>
      </c>
      <c r="H189" s="99">
        <f>G189+'30'!H189</f>
        <v>4265</v>
      </c>
      <c r="I189" s="157"/>
      <c r="J189" s="179">
        <f>H189/DAY(B2)</f>
        <v>137.58064516129033</v>
      </c>
    </row>
    <row r="190" spans="1:10" ht="27.75" x14ac:dyDescent="0.5">
      <c r="A190" s="778"/>
      <c r="B190" s="779"/>
      <c r="C190" s="481"/>
      <c r="D190" s="478"/>
      <c r="E190" s="497" t="s">
        <v>207</v>
      </c>
      <c r="F190" s="497"/>
      <c r="G190" s="497"/>
      <c r="H190" s="479"/>
      <c r="I190" s="497"/>
      <c r="J190" s="696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47"/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  <c r="N1" s="747"/>
      <c r="O1" s="747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49" t="s">
        <v>6</v>
      </c>
      <c r="F2" s="749"/>
      <c r="G2" s="749"/>
      <c r="H2" s="755" t="s">
        <v>14</v>
      </c>
      <c r="I2" s="755"/>
      <c r="J2" s="755"/>
      <c r="K2" s="264" t="s">
        <v>15</v>
      </c>
      <c r="L2" s="755" t="s">
        <v>16</v>
      </c>
      <c r="M2" s="755"/>
      <c r="N2" s="755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726007</v>
      </c>
      <c r="E4" s="19">
        <f>'1'!G97</f>
        <v>0.23097846076142278</v>
      </c>
      <c r="F4" s="19">
        <f>'1'!F142</f>
        <v>21357.57</v>
      </c>
      <c r="G4" s="21">
        <f>E4*F4</f>
        <v>4933.1386442043404</v>
      </c>
      <c r="H4" s="19">
        <f>'1'!G68</f>
        <v>39</v>
      </c>
      <c r="I4" s="19">
        <f>'1'!G69</f>
        <v>9</v>
      </c>
      <c r="J4" s="19">
        <f>'1'!G70</f>
        <v>8</v>
      </c>
      <c r="K4" s="23">
        <f>H4+I4</f>
        <v>48</v>
      </c>
      <c r="L4" s="19">
        <f>'1'!G71</f>
        <v>158</v>
      </c>
      <c r="M4" s="19">
        <f>'1'!G72</f>
        <v>0</v>
      </c>
      <c r="N4" s="19">
        <v>0</v>
      </c>
      <c r="O4" s="23">
        <f>L4+M4+N4</f>
        <v>158</v>
      </c>
    </row>
    <row r="5" spans="1:15" x14ac:dyDescent="0.25">
      <c r="A5" s="16">
        <v>2</v>
      </c>
      <c r="B5" s="26">
        <v>2</v>
      </c>
      <c r="C5" s="26"/>
      <c r="D5" s="19">
        <f>'2'!F8</f>
        <v>744345</v>
      </c>
      <c r="E5" s="19">
        <f>'2'!G96</f>
        <v>3469.6100000000006</v>
      </c>
      <c r="F5" s="19">
        <f>'2'!F123</f>
        <v>154565.59</v>
      </c>
      <c r="G5" s="21">
        <f t="shared" ref="G5:G18" si="0">E5*F5</f>
        <v>536282316.71990007</v>
      </c>
      <c r="H5" s="19">
        <f>'2'!G68</f>
        <v>30</v>
      </c>
      <c r="I5" s="19">
        <f>'2'!G69</f>
        <v>19</v>
      </c>
      <c r="J5" s="19">
        <f>'2'!G70</f>
        <v>10</v>
      </c>
      <c r="K5" s="23">
        <f t="shared" ref="K5:K18" si="1">H5+I5</f>
        <v>49</v>
      </c>
      <c r="L5" s="19">
        <f>'2'!G71</f>
        <v>170</v>
      </c>
      <c r="M5" s="19">
        <f>'2'!G72</f>
        <v>0</v>
      </c>
      <c r="N5" s="19">
        <v>0</v>
      </c>
      <c r="O5" s="23">
        <f t="shared" ref="O5:O18" si="2">L5+M5+N5</f>
        <v>170</v>
      </c>
    </row>
    <row r="6" spans="1:15" x14ac:dyDescent="0.25">
      <c r="A6" s="16">
        <v>3</v>
      </c>
      <c r="B6" s="26">
        <v>3</v>
      </c>
      <c r="C6" s="26"/>
      <c r="D6" s="19">
        <f>'4'!F8</f>
        <v>782176.71</v>
      </c>
      <c r="E6" s="19">
        <f>'3'!G96</f>
        <v>3484.5699999999943</v>
      </c>
      <c r="F6" s="19">
        <f>'3'!F123</f>
        <v>154821.26999999999</v>
      </c>
      <c r="G6" s="21">
        <f t="shared" si="0"/>
        <v>539485552.80389905</v>
      </c>
      <c r="H6" s="19">
        <f>'4'!G68</f>
        <v>28</v>
      </c>
      <c r="I6" s="19">
        <f>'4'!G69</f>
        <v>7</v>
      </c>
      <c r="J6" s="19">
        <f>'4'!G70</f>
        <v>9</v>
      </c>
      <c r="K6" s="23">
        <f t="shared" si="1"/>
        <v>35</v>
      </c>
      <c r="L6" s="19">
        <f>'4'!G71</f>
        <v>186</v>
      </c>
      <c r="M6" s="19">
        <f>'4'!G72</f>
        <v>0</v>
      </c>
      <c r="N6" s="19">
        <v>0</v>
      </c>
      <c r="O6" s="23">
        <f t="shared" si="2"/>
        <v>186</v>
      </c>
    </row>
    <row r="7" spans="1:15" x14ac:dyDescent="0.25">
      <c r="A7" s="16">
        <v>4</v>
      </c>
      <c r="B7" s="27">
        <v>4</v>
      </c>
      <c r="C7" s="27"/>
      <c r="D7" s="19">
        <f>'3'!F8</f>
        <v>763564</v>
      </c>
      <c r="E7" s="19">
        <f>'4'!G96</f>
        <v>2816.8300000000017</v>
      </c>
      <c r="F7" s="19">
        <f>'1'!F142</f>
        <v>21357.57</v>
      </c>
      <c r="G7" s="21">
        <f t="shared" si="0"/>
        <v>60160643.903100036</v>
      </c>
      <c r="H7" s="19">
        <f>'3'!G68</f>
        <v>28</v>
      </c>
      <c r="I7" s="19">
        <f>'3'!G69</f>
        <v>9</v>
      </c>
      <c r="J7" s="19">
        <f>'3'!G70</f>
        <v>9</v>
      </c>
      <c r="K7" s="23">
        <f t="shared" si="1"/>
        <v>37</v>
      </c>
      <c r="L7" s="19">
        <f>'3'!G71</f>
        <v>182</v>
      </c>
      <c r="M7" s="19">
        <f>'3'!G72</f>
        <v>0</v>
      </c>
      <c r="N7" s="19">
        <v>0</v>
      </c>
      <c r="O7" s="23">
        <f t="shared" si="2"/>
        <v>182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21357.57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823619.67</v>
      </c>
      <c r="E9" s="19">
        <f>'6'!G96</f>
        <v>3426.9199999999983</v>
      </c>
      <c r="F9" s="19">
        <f>'1'!F142</f>
        <v>21357.57</v>
      </c>
      <c r="G9" s="21">
        <f t="shared" si="0"/>
        <v>73190683.784399956</v>
      </c>
      <c r="H9" s="19">
        <f>'6'!G68</f>
        <v>56</v>
      </c>
      <c r="I9" s="19">
        <f>'6'!G69</f>
        <v>11</v>
      </c>
      <c r="J9" s="19">
        <f>'6'!G70</f>
        <v>9</v>
      </c>
      <c r="K9" s="23">
        <f t="shared" si="1"/>
        <v>67</v>
      </c>
      <c r="L9" s="19">
        <f>'6'!G71</f>
        <v>243</v>
      </c>
      <c r="M9" s="19">
        <f>'6'!G72</f>
        <v>0</v>
      </c>
      <c r="N9" s="19">
        <v>0</v>
      </c>
      <c r="O9" s="23">
        <f t="shared" si="2"/>
        <v>243</v>
      </c>
    </row>
    <row r="10" spans="1:15" x14ac:dyDescent="0.25">
      <c r="A10" s="16">
        <v>7</v>
      </c>
      <c r="B10" s="26">
        <v>7</v>
      </c>
      <c r="C10" s="27"/>
      <c r="D10" s="19">
        <f>'7'!F8</f>
        <v>845323.91</v>
      </c>
      <c r="E10" s="19">
        <f>'7'!G96</f>
        <v>4458.75</v>
      </c>
      <c r="F10" s="19">
        <f>'1'!F142</f>
        <v>21357.57</v>
      </c>
      <c r="G10" s="21">
        <f t="shared" si="0"/>
        <v>95228065.237499997</v>
      </c>
      <c r="H10" s="19">
        <f>'7'!G68</f>
        <v>43</v>
      </c>
      <c r="I10" s="19">
        <f>'7'!G69</f>
        <v>15</v>
      </c>
      <c r="J10" s="19">
        <f>'7'!G70</f>
        <v>23</v>
      </c>
      <c r="K10" s="23">
        <f t="shared" si="1"/>
        <v>58</v>
      </c>
      <c r="L10" s="19">
        <f>'7'!G71</f>
        <v>228</v>
      </c>
      <c r="M10" s="19">
        <f>'7'!G72</f>
        <v>0</v>
      </c>
      <c r="N10" s="19">
        <v>0</v>
      </c>
      <c r="O10" s="23">
        <f t="shared" si="2"/>
        <v>228</v>
      </c>
    </row>
    <row r="11" spans="1:15" x14ac:dyDescent="0.25">
      <c r="A11" s="16">
        <v>8</v>
      </c>
      <c r="B11" s="26">
        <v>8</v>
      </c>
      <c r="C11" s="18"/>
      <c r="D11" s="19">
        <f>'8'!F8</f>
        <v>865054</v>
      </c>
      <c r="E11" s="19">
        <f>'8'!G96</f>
        <v>4082.4900000000066</v>
      </c>
      <c r="F11" s="19">
        <f>'1'!F142</f>
        <v>21357.57</v>
      </c>
      <c r="G11" s="21">
        <f t="shared" si="0"/>
        <v>87192065.94930014</v>
      </c>
      <c r="H11" s="19">
        <f>'8'!G68</f>
        <v>30</v>
      </c>
      <c r="I11" s="19">
        <f>'8'!G69</f>
        <v>10</v>
      </c>
      <c r="J11" s="19">
        <f>'8'!G70</f>
        <v>33</v>
      </c>
      <c r="K11" s="23">
        <f t="shared" si="1"/>
        <v>40</v>
      </c>
      <c r="L11" s="19">
        <f>'8'!G71</f>
        <v>214</v>
      </c>
      <c r="M11" s="19">
        <f>'8'!G72</f>
        <v>0</v>
      </c>
      <c r="N11" s="19">
        <v>0</v>
      </c>
      <c r="O11" s="23">
        <f t="shared" si="2"/>
        <v>214</v>
      </c>
    </row>
    <row r="12" spans="1:15" x14ac:dyDescent="0.25">
      <c r="A12" s="16">
        <v>9</v>
      </c>
      <c r="B12" s="27">
        <v>9</v>
      </c>
      <c r="C12" s="26"/>
      <c r="D12" s="19">
        <f>'9'!F8</f>
        <v>884521</v>
      </c>
      <c r="E12" s="19">
        <f>'9'!G96</f>
        <v>3894.5299999999988</v>
      </c>
      <c r="F12" s="19">
        <f>'1'!F142</f>
        <v>21357.57</v>
      </c>
      <c r="G12" s="21">
        <f t="shared" si="0"/>
        <v>83177697.09209998</v>
      </c>
      <c r="H12" s="19">
        <f>'9'!G68</f>
        <v>37</v>
      </c>
      <c r="I12" s="19">
        <f>'9'!G69</f>
        <v>9</v>
      </c>
      <c r="J12" s="19">
        <f>'9'!G70</f>
        <v>14</v>
      </c>
      <c r="K12" s="23">
        <f t="shared" si="1"/>
        <v>46</v>
      </c>
      <c r="L12" s="19">
        <f>'9'!G71</f>
        <v>238</v>
      </c>
      <c r="M12" s="19">
        <f>'9'!G72</f>
        <v>0</v>
      </c>
      <c r="N12" s="19">
        <v>0</v>
      </c>
      <c r="O12" s="23">
        <f t="shared" si="2"/>
        <v>238</v>
      </c>
    </row>
    <row r="13" spans="1:15" x14ac:dyDescent="0.25">
      <c r="A13" s="16">
        <v>10</v>
      </c>
      <c r="B13" s="27">
        <v>10</v>
      </c>
      <c r="C13" s="26"/>
      <c r="D13" s="19">
        <f>'10'!F8</f>
        <v>904894</v>
      </c>
      <c r="E13" s="19">
        <f>'10'!G96</f>
        <v>4557</v>
      </c>
      <c r="F13" s="19">
        <f>'1'!F142</f>
        <v>21357.57</v>
      </c>
      <c r="G13" s="21">
        <f t="shared" si="0"/>
        <v>97326446.489999995</v>
      </c>
      <c r="H13" s="19">
        <f>'10'!G68</f>
        <v>40</v>
      </c>
      <c r="I13" s="19">
        <f>'10'!G69</f>
        <v>18</v>
      </c>
      <c r="J13" s="19">
        <f>'10'!G70</f>
        <v>8</v>
      </c>
      <c r="K13" s="23">
        <f t="shared" si="1"/>
        <v>58</v>
      </c>
      <c r="L13" s="19">
        <f>'10'!G71</f>
        <v>256</v>
      </c>
      <c r="M13" s="19">
        <f>'10'!G72</f>
        <v>0</v>
      </c>
      <c r="N13" s="19">
        <v>0</v>
      </c>
      <c r="O13" s="23">
        <f t="shared" si="2"/>
        <v>256</v>
      </c>
    </row>
    <row r="14" spans="1:15" x14ac:dyDescent="0.25">
      <c r="A14" s="16">
        <v>11</v>
      </c>
      <c r="B14" s="17">
        <v>11</v>
      </c>
      <c r="C14" s="27"/>
      <c r="D14" s="19">
        <f>'11'!F8</f>
        <v>925914</v>
      </c>
      <c r="E14" s="19">
        <f>'11'!G96</f>
        <v>4736</v>
      </c>
      <c r="F14" s="19">
        <f>'1'!F142</f>
        <v>21357.57</v>
      </c>
      <c r="G14" s="21">
        <f t="shared" si="0"/>
        <v>101149451.52</v>
      </c>
      <c r="H14" s="19">
        <f>'11'!G68</f>
        <v>53</v>
      </c>
      <c r="I14" s="19">
        <f>'11'!G69</f>
        <v>32</v>
      </c>
      <c r="J14" s="19">
        <f>'11'!G70</f>
        <v>12</v>
      </c>
      <c r="K14" s="23">
        <f t="shared" si="1"/>
        <v>85</v>
      </c>
      <c r="L14" s="19">
        <f>'11'!G71</f>
        <v>297</v>
      </c>
      <c r="M14" s="19">
        <f>'11'!G72</f>
        <v>0</v>
      </c>
      <c r="N14" s="19">
        <v>0</v>
      </c>
      <c r="O14" s="23">
        <f t="shared" si="2"/>
        <v>297</v>
      </c>
    </row>
    <row r="15" spans="1:15" x14ac:dyDescent="0.25">
      <c r="A15" s="16">
        <v>12</v>
      </c>
      <c r="B15" s="26">
        <v>12</v>
      </c>
      <c r="C15" s="27"/>
      <c r="D15" s="19">
        <f>'12'!F8</f>
        <v>948253</v>
      </c>
      <c r="E15" s="19">
        <f>'12'!G96</f>
        <v>4928</v>
      </c>
      <c r="F15" s="19">
        <f>'1'!F142</f>
        <v>21357.57</v>
      </c>
      <c r="G15" s="20">
        <f t="shared" si="0"/>
        <v>105250104.95999999</v>
      </c>
      <c r="H15" s="19">
        <f>'12'!G68</f>
        <v>52</v>
      </c>
      <c r="I15" s="19">
        <f>'12'!G69</f>
        <v>14</v>
      </c>
      <c r="J15" s="19">
        <f>'12'!G70</f>
        <v>5</v>
      </c>
      <c r="K15" s="23">
        <f t="shared" si="1"/>
        <v>66</v>
      </c>
      <c r="L15" s="19">
        <f>'12'!G71</f>
        <v>291</v>
      </c>
      <c r="M15" s="19">
        <f>'12'!G72</f>
        <v>0</v>
      </c>
      <c r="N15" s="19">
        <v>0</v>
      </c>
      <c r="O15" s="23">
        <f t="shared" si="2"/>
        <v>291</v>
      </c>
    </row>
    <row r="16" spans="1:15" x14ac:dyDescent="0.25">
      <c r="A16" s="16">
        <v>13</v>
      </c>
      <c r="B16" s="26">
        <v>13</v>
      </c>
      <c r="C16" s="26"/>
      <c r="D16" s="19">
        <f>'13'!F8</f>
        <v>970453</v>
      </c>
      <c r="E16" s="19">
        <f>'13'!G96</f>
        <v>5019</v>
      </c>
      <c r="F16" s="19">
        <f>'1'!F142</f>
        <v>21357.57</v>
      </c>
      <c r="G16" s="20">
        <f t="shared" si="0"/>
        <v>107193643.83</v>
      </c>
      <c r="H16" s="19">
        <f>'13'!G68</f>
        <v>32</v>
      </c>
      <c r="I16" s="19">
        <f>'13'!G69</f>
        <v>11</v>
      </c>
      <c r="J16" s="19">
        <f>'13'!G70</f>
        <v>8</v>
      </c>
      <c r="K16" s="23">
        <f t="shared" si="1"/>
        <v>43</v>
      </c>
      <c r="L16" s="19">
        <f>'13'!G71</f>
        <v>261</v>
      </c>
      <c r="M16" s="19">
        <f>'13'!G72</f>
        <v>0</v>
      </c>
      <c r="N16" s="19">
        <v>0</v>
      </c>
      <c r="O16" s="23">
        <f t="shared" si="2"/>
        <v>261</v>
      </c>
    </row>
    <row r="17" spans="1:15" x14ac:dyDescent="0.25">
      <c r="A17" s="16">
        <v>14</v>
      </c>
      <c r="B17" s="17">
        <v>14</v>
      </c>
      <c r="C17" s="27"/>
      <c r="D17" s="19">
        <f>'14'!F8</f>
        <v>991714</v>
      </c>
      <c r="E17" s="19">
        <f>'14'!G96</f>
        <v>4624</v>
      </c>
      <c r="F17" s="19">
        <f>'1'!F142</f>
        <v>21357.57</v>
      </c>
      <c r="G17" s="20">
        <f t="shared" si="0"/>
        <v>98757403.679999992</v>
      </c>
      <c r="H17" s="19">
        <f>'14'!G68</f>
        <v>34</v>
      </c>
      <c r="I17" s="19">
        <f>'14'!G69</f>
        <v>11</v>
      </c>
      <c r="J17" s="19">
        <f>'14'!G71</f>
        <v>287</v>
      </c>
      <c r="K17" s="23">
        <f t="shared" si="1"/>
        <v>45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1012814</v>
      </c>
      <c r="E18" s="19">
        <f>'15'!G96</f>
        <v>4586.5399999999881</v>
      </c>
      <c r="F18" s="19">
        <f>'1'!F142</f>
        <v>21357.57</v>
      </c>
      <c r="G18" s="20">
        <f t="shared" si="0"/>
        <v>97957349.107799739</v>
      </c>
      <c r="H18" s="19">
        <f>'15'!G68</f>
        <v>44</v>
      </c>
      <c r="I18" s="19">
        <f>'15'!G69</f>
        <v>26</v>
      </c>
      <c r="J18" s="19">
        <f>'15'!G71</f>
        <v>306</v>
      </c>
      <c r="K18" s="23">
        <f t="shared" si="1"/>
        <v>70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zoomScale="50" zoomScaleNormal="50" workbookViewId="0">
      <selection activeCell="G11" sqref="G11"/>
    </sheetView>
  </sheetViews>
  <sheetFormatPr defaultColWidth="22.33203125" defaultRowHeight="33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 x14ac:dyDescent="0.65">
      <c r="A1" s="910" t="s">
        <v>115</v>
      </c>
      <c r="B1" s="911"/>
      <c r="C1" s="911"/>
      <c r="D1" s="911"/>
      <c r="E1" s="911"/>
      <c r="F1" s="911"/>
      <c r="G1" s="911"/>
      <c r="H1" s="911"/>
      <c r="I1" s="911"/>
      <c r="J1" s="912"/>
    </row>
    <row r="2" spans="1:17" s="57" customFormat="1" ht="33" customHeight="1" x14ac:dyDescent="0.5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 x14ac:dyDescent="0.5">
      <c r="A3" s="189"/>
      <c r="B3" s="221"/>
      <c r="C3" s="324" t="s">
        <v>118</v>
      </c>
      <c r="D3" s="219">
        <v>28</v>
      </c>
      <c r="E3" s="919" t="s">
        <v>119</v>
      </c>
      <c r="F3" s="920"/>
      <c r="G3" s="101"/>
      <c r="H3" s="102"/>
      <c r="I3" s="102"/>
      <c r="J3" s="222"/>
      <c r="K3" s="61"/>
      <c r="L3" s="58"/>
    </row>
    <row r="4" spans="1:17" s="57" customFormat="1" ht="33" customHeight="1" x14ac:dyDescent="0.5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 x14ac:dyDescent="0.4">
      <c r="A6" s="913" t="s">
        <v>128</v>
      </c>
      <c r="B6" s="914"/>
      <c r="C6" s="915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 x14ac:dyDescent="0.45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623028.77</v>
      </c>
      <c r="I7" s="113">
        <f>'1'!I7</f>
        <v>12000</v>
      </c>
      <c r="J7" s="175">
        <f>H7/DAY(B2)</f>
        <v>20097.702258064517</v>
      </c>
      <c r="K7" s="172">
        <v>1375467</v>
      </c>
      <c r="L7" s="66"/>
      <c r="N7" s="87"/>
      <c r="O7" s="71"/>
    </row>
    <row r="8" spans="1:17" ht="33" customHeight="1" thickBot="1" x14ac:dyDescent="0.45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613832.44999999995</v>
      </c>
      <c r="I8" s="116"/>
      <c r="J8" s="175">
        <f>H8/DAY(B2)</f>
        <v>19801.046774193546</v>
      </c>
      <c r="K8" s="172">
        <v>1715917</v>
      </c>
      <c r="L8" s="76">
        <v>1728480</v>
      </c>
      <c r="M8" s="87">
        <f>L8-K8</f>
        <v>12563</v>
      </c>
      <c r="N8" s="87"/>
      <c r="O8" s="71"/>
      <c r="Q8" s="685"/>
    </row>
    <row r="9" spans="1:17" ht="33" customHeight="1" x14ac:dyDescent="0.4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-15027.849999999977</v>
      </c>
      <c r="I9" s="124"/>
      <c r="J9" s="175">
        <f>H9/DAY(B2)</f>
        <v>-484.76935483870892</v>
      </c>
      <c r="K9" s="79">
        <f>K8-100</f>
        <v>1715817</v>
      </c>
      <c r="L9" s="66"/>
      <c r="N9" s="87"/>
      <c r="O9" s="71"/>
      <c r="Q9" s="686"/>
    </row>
    <row r="10" spans="1:17" ht="33" customHeight="1" x14ac:dyDescent="0.4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-2073.9700000000012</v>
      </c>
      <c r="I10" s="282"/>
      <c r="J10" s="175"/>
      <c r="K10" s="79"/>
      <c r="L10" s="66"/>
      <c r="N10" s="87"/>
      <c r="O10" s="71"/>
      <c r="Q10" s="66"/>
    </row>
    <row r="11" spans="1:17" ht="33" customHeight="1" x14ac:dyDescent="0.5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 x14ac:dyDescent="0.4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 x14ac:dyDescent="0.4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 x14ac:dyDescent="0.5">
      <c r="A14" s="201" t="s">
        <v>136</v>
      </c>
      <c r="B14" s="684"/>
      <c r="C14" s="684"/>
      <c r="D14" s="151"/>
      <c r="E14" s="95"/>
      <c r="F14" s="95"/>
      <c r="G14" s="119">
        <f>G9+G10+G11+G12</f>
        <v>0</v>
      </c>
      <c r="H14" s="99">
        <f>G14+'30'!H13</f>
        <v>-33856.250000000058</v>
      </c>
      <c r="I14" s="120">
        <f>G7-G14</f>
        <v>0</v>
      </c>
      <c r="J14" s="175">
        <f>H14/DAY(B2)</f>
        <v>-1092.1370967741955</v>
      </c>
      <c r="K14" s="79"/>
      <c r="L14" s="66"/>
      <c r="N14" s="87"/>
      <c r="O14" s="71"/>
    </row>
    <row r="15" spans="1:17" ht="33" customHeight="1" x14ac:dyDescent="0.5">
      <c r="A15" s="916" t="s">
        <v>137</v>
      </c>
      <c r="B15" s="917"/>
      <c r="C15" s="918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 x14ac:dyDescent="0.5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33202.233000000007</v>
      </c>
      <c r="I16" s="113">
        <f>'1'!I15</f>
        <v>800</v>
      </c>
      <c r="J16" s="175">
        <f>H16/DAY(B2)</f>
        <v>1071.0397741935487</v>
      </c>
      <c r="K16" s="79"/>
      <c r="L16" s="66"/>
      <c r="N16" s="87"/>
      <c r="O16" s="71"/>
    </row>
    <row r="17" spans="1:15" ht="33" customHeight="1" x14ac:dyDescent="0.4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-271.03977419354874</v>
      </c>
      <c r="J17" s="176"/>
      <c r="K17" s="79"/>
      <c r="L17" s="66"/>
      <c r="N17" s="87"/>
      <c r="O17" s="71"/>
    </row>
    <row r="18" spans="1:15" ht="33" customHeight="1" x14ac:dyDescent="0.5">
      <c r="A18" s="916" t="s">
        <v>140</v>
      </c>
      <c r="B18" s="917"/>
      <c r="C18" s="918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 x14ac:dyDescent="0.5">
      <c r="A19" s="892" t="s">
        <v>141</v>
      </c>
      <c r="B19" s="893"/>
      <c r="C19" s="894"/>
      <c r="D19" s="151" t="s">
        <v>142</v>
      </c>
      <c r="E19" s="95">
        <f>'30'!F18</f>
        <v>17</v>
      </c>
      <c r="F19" s="122">
        <v>14</v>
      </c>
      <c r="G19" s="119">
        <f>F19*10</f>
        <v>140</v>
      </c>
      <c r="H19" s="99">
        <f>G19+'30'!H18</f>
        <v>6800</v>
      </c>
      <c r="I19" s="113">
        <f>'1'!I18</f>
        <v>65</v>
      </c>
      <c r="J19" s="175">
        <f>H19/DAY(B2)</f>
        <v>219.35483870967741</v>
      </c>
      <c r="K19" s="79"/>
      <c r="L19" s="66"/>
      <c r="N19" s="87"/>
      <c r="O19" s="71"/>
    </row>
    <row r="20" spans="1:15" ht="33" customHeight="1" x14ac:dyDescent="0.5">
      <c r="A20" s="892" t="s">
        <v>69</v>
      </c>
      <c r="B20" s="893"/>
      <c r="C20" s="894"/>
      <c r="D20" s="151" t="s">
        <v>142</v>
      </c>
      <c r="E20" s="95">
        <f>'30'!F19</f>
        <v>153835</v>
      </c>
      <c r="F20" s="122">
        <v>145338</v>
      </c>
      <c r="G20" s="112">
        <f t="shared" ref="G20" si="0">F20-E20</f>
        <v>-8497</v>
      </c>
      <c r="H20" s="99">
        <f>G20+'30'!H19</f>
        <v>-8553</v>
      </c>
      <c r="I20" s="335"/>
      <c r="J20" s="175">
        <f>H20/DAY(B2)</f>
        <v>-275.90322580645159</v>
      </c>
      <c r="K20" s="79"/>
      <c r="L20" s="66"/>
      <c r="N20" s="87"/>
      <c r="O20" s="71"/>
    </row>
    <row r="21" spans="1:15" ht="33" customHeight="1" x14ac:dyDescent="0.5">
      <c r="A21" s="201" t="s">
        <v>143</v>
      </c>
      <c r="B21" s="202"/>
      <c r="C21" s="202"/>
      <c r="D21" s="126"/>
      <c r="E21" s="126"/>
      <c r="F21" s="126"/>
      <c r="G21" s="127">
        <f>G19+G20</f>
        <v>-8357</v>
      </c>
      <c r="H21" s="99">
        <f>G21+'30'!H20</f>
        <v>-1753</v>
      </c>
      <c r="I21" s="336">
        <f>I19-J21</f>
        <v>121.54838709677419</v>
      </c>
      <c r="J21" s="175">
        <f>H21/DAY(B2)</f>
        <v>-56.548387096774192</v>
      </c>
      <c r="K21" s="79"/>
      <c r="L21" s="66"/>
      <c r="N21" s="87"/>
      <c r="O21" s="71"/>
    </row>
    <row r="22" spans="1:15" ht="33" customHeight="1" x14ac:dyDescent="0.5">
      <c r="A22" s="916" t="s">
        <v>144</v>
      </c>
      <c r="B22" s="917"/>
      <c r="C22" s="918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 x14ac:dyDescent="0.5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 x14ac:dyDescent="0.5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-1080</v>
      </c>
      <c r="I24" s="118"/>
      <c r="J24" s="175">
        <f>H24/DAY(B2)</f>
        <v>-34.838709677419352</v>
      </c>
      <c r="K24" s="79"/>
      <c r="L24" s="66"/>
      <c r="N24" s="87"/>
      <c r="O24" s="71"/>
    </row>
    <row r="25" spans="1:15" ht="33" customHeight="1" x14ac:dyDescent="0.4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-1080</v>
      </c>
      <c r="I25" s="118"/>
      <c r="J25" s="175">
        <f>H25/DAY(B2)</f>
        <v>-34.838709677419352</v>
      </c>
      <c r="K25" s="79"/>
      <c r="L25" s="66"/>
      <c r="N25" s="87"/>
      <c r="O25" s="71"/>
    </row>
    <row r="26" spans="1:15" s="88" customFormat="1" ht="33" customHeight="1" x14ac:dyDescent="0.35">
      <c r="A26" s="921" t="s">
        <v>149</v>
      </c>
      <c r="B26" s="922"/>
      <c r="C26" s="923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 x14ac:dyDescent="0.5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 x14ac:dyDescent="0.5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5517877.0500000007</v>
      </c>
      <c r="I28" s="138"/>
      <c r="J28" s="175">
        <f>H28/DAY(B2)</f>
        <v>177996.03387096777</v>
      </c>
      <c r="K28" s="63"/>
      <c r="L28" s="89"/>
      <c r="N28" s="87"/>
      <c r="O28" s="71"/>
    </row>
    <row r="29" spans="1:15" s="88" customFormat="1" ht="33" customHeight="1" x14ac:dyDescent="0.5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1849653.1160000004</v>
      </c>
      <c r="I29" s="140"/>
      <c r="J29" s="175">
        <f>H29/DAY(B2)</f>
        <v>59666.229548387106</v>
      </c>
      <c r="K29" s="63"/>
      <c r="L29" s="89"/>
      <c r="N29" s="87"/>
      <c r="O29" s="71"/>
    </row>
    <row r="30" spans="1:15" s="88" customFormat="1" ht="33" customHeight="1" x14ac:dyDescent="0.5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-74520</v>
      </c>
      <c r="I30" s="140"/>
      <c r="J30" s="175">
        <f>H30/DAY(B2)</f>
        <v>-2403.8709677419356</v>
      </c>
      <c r="K30" s="63"/>
      <c r="L30" s="89"/>
      <c r="N30" s="87"/>
      <c r="O30" s="71"/>
    </row>
    <row r="31" spans="1:15" s="88" customFormat="1" ht="33" customHeight="1" x14ac:dyDescent="0.5">
      <c r="A31" s="208" t="s">
        <v>156</v>
      </c>
      <c r="B31" s="209"/>
      <c r="C31" s="210"/>
      <c r="D31" s="226" t="s">
        <v>157</v>
      </c>
      <c r="E31" s="141">
        <f>G20</f>
        <v>-8497</v>
      </c>
      <c r="F31" s="136">
        <v>146</v>
      </c>
      <c r="G31" s="137">
        <f>E31*F31</f>
        <v>-1240562</v>
      </c>
      <c r="H31" s="99">
        <f>G31+'30'!H30</f>
        <v>-1256211.3</v>
      </c>
      <c r="I31" s="140"/>
      <c r="J31" s="175">
        <f>H31/DAY(B2)</f>
        <v>-40522.945161290321</v>
      </c>
      <c r="K31" s="63"/>
      <c r="L31" s="89"/>
      <c r="N31" s="87"/>
      <c r="O31" s="71"/>
    </row>
    <row r="32" spans="1:15" s="88" customFormat="1" ht="33" customHeight="1" x14ac:dyDescent="0.5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544000</v>
      </c>
      <c r="I32" s="140"/>
      <c r="J32" s="175">
        <f>H32/DAY(B2)</f>
        <v>17548.387096774193</v>
      </c>
      <c r="K32" s="63"/>
      <c r="L32" s="89"/>
      <c r="N32" s="87"/>
      <c r="O32" s="71"/>
    </row>
    <row r="33" spans="1:15" s="88" customFormat="1" ht="33" customHeight="1" x14ac:dyDescent="0.5">
      <c r="A33" s="211" t="s">
        <v>159</v>
      </c>
      <c r="B33" s="212"/>
      <c r="C33" s="213"/>
      <c r="D33" s="142"/>
      <c r="E33" s="142"/>
      <c r="F33" s="142"/>
      <c r="G33" s="143">
        <f>G28+G29+G30+G31+G32</f>
        <v>-1190414</v>
      </c>
      <c r="H33" s="99">
        <f>G33+'30'!H32</f>
        <v>6580798.8660000013</v>
      </c>
      <c r="I33" s="144"/>
      <c r="J33" s="175">
        <f>H33/DAY(B2)</f>
        <v>212283.83438709681</v>
      </c>
      <c r="K33" s="63"/>
      <c r="L33" s="89"/>
      <c r="N33" s="87"/>
      <c r="O33" s="71"/>
    </row>
    <row r="34" spans="1:15" ht="33" customHeight="1" x14ac:dyDescent="0.35">
      <c r="A34" s="924" t="s">
        <v>331</v>
      </c>
      <c r="B34" s="925"/>
      <c r="C34" s="925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 x14ac:dyDescent="0.5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 x14ac:dyDescent="0.4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-1252.9799999999959</v>
      </c>
      <c r="I36" s="95"/>
      <c r="J36" s="175">
        <f>H36/DAY(B2)</f>
        <v>-40.418709677419223</v>
      </c>
      <c r="K36" s="79"/>
      <c r="L36" s="66"/>
      <c r="N36" s="87"/>
      <c r="O36" s="71"/>
    </row>
    <row r="37" spans="1:15" ht="33" customHeight="1" x14ac:dyDescent="0.4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29.260000000002037</v>
      </c>
      <c r="I37" s="95"/>
      <c r="J37" s="175">
        <f>H37/DAY(B2)</f>
        <v>0.94387096774200119</v>
      </c>
      <c r="K37" s="79"/>
      <c r="L37" s="66"/>
      <c r="N37" s="87"/>
      <c r="O37" s="344"/>
    </row>
    <row r="38" spans="1:15" ht="33" customHeight="1" x14ac:dyDescent="0.4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-425.08999999999651</v>
      </c>
      <c r="I38" s="95"/>
      <c r="J38" s="175">
        <f>H38/DAY(B2)</f>
        <v>-13.712580645161177</v>
      </c>
      <c r="K38" s="79"/>
      <c r="L38" s="66"/>
      <c r="N38" s="87"/>
      <c r="O38" s="234"/>
    </row>
    <row r="39" spans="1:15" ht="33" customHeight="1" x14ac:dyDescent="0.4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40.569999999999709</v>
      </c>
      <c r="I39" s="95"/>
      <c r="J39" s="175">
        <f>H39/DAY(B2)</f>
        <v>1.3087096774193454</v>
      </c>
      <c r="K39" s="79"/>
      <c r="L39" s="66"/>
      <c r="N39" s="87"/>
      <c r="O39" s="71"/>
    </row>
    <row r="40" spans="1:15" ht="33" customHeight="1" x14ac:dyDescent="0.4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1236.7100000000064</v>
      </c>
      <c r="I40" s="95"/>
      <c r="J40" s="175">
        <f>H40/DAY(B2)</f>
        <v>39.893870967742139</v>
      </c>
      <c r="K40" s="79"/>
      <c r="L40" s="66"/>
      <c r="N40" s="87"/>
      <c r="O40" s="71"/>
    </row>
    <row r="41" spans="1:15" ht="33" customHeight="1" x14ac:dyDescent="0.4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-1460.9900000000016</v>
      </c>
      <c r="I41" s="95"/>
      <c r="J41" s="175">
        <f>H41/DAY(B2)</f>
        <v>-47.128709677419408</v>
      </c>
      <c r="K41" s="80"/>
      <c r="L41" s="66"/>
      <c r="N41" s="87"/>
      <c r="O41" s="71"/>
    </row>
    <row r="42" spans="1:15" ht="33" customHeight="1" x14ac:dyDescent="0.4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-62.73</v>
      </c>
      <c r="I42" s="95"/>
      <c r="J42" s="175">
        <f>H42/DAY(B2)</f>
        <v>-2.0235483870967741</v>
      </c>
      <c r="K42" s="79"/>
      <c r="L42" s="66"/>
      <c r="N42" s="87"/>
      <c r="O42" s="71"/>
    </row>
    <row r="43" spans="1:15" ht="33" customHeight="1" x14ac:dyDescent="0.4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286.25999999999476</v>
      </c>
      <c r="I43" s="95"/>
      <c r="J43" s="175">
        <f>H43/DAY(B2)</f>
        <v>9.2341935483869282</v>
      </c>
      <c r="K43" s="79"/>
      <c r="L43" s="66"/>
      <c r="N43" s="87"/>
      <c r="O43" s="71"/>
    </row>
    <row r="44" spans="1:15" ht="33" customHeight="1" x14ac:dyDescent="0.4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609.39999999999418</v>
      </c>
      <c r="I44" s="95"/>
      <c r="J44" s="175">
        <f>H44/DAY(B2)</f>
        <v>19.658064516128846</v>
      </c>
      <c r="K44" s="79"/>
      <c r="L44" s="66"/>
      <c r="N44" s="87"/>
      <c r="O44" s="71"/>
    </row>
    <row r="45" spans="1:15" ht="33" customHeight="1" x14ac:dyDescent="0.4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 x14ac:dyDescent="0.4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 x14ac:dyDescent="0.4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 x14ac:dyDescent="0.5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-999.5899999999092</v>
      </c>
      <c r="I48" s="95"/>
      <c r="J48" s="175">
        <f>H48/DAY(B2)</f>
        <v>-32.24483870967449</v>
      </c>
      <c r="K48" s="79"/>
      <c r="L48" s="66"/>
      <c r="N48" s="87"/>
      <c r="O48" s="71"/>
    </row>
    <row r="49" spans="1:15" ht="33" customHeight="1" x14ac:dyDescent="0.5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 x14ac:dyDescent="0.4">
      <c r="A50" s="194" t="s">
        <v>161</v>
      </c>
      <c r="B50" s="217"/>
      <c r="C50" s="217"/>
      <c r="D50" s="151" t="s">
        <v>130</v>
      </c>
      <c r="E50" s="95">
        <f>'30'!F49</f>
        <v>24139</v>
      </c>
      <c r="F50" s="145">
        <v>419822</v>
      </c>
      <c r="G50" s="112">
        <f t="shared" ref="G50:G59" si="3">F50-E50</f>
        <v>395683</v>
      </c>
      <c r="H50" s="99">
        <f>G50+'30'!H49</f>
        <v>394825.81</v>
      </c>
      <c r="I50" s="95"/>
      <c r="J50" s="175">
        <f>H50/DAY(B2)</f>
        <v>12736.316451612904</v>
      </c>
      <c r="K50" s="79"/>
      <c r="L50" s="66"/>
      <c r="N50" s="87"/>
      <c r="O50" s="71"/>
    </row>
    <row r="51" spans="1:15" ht="33" customHeight="1" x14ac:dyDescent="0.4">
      <c r="A51" s="194" t="s">
        <v>175</v>
      </c>
      <c r="B51" s="217"/>
      <c r="C51" s="217"/>
      <c r="D51" s="151" t="s">
        <v>130</v>
      </c>
      <c r="E51" s="95">
        <f>'30'!F50</f>
        <v>55316</v>
      </c>
      <c r="F51" s="145">
        <v>607298</v>
      </c>
      <c r="G51" s="112">
        <f t="shared" si="3"/>
        <v>551982</v>
      </c>
      <c r="H51" s="99">
        <f>G51+'30'!H50</f>
        <v>550911.37</v>
      </c>
      <c r="I51" s="95"/>
      <c r="J51" s="175">
        <f>H51/DAY(B2)</f>
        <v>17771.334516129031</v>
      </c>
      <c r="K51" s="79"/>
      <c r="L51" s="66"/>
      <c r="N51" s="87"/>
      <c r="O51" s="71"/>
    </row>
    <row r="52" spans="1:15" ht="33" customHeight="1" x14ac:dyDescent="0.4">
      <c r="A52" s="194" t="s">
        <v>163</v>
      </c>
      <c r="B52" s="217"/>
      <c r="C52" s="217"/>
      <c r="D52" s="151" t="s">
        <v>130</v>
      </c>
      <c r="E52" s="95">
        <f>'30'!F51</f>
        <v>0</v>
      </c>
      <c r="F52" s="145">
        <v>144640</v>
      </c>
      <c r="G52" s="112">
        <f t="shared" si="3"/>
        <v>144640</v>
      </c>
      <c r="H52" s="99">
        <f>G52+'30'!H51</f>
        <v>144640</v>
      </c>
      <c r="I52" s="95"/>
      <c r="J52" s="175">
        <f>H52/DAY(B2)</f>
        <v>4665.8064516129034</v>
      </c>
      <c r="K52" s="79"/>
      <c r="L52" s="66"/>
      <c r="N52" s="87"/>
      <c r="O52" s="71"/>
    </row>
    <row r="53" spans="1:15" ht="33" customHeight="1" x14ac:dyDescent="0.4">
      <c r="A53" s="194" t="s">
        <v>176</v>
      </c>
      <c r="B53" s="217"/>
      <c r="C53" s="217"/>
      <c r="D53" s="151" t="s">
        <v>130</v>
      </c>
      <c r="E53" s="95">
        <f>'30'!F52</f>
        <v>0</v>
      </c>
      <c r="F53" s="145">
        <v>539606</v>
      </c>
      <c r="G53" s="112">
        <f t="shared" si="3"/>
        <v>539606</v>
      </c>
      <c r="H53" s="99">
        <f>G53+'30'!H52</f>
        <v>539606</v>
      </c>
      <c r="I53" s="95"/>
      <c r="J53" s="175">
        <f>H53/DAY(B2)</f>
        <v>17406.645161290322</v>
      </c>
      <c r="K53" s="79"/>
      <c r="L53" s="66"/>
      <c r="N53" s="87"/>
      <c r="O53" s="71"/>
    </row>
    <row r="54" spans="1:15" ht="33" customHeight="1" x14ac:dyDescent="0.4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 x14ac:dyDescent="0.4">
      <c r="A55" s="194" t="s">
        <v>177</v>
      </c>
      <c r="B55" s="217"/>
      <c r="C55" s="217"/>
      <c r="D55" s="151" t="s">
        <v>130</v>
      </c>
      <c r="E55" s="95">
        <f>'30'!F54</f>
        <v>5147</v>
      </c>
      <c r="F55" s="145">
        <v>14967</v>
      </c>
      <c r="G55" s="112">
        <f t="shared" si="3"/>
        <v>9820</v>
      </c>
      <c r="H55" s="99">
        <f>G55+'30'!H54</f>
        <v>9819.58</v>
      </c>
      <c r="I55" s="95"/>
      <c r="J55" s="175">
        <f>H55/DAY(B2)</f>
        <v>316.76064516129031</v>
      </c>
      <c r="K55" s="79"/>
      <c r="L55" s="66"/>
      <c r="N55" s="87"/>
      <c r="O55" s="71"/>
    </row>
    <row r="56" spans="1:15" ht="33" customHeight="1" x14ac:dyDescent="0.4">
      <c r="A56" s="194" t="s">
        <v>178</v>
      </c>
      <c r="B56" s="217"/>
      <c r="C56" s="217"/>
      <c r="D56" s="151" t="s">
        <v>130</v>
      </c>
      <c r="E56" s="95">
        <f>'30'!F55</f>
        <v>74366</v>
      </c>
      <c r="F56" s="145">
        <v>306268.99</v>
      </c>
      <c r="G56" s="112">
        <f t="shared" si="3"/>
        <v>231902.99</v>
      </c>
      <c r="H56" s="99">
        <f>G56+'30'!H55</f>
        <v>231902.88</v>
      </c>
      <c r="I56" s="95"/>
      <c r="J56" s="175">
        <f>H56/DAY(B2)</f>
        <v>7480.7380645161293</v>
      </c>
      <c r="K56" s="79"/>
      <c r="L56" s="66"/>
      <c r="N56" s="87"/>
      <c r="O56" s="71"/>
    </row>
    <row r="57" spans="1:15" ht="33" customHeight="1" x14ac:dyDescent="0.4">
      <c r="A57" s="194" t="s">
        <v>179</v>
      </c>
      <c r="B57" s="217"/>
      <c r="C57" s="217"/>
      <c r="D57" s="151" t="s">
        <v>180</v>
      </c>
      <c r="E57" s="95">
        <f>'30'!F56</f>
        <v>8610.5400000000009</v>
      </c>
      <c r="F57" s="145">
        <v>661019</v>
      </c>
      <c r="G57" s="112">
        <f t="shared" si="3"/>
        <v>652408.46</v>
      </c>
      <c r="H57" s="99">
        <f>G57+'30'!H56</f>
        <v>652408.46</v>
      </c>
      <c r="I57" s="95"/>
      <c r="J57" s="175">
        <f>H57/DAY(B2)</f>
        <v>21045.434193548386</v>
      </c>
      <c r="K57" s="78"/>
      <c r="L57" s="66"/>
      <c r="N57" s="87"/>
      <c r="O57" s="71"/>
    </row>
    <row r="58" spans="1:15" ht="33" customHeight="1" x14ac:dyDescent="0.4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 x14ac:dyDescent="0.4">
      <c r="A59" s="194" t="s">
        <v>181</v>
      </c>
      <c r="B59" s="217"/>
      <c r="C59" s="217"/>
      <c r="D59" s="151" t="s">
        <v>130</v>
      </c>
      <c r="E59" s="95">
        <f>'30'!F58</f>
        <v>4599</v>
      </c>
      <c r="F59" s="145">
        <v>66014</v>
      </c>
      <c r="G59" s="112">
        <f t="shared" si="3"/>
        <v>61415</v>
      </c>
      <c r="H59" s="99">
        <f>G59+'30'!H58</f>
        <v>61217.79</v>
      </c>
      <c r="I59" s="95"/>
      <c r="J59" s="175">
        <f>H59/DAY(B2)</f>
        <v>1974.7674193548387</v>
      </c>
      <c r="K59" s="79"/>
      <c r="L59" s="66"/>
      <c r="N59" s="87"/>
      <c r="O59" s="71"/>
    </row>
    <row r="60" spans="1:15" ht="33" customHeight="1" x14ac:dyDescent="0.5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3029400.45</v>
      </c>
      <c r="H60" s="99">
        <f>G60+'30'!H59</f>
        <v>3027274.89</v>
      </c>
      <c r="I60" s="95">
        <f>G7-G61</f>
        <v>-3044263.45</v>
      </c>
      <c r="J60" s="175">
        <f>H60/DAY(B2)</f>
        <v>97654.028709677426</v>
      </c>
      <c r="K60" s="79"/>
      <c r="L60" s="66"/>
      <c r="N60" s="87"/>
      <c r="O60" s="71"/>
    </row>
    <row r="61" spans="1:15" ht="33" customHeight="1" x14ac:dyDescent="0.4">
      <c r="A61" s="194"/>
      <c r="B61" s="195"/>
      <c r="C61" s="195"/>
      <c r="D61" s="146" t="s">
        <v>182</v>
      </c>
      <c r="E61" s="146"/>
      <c r="F61" s="146"/>
      <c r="G61" s="119">
        <f>G48+G60</f>
        <v>3044263.45</v>
      </c>
      <c r="H61" s="99">
        <f>G61+'30'!H60</f>
        <v>3026275.3000000003</v>
      </c>
      <c r="I61" s="95">
        <f>G14-G61</f>
        <v>-3044263.45</v>
      </c>
      <c r="J61" s="175">
        <f>H61/DAY(B2)</f>
        <v>97621.783870967745</v>
      </c>
      <c r="K61" s="79"/>
      <c r="L61" s="66"/>
      <c r="N61" s="87"/>
      <c r="O61" s="71"/>
    </row>
    <row r="62" spans="1:15" s="68" customFormat="1" ht="33" customHeight="1" x14ac:dyDescent="0.5">
      <c r="A62" s="926" t="s">
        <v>332</v>
      </c>
      <c r="B62" s="927"/>
      <c r="C62" s="928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 x14ac:dyDescent="0.5">
      <c r="A63" s="892" t="s">
        <v>198</v>
      </c>
      <c r="B63" s="893"/>
      <c r="C63" s="894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 x14ac:dyDescent="0.5">
      <c r="A64" s="892" t="s">
        <v>199</v>
      </c>
      <c r="B64" s="893"/>
      <c r="C64" s="894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193663.22999999998</v>
      </c>
      <c r="I64" s="118"/>
      <c r="J64" s="175">
        <f>H64/DAY(B2)</f>
        <v>6247.2009677419346</v>
      </c>
      <c r="K64" s="69"/>
      <c r="L64" s="66"/>
      <c r="N64" s="87"/>
      <c r="O64" s="71"/>
    </row>
    <row r="65" spans="1:15" ht="33" customHeight="1" x14ac:dyDescent="0.5">
      <c r="A65" s="901" t="s">
        <v>200</v>
      </c>
      <c r="B65" s="902"/>
      <c r="C65" s="903"/>
      <c r="D65" s="151"/>
      <c r="E65" s="122"/>
      <c r="F65" s="122"/>
      <c r="G65" s="112">
        <f>G63+G64</f>
        <v>451111</v>
      </c>
      <c r="H65" s="99">
        <f>G65+'30'!H95</f>
        <v>451112.98247884976</v>
      </c>
      <c r="I65" s="118"/>
      <c r="J65" s="175">
        <f>H65/DAY(B2)</f>
        <v>14552.031692866121</v>
      </c>
      <c r="K65" s="69"/>
      <c r="L65" s="66"/>
      <c r="N65" s="87"/>
      <c r="O65" s="71"/>
    </row>
    <row r="66" spans="1:15" ht="33" customHeight="1" x14ac:dyDescent="0.5">
      <c r="A66" s="892" t="s">
        <v>201</v>
      </c>
      <c r="B66" s="893"/>
      <c r="C66" s="894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416637.42</v>
      </c>
      <c r="I66" s="118"/>
      <c r="J66" s="175">
        <f>H66/DAY(B2)</f>
        <v>13439.916774193547</v>
      </c>
      <c r="K66" s="69"/>
      <c r="L66" s="66"/>
      <c r="N66" s="87"/>
      <c r="O66" s="71"/>
    </row>
    <row r="67" spans="1:15" ht="33" customHeight="1" x14ac:dyDescent="0.5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104637.52540965722</v>
      </c>
      <c r="I67" s="118"/>
      <c r="J67" s="175">
        <f>H67/DAY(B2)</f>
        <v>3375.4040454728133</v>
      </c>
      <c r="K67" s="78"/>
      <c r="L67" s="66"/>
      <c r="N67" s="87"/>
      <c r="O67" s="71"/>
    </row>
    <row r="68" spans="1:15" ht="33" customHeight="1" x14ac:dyDescent="0.5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97720.71</v>
      </c>
      <c r="I68" s="118"/>
      <c r="J68" s="175">
        <f>H68/DAY(B2)</f>
        <v>3152.2809677419359</v>
      </c>
      <c r="K68" s="81"/>
      <c r="L68" s="66"/>
      <c r="N68" s="87"/>
      <c r="O68" s="71"/>
    </row>
    <row r="69" spans="1:15" ht="33" customHeight="1" x14ac:dyDescent="0.5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152136.18258547221</v>
      </c>
      <c r="I69" s="118"/>
      <c r="J69" s="175">
        <f>H69/DAY(B2)</f>
        <v>4907.6187930797487</v>
      </c>
      <c r="K69" s="69"/>
      <c r="L69" s="66"/>
      <c r="N69" s="87"/>
      <c r="O69" s="71"/>
    </row>
    <row r="70" spans="1:15" ht="33" customHeight="1" x14ac:dyDescent="0.5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7017.57</v>
      </c>
      <c r="I70" s="118"/>
      <c r="J70" s="175">
        <f>H70/DAY(B2)</f>
        <v>226.37322580645161</v>
      </c>
      <c r="K70" s="69"/>
      <c r="L70" s="66"/>
      <c r="N70" s="87"/>
      <c r="O70" s="71"/>
    </row>
    <row r="71" spans="1:15" ht="33" customHeight="1" x14ac:dyDescent="0.5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6373.7924692572396</v>
      </c>
      <c r="I71" s="118"/>
      <c r="J71" s="175">
        <f>H71/DAY(B2)</f>
        <v>205.60620868571741</v>
      </c>
      <c r="K71" s="69"/>
      <c r="L71" s="66"/>
      <c r="N71" s="87"/>
      <c r="O71" s="71"/>
    </row>
    <row r="72" spans="1:15" ht="33" customHeight="1" x14ac:dyDescent="0.5">
      <c r="A72" s="901" t="s">
        <v>208</v>
      </c>
      <c r="B72" s="902"/>
      <c r="C72" s="903"/>
      <c r="D72" s="152"/>
      <c r="E72" s="152"/>
      <c r="F72" s="152"/>
      <c r="G72" s="153">
        <f>SUM(G66:G71)</f>
        <v>793178</v>
      </c>
      <c r="H72" s="99">
        <f>G72+'30'!H102</f>
        <v>791468.63</v>
      </c>
      <c r="I72" s="154"/>
      <c r="J72" s="175">
        <f>H72/DAY(B2)</f>
        <v>25531.246129032257</v>
      </c>
      <c r="K72" s="69"/>
      <c r="L72" s="66"/>
      <c r="N72" s="87"/>
      <c r="O72" s="71"/>
    </row>
    <row r="73" spans="1:15" s="88" customFormat="1" ht="33" customHeight="1" x14ac:dyDescent="0.5">
      <c r="A73" s="888"/>
      <c r="B73" s="873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 x14ac:dyDescent="0.5">
      <c r="A74" s="898" t="s">
        <v>333</v>
      </c>
      <c r="B74" s="899"/>
      <c r="C74" s="900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 x14ac:dyDescent="0.5">
      <c r="A75" s="892" t="s">
        <v>220</v>
      </c>
      <c r="B75" s="893"/>
      <c r="C75" s="894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 x14ac:dyDescent="0.5">
      <c r="A76" s="892" t="s">
        <v>221</v>
      </c>
      <c r="B76" s="893"/>
      <c r="C76" s="894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 x14ac:dyDescent="0.5">
      <c r="A77" s="889" t="s">
        <v>222</v>
      </c>
      <c r="B77" s="890"/>
      <c r="C77" s="891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 x14ac:dyDescent="0.5">
      <c r="A78" s="889" t="s">
        <v>223</v>
      </c>
      <c r="B78" s="890"/>
      <c r="C78" s="891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 x14ac:dyDescent="0.5">
      <c r="A79" s="889" t="s">
        <v>224</v>
      </c>
      <c r="B79" s="890"/>
      <c r="C79" s="891"/>
      <c r="D79" s="151" t="s">
        <v>139</v>
      </c>
      <c r="E79" s="95">
        <f>'30'!F128</f>
        <v>47434</v>
      </c>
      <c r="F79" s="232">
        <v>9180</v>
      </c>
      <c r="G79" s="112">
        <f t="shared" si="6"/>
        <v>-38254</v>
      </c>
      <c r="H79" s="99">
        <f>G79+'30'!H128</f>
        <v>-38566</v>
      </c>
      <c r="I79" s="118"/>
      <c r="J79" s="175">
        <f>H79/DAY(B2)</f>
        <v>-1244.0645161290322</v>
      </c>
      <c r="K79" s="69"/>
      <c r="L79" s="66"/>
      <c r="N79" s="87"/>
      <c r="O79" s="71"/>
    </row>
    <row r="80" spans="1:15" s="57" customFormat="1" ht="33" customHeight="1" x14ac:dyDescent="0.5">
      <c r="A80" s="889" t="s">
        <v>225</v>
      </c>
      <c r="B80" s="890"/>
      <c r="C80" s="891"/>
      <c r="D80" s="151"/>
      <c r="E80" s="117"/>
      <c r="F80" s="117"/>
      <c r="G80" s="112">
        <f>G16-SUM(G75:G79)</f>
        <v>-1079638.3999999999</v>
      </c>
      <c r="H80" s="99">
        <f>G80+'30'!H129</f>
        <v>-1079829.27</v>
      </c>
      <c r="I80" s="118"/>
      <c r="J80" s="175"/>
      <c r="K80" s="59"/>
      <c r="L80" s="58"/>
      <c r="N80" s="87"/>
      <c r="O80" s="71"/>
    </row>
    <row r="81" spans="1:15" s="57" customFormat="1" ht="33" customHeight="1" x14ac:dyDescent="0.5">
      <c r="A81" s="901" t="s">
        <v>329</v>
      </c>
      <c r="B81" s="902"/>
      <c r="C81" s="903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 x14ac:dyDescent="0.4">
      <c r="A82" s="906" t="s">
        <v>226</v>
      </c>
      <c r="B82" s="907"/>
      <c r="C82" s="908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 x14ac:dyDescent="0.5">
      <c r="A83" s="322" t="s">
        <v>227</v>
      </c>
      <c r="B83" s="323"/>
      <c r="C83" s="323"/>
      <c r="D83" s="151" t="s">
        <v>228</v>
      </c>
      <c r="E83" s="95">
        <f>'30'!F131</f>
        <v>15261</v>
      </c>
      <c r="F83" s="122"/>
      <c r="G83" s="112">
        <f t="shared" ref="G83:G93" si="7">F83-E83</f>
        <v>-15261</v>
      </c>
      <c r="H83" s="99">
        <f>G83+'30'!H131</f>
        <v>-15307.68</v>
      </c>
      <c r="I83" s="118"/>
      <c r="J83" s="175">
        <f>H83/DAY(B2)</f>
        <v>-493.79612903225808</v>
      </c>
      <c r="O83" s="71"/>
    </row>
    <row r="84" spans="1:15" ht="33" customHeight="1" x14ac:dyDescent="0.5">
      <c r="A84" s="322" t="s">
        <v>229</v>
      </c>
      <c r="B84" s="323"/>
      <c r="C84" s="323"/>
      <c r="D84" s="151" t="s">
        <v>228</v>
      </c>
      <c r="E84" s="95">
        <f>'30'!F132</f>
        <v>51683</v>
      </c>
      <c r="F84" s="122"/>
      <c r="G84" s="112">
        <f t="shared" si="7"/>
        <v>-51683</v>
      </c>
      <c r="H84" s="99">
        <f>G84+'30'!H132</f>
        <v>-51848.3</v>
      </c>
      <c r="I84" s="118"/>
      <c r="J84" s="175">
        <f>H84/DAY(B2)</f>
        <v>-1672.5258064516131</v>
      </c>
      <c r="O84" s="71"/>
    </row>
    <row r="85" spans="1:15" ht="33" customHeight="1" x14ac:dyDescent="0.5">
      <c r="A85" s="322" t="s">
        <v>230</v>
      </c>
      <c r="B85" s="323"/>
      <c r="C85" s="323"/>
      <c r="D85" s="151" t="s">
        <v>228</v>
      </c>
      <c r="E85" s="95">
        <f>'30'!F133</f>
        <v>104906</v>
      </c>
      <c r="F85" s="164">
        <v>40922</v>
      </c>
      <c r="G85" s="112">
        <f t="shared" si="7"/>
        <v>-63984</v>
      </c>
      <c r="H85" s="99">
        <f>G85+'30'!H133</f>
        <v>-64421.7</v>
      </c>
      <c r="I85" s="118"/>
      <c r="J85" s="175">
        <f>H85/DAY(B2)</f>
        <v>-2078.1193548387096</v>
      </c>
      <c r="O85" s="71"/>
    </row>
    <row r="86" spans="1:15" ht="33" customHeight="1" x14ac:dyDescent="0.5">
      <c r="A86" s="322" t="s">
        <v>231</v>
      </c>
      <c r="B86" s="323"/>
      <c r="C86" s="323"/>
      <c r="D86" s="151" t="s">
        <v>228</v>
      </c>
      <c r="E86" s="95">
        <f>'30'!F134</f>
        <v>8446</v>
      </c>
      <c r="F86" s="164">
        <v>856</v>
      </c>
      <c r="G86" s="112">
        <f t="shared" si="7"/>
        <v>-7590</v>
      </c>
      <c r="H86" s="99">
        <f>G86+'30'!H134</f>
        <v>-7745.23</v>
      </c>
      <c r="I86" s="118">
        <f>G83+G84+G85+G86</f>
        <v>-138518</v>
      </c>
      <c r="J86" s="175">
        <f>H86/DAY(B2)</f>
        <v>-249.84612903225806</v>
      </c>
      <c r="O86" s="71"/>
    </row>
    <row r="87" spans="1:15" ht="33" customHeight="1" x14ac:dyDescent="0.5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70605.3</v>
      </c>
      <c r="I87" s="118"/>
      <c r="J87" s="175">
        <f>H87/DAY(B2)</f>
        <v>2277.5903225806451</v>
      </c>
      <c r="O87" s="71"/>
    </row>
    <row r="88" spans="1:15" ht="33" customHeight="1" x14ac:dyDescent="0.5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 x14ac:dyDescent="0.5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 x14ac:dyDescent="0.5">
      <c r="A90" s="322" t="s">
        <v>235</v>
      </c>
      <c r="B90" s="323"/>
      <c r="C90" s="323"/>
      <c r="D90" s="151" t="s">
        <v>228</v>
      </c>
      <c r="E90" s="95">
        <f>'30'!F138</f>
        <v>866114</v>
      </c>
      <c r="F90" s="164">
        <v>25132.959999999999</v>
      </c>
      <c r="G90" s="112">
        <f t="shared" si="7"/>
        <v>-840981.04</v>
      </c>
      <c r="H90" s="99">
        <f>G90+'30'!H138</f>
        <v>-841040.04</v>
      </c>
      <c r="I90" s="118"/>
      <c r="J90" s="175">
        <f>H90/DAY(B2)</f>
        <v>-27130.323870967743</v>
      </c>
      <c r="O90" s="71"/>
    </row>
    <row r="91" spans="1:15" ht="33" customHeight="1" x14ac:dyDescent="0.5">
      <c r="A91" s="322" t="s">
        <v>236</v>
      </c>
      <c r="B91" s="323"/>
      <c r="C91" s="323"/>
      <c r="D91" s="151" t="s">
        <v>228</v>
      </c>
      <c r="E91" s="95">
        <f>'30'!F139</f>
        <v>886572</v>
      </c>
      <c r="F91" s="164">
        <v>70524.55</v>
      </c>
      <c r="G91" s="112">
        <f t="shared" si="7"/>
        <v>-816047.45</v>
      </c>
      <c r="H91" s="99">
        <f>G91+'30'!H139</f>
        <v>-816048.45</v>
      </c>
      <c r="I91" s="118">
        <f>G90+G91</f>
        <v>-1657028.49</v>
      </c>
      <c r="J91" s="175">
        <f>H91/DAY(B2)</f>
        <v>-26324.143548387096</v>
      </c>
      <c r="O91" s="71"/>
    </row>
    <row r="92" spans="1:15" ht="33" customHeight="1" x14ac:dyDescent="0.5">
      <c r="A92" s="322" t="s">
        <v>237</v>
      </c>
      <c r="B92" s="323"/>
      <c r="C92" s="323"/>
      <c r="D92" s="151" t="s">
        <v>228</v>
      </c>
      <c r="E92" s="95">
        <f>'30'!F140</f>
        <v>88922</v>
      </c>
      <c r="F92" s="122">
        <v>2627.98</v>
      </c>
      <c r="G92" s="112">
        <f t="shared" si="7"/>
        <v>-86294.02</v>
      </c>
      <c r="H92" s="99">
        <f>G92+'30'!H140</f>
        <v>-86294.02</v>
      </c>
      <c r="I92" s="165"/>
      <c r="J92" s="175">
        <f>H92/DAY(B2)</f>
        <v>-2783.6780645161293</v>
      </c>
      <c r="O92" s="71"/>
    </row>
    <row r="93" spans="1:15" ht="33" customHeight="1" x14ac:dyDescent="0.5">
      <c r="A93" s="322" t="s">
        <v>238</v>
      </c>
      <c r="B93" s="323"/>
      <c r="C93" s="323"/>
      <c r="D93" s="151" t="s">
        <v>228</v>
      </c>
      <c r="E93" s="95">
        <f>'30'!F141</f>
        <v>54513</v>
      </c>
      <c r="F93" s="122">
        <v>4754</v>
      </c>
      <c r="G93" s="112">
        <f t="shared" si="7"/>
        <v>-49759</v>
      </c>
      <c r="H93" s="99">
        <f>G93+'30'!H141</f>
        <v>-49931.58</v>
      </c>
      <c r="I93" s="165"/>
      <c r="J93" s="175">
        <f>H93/DAY(B2)</f>
        <v>-1610.6961290322581</v>
      </c>
      <c r="O93" s="71"/>
    </row>
    <row r="94" spans="1:15" ht="33" customHeight="1" x14ac:dyDescent="0.5">
      <c r="A94" s="895" t="s">
        <v>239</v>
      </c>
      <c r="B94" s="896"/>
      <c r="C94" s="897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 x14ac:dyDescent="0.5">
      <c r="A95" s="892" t="s">
        <v>240</v>
      </c>
      <c r="B95" s="893"/>
      <c r="C95" s="894"/>
      <c r="D95" s="151" t="s">
        <v>130</v>
      </c>
      <c r="E95" s="151"/>
      <c r="F95" s="151"/>
      <c r="G95" s="99">
        <f>G36+G44+G50+G58</f>
        <v>405889</v>
      </c>
      <c r="H95" s="99">
        <f>G95+'30'!H143</f>
        <v>405860.61</v>
      </c>
      <c r="I95" s="118"/>
      <c r="J95" s="175">
        <f>H95/DAY(B2)</f>
        <v>13092.277741935484</v>
      </c>
      <c r="K95" s="69"/>
      <c r="L95" s="66"/>
      <c r="O95" s="71"/>
    </row>
    <row r="96" spans="1:15" ht="33" customHeight="1" x14ac:dyDescent="0.5">
      <c r="A96" s="892" t="s">
        <v>241</v>
      </c>
      <c r="B96" s="893"/>
      <c r="C96" s="894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 x14ac:dyDescent="0.5">
      <c r="A97" s="892" t="s">
        <v>242</v>
      </c>
      <c r="B97" s="893"/>
      <c r="C97" s="894"/>
      <c r="D97" s="151" t="s">
        <v>130</v>
      </c>
      <c r="E97" s="95"/>
      <c r="F97" s="95"/>
      <c r="G97" s="99">
        <f>G42+G43+G56+G57</f>
        <v>888916.45</v>
      </c>
      <c r="H97" s="99">
        <f>G97+'30'!H145</f>
        <v>888906.61</v>
      </c>
      <c r="I97" s="118"/>
      <c r="J97" s="175">
        <f>H97/DAY(B2)</f>
        <v>28674.406774193547</v>
      </c>
      <c r="K97" s="69"/>
      <c r="L97" s="66"/>
      <c r="O97" s="71"/>
    </row>
    <row r="98" spans="1:15" ht="33" customHeight="1" x14ac:dyDescent="0.5">
      <c r="A98" s="892" t="s">
        <v>243</v>
      </c>
      <c r="B98" s="893"/>
      <c r="C98" s="894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 x14ac:dyDescent="0.5">
      <c r="A99" s="892" t="s">
        <v>244</v>
      </c>
      <c r="B99" s="893"/>
      <c r="C99" s="894"/>
      <c r="D99" s="151" t="s">
        <v>130</v>
      </c>
      <c r="E99" s="95"/>
      <c r="F99" s="95"/>
      <c r="G99" s="99">
        <f>G40+G54</f>
        <v>438118</v>
      </c>
      <c r="H99" s="99">
        <f>G99+'30'!H147</f>
        <v>437770.48</v>
      </c>
      <c r="I99" s="168"/>
      <c r="J99" s="175">
        <f>H99/DAY(B2)</f>
        <v>14121.628387096773</v>
      </c>
      <c r="K99" s="69"/>
      <c r="L99" s="66"/>
      <c r="O99" s="71"/>
    </row>
    <row r="100" spans="1:15" ht="33" customHeight="1" x14ac:dyDescent="0.5">
      <c r="A100" s="892" t="s">
        <v>245</v>
      </c>
      <c r="B100" s="893"/>
      <c r="C100" s="894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 x14ac:dyDescent="0.5">
      <c r="A101" s="892" t="s">
        <v>246</v>
      </c>
      <c r="B101" s="893"/>
      <c r="C101" s="894"/>
      <c r="D101" s="151" t="s">
        <v>180</v>
      </c>
      <c r="E101" s="95"/>
      <c r="F101" s="95"/>
      <c r="G101" s="99">
        <f>G39+G53</f>
        <v>541274</v>
      </c>
      <c r="H101" s="99">
        <f>G101+'30'!H149</f>
        <v>540874.80000000005</v>
      </c>
      <c r="I101" s="118"/>
      <c r="J101" s="175">
        <f>H101/DAY(B2)</f>
        <v>17447.574193548389</v>
      </c>
      <c r="K101" s="70"/>
      <c r="O101" s="71"/>
    </row>
    <row r="102" spans="1:15" ht="33" customHeight="1" x14ac:dyDescent="0.5">
      <c r="A102" s="892" t="s">
        <v>247</v>
      </c>
      <c r="B102" s="893"/>
      <c r="C102" s="894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 x14ac:dyDescent="0.5">
      <c r="A103" s="892" t="s">
        <v>248</v>
      </c>
      <c r="B103" s="893"/>
      <c r="C103" s="894"/>
      <c r="D103" s="151" t="s">
        <v>180</v>
      </c>
      <c r="E103" s="95"/>
      <c r="F103" s="95"/>
      <c r="G103" s="99">
        <f>G37+G51</f>
        <v>552650</v>
      </c>
      <c r="H103" s="99">
        <f>G103+'30'!H156</f>
        <v>552540</v>
      </c>
      <c r="I103" s="168"/>
      <c r="J103" s="175">
        <f>H103/DAY(B2)</f>
        <v>17823.870967741936</v>
      </c>
      <c r="O103" s="71"/>
    </row>
    <row r="104" spans="1:15" ht="33" customHeight="1" x14ac:dyDescent="0.5">
      <c r="A104" s="892" t="s">
        <v>249</v>
      </c>
      <c r="B104" s="893"/>
      <c r="C104" s="894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 x14ac:dyDescent="0.5">
      <c r="A105" s="892" t="s">
        <v>250</v>
      </c>
      <c r="B105" s="893"/>
      <c r="C105" s="894"/>
      <c r="D105" s="151" t="s">
        <v>180</v>
      </c>
      <c r="E105" s="95"/>
      <c r="F105" s="95"/>
      <c r="G105" s="99">
        <f>G38+G52</f>
        <v>145803</v>
      </c>
      <c r="H105" s="99">
        <f>G105+'30'!H161</f>
        <v>145760.44</v>
      </c>
      <c r="I105" s="118"/>
      <c r="J105" s="175">
        <f>H105/DAY(B2)</f>
        <v>4701.9496774193549</v>
      </c>
      <c r="O105" s="71"/>
    </row>
    <row r="106" spans="1:15" ht="33" customHeight="1" thickBot="1" x14ac:dyDescent="0.55000000000000004">
      <c r="A106" s="885" t="s">
        <v>251</v>
      </c>
      <c r="B106" s="886"/>
      <c r="C106" s="887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 x14ac:dyDescent="0.5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 x14ac:dyDescent="0.55000000000000004">
      <c r="A109" s="881" t="s">
        <v>324</v>
      </c>
      <c r="B109" s="881"/>
      <c r="C109" s="881"/>
      <c r="D109" s="881"/>
      <c r="E109" s="881"/>
      <c r="F109" s="881"/>
      <c r="G109" s="881"/>
      <c r="H109" s="881"/>
      <c r="I109" s="881"/>
      <c r="J109" s="881"/>
    </row>
    <row r="110" spans="1:15" ht="33" customHeight="1" x14ac:dyDescent="0.5">
      <c r="A110" s="909"/>
      <c r="B110" s="909"/>
    </row>
    <row r="111" spans="1:15" ht="33" customHeight="1" x14ac:dyDescent="0.5">
      <c r="A111" s="882" t="s">
        <v>165</v>
      </c>
      <c r="B111" s="883"/>
      <c r="C111" s="883"/>
      <c r="D111" s="883"/>
      <c r="E111" s="883"/>
      <c r="F111" s="883"/>
      <c r="G111" s="883"/>
      <c r="H111" s="883"/>
      <c r="I111" s="883"/>
      <c r="J111" s="884"/>
    </row>
    <row r="112" spans="1:15" ht="33" customHeight="1" x14ac:dyDescent="0.5">
      <c r="A112" s="875"/>
      <c r="B112" s="876"/>
      <c r="C112" s="877"/>
      <c r="D112" s="165"/>
      <c r="E112" s="165"/>
      <c r="F112" s="165"/>
      <c r="G112" s="165"/>
      <c r="H112" s="156"/>
      <c r="I112" s="165"/>
      <c r="J112" s="327"/>
    </row>
    <row r="113" spans="1:18" ht="33" customHeight="1" x14ac:dyDescent="0.5">
      <c r="A113" s="871" t="s">
        <v>252</v>
      </c>
      <c r="B113" s="872"/>
      <c r="C113" s="873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 x14ac:dyDescent="0.5">
      <c r="A114" s="871" t="s">
        <v>253</v>
      </c>
      <c r="B114" s="872"/>
      <c r="C114" s="873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 x14ac:dyDescent="0.5">
      <c r="A115" s="871" t="s">
        <v>254</v>
      </c>
      <c r="B115" s="872"/>
      <c r="C115" s="873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 x14ac:dyDescent="0.5">
      <c r="A116" s="871" t="s">
        <v>255</v>
      </c>
      <c r="B116" s="872"/>
      <c r="C116" s="873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 x14ac:dyDescent="0.5">
      <c r="A117" s="878" t="s">
        <v>96</v>
      </c>
      <c r="B117" s="879"/>
      <c r="C117" s="880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44933</v>
      </c>
      <c r="I117" s="165"/>
      <c r="J117" s="328" t="e">
        <f t="shared" si="9"/>
        <v>#DIV/0!</v>
      </c>
      <c r="Q117" s="871" t="s">
        <v>311</v>
      </c>
      <c r="R117" s="873"/>
    </row>
    <row r="118" spans="1:18" ht="33" customHeight="1" x14ac:dyDescent="0.5">
      <c r="A118" s="878" t="s">
        <v>184</v>
      </c>
      <c r="B118" s="879"/>
      <c r="C118" s="880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44921</v>
      </c>
      <c r="I118" s="165"/>
      <c r="J118" s="328" t="e">
        <f t="shared" si="9"/>
        <v>#DIV/0!</v>
      </c>
      <c r="Q118" s="871" t="s">
        <v>312</v>
      </c>
      <c r="R118" s="873"/>
    </row>
    <row r="119" spans="1:18" ht="33" customHeight="1" x14ac:dyDescent="0.5">
      <c r="A119" s="870" t="s">
        <v>97</v>
      </c>
      <c r="B119" s="870"/>
      <c r="C119" s="870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44923</v>
      </c>
      <c r="I119" s="165"/>
      <c r="J119" s="328" t="e">
        <f t="shared" si="9"/>
        <v>#DIV/0!</v>
      </c>
      <c r="Q119" s="871" t="s">
        <v>311</v>
      </c>
      <c r="R119" s="873"/>
    </row>
    <row r="120" spans="1:18" ht="33" customHeight="1" x14ac:dyDescent="0.5">
      <c r="A120" s="870" t="s">
        <v>98</v>
      </c>
      <c r="B120" s="870"/>
      <c r="C120" s="870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44911</v>
      </c>
      <c r="I120" s="165"/>
      <c r="J120" s="328" t="e">
        <f t="shared" si="9"/>
        <v>#DIV/0!</v>
      </c>
    </row>
    <row r="121" spans="1:18" ht="33" customHeight="1" x14ac:dyDescent="0.5">
      <c r="A121" s="870" t="s">
        <v>99</v>
      </c>
      <c r="B121" s="870"/>
      <c r="C121" s="870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 x14ac:dyDescent="0.5">
      <c r="A122" s="870" t="s">
        <v>100</v>
      </c>
      <c r="B122" s="870"/>
      <c r="C122" s="870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44824</v>
      </c>
      <c r="I122" s="165"/>
      <c r="J122" s="328" t="e">
        <f t="shared" si="9"/>
        <v>#DIV/0!</v>
      </c>
    </row>
    <row r="123" spans="1:18" ht="33" customHeight="1" x14ac:dyDescent="0.5">
      <c r="A123" s="870" t="s">
        <v>101</v>
      </c>
      <c r="B123" s="870"/>
      <c r="C123" s="870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50758</v>
      </c>
      <c r="I123" s="165"/>
      <c r="J123" s="328" t="e">
        <f t="shared" si="9"/>
        <v>#DIV/0!</v>
      </c>
    </row>
    <row r="124" spans="1:18" ht="33" customHeight="1" x14ac:dyDescent="0.5">
      <c r="A124" s="870" t="s">
        <v>102</v>
      </c>
      <c r="B124" s="870"/>
      <c r="C124" s="870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44924</v>
      </c>
      <c r="I124" s="165"/>
      <c r="J124" s="328" t="e">
        <f t="shared" si="9"/>
        <v>#DIV/0!</v>
      </c>
    </row>
    <row r="125" spans="1:18" ht="33" customHeight="1" x14ac:dyDescent="0.5">
      <c r="A125" s="875"/>
      <c r="B125" s="876"/>
      <c r="C125" s="877"/>
      <c r="D125" s="165"/>
      <c r="E125" s="165"/>
      <c r="F125" s="165"/>
      <c r="G125" s="327"/>
      <c r="H125" s="156"/>
      <c r="I125" s="165"/>
      <c r="J125" s="327"/>
    </row>
    <row r="126" spans="1:18" ht="33" customHeight="1" x14ac:dyDescent="0.5">
      <c r="A126" s="860"/>
      <c r="B126" s="860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 x14ac:dyDescent="0.5">
      <c r="A127" s="874" t="s">
        <v>317</v>
      </c>
      <c r="B127" s="874"/>
      <c r="C127" s="874"/>
      <c r="D127" s="874"/>
      <c r="E127" s="874"/>
      <c r="F127" s="874"/>
      <c r="G127" s="874"/>
      <c r="H127" s="874"/>
      <c r="I127" s="874"/>
      <c r="J127" s="874"/>
    </row>
    <row r="128" spans="1:18" ht="33" customHeight="1" x14ac:dyDescent="0.5">
      <c r="A128" s="860"/>
      <c r="B128" s="860"/>
      <c r="C128" s="245"/>
      <c r="D128" s="307"/>
      <c r="E128" s="308"/>
      <c r="F128" s="308"/>
      <c r="G128" s="309"/>
      <c r="H128" s="99">
        <f>G128+'30'!H184</f>
        <v>-7</v>
      </c>
      <c r="I128" s="165"/>
      <c r="J128" s="328" t="e">
        <f t="shared" ref="J128:J136" si="10">H128/DAY(B47)</f>
        <v>#DIV/0!</v>
      </c>
    </row>
    <row r="129" spans="1:15" ht="33" customHeight="1" x14ac:dyDescent="0.5">
      <c r="A129" s="871" t="s">
        <v>318</v>
      </c>
      <c r="B129" s="872"/>
      <c r="C129" s="873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 x14ac:dyDescent="0.5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-18</v>
      </c>
      <c r="I130" s="165"/>
      <c r="J130" s="328" t="e">
        <f t="shared" si="10"/>
        <v>#DIV/0!</v>
      </c>
      <c r="N130" s="240"/>
      <c r="O130" s="241"/>
    </row>
    <row r="131" spans="1:15" ht="33" customHeight="1" x14ac:dyDescent="0.5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-139</v>
      </c>
      <c r="I131" s="165"/>
      <c r="J131" s="328" t="e">
        <f t="shared" si="10"/>
        <v>#DIV/0!</v>
      </c>
      <c r="N131" s="240"/>
      <c r="O131" s="241"/>
    </row>
    <row r="132" spans="1:15" ht="33" customHeight="1" x14ac:dyDescent="0.5">
      <c r="A132" s="871" t="s">
        <v>321</v>
      </c>
      <c r="B132" s="872"/>
      <c r="C132" s="873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-2381</v>
      </c>
      <c r="I132" s="165"/>
      <c r="J132" s="328" t="e">
        <f t="shared" si="10"/>
        <v>#DIV/0!</v>
      </c>
      <c r="N132" s="240"/>
      <c r="O132" s="241"/>
    </row>
    <row r="133" spans="1:15" ht="33" customHeight="1" x14ac:dyDescent="0.5">
      <c r="A133" s="871" t="s">
        <v>322</v>
      </c>
      <c r="B133" s="872"/>
      <c r="C133" s="873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4098</v>
      </c>
      <c r="I133" s="165"/>
      <c r="J133" s="328" t="e">
        <f t="shared" si="10"/>
        <v>#DIV/0!</v>
      </c>
    </row>
    <row r="134" spans="1:15" ht="33" customHeight="1" x14ac:dyDescent="0.5">
      <c r="A134" s="871" t="s">
        <v>323</v>
      </c>
      <c r="B134" s="872"/>
      <c r="C134" s="873"/>
      <c r="D134" s="151" t="s">
        <v>183</v>
      </c>
      <c r="E134" s="95">
        <f>'30'!F190</f>
        <v>52948.703000000001</v>
      </c>
      <c r="F134" s="165"/>
      <c r="G134" s="112">
        <f t="shared" si="11"/>
        <v>-52948.703000000001</v>
      </c>
      <c r="H134" s="99">
        <f>G134+'30'!H190</f>
        <v>-52948.703000000001</v>
      </c>
      <c r="I134" s="165"/>
      <c r="J134" s="328" t="e">
        <f t="shared" si="10"/>
        <v>#DIV/0!</v>
      </c>
    </row>
    <row r="135" spans="1:15" ht="33" customHeight="1" x14ac:dyDescent="0.5">
      <c r="A135" s="875"/>
      <c r="B135" s="876"/>
      <c r="C135" s="877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 x14ac:dyDescent="0.5">
      <c r="A136" s="875"/>
      <c r="B136" s="876"/>
      <c r="C136" s="877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 x14ac:dyDescent="0.55000000000000004">
      <c r="A137" s="859" t="s">
        <v>325</v>
      </c>
      <c r="B137" s="859"/>
      <c r="C137" s="859"/>
      <c r="D137" s="859"/>
      <c r="E137" s="859"/>
      <c r="F137" s="859"/>
      <c r="G137" s="859"/>
      <c r="H137" s="859"/>
      <c r="I137" s="859"/>
      <c r="J137" s="859"/>
    </row>
    <row r="138" spans="1:15" ht="33" customHeight="1" x14ac:dyDescent="0.5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 x14ac:dyDescent="0.5">
      <c r="A139" s="870" t="s">
        <v>185</v>
      </c>
      <c r="B139" s="870"/>
      <c r="C139" s="870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 x14ac:dyDescent="0.5">
      <c r="A140" s="870" t="s">
        <v>186</v>
      </c>
      <c r="B140" s="870"/>
      <c r="C140" s="870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 x14ac:dyDescent="0.5">
      <c r="A141" s="870" t="s">
        <v>187</v>
      </c>
      <c r="B141" s="870"/>
      <c r="C141" s="870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 x14ac:dyDescent="0.5">
      <c r="A142" s="851" t="s">
        <v>188</v>
      </c>
      <c r="B142" s="851"/>
      <c r="C142" s="851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 x14ac:dyDescent="0.5">
      <c r="A143" s="851" t="s">
        <v>189</v>
      </c>
      <c r="B143" s="851"/>
      <c r="C143" s="851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 x14ac:dyDescent="0.5">
      <c r="A144" s="870" t="s">
        <v>190</v>
      </c>
      <c r="B144" s="870"/>
      <c r="C144" s="870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 x14ac:dyDescent="0.5">
      <c r="A145" s="905" t="s">
        <v>191</v>
      </c>
      <c r="B145" s="890"/>
      <c r="C145" s="891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 x14ac:dyDescent="0.5">
      <c r="A146" s="851" t="s">
        <v>90</v>
      </c>
      <c r="B146" s="851"/>
      <c r="C146" s="851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 x14ac:dyDescent="0.5">
      <c r="A147" s="851" t="s">
        <v>192</v>
      </c>
      <c r="B147" s="851"/>
      <c r="C147" s="851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 x14ac:dyDescent="0.5">
      <c r="A148" s="851" t="s">
        <v>193</v>
      </c>
      <c r="B148" s="851"/>
      <c r="C148" s="851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 x14ac:dyDescent="0.5">
      <c r="A149" s="851" t="s">
        <v>91</v>
      </c>
      <c r="B149" s="851"/>
      <c r="C149" s="851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 x14ac:dyDescent="0.5">
      <c r="A150" s="851" t="s">
        <v>194</v>
      </c>
      <c r="B150" s="851"/>
      <c r="C150" s="851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 x14ac:dyDescent="0.5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 x14ac:dyDescent="0.55000000000000004">
      <c r="A153" s="859" t="s">
        <v>326</v>
      </c>
      <c r="B153" s="859"/>
      <c r="C153" s="859"/>
      <c r="D153" s="859"/>
      <c r="E153" s="859"/>
      <c r="F153" s="859"/>
      <c r="G153" s="859"/>
      <c r="H153" s="859"/>
      <c r="I153" s="859"/>
      <c r="J153" s="859"/>
    </row>
    <row r="154" spans="1:10" ht="33" customHeight="1" x14ac:dyDescent="0.5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 x14ac:dyDescent="0.5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 x14ac:dyDescent="0.5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 x14ac:dyDescent="0.5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 x14ac:dyDescent="0.5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 x14ac:dyDescent="0.5">
      <c r="A159" s="860" t="s">
        <v>328</v>
      </c>
      <c r="B159" s="860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 x14ac:dyDescent="0.5">
      <c r="A160" s="860" t="s">
        <v>327</v>
      </c>
      <c r="B160" s="860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 x14ac:dyDescent="0.5">
      <c r="A161" s="860" t="s">
        <v>328</v>
      </c>
      <c r="B161" s="860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 x14ac:dyDescent="0.35">
      <c r="A164" s="861" t="s">
        <v>330</v>
      </c>
      <c r="B164" s="862"/>
      <c r="C164" s="862"/>
      <c r="D164" s="862"/>
      <c r="E164" s="862"/>
      <c r="F164" s="862"/>
      <c r="G164" s="862"/>
      <c r="H164" s="862"/>
      <c r="I164" s="862"/>
      <c r="J164" s="863"/>
    </row>
    <row r="165" spans="1:10" ht="33" customHeight="1" x14ac:dyDescent="0.5">
      <c r="A165" s="868"/>
      <c r="B165" s="869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 x14ac:dyDescent="0.5">
      <c r="A166" s="864" t="s">
        <v>209</v>
      </c>
      <c r="B166" s="865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 x14ac:dyDescent="0.5">
      <c r="A167" s="864" t="s">
        <v>75</v>
      </c>
      <c r="B167" s="865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 x14ac:dyDescent="0.5">
      <c r="A168" s="864" t="s">
        <v>76</v>
      </c>
      <c r="B168" s="904"/>
      <c r="C168" s="865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 x14ac:dyDescent="0.5">
      <c r="A169" s="864" t="s">
        <v>196</v>
      </c>
      <c r="B169" s="865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 x14ac:dyDescent="0.5">
      <c r="A170" s="864" t="s">
        <v>77</v>
      </c>
      <c r="B170" s="865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 x14ac:dyDescent="0.5">
      <c r="A171" s="864" t="s">
        <v>210</v>
      </c>
      <c r="B171" s="865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 x14ac:dyDescent="0.5">
      <c r="A172" s="864" t="s">
        <v>211</v>
      </c>
      <c r="B172" s="865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 x14ac:dyDescent="0.5">
      <c r="A173" s="864" t="s">
        <v>212</v>
      </c>
      <c r="B173" s="865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 x14ac:dyDescent="0.5">
      <c r="A174" s="857" t="s">
        <v>108</v>
      </c>
      <c r="B174" s="858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 x14ac:dyDescent="0.5">
      <c r="A175" s="864" t="s">
        <v>213</v>
      </c>
      <c r="B175" s="865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 x14ac:dyDescent="0.5">
      <c r="A176" s="864" t="s">
        <v>214</v>
      </c>
      <c r="B176" s="865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 x14ac:dyDescent="0.5">
      <c r="A177" s="864" t="s">
        <v>215</v>
      </c>
      <c r="B177" s="865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 x14ac:dyDescent="0.5">
      <c r="A178" s="864" t="s">
        <v>216</v>
      </c>
      <c r="B178" s="865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 x14ac:dyDescent="0.5">
      <c r="A179" s="864" t="s">
        <v>196</v>
      </c>
      <c r="B179" s="865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 x14ac:dyDescent="0.5">
      <c r="A180" s="857" t="s">
        <v>217</v>
      </c>
      <c r="B180" s="858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 x14ac:dyDescent="0.5">
      <c r="A181" s="857" t="s">
        <v>218</v>
      </c>
      <c r="B181" s="858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 x14ac:dyDescent="0.5">
      <c r="A182" s="857" t="s">
        <v>219</v>
      </c>
      <c r="B182" s="858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 x14ac:dyDescent="0.5">
      <c r="A183" s="857"/>
      <c r="B183" s="858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2022-02-28T02:42:30Z</dcterms:modified>
</cp:coreProperties>
</file>