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O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R30" i="7"/>
  <c r="AG30" i="7" s="1"/>
  <c r="Q30" i="7"/>
  <c r="AF30" i="7" s="1"/>
  <c r="AW29" i="7"/>
  <c r="AV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F20" i="7"/>
  <c r="AC20" i="7"/>
  <c r="AB20" i="7"/>
  <c r="AQ20" i="7" s="1"/>
  <c r="AA20" i="7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V19" i="7"/>
  <c r="AW19" i="7" s="1"/>
  <c r="AP19" i="7"/>
  <c r="AO19" i="7"/>
  <c r="AL19" i="7"/>
  <c r="AK19" i="7"/>
  <c r="AH19" i="7"/>
  <c r="AG19" i="7"/>
  <c r="AC19" i="7"/>
  <c r="AB19" i="7"/>
  <c r="AQ19" i="7" s="1"/>
  <c r="AA19" i="7"/>
  <c r="Z19" i="7"/>
  <c r="Y19" i="7"/>
  <c r="X19" i="7"/>
  <c r="AM19" i="7" s="1"/>
  <c r="W19" i="7"/>
  <c r="V19" i="7"/>
  <c r="U19" i="7"/>
  <c r="T19" i="7"/>
  <c r="AI19" i="7" s="1"/>
  <c r="S19" i="7"/>
  <c r="R19" i="7"/>
  <c r="Q19" i="7"/>
  <c r="AV18" i="7"/>
  <c r="AW18" i="7" s="1"/>
  <c r="AR18" i="7"/>
  <c r="AQ18" i="7"/>
  <c r="AN18" i="7"/>
  <c r="AM18" i="7"/>
  <c r="AJ18" i="7"/>
  <c r="AI18" i="7"/>
  <c r="AF18" i="7"/>
  <c r="AC18" i="7"/>
  <c r="AB18" i="7"/>
  <c r="AA18" i="7"/>
  <c r="AP18" i="7" s="1"/>
  <c r="Z18" i="7"/>
  <c r="AO18" i="7" s="1"/>
  <c r="Y18" i="7"/>
  <c r="X18" i="7"/>
  <c r="W18" i="7"/>
  <c r="AL18" i="7" s="1"/>
  <c r="V18" i="7"/>
  <c r="AK18" i="7" s="1"/>
  <c r="U18" i="7"/>
  <c r="T18" i="7"/>
  <c r="S18" i="7"/>
  <c r="AH18" i="7" s="1"/>
  <c r="R18" i="7"/>
  <c r="AG18" i="7" s="1"/>
  <c r="Q18" i="7"/>
  <c r="AW17" i="7"/>
  <c r="AV17" i="7"/>
  <c r="AP17" i="7"/>
  <c r="AO17" i="7"/>
  <c r="AL17" i="7"/>
  <c r="AK17" i="7"/>
  <c r="AH17" i="7"/>
  <c r="AG17" i="7"/>
  <c r="AC17" i="7"/>
  <c r="AB17" i="7"/>
  <c r="AQ17" i="7" s="1"/>
  <c r="AA17" i="7"/>
  <c r="Z17" i="7"/>
  <c r="Y17" i="7"/>
  <c r="X17" i="7"/>
  <c r="AM17" i="7" s="1"/>
  <c r="W17" i="7"/>
  <c r="V17" i="7"/>
  <c r="U17" i="7"/>
  <c r="T17" i="7"/>
  <c r="AI17" i="7" s="1"/>
  <c r="S17" i="7"/>
  <c r="R17" i="7"/>
  <c r="Q17" i="7"/>
  <c r="AV16" i="7"/>
  <c r="AW16" i="7" s="1"/>
  <c r="AN16" i="7"/>
  <c r="AI16" i="7"/>
  <c r="AF16" i="7"/>
  <c r="AC16" i="7"/>
  <c r="AR16" i="7" s="1"/>
  <c r="AB16" i="7"/>
  <c r="AQ16" i="7" s="1"/>
  <c r="AA16" i="7"/>
  <c r="AP16" i="7" s="1"/>
  <c r="Z16" i="7"/>
  <c r="AO16" i="7" s="1"/>
  <c r="Y16" i="7"/>
  <c r="M11" i="9" s="1"/>
  <c r="X16" i="7"/>
  <c r="AM16" i="7" s="1"/>
  <c r="W16" i="7"/>
  <c r="AL16" i="7" s="1"/>
  <c r="V16" i="7"/>
  <c r="AK16" i="7" s="1"/>
  <c r="U16" i="7"/>
  <c r="AJ16" i="7" s="1"/>
  <c r="T16" i="7"/>
  <c r="S16" i="7"/>
  <c r="AH16" i="7" s="1"/>
  <c r="R16" i="7"/>
  <c r="AG16" i="7" s="1"/>
  <c r="Q16" i="7"/>
  <c r="AV15" i="7"/>
  <c r="AW15" i="7" s="1"/>
  <c r="AH15" i="7"/>
  <c r="AC15" i="7"/>
  <c r="AB15" i="7"/>
  <c r="AQ15" i="7" s="1"/>
  <c r="AA15" i="7"/>
  <c r="AP15" i="7" s="1"/>
  <c r="Z15" i="7"/>
  <c r="AO15" i="7" s="1"/>
  <c r="Y15" i="7"/>
  <c r="X15" i="7"/>
  <c r="AM15" i="7" s="1"/>
  <c r="W15" i="7"/>
  <c r="AL15" i="7" s="1"/>
  <c r="V15" i="7"/>
  <c r="AK15" i="7" s="1"/>
  <c r="U15" i="7"/>
  <c r="T15" i="7"/>
  <c r="AI15" i="7" s="1"/>
  <c r="S15" i="7"/>
  <c r="R15" i="7"/>
  <c r="F10" i="9" s="1"/>
  <c r="Q15" i="7"/>
  <c r="AV14" i="7"/>
  <c r="R9" i="9" s="1"/>
  <c r="G9" i="5" s="1"/>
  <c r="AR14" i="7"/>
  <c r="AJ14" i="7"/>
  <c r="AC14" i="7"/>
  <c r="AB14" i="7"/>
  <c r="AQ14" i="7" s="1"/>
  <c r="AA14" i="7"/>
  <c r="AP14" i="7" s="1"/>
  <c r="Z14" i="7"/>
  <c r="AO14" i="7" s="1"/>
  <c r="Y14" i="7"/>
  <c r="AN14" i="7" s="1"/>
  <c r="X14" i="7"/>
  <c r="AM14" i="7" s="1"/>
  <c r="W14" i="7"/>
  <c r="AL14" i="7" s="1"/>
  <c r="V14" i="7"/>
  <c r="AK14" i="7" s="1"/>
  <c r="U14" i="7"/>
  <c r="I9" i="9" s="1"/>
  <c r="T14" i="7"/>
  <c r="AI14" i="7" s="1"/>
  <c r="S14" i="7"/>
  <c r="AH14" i="7" s="1"/>
  <c r="R14" i="7"/>
  <c r="AG14" i="7" s="1"/>
  <c r="Q14" i="7"/>
  <c r="AF14" i="7" s="1"/>
  <c r="AV13" i="7"/>
  <c r="AW13" i="7" s="1"/>
  <c r="AL13" i="7"/>
  <c r="AC13" i="7"/>
  <c r="AR13" i="7" s="1"/>
  <c r="AB13" i="7"/>
  <c r="AQ13" i="7" s="1"/>
  <c r="AA13" i="7"/>
  <c r="AP13" i="7" s="1"/>
  <c r="Z13" i="7"/>
  <c r="AO13" i="7" s="1"/>
  <c r="Y13" i="7"/>
  <c r="AN13" i="7" s="1"/>
  <c r="X13" i="7"/>
  <c r="AM13" i="7" s="1"/>
  <c r="W13" i="7"/>
  <c r="V13" i="7"/>
  <c r="J8" i="9" s="1"/>
  <c r="U13" i="7"/>
  <c r="AJ13" i="7" s="1"/>
  <c r="T13" i="7"/>
  <c r="AI13" i="7" s="1"/>
  <c r="S13" i="7"/>
  <c r="AH13" i="7" s="1"/>
  <c r="R13" i="7"/>
  <c r="AG13" i="7" s="1"/>
  <c r="Q13" i="7"/>
  <c r="AV12" i="7"/>
  <c r="R7" i="9" s="1"/>
  <c r="G7" i="5" s="1"/>
  <c r="AM12" i="7"/>
  <c r="AC12" i="7"/>
  <c r="AR12" i="7" s="1"/>
  <c r="AB12" i="7"/>
  <c r="AQ12" i="7" s="1"/>
  <c r="AA12" i="7"/>
  <c r="AP12" i="7" s="1"/>
  <c r="Z12" i="7"/>
  <c r="AO12" i="7" s="1"/>
  <c r="Y12" i="7"/>
  <c r="M7" i="9" s="1"/>
  <c r="X12" i="7"/>
  <c r="L7" i="9" s="1"/>
  <c r="W12" i="7"/>
  <c r="AL12" i="7" s="1"/>
  <c r="V12" i="7"/>
  <c r="AK12" i="7" s="1"/>
  <c r="U12" i="7"/>
  <c r="AJ12" i="7" s="1"/>
  <c r="T12" i="7"/>
  <c r="AI12" i="7" s="1"/>
  <c r="S12" i="7"/>
  <c r="AH12" i="7" s="1"/>
  <c r="R12" i="7"/>
  <c r="AG12" i="7" s="1"/>
  <c r="Q12" i="7"/>
  <c r="AF12" i="7" s="1"/>
  <c r="AV11" i="7"/>
  <c r="AW11" i="7" s="1"/>
  <c r="AL11" i="7"/>
  <c r="AC11" i="7"/>
  <c r="AR11" i="7" s="1"/>
  <c r="AB11" i="7"/>
  <c r="AQ11" i="7" s="1"/>
  <c r="AA11" i="7"/>
  <c r="AP11" i="7" s="1"/>
  <c r="Z11" i="7"/>
  <c r="N6" i="9" s="1"/>
  <c r="Y11" i="7"/>
  <c r="AN11" i="7" s="1"/>
  <c r="X11" i="7"/>
  <c r="AM11" i="7" s="1"/>
  <c r="W11" i="7"/>
  <c r="K6" i="9" s="1"/>
  <c r="V11" i="7"/>
  <c r="AK11" i="7" s="1"/>
  <c r="U11" i="7"/>
  <c r="AJ11" i="7" s="1"/>
  <c r="T11" i="7"/>
  <c r="AI11" i="7" s="1"/>
  <c r="S11" i="7"/>
  <c r="AH11" i="7" s="1"/>
  <c r="R11" i="7"/>
  <c r="F6" i="9" s="1"/>
  <c r="Q11" i="7"/>
  <c r="E6" i="9" s="1"/>
  <c r="AV10" i="7"/>
  <c r="AW10" i="7" s="1"/>
  <c r="AF10" i="7"/>
  <c r="AC10" i="7"/>
  <c r="AR10" i="7" s="1"/>
  <c r="AB10" i="7"/>
  <c r="P5" i="9" s="1"/>
  <c r="AA10" i="7"/>
  <c r="AP10" i="7" s="1"/>
  <c r="Z10" i="7"/>
  <c r="AO10" i="7" s="1"/>
  <c r="Y10" i="7"/>
  <c r="AN10" i="7" s="1"/>
  <c r="X10" i="7"/>
  <c r="AM10" i="7" s="1"/>
  <c r="W10" i="7"/>
  <c r="AL10" i="7" s="1"/>
  <c r="V10" i="7"/>
  <c r="AK10" i="7" s="1"/>
  <c r="U10" i="7"/>
  <c r="AJ10" i="7" s="1"/>
  <c r="T10" i="7"/>
  <c r="AI10" i="7" s="1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I30" i="9"/>
  <c r="H30" i="9"/>
  <c r="B30" i="9"/>
  <c r="S29" i="9"/>
  <c r="R29" i="9"/>
  <c r="G29" i="5" s="1"/>
  <c r="P29" i="9"/>
  <c r="N29" i="9"/>
  <c r="I29" i="9"/>
  <c r="G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K27" i="9"/>
  <c r="J27" i="9"/>
  <c r="G27" i="9"/>
  <c r="B27" i="9"/>
  <c r="S26" i="9"/>
  <c r="R26" i="9"/>
  <c r="G26" i="5" s="1"/>
  <c r="M26" i="9"/>
  <c r="L26" i="9"/>
  <c r="K26" i="9"/>
  <c r="J26" i="9"/>
  <c r="I26" i="9"/>
  <c r="B26" i="9"/>
  <c r="S25" i="9"/>
  <c r="L25" i="9"/>
  <c r="J25" i="9"/>
  <c r="I25" i="9"/>
  <c r="F25" i="9"/>
  <c r="E25" i="9"/>
  <c r="B25" i="9"/>
  <c r="S24" i="9"/>
  <c r="R24" i="9"/>
  <c r="L24" i="9"/>
  <c r="K24" i="9"/>
  <c r="H24" i="9"/>
  <c r="B24" i="9"/>
  <c r="S23" i="9"/>
  <c r="R23" i="9"/>
  <c r="G23" i="5" s="1"/>
  <c r="P23" i="9"/>
  <c r="N23" i="9"/>
  <c r="L23" i="9"/>
  <c r="K23" i="9"/>
  <c r="B23" i="9"/>
  <c r="S22" i="9"/>
  <c r="O22" i="9"/>
  <c r="K22" i="9"/>
  <c r="H22" i="9"/>
  <c r="B22" i="9"/>
  <c r="S21" i="9"/>
  <c r="Q21" i="9"/>
  <c r="L21" i="9"/>
  <c r="K21" i="9"/>
  <c r="J21" i="9"/>
  <c r="I21" i="9"/>
  <c r="H21" i="9"/>
  <c r="G21" i="9"/>
  <c r="F21" i="9"/>
  <c r="B21" i="9"/>
  <c r="S20" i="9"/>
  <c r="R20" i="9"/>
  <c r="L20" i="9"/>
  <c r="H20" i="9"/>
  <c r="B20" i="9"/>
  <c r="S19" i="9"/>
  <c r="N19" i="9"/>
  <c r="L19" i="9"/>
  <c r="B19" i="9"/>
  <c r="S18" i="9"/>
  <c r="Q18" i="9"/>
  <c r="O18" i="9"/>
  <c r="G18" i="9"/>
  <c r="E18" i="9"/>
  <c r="B18" i="9"/>
  <c r="R17" i="9"/>
  <c r="G17" i="5" s="1"/>
  <c r="O17" i="9"/>
  <c r="N17" i="9"/>
  <c r="L17" i="9"/>
  <c r="K17" i="9"/>
  <c r="I17" i="9"/>
  <c r="F17" i="9"/>
  <c r="B17" i="9"/>
  <c r="K16" i="9"/>
  <c r="I16" i="9"/>
  <c r="H16" i="9"/>
  <c r="B16" i="9"/>
  <c r="S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S14" i="9"/>
  <c r="R14" i="9"/>
  <c r="G14" i="5" s="1"/>
  <c r="P14" i="9"/>
  <c r="O14" i="9"/>
  <c r="N14" i="9"/>
  <c r="L14" i="9"/>
  <c r="K14" i="9"/>
  <c r="J14" i="9"/>
  <c r="G14" i="9"/>
  <c r="F14" i="9"/>
  <c r="B14" i="9"/>
  <c r="S13" i="9"/>
  <c r="Q13" i="9"/>
  <c r="P13" i="9"/>
  <c r="N13" i="9"/>
  <c r="M13" i="9"/>
  <c r="L13" i="9"/>
  <c r="J13" i="9"/>
  <c r="I13" i="9"/>
  <c r="H13" i="9"/>
  <c r="F13" i="9"/>
  <c r="E13" i="9"/>
  <c r="B13" i="9"/>
  <c r="S12" i="9"/>
  <c r="R12" i="9"/>
  <c r="P12" i="9"/>
  <c r="O12" i="9"/>
  <c r="N12" i="9"/>
  <c r="L12" i="9"/>
  <c r="K12" i="9"/>
  <c r="J12" i="9"/>
  <c r="H12" i="9"/>
  <c r="G12" i="9"/>
  <c r="F12" i="9"/>
  <c r="B12" i="9"/>
  <c r="S11" i="9"/>
  <c r="Q11" i="9"/>
  <c r="L11" i="9"/>
  <c r="I11" i="9"/>
  <c r="H11" i="9"/>
  <c r="E11" i="9"/>
  <c r="B11" i="9"/>
  <c r="S10" i="9"/>
  <c r="P10" i="9"/>
  <c r="O10" i="9"/>
  <c r="N10" i="9"/>
  <c r="L10" i="9"/>
  <c r="K10" i="9"/>
  <c r="H10" i="9"/>
  <c r="G10" i="9"/>
  <c r="B10" i="9"/>
  <c r="S9" i="9"/>
  <c r="Q9" i="9"/>
  <c r="P9" i="9"/>
  <c r="N9" i="9"/>
  <c r="M9" i="9"/>
  <c r="K9" i="9"/>
  <c r="H9" i="9"/>
  <c r="F9" i="9"/>
  <c r="E9" i="9"/>
  <c r="B9" i="9"/>
  <c r="S8" i="9"/>
  <c r="Q8" i="9"/>
  <c r="N8" i="9"/>
  <c r="K8" i="9"/>
  <c r="I8" i="9"/>
  <c r="E8" i="9"/>
  <c r="B8" i="9"/>
  <c r="S7" i="9"/>
  <c r="Q7" i="9"/>
  <c r="N7" i="9"/>
  <c r="I7" i="9"/>
  <c r="G7" i="9"/>
  <c r="F7" i="9"/>
  <c r="B7" i="9"/>
  <c r="S6" i="9"/>
  <c r="R6" i="9"/>
  <c r="G6" i="5" s="1"/>
  <c r="Q6" i="9"/>
  <c r="M6" i="9"/>
  <c r="I6" i="9"/>
  <c r="B6" i="9"/>
  <c r="S5" i="9"/>
  <c r="M5" i="9"/>
  <c r="I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G12" i="5"/>
  <c r="B12" i="5"/>
  <c r="I11" i="5"/>
  <c r="B11" i="5"/>
  <c r="I10" i="5"/>
  <c r="B10" i="5"/>
  <c r="I9" i="5"/>
  <c r="B9" i="5"/>
  <c r="I8" i="5"/>
  <c r="B8" i="5"/>
  <c r="I7" i="5"/>
  <c r="B7" i="5"/>
  <c r="I6" i="5"/>
  <c r="B6" i="5"/>
  <c r="I5" i="5"/>
  <c r="B5" i="5"/>
  <c r="I4" i="5"/>
  <c r="B4" i="5"/>
  <c r="I3" i="5"/>
  <c r="B3" i="5"/>
  <c r="I2" i="5"/>
  <c r="R10" i="9" l="1"/>
  <c r="G10" i="5" s="1"/>
  <c r="R11" i="9"/>
  <c r="G11" i="5" s="1"/>
  <c r="P11" i="9"/>
  <c r="N11" i="9"/>
  <c r="J10" i="9"/>
  <c r="J11" i="9"/>
  <c r="AS16" i="7"/>
  <c r="F11" i="9"/>
  <c r="O9" i="9"/>
  <c r="L9" i="9"/>
  <c r="AG15" i="7"/>
  <c r="AW14" i="7"/>
  <c r="R8" i="9"/>
  <c r="G8" i="5" s="1"/>
  <c r="J9" i="9"/>
  <c r="G9" i="9"/>
  <c r="F8" i="9"/>
  <c r="O8" i="9"/>
  <c r="M8" i="9"/>
  <c r="AN12" i="7"/>
  <c r="AS12" i="7" s="1"/>
  <c r="AK13" i="7"/>
  <c r="J7" i="9"/>
  <c r="G8" i="9"/>
  <c r="P7" i="9"/>
  <c r="O7" i="9"/>
  <c r="O6" i="9"/>
  <c r="K7" i="9"/>
  <c r="J6" i="9"/>
  <c r="H7" i="9"/>
  <c r="G6" i="9"/>
  <c r="E7" i="9"/>
  <c r="Q5" i="9"/>
  <c r="AO11" i="7"/>
  <c r="H5" i="9"/>
  <c r="AG11" i="7"/>
  <c r="Q4" i="9"/>
  <c r="AQ10" i="7"/>
  <c r="O4" i="9"/>
  <c r="M4" i="9"/>
  <c r="L5" i="9"/>
  <c r="AW9" i="7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E12" i="5" s="1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D14" i="7"/>
  <c r="AF19" i="7"/>
  <c r="AS19" i="7" s="1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AS32" i="7" s="1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S23" i="7" s="1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M38" i="7" s="1"/>
  <c r="AL34" i="7"/>
  <c r="J29" i="9"/>
  <c r="F29" i="9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E25" i="5" s="1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S26" i="7" s="1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AS22" i="7" s="1"/>
  <c r="P16" i="9"/>
  <c r="AA38" i="7"/>
  <c r="N16" i="9"/>
  <c r="L16" i="9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E15" i="5"/>
  <c r="Y38" i="7"/>
  <c r="X38" i="7"/>
  <c r="AD20" i="7"/>
  <c r="W38" i="7"/>
  <c r="AK21" i="7"/>
  <c r="AS21" i="7" s="1"/>
  <c r="AD21" i="7"/>
  <c r="V38" i="7"/>
  <c r="E9" i="5" l="1"/>
  <c r="AW38" i="7"/>
  <c r="E7" i="5"/>
  <c r="E4" i="5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<sst xmlns="http://schemas.openxmlformats.org/spreadsheetml/2006/main" count="128" uniqueCount="49">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</sst>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56730</v>
      </c>
      <c r="F5" s="11">
        <v>5.0000000000000001E-3</v>
      </c>
      <c r="G5" s="12">
        <f>Submetering!R5</f>
        <v>713.92832599999997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59880</v>
      </c>
      <c r="F6" s="11">
        <v>5.0000000000000001E-3</v>
      </c>
      <c r="G6" s="12">
        <f>Submetering!R6</f>
        <v>872.53700500000002</v>
      </c>
      <c r="H6" s="11">
        <v>0.52800000000000002</v>
      </c>
      <c r="I6" s="12">
        <f>Hotel!B11</f>
        <v>113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65770</v>
      </c>
      <c r="F7" s="11">
        <v>5.0000000000000001E-3</v>
      </c>
      <c r="G7" s="12">
        <f>Submetering!R7</f>
        <v>547.37028599999996</v>
      </c>
      <c r="H7" s="11">
        <v>0.52800000000000002</v>
      </c>
      <c r="I7" s="12">
        <f>Hotel!B12</f>
        <v>134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69230</v>
      </c>
      <c r="F8" s="11">
        <v>5.0000000000000001E-3</v>
      </c>
      <c r="G8" s="12">
        <f>Submetering!R8</f>
        <v>757.46054100000003</v>
      </c>
      <c r="H8" s="11">
        <v>0.52800000000000002</v>
      </c>
      <c r="I8" s="12">
        <f>Hotel!B13</f>
        <v>74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70470</v>
      </c>
      <c r="F9" s="11">
        <v>5.0000000000000001E-3</v>
      </c>
      <c r="G9" s="12">
        <f>Submetering!R9</f>
        <v>734.36953999999992</v>
      </c>
      <c r="H9" s="11">
        <v>0.52800000000000002</v>
      </c>
      <c r="I9" s="12">
        <f>Hotel!B14</f>
        <v>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66960</v>
      </c>
      <c r="F10" s="11">
        <v>5.0000000000000001E-3</v>
      </c>
      <c r="G10" s="12">
        <f>Submetering!R10</f>
        <v>651.46906100000001</v>
      </c>
      <c r="H10" s="11">
        <v>0.52800000000000002</v>
      </c>
      <c r="I10" s="12">
        <f>Hotel!B15</f>
        <v>58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>
        <f>Hotel!Q10</f>
        <v>490</v>
      </c>
      <c r="F5" s="4">
        <f>Hotel!R10</f>
        <v>14090</v>
      </c>
      <c r="G5" s="4">
        <f>Hotel!S10</f>
        <v>70</v>
      </c>
      <c r="H5" s="4">
        <f>Hotel!T10</f>
        <v>1450</v>
      </c>
      <c r="I5" s="4">
        <f>Hotel!U10</f>
        <v>4380</v>
      </c>
      <c r="J5" s="4">
        <f>Hotel!V10</f>
        <v>3190</v>
      </c>
      <c r="K5" s="4">
        <f>Hotel!W10</f>
        <v>2340</v>
      </c>
      <c r="L5" s="4">
        <f>Hotel!X10</f>
        <v>3910</v>
      </c>
      <c r="M5" s="4">
        <f>Hotel!Y10</f>
        <v>5130</v>
      </c>
      <c r="N5" s="4">
        <f>Hotel!Z10</f>
        <v>2480</v>
      </c>
      <c r="O5" s="4">
        <f>Hotel!AA10</f>
        <v>2960</v>
      </c>
      <c r="P5" s="4">
        <f>Hotel!AB10</f>
        <v>6780</v>
      </c>
      <c r="Q5" s="4">
        <f>Hotel!AC10</f>
        <v>9460</v>
      </c>
      <c r="R5" s="4">
        <f>Hotel!AV10*0.00378541*100</f>
        <v>713.92832599999997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>
        <f>Hotel!Q11</f>
        <v>500</v>
      </c>
      <c r="F6" s="4">
        <f>Hotel!R11</f>
        <v>14750</v>
      </c>
      <c r="G6" s="4">
        <f>Hotel!S11</f>
        <v>70</v>
      </c>
      <c r="H6" s="4">
        <f>Hotel!T11</f>
        <v>1490</v>
      </c>
      <c r="I6" s="4">
        <f>Hotel!U11</f>
        <v>4510</v>
      </c>
      <c r="J6" s="4">
        <f>Hotel!V11</f>
        <v>3280</v>
      </c>
      <c r="K6" s="4">
        <f>Hotel!W11</f>
        <v>2420</v>
      </c>
      <c r="L6" s="4">
        <f>Hotel!X11</f>
        <v>4090</v>
      </c>
      <c r="M6" s="4">
        <f>Hotel!Y11</f>
        <v>5290</v>
      </c>
      <c r="N6" s="4">
        <f>Hotel!Z11</f>
        <v>2580</v>
      </c>
      <c r="O6" s="4">
        <f>Hotel!AA11</f>
        <v>3200</v>
      </c>
      <c r="P6" s="4">
        <f>Hotel!AB11</f>
        <v>7110</v>
      </c>
      <c r="Q6" s="4">
        <f>Hotel!AC11</f>
        <v>10590</v>
      </c>
      <c r="R6" s="4">
        <f>Hotel!AV11*0.00378541*100</f>
        <v>872.53700500000002</v>
      </c>
      <c r="S6" s="4">
        <f>Hotel!B11</f>
        <v>113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3450</v>
      </c>
      <c r="F7" s="4">
        <f>Hotel!R12</f>
        <v>15040</v>
      </c>
      <c r="G7" s="4">
        <f>Hotel!S12</f>
        <v>90</v>
      </c>
      <c r="H7" s="4">
        <f>Hotel!T12</f>
        <v>1580</v>
      </c>
      <c r="I7" s="4">
        <f>Hotel!U12</f>
        <v>4860</v>
      </c>
      <c r="J7" s="4">
        <f>Hotel!V12</f>
        <v>3350</v>
      </c>
      <c r="K7" s="4">
        <f>Hotel!W12</f>
        <v>2480</v>
      </c>
      <c r="L7" s="4">
        <f>Hotel!X12</f>
        <v>4040</v>
      </c>
      <c r="M7" s="4">
        <f>Hotel!Y12</f>
        <v>5830</v>
      </c>
      <c r="N7" s="4">
        <f>Hotel!Z12</f>
        <v>2770</v>
      </c>
      <c r="O7" s="4">
        <f>Hotel!AA12</f>
        <v>3470</v>
      </c>
      <c r="P7" s="4">
        <f>Hotel!AB12</f>
        <v>7390</v>
      </c>
      <c r="Q7" s="4">
        <f>Hotel!AC12</f>
        <v>11420</v>
      </c>
      <c r="R7" s="4">
        <f>Hotel!AV12*0.00378541*100</f>
        <v>547.37028599999996</v>
      </c>
      <c r="S7" s="4">
        <f>Hotel!B12</f>
        <v>134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9690</v>
      </c>
      <c r="F8" s="4">
        <f>Hotel!R13</f>
        <v>12860</v>
      </c>
      <c r="G8" s="4">
        <f>Hotel!S13</f>
        <v>120</v>
      </c>
      <c r="H8" s="4">
        <f>Hotel!T13</f>
        <v>1600</v>
      </c>
      <c r="I8" s="4">
        <f>Hotel!U13</f>
        <v>4680</v>
      </c>
      <c r="J8" s="4">
        <f>Hotel!V13</f>
        <v>3280</v>
      </c>
      <c r="K8" s="4">
        <f>Hotel!W13</f>
        <v>2390</v>
      </c>
      <c r="L8" s="4">
        <f>Hotel!X13</f>
        <v>3910</v>
      </c>
      <c r="M8" s="4">
        <f>Hotel!Y13</f>
        <v>5910</v>
      </c>
      <c r="N8" s="4">
        <f>Hotel!Z13</f>
        <v>2650</v>
      </c>
      <c r="O8" s="4">
        <f>Hotel!AA13</f>
        <v>3460</v>
      </c>
      <c r="P8" s="4">
        <f>Hotel!AB13</f>
        <v>7300</v>
      </c>
      <c r="Q8" s="4">
        <f>Hotel!AC13</f>
        <v>11380</v>
      </c>
      <c r="R8" s="4">
        <f>Hotel!AV13*0.00378541*100</f>
        <v>757.46054100000003</v>
      </c>
      <c r="S8" s="4">
        <f>Hotel!B13</f>
        <v>74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>
        <f>Hotel!Q14</f>
        <v>10100</v>
      </c>
      <c r="F9" s="4">
        <f>Hotel!R14</f>
        <v>13360</v>
      </c>
      <c r="G9" s="4">
        <f>Hotel!S14</f>
        <v>130</v>
      </c>
      <c r="H9" s="4">
        <f>Hotel!T14</f>
        <v>1650</v>
      </c>
      <c r="I9" s="4">
        <f>Hotel!U14</f>
        <v>5120</v>
      </c>
      <c r="J9" s="4">
        <f>Hotel!V14</f>
        <v>3280</v>
      </c>
      <c r="K9" s="4">
        <f>Hotel!W14</f>
        <v>2480</v>
      </c>
      <c r="L9" s="4">
        <f>Hotel!X14</f>
        <v>3730</v>
      </c>
      <c r="M9" s="4">
        <f>Hotel!Y14</f>
        <v>5630</v>
      </c>
      <c r="N9" s="4">
        <f>Hotel!Z14</f>
        <v>2680</v>
      </c>
      <c r="O9" s="4">
        <f>Hotel!AA14</f>
        <v>3470</v>
      </c>
      <c r="P9" s="4">
        <f>Hotel!AB14</f>
        <v>7440</v>
      </c>
      <c r="Q9" s="4">
        <f>Hotel!AC14</f>
        <v>11400</v>
      </c>
      <c r="R9" s="4">
        <f>Hotel!AV14*0.00378541*100</f>
        <v>734.36953999999992</v>
      </c>
      <c r="S9" s="4">
        <f>Hotel!B14</f>
        <v>56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>
        <f>Hotel!Q15</f>
        <v>10180</v>
      </c>
      <c r="F10" s="4">
        <f>Hotel!R15</f>
        <v>13230</v>
      </c>
      <c r="G10" s="4">
        <f>Hotel!S15</f>
        <v>150</v>
      </c>
      <c r="H10" s="4">
        <f>Hotel!T15</f>
        <v>1590</v>
      </c>
      <c r="I10" s="4">
        <f>Hotel!U15</f>
        <v>4680</v>
      </c>
      <c r="J10" s="4">
        <f>Hotel!V15</f>
        <v>3260</v>
      </c>
      <c r="K10" s="4">
        <f>Hotel!W15</f>
        <v>2380</v>
      </c>
      <c r="L10" s="4">
        <f>Hotel!X15</f>
        <v>4000</v>
      </c>
      <c r="M10" s="4">
        <f>Hotel!Y15</f>
        <v>5440</v>
      </c>
      <c r="N10" s="4">
        <f>Hotel!Z15</f>
        <v>2510</v>
      </c>
      <c r="O10" s="4">
        <f>Hotel!AA15</f>
        <v>2960</v>
      </c>
      <c r="P10" s="4">
        <f>Hotel!AB15</f>
        <v>7070</v>
      </c>
      <c r="Q10" s="4">
        <f>Hotel!AC15</f>
        <v>9510</v>
      </c>
      <c r="R10" s="4">
        <f>Hotel!AV15*0.00378541*100</f>
        <v>651.46906100000001</v>
      </c>
      <c r="S10" s="4">
        <f>Hotel!B15</f>
        <v>58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N29" sqref="AN2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>
        <v>60</v>
      </c>
      <c r="C10" s="24">
        <v>6404640</v>
      </c>
      <c r="D10" s="24">
        <v>14796180</v>
      </c>
      <c r="E10" s="24">
        <v>2166180</v>
      </c>
      <c r="F10" s="24">
        <v>3102260</v>
      </c>
      <c r="G10" s="24">
        <v>9411310</v>
      </c>
      <c r="H10" s="24">
        <v>4819010</v>
      </c>
      <c r="I10" s="24">
        <v>4573130</v>
      </c>
      <c r="J10" s="24">
        <v>5167430</v>
      </c>
      <c r="K10" s="24">
        <v>8098410</v>
      </c>
      <c r="L10" s="24">
        <v>3294590</v>
      </c>
      <c r="M10" s="24">
        <v>7188720</v>
      </c>
      <c r="N10" s="24">
        <v>10562190</v>
      </c>
      <c r="O10" s="24">
        <v>14302740</v>
      </c>
      <c r="Q10" s="37">
        <f t="shared" si="16"/>
        <v>490</v>
      </c>
      <c r="R10" s="37">
        <f t="shared" si="17"/>
        <v>14090</v>
      </c>
      <c r="S10" s="37">
        <f t="shared" si="15"/>
        <v>70</v>
      </c>
      <c r="T10" s="37">
        <f t="shared" si="18"/>
        <v>1450</v>
      </c>
      <c r="U10" s="37">
        <f t="shared" si="19"/>
        <v>4380</v>
      </c>
      <c r="V10" s="37">
        <f t="shared" si="20"/>
        <v>3190</v>
      </c>
      <c r="W10" s="37">
        <f t="shared" si="21"/>
        <v>2340</v>
      </c>
      <c r="X10" s="37">
        <f t="shared" si="22"/>
        <v>3910</v>
      </c>
      <c r="Y10" s="37">
        <f t="shared" si="23"/>
        <v>5130</v>
      </c>
      <c r="Z10" s="37">
        <f t="shared" si="24"/>
        <v>2480</v>
      </c>
      <c r="AA10" s="37">
        <f t="shared" si="25"/>
        <v>2960</v>
      </c>
      <c r="AB10" s="37">
        <f t="shared" si="26"/>
        <v>6780</v>
      </c>
      <c r="AC10" s="37">
        <f t="shared" si="27"/>
        <v>9460</v>
      </c>
      <c r="AD10" s="35">
        <f t="shared" si="28"/>
        <v>56730</v>
      </c>
      <c r="AF10" s="20">
        <f t="shared" si="1"/>
        <v>2.4500000000000002</v>
      </c>
      <c r="AG10" s="20">
        <f t="shared" si="2"/>
        <v>70.45</v>
      </c>
      <c r="AH10" s="20">
        <f t="shared" si="3"/>
        <v>0.35000000000000003</v>
      </c>
      <c r="AI10" s="20">
        <f t="shared" si="4"/>
        <v>7.25</v>
      </c>
      <c r="AJ10" s="20">
        <f t="shared" si="5"/>
        <v>21.900000000000002</v>
      </c>
      <c r="AK10" s="20">
        <f t="shared" si="6"/>
        <v>15.950000000000001</v>
      </c>
      <c r="AL10" s="20">
        <f t="shared" si="7"/>
        <v>11.700000000000001</v>
      </c>
      <c r="AM10" s="20">
        <f t="shared" si="8"/>
        <v>19.55</v>
      </c>
      <c r="AN10" s="20">
        <f t="shared" si="9"/>
        <v>25.650000000000002</v>
      </c>
      <c r="AO10" s="20">
        <f t="shared" si="10"/>
        <v>12.4</v>
      </c>
      <c r="AP10" s="20">
        <f t="shared" si="11"/>
        <v>14.8</v>
      </c>
      <c r="AQ10" s="20">
        <f t="shared" si="12"/>
        <v>33.9</v>
      </c>
      <c r="AR10" s="20">
        <f t="shared" si="13"/>
        <v>47.300000000000004</v>
      </c>
      <c r="AS10" s="35">
        <f t="shared" si="29"/>
        <v>283.65000000000003</v>
      </c>
      <c r="AU10" s="47">
        <v>282898</v>
      </c>
      <c r="AV10" s="37">
        <f t="shared" ref="AV10:AV26" si="31">IF((AU10-AU9&lt;0),"0",AU10-AU9)</f>
        <v>1886</v>
      </c>
      <c r="AW10" s="35">
        <f t="shared" si="30"/>
        <v>3.7720000000000002</v>
      </c>
    </row>
    <row r="11" spans="1:49" x14ac:dyDescent="0.25">
      <c r="A11" s="23">
        <v>44140</v>
      </c>
      <c r="B11" s="40">
        <v>113</v>
      </c>
      <c r="C11" s="24">
        <v>6405140</v>
      </c>
      <c r="D11" s="24">
        <v>14810930</v>
      </c>
      <c r="E11" s="24">
        <v>2166250</v>
      </c>
      <c r="F11" s="24">
        <v>3103750</v>
      </c>
      <c r="G11" s="24">
        <v>9415820</v>
      </c>
      <c r="H11" s="24">
        <v>4822290</v>
      </c>
      <c r="I11" s="24">
        <v>4575550</v>
      </c>
      <c r="J11" s="24">
        <v>5171520</v>
      </c>
      <c r="K11" s="24">
        <v>8103700</v>
      </c>
      <c r="L11" s="24">
        <v>3297170</v>
      </c>
      <c r="M11" s="24">
        <v>7191920</v>
      </c>
      <c r="N11" s="24">
        <v>10569300</v>
      </c>
      <c r="O11" s="24">
        <v>14313330</v>
      </c>
      <c r="Q11" s="37">
        <f t="shared" si="16"/>
        <v>500</v>
      </c>
      <c r="R11" s="37">
        <f t="shared" si="17"/>
        <v>14750</v>
      </c>
      <c r="S11" s="37">
        <f t="shared" si="15"/>
        <v>70</v>
      </c>
      <c r="T11" s="37">
        <f t="shared" si="18"/>
        <v>1490</v>
      </c>
      <c r="U11" s="37">
        <f t="shared" si="19"/>
        <v>4510</v>
      </c>
      <c r="V11" s="37">
        <f t="shared" si="20"/>
        <v>3280</v>
      </c>
      <c r="W11" s="37">
        <f t="shared" si="21"/>
        <v>2420</v>
      </c>
      <c r="X11" s="37">
        <f t="shared" si="22"/>
        <v>4090</v>
      </c>
      <c r="Y11" s="37">
        <f t="shared" si="23"/>
        <v>5290</v>
      </c>
      <c r="Z11" s="37">
        <f t="shared" si="24"/>
        <v>2580</v>
      </c>
      <c r="AA11" s="37">
        <f t="shared" si="25"/>
        <v>3200</v>
      </c>
      <c r="AB11" s="37">
        <f t="shared" si="26"/>
        <v>7110</v>
      </c>
      <c r="AC11" s="37">
        <f t="shared" si="27"/>
        <v>10590</v>
      </c>
      <c r="AD11" s="35">
        <f t="shared" si="28"/>
        <v>59880</v>
      </c>
      <c r="AF11" s="20">
        <f t="shared" si="1"/>
        <v>2.5</v>
      </c>
      <c r="AG11" s="20">
        <f t="shared" si="2"/>
        <v>73.75</v>
      </c>
      <c r="AH11" s="20">
        <f t="shared" si="3"/>
        <v>0.35000000000000003</v>
      </c>
      <c r="AI11" s="20">
        <f t="shared" si="4"/>
        <v>7.45</v>
      </c>
      <c r="AJ11" s="20">
        <f t="shared" si="5"/>
        <v>22.55</v>
      </c>
      <c r="AK11" s="20">
        <f t="shared" si="6"/>
        <v>16.399999999999999</v>
      </c>
      <c r="AL11" s="20">
        <f t="shared" si="7"/>
        <v>12.1</v>
      </c>
      <c r="AM11" s="20">
        <f t="shared" si="8"/>
        <v>20.45</v>
      </c>
      <c r="AN11" s="20">
        <f t="shared" si="9"/>
        <v>26.45</v>
      </c>
      <c r="AO11" s="20">
        <f t="shared" si="10"/>
        <v>12.9</v>
      </c>
      <c r="AP11" s="20">
        <f t="shared" si="11"/>
        <v>16</v>
      </c>
      <c r="AQ11" s="20">
        <f t="shared" si="12"/>
        <v>35.550000000000004</v>
      </c>
      <c r="AR11" s="20">
        <f t="shared" si="13"/>
        <v>52.95</v>
      </c>
      <c r="AS11" s="35">
        <f t="shared" si="29"/>
        <v>299.39999999999998</v>
      </c>
      <c r="AU11" s="47">
        <v>285203</v>
      </c>
      <c r="AV11" s="37">
        <f t="shared" si="31"/>
        <v>2305</v>
      </c>
      <c r="AW11" s="35">
        <f t="shared" si="30"/>
        <v>4.6100000000000003</v>
      </c>
    </row>
    <row r="12" spans="1:49" x14ac:dyDescent="0.25">
      <c r="A12" s="23">
        <v>44141</v>
      </c>
      <c r="B12" s="40">
        <v>134</v>
      </c>
      <c r="C12" s="49">
        <v>6408590</v>
      </c>
      <c r="D12" s="24">
        <v>14825970</v>
      </c>
      <c r="E12" s="24">
        <v>2166340</v>
      </c>
      <c r="F12" s="24">
        <v>3105330</v>
      </c>
      <c r="G12" s="24">
        <v>9420680</v>
      </c>
      <c r="H12" s="24">
        <v>4825640</v>
      </c>
      <c r="I12" s="24">
        <v>4578030</v>
      </c>
      <c r="J12" s="24">
        <v>5175560</v>
      </c>
      <c r="K12" s="24">
        <v>8109530</v>
      </c>
      <c r="L12" s="24">
        <v>3299940</v>
      </c>
      <c r="M12" s="24">
        <v>7195390</v>
      </c>
      <c r="N12" s="24">
        <v>10576690</v>
      </c>
      <c r="O12" s="24">
        <v>14324750</v>
      </c>
      <c r="Q12" s="37">
        <f t="shared" si="16"/>
        <v>3450</v>
      </c>
      <c r="R12" s="37">
        <f t="shared" si="17"/>
        <v>15040</v>
      </c>
      <c r="S12" s="37">
        <f t="shared" si="15"/>
        <v>90</v>
      </c>
      <c r="T12" s="37">
        <f t="shared" ref="T12:W14" si="32">IF((F12-F11&lt;0), "0",F12-F11)</f>
        <v>1580</v>
      </c>
      <c r="U12" s="37">
        <f t="shared" si="32"/>
        <v>4860</v>
      </c>
      <c r="V12" s="37">
        <f t="shared" si="32"/>
        <v>3350</v>
      </c>
      <c r="W12" s="37">
        <f t="shared" si="32"/>
        <v>2480</v>
      </c>
      <c r="X12" s="37">
        <f t="shared" si="22"/>
        <v>4040</v>
      </c>
      <c r="Y12" s="37">
        <f t="shared" si="23"/>
        <v>5830</v>
      </c>
      <c r="Z12" s="37">
        <f>IF((L12-L11&lt;0), "0",L12-L11)</f>
        <v>2770</v>
      </c>
      <c r="AA12" s="37">
        <f t="shared" si="25"/>
        <v>3470</v>
      </c>
      <c r="AB12" s="37">
        <f t="shared" si="26"/>
        <v>7390</v>
      </c>
      <c r="AC12" s="37">
        <f t="shared" si="27"/>
        <v>11420</v>
      </c>
      <c r="AD12" s="35">
        <f t="shared" si="28"/>
        <v>65770</v>
      </c>
      <c r="AF12" s="20">
        <f t="shared" si="1"/>
        <v>17.25</v>
      </c>
      <c r="AG12" s="20">
        <f t="shared" si="2"/>
        <v>75.2</v>
      </c>
      <c r="AH12" s="20">
        <f t="shared" si="3"/>
        <v>0.45</v>
      </c>
      <c r="AI12" s="20">
        <f t="shared" si="4"/>
        <v>7.9</v>
      </c>
      <c r="AJ12" s="20">
        <f t="shared" si="5"/>
        <v>24.3</v>
      </c>
      <c r="AK12" s="20">
        <f t="shared" si="6"/>
        <v>16.75</v>
      </c>
      <c r="AL12" s="20">
        <f t="shared" si="7"/>
        <v>12.4</v>
      </c>
      <c r="AM12" s="20">
        <f t="shared" si="8"/>
        <v>20.2</v>
      </c>
      <c r="AN12" s="20">
        <f t="shared" si="9"/>
        <v>29.150000000000002</v>
      </c>
      <c r="AO12" s="20">
        <f t="shared" si="10"/>
        <v>13.85</v>
      </c>
      <c r="AP12" s="20">
        <f t="shared" si="11"/>
        <v>17.350000000000001</v>
      </c>
      <c r="AQ12" s="20">
        <f t="shared" si="12"/>
        <v>36.950000000000003</v>
      </c>
      <c r="AR12" s="20">
        <f t="shared" si="13"/>
        <v>57.1</v>
      </c>
      <c r="AS12" s="35">
        <f t="shared" si="29"/>
        <v>328.85</v>
      </c>
      <c r="AU12" s="47">
        <v>286649</v>
      </c>
      <c r="AV12" s="37">
        <f t="shared" si="31"/>
        <v>1446</v>
      </c>
      <c r="AW12" s="35">
        <f t="shared" si="30"/>
        <v>2.8919999999999999</v>
      </c>
    </row>
    <row r="13" spans="1:49" x14ac:dyDescent="0.25">
      <c r="A13" s="23">
        <v>44142</v>
      </c>
      <c r="B13" s="40">
        <v>74</v>
      </c>
      <c r="C13" s="24">
        <v>6418280</v>
      </c>
      <c r="D13" s="24">
        <v>14838830</v>
      </c>
      <c r="E13" s="24">
        <v>2166460</v>
      </c>
      <c r="F13" s="24">
        <v>3106930</v>
      </c>
      <c r="G13" s="24">
        <v>9425360</v>
      </c>
      <c r="H13" s="24">
        <v>4828920</v>
      </c>
      <c r="I13" s="24">
        <v>4580420</v>
      </c>
      <c r="J13" s="24">
        <v>5179470</v>
      </c>
      <c r="K13" s="24">
        <v>8115440</v>
      </c>
      <c r="L13" s="24">
        <v>3302590</v>
      </c>
      <c r="M13" s="24">
        <v>7198850</v>
      </c>
      <c r="N13" s="24">
        <v>10583990</v>
      </c>
      <c r="O13" s="24">
        <v>14336130</v>
      </c>
      <c r="Q13" s="37">
        <f t="shared" si="16"/>
        <v>9690</v>
      </c>
      <c r="R13" s="37">
        <f t="shared" si="17"/>
        <v>12860</v>
      </c>
      <c r="S13" s="37">
        <f t="shared" si="15"/>
        <v>120</v>
      </c>
      <c r="T13" s="37">
        <f t="shared" si="32"/>
        <v>1600</v>
      </c>
      <c r="U13" s="37">
        <f t="shared" si="32"/>
        <v>4680</v>
      </c>
      <c r="V13" s="37">
        <f t="shared" si="32"/>
        <v>3280</v>
      </c>
      <c r="W13" s="37">
        <f t="shared" si="32"/>
        <v>2390</v>
      </c>
      <c r="X13" s="37">
        <f t="shared" si="22"/>
        <v>3910</v>
      </c>
      <c r="Y13" s="37">
        <f t="shared" si="23"/>
        <v>5910</v>
      </c>
      <c r="Z13" s="37">
        <f>IF((L13-L12&lt;0), "0",L13-L12)</f>
        <v>2650</v>
      </c>
      <c r="AA13" s="37">
        <f t="shared" si="25"/>
        <v>3460</v>
      </c>
      <c r="AB13" s="37">
        <f t="shared" si="26"/>
        <v>7300</v>
      </c>
      <c r="AC13" s="37">
        <f t="shared" si="27"/>
        <v>11380</v>
      </c>
      <c r="AD13" s="35">
        <f t="shared" si="28"/>
        <v>69230</v>
      </c>
      <c r="AF13" s="20">
        <f t="shared" si="1"/>
        <v>48.45</v>
      </c>
      <c r="AG13" s="20">
        <f t="shared" si="2"/>
        <v>64.3</v>
      </c>
      <c r="AH13" s="20">
        <f t="shared" si="3"/>
        <v>0.6</v>
      </c>
      <c r="AI13" s="20">
        <f t="shared" si="4"/>
        <v>8</v>
      </c>
      <c r="AJ13" s="20">
        <f t="shared" si="5"/>
        <v>23.400000000000002</v>
      </c>
      <c r="AK13" s="20">
        <f t="shared" si="6"/>
        <v>16.399999999999999</v>
      </c>
      <c r="AL13" s="20">
        <f t="shared" si="7"/>
        <v>11.950000000000001</v>
      </c>
      <c r="AM13" s="20">
        <f t="shared" si="8"/>
        <v>19.55</v>
      </c>
      <c r="AN13" s="20">
        <f t="shared" si="9"/>
        <v>29.55</v>
      </c>
      <c r="AO13" s="20">
        <f t="shared" si="10"/>
        <v>13.25</v>
      </c>
      <c r="AP13" s="20">
        <f t="shared" si="11"/>
        <v>17.3</v>
      </c>
      <c r="AQ13" s="20">
        <f t="shared" si="12"/>
        <v>36.5</v>
      </c>
      <c r="AR13" s="20">
        <f t="shared" si="13"/>
        <v>56.9</v>
      </c>
      <c r="AS13" s="35">
        <f t="shared" si="29"/>
        <v>346.15</v>
      </c>
      <c r="AU13" s="47">
        <v>288650</v>
      </c>
      <c r="AV13" s="37">
        <f t="shared" si="31"/>
        <v>2001</v>
      </c>
      <c r="AW13" s="35">
        <f t="shared" si="30"/>
        <v>4.0019999999999998</v>
      </c>
    </row>
    <row r="14" spans="1:49" x14ac:dyDescent="0.25">
      <c r="A14" s="23">
        <v>44143</v>
      </c>
      <c r="B14" s="40">
        <v>56</v>
      </c>
      <c r="C14" s="24">
        <v>6428380</v>
      </c>
      <c r="D14" s="24">
        <v>14852190</v>
      </c>
      <c r="E14" s="24">
        <v>2166590</v>
      </c>
      <c r="F14" s="24">
        <v>3108580</v>
      </c>
      <c r="G14" s="24">
        <v>9430480</v>
      </c>
      <c r="H14" s="24">
        <v>4832200</v>
      </c>
      <c r="I14" s="24">
        <v>4582900</v>
      </c>
      <c r="J14" s="24">
        <v>5183200</v>
      </c>
      <c r="K14" s="24">
        <v>8121070</v>
      </c>
      <c r="L14" s="24">
        <v>3305270</v>
      </c>
      <c r="M14" s="24">
        <v>7202320</v>
      </c>
      <c r="N14" s="24">
        <v>10591430</v>
      </c>
      <c r="O14" s="24">
        <v>14347530</v>
      </c>
      <c r="P14" s="54"/>
      <c r="Q14" s="37">
        <f t="shared" si="16"/>
        <v>10100</v>
      </c>
      <c r="R14" s="37">
        <f t="shared" si="17"/>
        <v>13360</v>
      </c>
      <c r="S14" s="37">
        <f t="shared" si="15"/>
        <v>130</v>
      </c>
      <c r="T14" s="37">
        <f t="shared" si="32"/>
        <v>1650</v>
      </c>
      <c r="U14" s="37">
        <f t="shared" si="32"/>
        <v>5120</v>
      </c>
      <c r="V14" s="37">
        <f t="shared" si="32"/>
        <v>3280</v>
      </c>
      <c r="W14" s="37">
        <f t="shared" si="32"/>
        <v>2480</v>
      </c>
      <c r="X14" s="37">
        <f t="shared" si="22"/>
        <v>3730</v>
      </c>
      <c r="Y14" s="37">
        <f t="shared" si="23"/>
        <v>5630</v>
      </c>
      <c r="Z14" s="37">
        <f>IF((L14-L13&lt;0), "0",L14-L13)</f>
        <v>2680</v>
      </c>
      <c r="AA14" s="37">
        <f t="shared" si="25"/>
        <v>3470</v>
      </c>
      <c r="AB14" s="37">
        <f t="shared" si="26"/>
        <v>7440</v>
      </c>
      <c r="AC14" s="37">
        <f t="shared" si="27"/>
        <v>11400</v>
      </c>
      <c r="AD14" s="35">
        <f t="shared" si="28"/>
        <v>70470</v>
      </c>
      <c r="AF14" s="20">
        <f t="shared" si="1"/>
        <v>50.5</v>
      </c>
      <c r="AG14" s="20">
        <f t="shared" si="2"/>
        <v>66.8</v>
      </c>
      <c r="AH14" s="20">
        <f t="shared" si="3"/>
        <v>0.65</v>
      </c>
      <c r="AI14" s="20">
        <f t="shared" si="4"/>
        <v>8.25</v>
      </c>
      <c r="AJ14" s="20">
        <f t="shared" si="5"/>
        <v>25.6</v>
      </c>
      <c r="AK14" s="20">
        <f t="shared" si="6"/>
        <v>16.399999999999999</v>
      </c>
      <c r="AL14" s="20">
        <f t="shared" si="7"/>
        <v>12.4</v>
      </c>
      <c r="AM14" s="20">
        <f t="shared" si="8"/>
        <v>18.650000000000002</v>
      </c>
      <c r="AN14" s="20">
        <f t="shared" si="9"/>
        <v>28.150000000000002</v>
      </c>
      <c r="AO14" s="20">
        <f t="shared" si="10"/>
        <v>13.4</v>
      </c>
      <c r="AP14" s="20">
        <f t="shared" si="11"/>
        <v>17.350000000000001</v>
      </c>
      <c r="AQ14" s="20">
        <f t="shared" si="12"/>
        <v>37.200000000000003</v>
      </c>
      <c r="AR14" s="20">
        <f t="shared" si="13"/>
        <v>57</v>
      </c>
      <c r="AS14" s="35">
        <f t="shared" si="29"/>
        <v>352.35</v>
      </c>
      <c r="AU14" s="47">
        <v>290590</v>
      </c>
      <c r="AV14" s="37">
        <f t="shared" si="31"/>
        <v>1940</v>
      </c>
      <c r="AW14" s="35">
        <f t="shared" si="30"/>
        <v>3.88</v>
      </c>
    </row>
    <row r="15" spans="1:49" x14ac:dyDescent="0.25">
      <c r="A15" s="23">
        <v>44144</v>
      </c>
      <c r="B15" s="40">
        <v>58</v>
      </c>
      <c r="C15" s="24">
        <v>6438560</v>
      </c>
      <c r="D15" s="24">
        <v>14865420</v>
      </c>
      <c r="E15" s="24">
        <v>2166740</v>
      </c>
      <c r="F15" s="24">
        <v>3110170</v>
      </c>
      <c r="G15" s="24">
        <v>9435160</v>
      </c>
      <c r="H15" s="24">
        <v>4835460</v>
      </c>
      <c r="I15" s="24">
        <v>4585280</v>
      </c>
      <c r="J15" s="24">
        <v>5187200</v>
      </c>
      <c r="K15" s="24">
        <v>8126510</v>
      </c>
      <c r="L15" s="24">
        <v>3307780</v>
      </c>
      <c r="M15" s="24">
        <v>7205280</v>
      </c>
      <c r="N15" s="24">
        <v>10598500</v>
      </c>
      <c r="O15" s="24">
        <v>14357040</v>
      </c>
      <c r="Q15" s="37">
        <f t="shared" si="16"/>
        <v>10180</v>
      </c>
      <c r="R15" s="37">
        <f t="shared" si="17"/>
        <v>13230</v>
      </c>
      <c r="S15" s="37">
        <f t="shared" si="15"/>
        <v>150</v>
      </c>
      <c r="T15" s="37">
        <f t="shared" si="18"/>
        <v>1590</v>
      </c>
      <c r="U15" s="37">
        <f t="shared" si="19"/>
        <v>4680</v>
      </c>
      <c r="V15" s="37">
        <f t="shared" si="20"/>
        <v>3260</v>
      </c>
      <c r="W15" s="37">
        <f t="shared" si="21"/>
        <v>2380</v>
      </c>
      <c r="X15" s="37">
        <f t="shared" si="22"/>
        <v>4000</v>
      </c>
      <c r="Y15" s="37">
        <f t="shared" si="23"/>
        <v>5440</v>
      </c>
      <c r="Z15" s="37">
        <f t="shared" si="24"/>
        <v>2510</v>
      </c>
      <c r="AA15" s="37">
        <f t="shared" si="25"/>
        <v>2960</v>
      </c>
      <c r="AB15" s="37">
        <f t="shared" si="26"/>
        <v>7070</v>
      </c>
      <c r="AC15" s="37">
        <f t="shared" si="27"/>
        <v>9510</v>
      </c>
      <c r="AD15" s="35">
        <f t="shared" si="28"/>
        <v>66960</v>
      </c>
      <c r="AF15" s="20">
        <f t="shared" si="1"/>
        <v>50.9</v>
      </c>
      <c r="AG15" s="20">
        <f t="shared" si="2"/>
        <v>66.150000000000006</v>
      </c>
      <c r="AH15" s="20">
        <f t="shared" si="3"/>
        <v>0.75</v>
      </c>
      <c r="AI15" s="20">
        <f t="shared" si="4"/>
        <v>7.95</v>
      </c>
      <c r="AJ15" s="20">
        <f t="shared" si="5"/>
        <v>23.400000000000002</v>
      </c>
      <c r="AK15" s="20">
        <f t="shared" si="6"/>
        <v>16.3</v>
      </c>
      <c r="AL15" s="20">
        <f t="shared" si="7"/>
        <v>11.9</v>
      </c>
      <c r="AM15" s="20">
        <f t="shared" si="8"/>
        <v>20</v>
      </c>
      <c r="AN15" s="20">
        <f t="shared" si="9"/>
        <v>27.2</v>
      </c>
      <c r="AO15" s="20">
        <f t="shared" si="10"/>
        <v>12.55</v>
      </c>
      <c r="AP15" s="20">
        <f t="shared" si="11"/>
        <v>14.8</v>
      </c>
      <c r="AQ15" s="20">
        <f t="shared" si="12"/>
        <v>35.35</v>
      </c>
      <c r="AR15" s="20">
        <f t="shared" si="13"/>
        <v>47.550000000000004</v>
      </c>
      <c r="AS15" s="35">
        <f t="shared" si="29"/>
        <v>334.80000000000007</v>
      </c>
      <c r="AU15" s="47">
        <v>292311</v>
      </c>
      <c r="AV15" s="37">
        <f t="shared" si="31"/>
        <v>1721</v>
      </c>
      <c r="AW15" s="35">
        <f t="shared" si="30"/>
        <v>3.4420000000000002</v>
      </c>
    </row>
    <row r="16" spans="1:49" x14ac:dyDescent="0.25">
      <c r="A16" s="23">
        <v>44145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6"/>
        <v>0</v>
      </c>
      <c r="R16" s="37" t="str">
        <f t="shared" si="17"/>
        <v>0</v>
      </c>
      <c r="S16" s="37" t="str">
        <f t="shared" si="15"/>
        <v>0</v>
      </c>
      <c r="T16" s="37" t="str">
        <f t="shared" si="18"/>
        <v>0</v>
      </c>
      <c r="U16" s="37" t="str">
        <f t="shared" si="19"/>
        <v>0</v>
      </c>
      <c r="V16" s="37" t="str">
        <f t="shared" si="20"/>
        <v>0</v>
      </c>
      <c r="W16" s="37" t="str">
        <f t="shared" si="21"/>
        <v>0</v>
      </c>
      <c r="X16" s="37" t="str">
        <f t="shared" si="22"/>
        <v>0</v>
      </c>
      <c r="Y16" s="37" t="str">
        <f t="shared" si="23"/>
        <v>0</v>
      </c>
      <c r="Z16" s="37" t="str">
        <f t="shared" si="24"/>
        <v>0</v>
      </c>
      <c r="AA16" s="37" t="str">
        <f t="shared" si="25"/>
        <v>0</v>
      </c>
      <c r="AB16" s="37" t="str">
        <f t="shared" si="26"/>
        <v>0</v>
      </c>
      <c r="AC16" s="37" t="str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 t="str">
        <f t="shared" si="31"/>
        <v>0</v>
      </c>
      <c r="AW16" s="35">
        <f t="shared" si="30"/>
        <v>0</v>
      </c>
    </row>
    <row r="17" spans="1:49" x14ac:dyDescent="0.25">
      <c r="A17" s="23">
        <v>44146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44147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44148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44149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44150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44151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44152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44153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44154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44155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44156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44157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44158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44159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44160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44161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44162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44163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>IF((AU34-AU33&lt;0),"0",AU34-AU33)</f>
        <v>0</v>
      </c>
      <c r="AW34" s="35">
        <f t="shared" si="30"/>
        <v>0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35920</v>
      </c>
      <c r="R38" s="30">
        <f t="shared" si="38"/>
        <v>128510</v>
      </c>
      <c r="S38" s="30">
        <f t="shared" si="38"/>
        <v>820</v>
      </c>
      <c r="T38" s="30">
        <f t="shared" si="38"/>
        <v>13930</v>
      </c>
      <c r="U38" s="30">
        <f t="shared" si="38"/>
        <v>41680</v>
      </c>
      <c r="V38" s="30">
        <f t="shared" si="38"/>
        <v>29418</v>
      </c>
      <c r="W38" s="30">
        <f t="shared" si="38"/>
        <v>21680</v>
      </c>
      <c r="X38" s="30">
        <f t="shared" si="38"/>
        <v>34450</v>
      </c>
      <c r="Y38" s="30">
        <f t="shared" si="38"/>
        <v>49530</v>
      </c>
      <c r="Z38" s="30">
        <f t="shared" si="38"/>
        <v>23130</v>
      </c>
      <c r="AA38" s="30">
        <f t="shared" si="38"/>
        <v>29260</v>
      </c>
      <c r="AB38" s="30">
        <f t="shared" si="38"/>
        <v>64000</v>
      </c>
      <c r="AC38" s="30">
        <f t="shared" si="38"/>
        <v>94490</v>
      </c>
      <c r="AD38" s="35">
        <f t="shared" si="38"/>
        <v>566818</v>
      </c>
      <c r="AF38" s="35">
        <f t="shared" ref="AF38:AS38" si="39">SUM(AF7:AF34)</f>
        <v>179.6</v>
      </c>
      <c r="AG38" s="35">
        <f t="shared" si="39"/>
        <v>642.54999999999995</v>
      </c>
      <c r="AH38" s="35">
        <f t="shared" si="39"/>
        <v>4.0999999999999996</v>
      </c>
      <c r="AI38" s="35">
        <f t="shared" si="39"/>
        <v>69.650000000000006</v>
      </c>
      <c r="AJ38" s="35">
        <f t="shared" si="39"/>
        <v>208.4</v>
      </c>
      <c r="AK38" s="35">
        <f t="shared" si="39"/>
        <v>147.09000000000003</v>
      </c>
      <c r="AL38" s="35">
        <f t="shared" si="39"/>
        <v>108.40000000000002</v>
      </c>
      <c r="AM38" s="35">
        <f t="shared" si="39"/>
        <v>172.25000000000003</v>
      </c>
      <c r="AN38" s="35">
        <f t="shared" si="39"/>
        <v>247.65</v>
      </c>
      <c r="AO38" s="35">
        <f t="shared" si="39"/>
        <v>115.65</v>
      </c>
      <c r="AP38" s="35">
        <f t="shared" si="39"/>
        <v>146.30000000000001</v>
      </c>
      <c r="AQ38" s="35">
        <f t="shared" si="39"/>
        <v>320</v>
      </c>
      <c r="AR38" s="35">
        <f t="shared" si="39"/>
        <v>472.45000000000005</v>
      </c>
      <c r="AS38" s="35">
        <f t="shared" si="39"/>
        <v>2834.09</v>
      </c>
      <c r="AU38" s="48"/>
      <c r="AV38" s="35">
        <f>SUM(AV7:AV34)</f>
        <v>16971</v>
      </c>
      <c r="AW38" s="35">
        <f>SUM(AW7:AW34)</f>
        <v>26.161999999999999</v>
      </c>
    </row>
    <row r="39" spans="1:49" x14ac:dyDescent="0.25">
      <c r="D39">
        <v>5.0000000000000001E-3</v>
      </c>
      <c r="AV39" s="36">
        <f>AV38*0.00378541*1000</f>
        <v>64242.19311</v>
      </c>
    </row>
    <row r="40" spans="1:49" x14ac:dyDescent="0.25">
      <c r="D40">
        <v>2E-3</v>
      </c>
      <c r="AV40">
        <f>AV39/31</f>
        <v>2072.32881</v>
      </c>
    </row>
    <row r="41" spans="1:49" x14ac:dyDescent="0.25">
      <c r="AV41">
        <f>AV38*0.00378541</f>
        <v>64.242193110000002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2020-11-10T07:49:24Z</dcterms:modified>
</cp:coreProperties>
</file>