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01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2066" documentId="11_8AB6EB61C68DA4EDA4C8C276088D67A68B5EEB74" xr6:coauthVersionLast="47" xr6:coauthVersionMax="47" xr10:uidLastSave="{BA2D337A-09BD-4BBD-8933-DB712433E1CA}"/>
  <bookViews>
    <workbookView xWindow="0" yWindow="0" windowWidth="28800" windowHeight="12435" firstSheet="2" activeTab="2" xr2:uid="{00000000-000D-0000-FFFF-FFFF00000000}"/>
  </bookViews>
  <sheets>
    <sheet name="TOTAL" sheetId="3" r:id="rId1"/>
    <sheet name="Submetering " sheetId="4" r:id="rId2"/>
    <sheet name="FS Seychelles" sheetId="1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6" i="1" l="1"/>
  <c r="R17" i="1"/>
  <c r="R15" i="1"/>
  <c r="R12" i="1"/>
  <c r="R11" i="1"/>
  <c r="R13" i="1"/>
  <c r="R10" i="1"/>
  <c r="R9" i="1"/>
  <c r="R8" i="1"/>
  <c r="R6" i="1"/>
  <c r="R7" i="1"/>
  <c r="R5" i="1"/>
  <c r="R3" i="1"/>
  <c r="R4" i="1"/>
  <c r="AC15" i="1"/>
  <c r="AC10" i="1"/>
  <c r="AB21" i="4"/>
  <c r="G21" i="3" s="1"/>
  <c r="AB22" i="4"/>
  <c r="AB23" i="4"/>
  <c r="G23" i="3" s="1"/>
  <c r="AB24" i="4"/>
  <c r="AB25" i="4"/>
  <c r="AB26" i="4"/>
  <c r="AB27" i="4"/>
  <c r="G27" i="3" s="1"/>
  <c r="AB28" i="4"/>
  <c r="AB29" i="4"/>
  <c r="G29" i="3" s="1"/>
  <c r="AB30" i="4"/>
  <c r="AB31" i="4"/>
  <c r="G31" i="3" s="1"/>
  <c r="AB32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2" i="4"/>
  <c r="G22" i="3"/>
  <c r="G24" i="3"/>
  <c r="G25" i="3"/>
  <c r="G26" i="3"/>
  <c r="G28" i="3"/>
  <c r="G30" i="3"/>
  <c r="G32" i="3"/>
  <c r="AB4" i="4" l="1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" i="4"/>
  <c r="O3" i="4"/>
  <c r="P3" i="4"/>
  <c r="Q3" i="4"/>
  <c r="R3" i="4"/>
  <c r="S3" i="4"/>
  <c r="AB3" i="4" l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I32" i="3"/>
  <c r="I31" i="3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2" i="4"/>
  <c r="E31" i="4"/>
  <c r="F31" i="4"/>
  <c r="G31" i="4"/>
  <c r="H31" i="4"/>
  <c r="I31" i="4"/>
  <c r="J31" i="4"/>
  <c r="K31" i="4"/>
  <c r="L31" i="4"/>
  <c r="N31" i="4"/>
  <c r="O31" i="4"/>
  <c r="P31" i="4"/>
  <c r="Q31" i="4"/>
  <c r="R31" i="4"/>
  <c r="S31" i="4"/>
  <c r="U31" i="4"/>
  <c r="V31" i="4"/>
  <c r="W31" i="4"/>
  <c r="X31" i="4"/>
  <c r="Y31" i="4"/>
  <c r="Z31" i="4"/>
  <c r="AA31" i="4"/>
  <c r="E32" i="4"/>
  <c r="F32" i="4"/>
  <c r="G32" i="4"/>
  <c r="H32" i="4"/>
  <c r="I32" i="4"/>
  <c r="J32" i="4"/>
  <c r="K32" i="4"/>
  <c r="L32" i="4"/>
  <c r="N32" i="4"/>
  <c r="O32" i="4"/>
  <c r="P32" i="4"/>
  <c r="Q32" i="4"/>
  <c r="R32" i="4"/>
  <c r="S32" i="4"/>
  <c r="U32" i="4"/>
  <c r="V32" i="4"/>
  <c r="W32" i="4"/>
  <c r="X32" i="4"/>
  <c r="Y32" i="4"/>
  <c r="Z32" i="4"/>
  <c r="K32" i="3" s="1"/>
  <c r="AA32" i="4"/>
  <c r="G5" i="3"/>
  <c r="G10" i="3"/>
  <c r="G12" i="3"/>
  <c r="G13" i="3"/>
  <c r="G16" i="3"/>
  <c r="G18" i="3"/>
  <c r="G2" i="3"/>
  <c r="E2" i="4"/>
  <c r="F2" i="4"/>
  <c r="G2" i="4"/>
  <c r="H2" i="4"/>
  <c r="I2" i="4"/>
  <c r="J2" i="4"/>
  <c r="K2" i="4"/>
  <c r="L2" i="4"/>
  <c r="N2" i="4"/>
  <c r="O2" i="4"/>
  <c r="P2" i="4"/>
  <c r="Q2" i="4"/>
  <c r="R2" i="4"/>
  <c r="S2" i="4"/>
  <c r="U2" i="4"/>
  <c r="V2" i="4"/>
  <c r="W2" i="4"/>
  <c r="X2" i="4"/>
  <c r="Y2" i="4"/>
  <c r="Z2" i="4"/>
  <c r="K2" i="3" s="1"/>
  <c r="AA2" i="4"/>
  <c r="B3" i="4"/>
  <c r="E3" i="4"/>
  <c r="F3" i="4"/>
  <c r="G3" i="4"/>
  <c r="H3" i="4"/>
  <c r="I3" i="4"/>
  <c r="J3" i="4"/>
  <c r="K3" i="4"/>
  <c r="L3" i="4"/>
  <c r="N3" i="4"/>
  <c r="U3" i="4"/>
  <c r="V3" i="4"/>
  <c r="W3" i="4"/>
  <c r="X3" i="4"/>
  <c r="Y3" i="4"/>
  <c r="Z3" i="4"/>
  <c r="K3" i="3" s="1"/>
  <c r="AA3" i="4"/>
  <c r="G3" i="3"/>
  <c r="B4" i="4"/>
  <c r="E4" i="4"/>
  <c r="F4" i="4"/>
  <c r="G4" i="4"/>
  <c r="H4" i="4"/>
  <c r="I4" i="4"/>
  <c r="J4" i="4"/>
  <c r="K4" i="4"/>
  <c r="L4" i="4"/>
  <c r="N4" i="4"/>
  <c r="O4" i="4"/>
  <c r="P4" i="4"/>
  <c r="Q4" i="4"/>
  <c r="R4" i="4"/>
  <c r="S4" i="4"/>
  <c r="U4" i="4"/>
  <c r="V4" i="4"/>
  <c r="W4" i="4"/>
  <c r="X4" i="4"/>
  <c r="Y4" i="4"/>
  <c r="Z4" i="4"/>
  <c r="K4" i="3" s="1"/>
  <c r="AA4" i="4"/>
  <c r="G4" i="3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E5" i="4"/>
  <c r="F5" i="4"/>
  <c r="G5" i="4"/>
  <c r="H5" i="4"/>
  <c r="I5" i="4"/>
  <c r="J5" i="4"/>
  <c r="K5" i="4"/>
  <c r="L5" i="4"/>
  <c r="N5" i="4"/>
  <c r="O5" i="4"/>
  <c r="P5" i="4"/>
  <c r="Q5" i="4"/>
  <c r="R5" i="4"/>
  <c r="S5" i="4"/>
  <c r="U5" i="4"/>
  <c r="V5" i="4"/>
  <c r="W5" i="4"/>
  <c r="X5" i="4"/>
  <c r="Y5" i="4"/>
  <c r="Z5" i="4"/>
  <c r="K5" i="3" s="1"/>
  <c r="AA5" i="4"/>
  <c r="E6" i="4"/>
  <c r="F6" i="4"/>
  <c r="G6" i="4"/>
  <c r="H6" i="4"/>
  <c r="I6" i="4"/>
  <c r="J6" i="4"/>
  <c r="K6" i="4"/>
  <c r="L6" i="4"/>
  <c r="N6" i="4"/>
  <c r="O6" i="4"/>
  <c r="P6" i="4"/>
  <c r="Q6" i="4"/>
  <c r="R6" i="4"/>
  <c r="S6" i="4"/>
  <c r="U6" i="4"/>
  <c r="V6" i="4"/>
  <c r="W6" i="4"/>
  <c r="X6" i="4"/>
  <c r="Y6" i="4"/>
  <c r="Z6" i="4"/>
  <c r="K6" i="3"/>
  <c r="AA6" i="4"/>
  <c r="G6" i="3"/>
  <c r="E7" i="4"/>
  <c r="F7" i="4"/>
  <c r="G7" i="4"/>
  <c r="H7" i="4"/>
  <c r="I7" i="4"/>
  <c r="J7" i="4"/>
  <c r="K7" i="4"/>
  <c r="L7" i="4"/>
  <c r="N7" i="4"/>
  <c r="O7" i="4"/>
  <c r="P7" i="4"/>
  <c r="Q7" i="4"/>
  <c r="R7" i="4"/>
  <c r="S7" i="4"/>
  <c r="U7" i="4"/>
  <c r="V7" i="4"/>
  <c r="W7" i="4"/>
  <c r="X7" i="4"/>
  <c r="Y7" i="4"/>
  <c r="Z7" i="4"/>
  <c r="K7" i="3" s="1"/>
  <c r="AA7" i="4"/>
  <c r="G7" i="3"/>
  <c r="E8" i="4"/>
  <c r="F8" i="4"/>
  <c r="G8" i="4"/>
  <c r="H8" i="4"/>
  <c r="I8" i="4"/>
  <c r="J8" i="4"/>
  <c r="K8" i="4"/>
  <c r="L8" i="4"/>
  <c r="N8" i="4"/>
  <c r="O8" i="4"/>
  <c r="P8" i="4"/>
  <c r="Q8" i="4"/>
  <c r="R8" i="4"/>
  <c r="S8" i="4"/>
  <c r="U8" i="4"/>
  <c r="V8" i="4"/>
  <c r="W8" i="4"/>
  <c r="X8" i="4"/>
  <c r="Y8" i="4"/>
  <c r="Z8" i="4"/>
  <c r="K8" i="3" s="1"/>
  <c r="AA8" i="4"/>
  <c r="G8" i="3"/>
  <c r="E9" i="4"/>
  <c r="F9" i="4"/>
  <c r="G9" i="4"/>
  <c r="H9" i="4"/>
  <c r="I9" i="4"/>
  <c r="J9" i="4"/>
  <c r="K9" i="4"/>
  <c r="L9" i="4"/>
  <c r="N9" i="4"/>
  <c r="O9" i="4"/>
  <c r="P9" i="4"/>
  <c r="Q9" i="4"/>
  <c r="R9" i="4"/>
  <c r="S9" i="4"/>
  <c r="U9" i="4"/>
  <c r="V9" i="4"/>
  <c r="W9" i="4"/>
  <c r="X9" i="4"/>
  <c r="Y9" i="4"/>
  <c r="Z9" i="4"/>
  <c r="K9" i="3" s="1"/>
  <c r="AA9" i="4"/>
  <c r="G9" i="3"/>
  <c r="E10" i="4"/>
  <c r="F10" i="4"/>
  <c r="G10" i="4"/>
  <c r="H10" i="4"/>
  <c r="I10" i="4"/>
  <c r="J10" i="4"/>
  <c r="K10" i="4"/>
  <c r="L10" i="4"/>
  <c r="N10" i="4"/>
  <c r="O10" i="4"/>
  <c r="P10" i="4"/>
  <c r="Q10" i="4"/>
  <c r="R10" i="4"/>
  <c r="S10" i="4"/>
  <c r="U10" i="4"/>
  <c r="V10" i="4"/>
  <c r="W10" i="4"/>
  <c r="X10" i="4"/>
  <c r="Y10" i="4"/>
  <c r="Z10" i="4"/>
  <c r="K10" i="3" s="1"/>
  <c r="AA10" i="4"/>
  <c r="E11" i="4"/>
  <c r="F11" i="4"/>
  <c r="G11" i="4"/>
  <c r="H11" i="4"/>
  <c r="I11" i="4"/>
  <c r="J11" i="4"/>
  <c r="K11" i="4"/>
  <c r="L11" i="4"/>
  <c r="N11" i="4"/>
  <c r="O11" i="4"/>
  <c r="P11" i="4"/>
  <c r="Q11" i="4"/>
  <c r="R11" i="4"/>
  <c r="S11" i="4"/>
  <c r="U11" i="4"/>
  <c r="V11" i="4"/>
  <c r="W11" i="4"/>
  <c r="X11" i="4"/>
  <c r="Y11" i="4"/>
  <c r="Z11" i="4"/>
  <c r="K11" i="3" s="1"/>
  <c r="AA11" i="4"/>
  <c r="G11" i="3"/>
  <c r="E12" i="4"/>
  <c r="F12" i="4"/>
  <c r="G12" i="4"/>
  <c r="H12" i="4"/>
  <c r="I12" i="4"/>
  <c r="J12" i="4"/>
  <c r="K12" i="4"/>
  <c r="L12" i="4"/>
  <c r="N12" i="4"/>
  <c r="O12" i="4"/>
  <c r="P12" i="4"/>
  <c r="Q12" i="4"/>
  <c r="R12" i="4"/>
  <c r="S12" i="4"/>
  <c r="U12" i="4"/>
  <c r="V12" i="4"/>
  <c r="W12" i="4"/>
  <c r="X12" i="4"/>
  <c r="Y12" i="4"/>
  <c r="Z12" i="4"/>
  <c r="K12" i="3" s="1"/>
  <c r="AA12" i="4"/>
  <c r="E13" i="4"/>
  <c r="F13" i="4"/>
  <c r="G13" i="4"/>
  <c r="H13" i="4"/>
  <c r="I13" i="4"/>
  <c r="J13" i="4"/>
  <c r="K13" i="4"/>
  <c r="L13" i="4"/>
  <c r="N13" i="4"/>
  <c r="O13" i="4"/>
  <c r="P13" i="4"/>
  <c r="Q13" i="4"/>
  <c r="R13" i="4"/>
  <c r="S13" i="4"/>
  <c r="U13" i="4"/>
  <c r="V13" i="4"/>
  <c r="W13" i="4"/>
  <c r="X13" i="4"/>
  <c r="Y13" i="4"/>
  <c r="Z13" i="4"/>
  <c r="K13" i="3" s="1"/>
  <c r="AA13" i="4"/>
  <c r="E14" i="4"/>
  <c r="F14" i="4"/>
  <c r="G14" i="4"/>
  <c r="H14" i="4"/>
  <c r="I14" i="4"/>
  <c r="J14" i="4"/>
  <c r="K14" i="4"/>
  <c r="L14" i="4"/>
  <c r="N14" i="4"/>
  <c r="O14" i="4"/>
  <c r="P14" i="4"/>
  <c r="Q14" i="4"/>
  <c r="R14" i="4"/>
  <c r="S14" i="4"/>
  <c r="U14" i="4"/>
  <c r="V14" i="4"/>
  <c r="W14" i="4"/>
  <c r="X14" i="4"/>
  <c r="Y14" i="4"/>
  <c r="Z14" i="4"/>
  <c r="K14" i="3" s="1"/>
  <c r="AA14" i="4"/>
  <c r="G14" i="3"/>
  <c r="E15" i="4"/>
  <c r="F15" i="4"/>
  <c r="G15" i="4"/>
  <c r="H15" i="4"/>
  <c r="I15" i="4"/>
  <c r="J15" i="4"/>
  <c r="K15" i="4"/>
  <c r="L15" i="4"/>
  <c r="N15" i="4"/>
  <c r="O15" i="4"/>
  <c r="P15" i="4"/>
  <c r="Q15" i="4"/>
  <c r="R15" i="4"/>
  <c r="S15" i="4"/>
  <c r="U15" i="4"/>
  <c r="V15" i="4"/>
  <c r="W15" i="4"/>
  <c r="X15" i="4"/>
  <c r="Y15" i="4"/>
  <c r="Z15" i="4"/>
  <c r="K15" i="3" s="1"/>
  <c r="AA15" i="4"/>
  <c r="G15" i="3"/>
  <c r="E16" i="4"/>
  <c r="F16" i="4"/>
  <c r="G16" i="4"/>
  <c r="H16" i="4"/>
  <c r="I16" i="4"/>
  <c r="J16" i="4"/>
  <c r="K16" i="4"/>
  <c r="L16" i="4"/>
  <c r="N16" i="4"/>
  <c r="O16" i="4"/>
  <c r="P16" i="4"/>
  <c r="Q16" i="4"/>
  <c r="R16" i="4"/>
  <c r="S16" i="4"/>
  <c r="U16" i="4"/>
  <c r="V16" i="4"/>
  <c r="W16" i="4"/>
  <c r="X16" i="4"/>
  <c r="Y16" i="4"/>
  <c r="Z16" i="4"/>
  <c r="K16" i="3" s="1"/>
  <c r="AA16" i="4"/>
  <c r="E17" i="4"/>
  <c r="F17" i="4"/>
  <c r="G17" i="4"/>
  <c r="H17" i="4"/>
  <c r="I17" i="4"/>
  <c r="J17" i="4"/>
  <c r="K17" i="4"/>
  <c r="L17" i="4"/>
  <c r="N17" i="4"/>
  <c r="O17" i="4"/>
  <c r="P17" i="4"/>
  <c r="Q17" i="4"/>
  <c r="R17" i="4"/>
  <c r="S17" i="4"/>
  <c r="U17" i="4"/>
  <c r="V17" i="4"/>
  <c r="W17" i="4"/>
  <c r="X17" i="4"/>
  <c r="Y17" i="4"/>
  <c r="Z17" i="4"/>
  <c r="K17" i="3" s="1"/>
  <c r="AA17" i="4"/>
  <c r="G17" i="3"/>
  <c r="E18" i="4"/>
  <c r="F18" i="4"/>
  <c r="G18" i="4"/>
  <c r="H18" i="4"/>
  <c r="I18" i="4"/>
  <c r="J18" i="4"/>
  <c r="K18" i="4"/>
  <c r="L18" i="4"/>
  <c r="N18" i="4"/>
  <c r="O18" i="4"/>
  <c r="P18" i="4"/>
  <c r="Q18" i="4"/>
  <c r="R18" i="4"/>
  <c r="S18" i="4"/>
  <c r="U18" i="4"/>
  <c r="V18" i="4"/>
  <c r="W18" i="4"/>
  <c r="X18" i="4"/>
  <c r="Y18" i="4"/>
  <c r="Z18" i="4"/>
  <c r="K18" i="3" s="1"/>
  <c r="AA18" i="4"/>
  <c r="E19" i="4"/>
  <c r="F19" i="4"/>
  <c r="G19" i="4"/>
  <c r="H19" i="4"/>
  <c r="I19" i="4"/>
  <c r="J19" i="4"/>
  <c r="K19" i="4"/>
  <c r="L19" i="4"/>
  <c r="N19" i="4"/>
  <c r="O19" i="4"/>
  <c r="P19" i="4"/>
  <c r="Q19" i="4"/>
  <c r="R19" i="4"/>
  <c r="S19" i="4"/>
  <c r="U19" i="4"/>
  <c r="V19" i="4"/>
  <c r="W19" i="4"/>
  <c r="X19" i="4"/>
  <c r="Y19" i="4"/>
  <c r="Z19" i="4"/>
  <c r="K19" i="3" s="1"/>
  <c r="AA19" i="4"/>
  <c r="G19" i="3"/>
  <c r="E20" i="4"/>
  <c r="F20" i="4"/>
  <c r="G20" i="4"/>
  <c r="H20" i="4"/>
  <c r="I20" i="4"/>
  <c r="J20" i="4"/>
  <c r="K20" i="4"/>
  <c r="L20" i="4"/>
  <c r="N20" i="4"/>
  <c r="O20" i="4"/>
  <c r="P20" i="4"/>
  <c r="Q20" i="4"/>
  <c r="R20" i="4"/>
  <c r="S20" i="4"/>
  <c r="U20" i="4"/>
  <c r="V20" i="4"/>
  <c r="W20" i="4"/>
  <c r="X20" i="4"/>
  <c r="Y20" i="4"/>
  <c r="Z20" i="4"/>
  <c r="K20" i="3" s="1"/>
  <c r="AA20" i="4"/>
  <c r="G20" i="3"/>
  <c r="E21" i="4"/>
  <c r="F21" i="4"/>
  <c r="G21" i="4"/>
  <c r="H21" i="4"/>
  <c r="I21" i="4"/>
  <c r="J21" i="4"/>
  <c r="K21" i="4"/>
  <c r="L21" i="4"/>
  <c r="N21" i="4"/>
  <c r="O21" i="4"/>
  <c r="P21" i="4"/>
  <c r="Q21" i="4"/>
  <c r="R21" i="4"/>
  <c r="S21" i="4"/>
  <c r="U21" i="4"/>
  <c r="V21" i="4"/>
  <c r="W21" i="4"/>
  <c r="X21" i="4"/>
  <c r="Y21" i="4"/>
  <c r="Z21" i="4"/>
  <c r="K21" i="3" s="1"/>
  <c r="AA21" i="4"/>
  <c r="E22" i="4"/>
  <c r="F22" i="4"/>
  <c r="G22" i="4"/>
  <c r="H22" i="4"/>
  <c r="I22" i="4"/>
  <c r="J22" i="4"/>
  <c r="K22" i="4"/>
  <c r="L22" i="4"/>
  <c r="N22" i="4"/>
  <c r="O22" i="4"/>
  <c r="P22" i="4"/>
  <c r="Q22" i="4"/>
  <c r="R22" i="4"/>
  <c r="S22" i="4"/>
  <c r="U22" i="4"/>
  <c r="V22" i="4"/>
  <c r="W22" i="4"/>
  <c r="X22" i="4"/>
  <c r="Y22" i="4"/>
  <c r="Z22" i="4"/>
  <c r="K22" i="3" s="1"/>
  <c r="AA22" i="4"/>
  <c r="E23" i="4"/>
  <c r="F23" i="4"/>
  <c r="G23" i="4"/>
  <c r="H23" i="4"/>
  <c r="I23" i="4"/>
  <c r="J23" i="4"/>
  <c r="K23" i="4"/>
  <c r="L23" i="4"/>
  <c r="N23" i="4"/>
  <c r="O23" i="4"/>
  <c r="P23" i="4"/>
  <c r="Q23" i="4"/>
  <c r="R23" i="4"/>
  <c r="S23" i="4"/>
  <c r="U23" i="4"/>
  <c r="V23" i="4"/>
  <c r="W23" i="4"/>
  <c r="X23" i="4"/>
  <c r="Y23" i="4"/>
  <c r="Z23" i="4"/>
  <c r="K23" i="3" s="1"/>
  <c r="AA23" i="4"/>
  <c r="E24" i="4"/>
  <c r="F24" i="4"/>
  <c r="G24" i="4"/>
  <c r="H24" i="4"/>
  <c r="I24" i="4"/>
  <c r="J24" i="4"/>
  <c r="K24" i="4"/>
  <c r="L24" i="4"/>
  <c r="N24" i="4"/>
  <c r="O24" i="4"/>
  <c r="P24" i="4"/>
  <c r="Q24" i="4"/>
  <c r="R24" i="4"/>
  <c r="S24" i="4"/>
  <c r="U24" i="4"/>
  <c r="V24" i="4"/>
  <c r="W24" i="4"/>
  <c r="X24" i="4"/>
  <c r="Y24" i="4"/>
  <c r="Z24" i="4"/>
  <c r="K24" i="3" s="1"/>
  <c r="AA24" i="4"/>
  <c r="E25" i="4"/>
  <c r="F25" i="4"/>
  <c r="G25" i="4"/>
  <c r="H25" i="4"/>
  <c r="I25" i="4"/>
  <c r="J25" i="4"/>
  <c r="K25" i="4"/>
  <c r="L25" i="4"/>
  <c r="N25" i="4"/>
  <c r="O25" i="4"/>
  <c r="P25" i="4"/>
  <c r="Q25" i="4"/>
  <c r="R25" i="4"/>
  <c r="S25" i="4"/>
  <c r="U25" i="4"/>
  <c r="V25" i="4"/>
  <c r="W25" i="4"/>
  <c r="X25" i="4"/>
  <c r="Y25" i="4"/>
  <c r="Z25" i="4"/>
  <c r="K25" i="3" s="1"/>
  <c r="AA25" i="4"/>
  <c r="E26" i="4"/>
  <c r="F26" i="4"/>
  <c r="G26" i="4"/>
  <c r="H26" i="4"/>
  <c r="I26" i="4"/>
  <c r="J26" i="4"/>
  <c r="K26" i="4"/>
  <c r="L26" i="4"/>
  <c r="N26" i="4"/>
  <c r="O26" i="4"/>
  <c r="P26" i="4"/>
  <c r="Q26" i="4"/>
  <c r="R26" i="4"/>
  <c r="S26" i="4"/>
  <c r="U26" i="4"/>
  <c r="V26" i="4"/>
  <c r="W26" i="4"/>
  <c r="X26" i="4"/>
  <c r="Y26" i="4"/>
  <c r="Z26" i="4"/>
  <c r="K26" i="3" s="1"/>
  <c r="AA26" i="4"/>
  <c r="E27" i="4"/>
  <c r="F27" i="4"/>
  <c r="G27" i="4"/>
  <c r="H27" i="4"/>
  <c r="I27" i="4"/>
  <c r="J27" i="4"/>
  <c r="K27" i="4"/>
  <c r="L27" i="4"/>
  <c r="N27" i="4"/>
  <c r="O27" i="4"/>
  <c r="P27" i="4"/>
  <c r="Q27" i="4"/>
  <c r="R27" i="4"/>
  <c r="S27" i="4"/>
  <c r="U27" i="4"/>
  <c r="V27" i="4"/>
  <c r="W27" i="4"/>
  <c r="X27" i="4"/>
  <c r="Y27" i="4"/>
  <c r="Z27" i="4"/>
  <c r="K27" i="3" s="1"/>
  <c r="AA27" i="4"/>
  <c r="E28" i="4"/>
  <c r="F28" i="4"/>
  <c r="G28" i="4"/>
  <c r="H28" i="4"/>
  <c r="I28" i="4"/>
  <c r="J28" i="4"/>
  <c r="K28" i="4"/>
  <c r="L28" i="4"/>
  <c r="N28" i="4"/>
  <c r="O28" i="4"/>
  <c r="P28" i="4"/>
  <c r="Q28" i="4"/>
  <c r="R28" i="4"/>
  <c r="S28" i="4"/>
  <c r="U28" i="4"/>
  <c r="V28" i="4"/>
  <c r="W28" i="4"/>
  <c r="X28" i="4"/>
  <c r="Y28" i="4"/>
  <c r="Z28" i="4"/>
  <c r="K28" i="3" s="1"/>
  <c r="AA28" i="4"/>
  <c r="E29" i="4"/>
  <c r="F29" i="4"/>
  <c r="G29" i="4"/>
  <c r="H29" i="4"/>
  <c r="I29" i="4"/>
  <c r="J29" i="4"/>
  <c r="K29" i="4"/>
  <c r="L29" i="4"/>
  <c r="N29" i="4"/>
  <c r="O29" i="4"/>
  <c r="P29" i="4"/>
  <c r="Q29" i="4"/>
  <c r="R29" i="4"/>
  <c r="S29" i="4"/>
  <c r="U29" i="4"/>
  <c r="V29" i="4"/>
  <c r="W29" i="4"/>
  <c r="X29" i="4"/>
  <c r="Y29" i="4"/>
  <c r="Z29" i="4"/>
  <c r="K29" i="3" s="1"/>
  <c r="AA29" i="4"/>
  <c r="E30" i="4"/>
  <c r="F30" i="4"/>
  <c r="G30" i="4"/>
  <c r="H30" i="4"/>
  <c r="I30" i="4"/>
  <c r="J30" i="4"/>
  <c r="K30" i="4"/>
  <c r="L30" i="4"/>
  <c r="N30" i="4"/>
  <c r="O30" i="4"/>
  <c r="P30" i="4"/>
  <c r="Q30" i="4"/>
  <c r="R30" i="4"/>
  <c r="S30" i="4"/>
  <c r="U30" i="4"/>
  <c r="V30" i="4"/>
  <c r="W30" i="4"/>
  <c r="X30" i="4"/>
  <c r="Y30" i="4"/>
  <c r="Z30" i="4"/>
  <c r="K30" i="3" s="1"/>
  <c r="AA30" i="4"/>
  <c r="K31" i="3"/>
  <c r="I2" i="3"/>
  <c r="B3" i="3"/>
  <c r="H3" i="3"/>
  <c r="I3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H4" i="3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E4" i="3" l="1"/>
  <c r="F4" i="3" s="1"/>
  <c r="E25" i="3"/>
  <c r="F25" i="3" s="1"/>
  <c r="Q33" i="4"/>
  <c r="P33" i="4"/>
  <c r="O33" i="4"/>
  <c r="R33" i="4"/>
  <c r="E26" i="3"/>
  <c r="F26" i="3" s="1"/>
  <c r="E19" i="3"/>
  <c r="F19" i="3" s="1"/>
  <c r="E18" i="3"/>
  <c r="F18" i="3" s="1"/>
  <c r="E17" i="3"/>
  <c r="F17" i="3" s="1"/>
  <c r="E16" i="3"/>
  <c r="F16" i="3" s="1"/>
  <c r="E15" i="3"/>
  <c r="F15" i="3" s="1"/>
  <c r="E11" i="3"/>
  <c r="F11" i="3" s="1"/>
  <c r="E9" i="3"/>
  <c r="F9" i="3" s="1"/>
  <c r="E7" i="3"/>
  <c r="F7" i="3" s="1"/>
  <c r="E6" i="3"/>
  <c r="F6" i="3" s="1"/>
  <c r="E3" i="3"/>
  <c r="F3" i="3" s="1"/>
  <c r="E2" i="3"/>
  <c r="F2" i="3" s="1"/>
  <c r="E32" i="3"/>
  <c r="F32" i="3" s="1"/>
  <c r="E28" i="3"/>
  <c r="F28" i="3" s="1"/>
  <c r="E24" i="3"/>
  <c r="F24" i="3" s="1"/>
  <c r="E22" i="3"/>
  <c r="F22" i="3" s="1"/>
  <c r="E8" i="3"/>
  <c r="F8" i="3" s="1"/>
  <c r="E20" i="3"/>
  <c r="F20" i="3" s="1"/>
  <c r="E12" i="3"/>
  <c r="F12" i="3" s="1"/>
  <c r="E5" i="3"/>
  <c r="F5" i="3" s="1"/>
  <c r="E29" i="3"/>
  <c r="F29" i="3" s="1"/>
  <c r="E13" i="3"/>
  <c r="F13" i="3" s="1"/>
  <c r="E31" i="3"/>
  <c r="F31" i="3" s="1"/>
  <c r="E27" i="3"/>
  <c r="F27" i="3" s="1"/>
  <c r="E21" i="3"/>
  <c r="F21" i="3" s="1"/>
  <c r="E30" i="3"/>
  <c r="F30" i="3" s="1"/>
  <c r="E23" i="3"/>
  <c r="F23" i="3" s="1"/>
  <c r="E14" i="3"/>
  <c r="F14" i="3" s="1"/>
  <c r="E10" i="3"/>
  <c r="F10" i="3" s="1"/>
  <c r="R35" i="4" l="1"/>
</calcChain>
</file>

<file path=xl/sharedStrings.xml><?xml version="1.0" encoding="utf-8"?>
<sst xmlns="http://schemas.openxmlformats.org/spreadsheetml/2006/main" count="142" uniqueCount="75">
  <si>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</si>
  <si>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</si>
  <si>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</si>
  <si>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</si>
  <si>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</si>
  <si>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</si>
  <si>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</si>
  <si>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</si>
  <si>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</si>
  <si>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</si>
  <si>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</si>
  <si>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</si>
  <si>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>Room Nights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</si>
  <si>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</si>
  <si>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</si>
  <si>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</si>
  <si>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</si>
  <si>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</si>
  <si>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</si>
  <si>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</si>
  <si>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</si>
  <si>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</si>
  <si>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</si>
  <si>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</si>
  <si>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</si>
  <si>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</si>
  <si>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</si>
  <si>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</si>
  <si>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</si>
  <si>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</si>
  <si>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</si>
  <si>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</si>
  <si>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</si>
  <si>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</si>
  <si>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</si>
  <si>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</si>
  <si>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</si>
  <si>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>LPG (Kg)</t>
  </si>
  <si>
    <t>DATE</t>
  </si>
  <si>
    <t>Room Night %</t>
  </si>
  <si>
    <t>Food Covers (Customers)</t>
  </si>
  <si>
    <t>SS-A (KWH)</t>
  </si>
  <si>
    <t>SS-B (KWH)</t>
  </si>
  <si>
    <t>SS-C (KWH)</t>
  </si>
  <si>
    <t>SS-D1 (KWH)</t>
  </si>
  <si>
    <t>SS-D2 (KWH)</t>
  </si>
  <si>
    <t>SS-E (KWH)</t>
  </si>
  <si>
    <t>FIRE PUMP (KWH)</t>
  </si>
  <si>
    <t>CASINO (KWH)</t>
  </si>
  <si>
    <t>BOH (KWH)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</si>
  <si>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</si>
  <si>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</si>
  <si>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</si>
  <si>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</si>
  <si>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</si>
  <si>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</si>
  <si>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</si>
  <si>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BOH Water (m3)</t>
  </si>
  <si>
    <t>E-Resort (m3)</t>
  </si>
  <si>
    <t>North RVs (m3)</t>
  </si>
  <si>
    <t xml:space="preserve">WT59 (m3) </t>
  </si>
  <si>
    <t>WT08 (m3)</t>
  </si>
  <si>
    <t>PUC HOH (m3)</t>
  </si>
  <si>
    <t>PUC Eresort (m3)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</si>
  <si>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</si>
  <si>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</si>
  <si>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</si>
  <si>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</si>
  <si>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</si>
  <si>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</si>
  <si>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</si>
  <si>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</si>
  <si>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</si>
  <si>
    <t>Water loss</t>
  </si>
  <si>
    <t>Villa 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</si>
</sst>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7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</font>
    <font>
      <sz val="11"/>
      <color rgb="FF32313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0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4" fontId="12" fillId="0" borderId="0" xfId="0" applyNumberFormat="1" applyFont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4" fontId="12" fillId="0" borderId="2" xfId="0" applyNumberFormat="1" applyFont="1" applyBorder="1" applyAlignment="1">
      <alignment horizontal="right"/>
    </xf>
    <xf numFmtId="0" fontId="1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/>
    <xf numFmtId="0" fontId="12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2" fillId="0" borderId="5" xfId="0" applyFont="1" applyBorder="1"/>
    <xf numFmtId="3" fontId="12" fillId="0" borderId="2" xfId="0" applyNumberFormat="1" applyFont="1" applyBorder="1" applyAlignment="1">
      <alignment horizontal="right"/>
    </xf>
    <xf numFmtId="4" fontId="14" fillId="0" borderId="2" xfId="0" applyNumberFormat="1" applyFont="1" applyBorder="1" applyAlignment="1">
      <alignment horizontal="right"/>
    </xf>
    <xf numFmtId="2" fontId="12" fillId="0" borderId="11" xfId="0" applyNumberFormat="1" applyFont="1" applyBorder="1"/>
    <xf numFmtId="4" fontId="14" fillId="0" borderId="7" xfId="0" applyNumberFormat="1" applyFont="1" applyBorder="1" applyAlignment="1">
      <alignment horizontal="right"/>
    </xf>
    <xf numFmtId="4" fontId="14" fillId="0" borderId="12" xfId="0" applyNumberFormat="1" applyFont="1" applyBorder="1" applyAlignment="1">
      <alignment horizontal="right"/>
    </xf>
    <xf numFmtId="4" fontId="14" fillId="0" borderId="10" xfId="0" applyNumberFormat="1" applyFont="1" applyBorder="1" applyAlignment="1">
      <alignment horizontal="right"/>
    </xf>
    <xf numFmtId="2" fontId="14" fillId="0" borderId="13" xfId="0" applyNumberFormat="1" applyFont="1" applyBorder="1"/>
    <xf numFmtId="2" fontId="14" fillId="0" borderId="11" xfId="0" applyNumberFormat="1" applyFont="1" applyBorder="1"/>
    <xf numFmtId="2" fontId="14" fillId="0" borderId="6" xfId="0" applyNumberFormat="1" applyFont="1" applyBorder="1"/>
    <xf numFmtId="2" fontId="14" fillId="0" borderId="9" xfId="0" applyNumberFormat="1" applyFont="1" applyBorder="1"/>
    <xf numFmtId="3" fontId="12" fillId="0" borderId="9" xfId="0" applyNumberFormat="1" applyFont="1" applyBorder="1"/>
    <xf numFmtId="1" fontId="8" fillId="0" borderId="0" xfId="0" applyNumberFormat="1" applyFont="1"/>
    <xf numFmtId="14" fontId="12" fillId="0" borderId="3" xfId="0" applyNumberFormat="1" applyFont="1" applyBorder="1"/>
    <xf numFmtId="4" fontId="12" fillId="0" borderId="7" xfId="0" applyNumberFormat="1" applyFont="1" applyBorder="1" applyAlignment="1">
      <alignment horizontal="right"/>
    </xf>
    <xf numFmtId="0" fontId="13" fillId="3" borderId="10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4" fontId="14" fillId="0" borderId="11" xfId="0" applyNumberFormat="1" applyFont="1" applyBorder="1" applyAlignment="1">
      <alignment horizontal="right"/>
    </xf>
    <xf numFmtId="4" fontId="12" fillId="0" borderId="11" xfId="0" applyNumberFormat="1" applyFont="1" applyBorder="1"/>
    <xf numFmtId="2" fontId="12" fillId="0" borderId="15" xfId="0" applyNumberFormat="1" applyFont="1" applyBorder="1"/>
    <xf numFmtId="4" fontId="12" fillId="0" borderId="11" xfId="0" applyNumberFormat="1" applyFont="1" applyBorder="1" applyAlignment="1">
      <alignment vertical="center" wrapText="1"/>
    </xf>
    <xf numFmtId="2" fontId="12" fillId="0" borderId="17" xfId="0" applyNumberFormat="1" applyFont="1" applyBorder="1"/>
    <xf numFmtId="0" fontId="13" fillId="4" borderId="11" xfId="0" applyFont="1" applyFill="1" applyBorder="1" applyAlignment="1">
      <alignment horizontal="center" vertical="center" wrapText="1"/>
    </xf>
    <xf numFmtId="2" fontId="13" fillId="4" borderId="11" xfId="0" applyNumberFormat="1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13" fillId="5" borderId="12" xfId="0" applyFont="1" applyFill="1" applyBorder="1" applyAlignment="1">
      <alignment horizontal="center" vertical="center" wrapText="1"/>
    </xf>
    <xf numFmtId="4" fontId="12" fillId="0" borderId="13" xfId="0" applyNumberFormat="1" applyFont="1" applyBorder="1" applyAlignment="1">
      <alignment horizontal="right"/>
    </xf>
    <xf numFmtId="0" fontId="13" fillId="9" borderId="2" xfId="0" applyFont="1" applyFill="1" applyBorder="1" applyAlignment="1">
      <alignment vertical="center"/>
    </xf>
    <xf numFmtId="2" fontId="15" fillId="0" borderId="17" xfId="0" applyNumberFormat="1" applyFont="1" applyBorder="1" applyAlignment="1">
      <alignment horizontal="right" wrapText="1"/>
    </xf>
    <xf numFmtId="0" fontId="16" fillId="0" borderId="0" xfId="0" applyFont="1" applyAlignment="1">
      <alignment wrapText="1"/>
    </xf>
    <xf numFmtId="0" fontId="12" fillId="0" borderId="0" xfId="0" applyFont="1" applyAlignment="1">
      <alignment horizontal="right" wrapText="1"/>
    </xf>
    <xf numFmtId="3" fontId="12" fillId="0" borderId="2" xfId="0" applyNumberFormat="1" applyFont="1" applyFill="1" applyBorder="1"/>
    <xf numFmtId="0" fontId="12" fillId="0" borderId="1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4" fillId="7" borderId="2" xfId="0" applyFont="1" applyFill="1" applyBorder="1" applyAlignment="1">
      <alignment horizontal="center" vertical="center"/>
    </xf>
    <xf numFmtId="0" fontId="13" fillId="7" borderId="9" xfId="0" applyFont="1" applyFill="1" applyBorder="1" applyAlignment="1">
      <alignment horizontal="center"/>
    </xf>
    <xf numFmtId="0" fontId="13" fillId="7" borderId="2" xfId="0" applyFont="1" applyFill="1" applyBorder="1" applyAlignment="1">
      <alignment horizontal="center"/>
    </xf>
    <xf numFmtId="0" fontId="13" fillId="7" borderId="16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</cellXfs>
  <cellStyles count="2">
    <cellStyle name="Milliers_Classeur1" xfId="1" xr:uid="{00000000-0005-0000-0000-000000000000}"/>
    <cellStyle name="Normal" xfId="0" builtinId="0"/>
  </cellStyles>
  <dxfs count="0"/>
  <tableStyles count="0" defaultTableStyle="TableStyleMedium2" defaultPivotStyle="PivotStyleLight16"/>
  <colors>
    <mruColors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opLeftCell="A15" workbookViewId="0">
      <selection activeCell="B32" sqref="B32:C32"/>
    </sheetView>
  </sheetViews>
  <sheetFormatPr defaultColWidth="11.5703125" defaultRowHeight="1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30"/>
    <col min="12" max="12" width="11.5703125" style="17"/>
  </cols>
  <sheetData>
    <row r="1" spans="1:13" s="9" customFormat="1" ht="60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28" t="s">
        <v>10</v>
      </c>
      <c r="L1" s="6" t="s">
        <v>11</v>
      </c>
      <c r="M1" s="8" t="s">
        <v>12</v>
      </c>
    </row>
    <row r="2" spans="1:13" s="13" customFormat="1">
      <c r="A2" s="1" t="s">
        <v>13</v>
      </c>
      <c r="B2" s="10">
        <v>1</v>
      </c>
      <c r="C2" s="11">
        <v>9</v>
      </c>
      <c r="D2" s="1">
        <v>2021</v>
      </c>
      <c r="E2" s="12">
        <f>'Submetering '!O2+'Submetering '!P2+'Submetering '!Q2+'Submetering '!R2+'Submetering '!S2</f>
        <v>25189</v>
      </c>
      <c r="F2" s="11">
        <f>('FS Seychelles'!R3*'FS Seychelles'!S3)/TOTAL!E2</f>
        <v>0.29350311643971577</v>
      </c>
      <c r="G2" s="12">
        <f>'Submetering '!AB2</f>
        <v>0</v>
      </c>
      <c r="H2" s="11">
        <v>17.5</v>
      </c>
      <c r="I2" s="12">
        <f>'FS Seychelles'!T3+'FS Seychelles'!V3+'FS Seychelles'!W3+'FS Seychelles'!X3</f>
        <v>422</v>
      </c>
      <c r="J2" s="11">
        <v>0</v>
      </c>
      <c r="K2" s="29">
        <f>'Submetering '!Z2</f>
        <v>159</v>
      </c>
      <c r="L2" s="11">
        <v>0</v>
      </c>
      <c r="M2" s="57">
        <f>'FS Seychelles'!B3</f>
        <v>51.79</v>
      </c>
    </row>
    <row r="3" spans="1:13" s="15" customFormat="1">
      <c r="A3" s="1" t="s">
        <v>13</v>
      </c>
      <c r="B3" s="14">
        <f>B2+1</f>
        <v>2</v>
      </c>
      <c r="C3" s="11">
        <v>9</v>
      </c>
      <c r="D3" s="1">
        <v>2021</v>
      </c>
      <c r="E3" s="12">
        <f>'Submetering '!O3+'Submetering '!P3+'Submetering '!Q3+'Submetering '!R3+'Submetering '!S3</f>
        <v>26163</v>
      </c>
      <c r="F3" s="11">
        <f>('FS Seychelles'!R4*'FS Seychelles'!S4)/TOTAL!E3</f>
        <v>0.28269693842449262</v>
      </c>
      <c r="G3" s="12">
        <f>'Submetering '!AB3</f>
        <v>0</v>
      </c>
      <c r="H3" s="11">
        <f>H2</f>
        <v>17.5</v>
      </c>
      <c r="I3" s="12">
        <f>'FS Seychelles'!T4+'FS Seychelles'!V4+'FS Seychelles'!W4+'FS Seychelles'!X4</f>
        <v>471</v>
      </c>
      <c r="J3" s="11">
        <f>J2</f>
        <v>0</v>
      </c>
      <c r="K3" s="29">
        <f>'Submetering '!Z3</f>
        <v>155</v>
      </c>
      <c r="L3" s="11">
        <f>L2</f>
        <v>0</v>
      </c>
      <c r="M3" s="57">
        <f>'FS Seychelles'!B4</f>
        <v>63.79</v>
      </c>
    </row>
    <row r="4" spans="1:13" s="15" customFormat="1">
      <c r="A4" s="1" t="s">
        <v>13</v>
      </c>
      <c r="B4" s="14">
        <f t="shared" ref="B4:B32" si="0">B3+1</f>
        <v>3</v>
      </c>
      <c r="C4" s="11">
        <v>9</v>
      </c>
      <c r="D4" s="1">
        <v>2021</v>
      </c>
      <c r="E4" s="12">
        <f>'Submetering '!O4+'Submetering '!P4+'Submetering '!Q4+'Submetering '!R4+'Submetering '!S4</f>
        <v>26631</v>
      </c>
      <c r="F4" s="11">
        <f>('FS Seychelles'!R5*'FS Seychelles'!S5)/TOTAL!E4</f>
        <v>0.28596935901768616</v>
      </c>
      <c r="G4" s="12">
        <f>'Submetering '!AB4</f>
        <v>0</v>
      </c>
      <c r="H4" s="11">
        <f t="shared" ref="H4:H32" si="1">H3</f>
        <v>17.5</v>
      </c>
      <c r="I4" s="12">
        <f>'FS Seychelles'!T5+'FS Seychelles'!V5+'FS Seychelles'!W5+'FS Seychelles'!X5</f>
        <v>323</v>
      </c>
      <c r="J4" s="11">
        <f t="shared" ref="J4:L32" si="2">J3</f>
        <v>0</v>
      </c>
      <c r="K4" s="29">
        <f>'Submetering '!Z4</f>
        <v>153</v>
      </c>
      <c r="L4" s="11">
        <f t="shared" si="2"/>
        <v>0</v>
      </c>
      <c r="M4" s="57">
        <f>'FS Seychelles'!B5</f>
        <v>62.71</v>
      </c>
    </row>
    <row r="5" spans="1:13" s="15" customFormat="1">
      <c r="A5" s="1" t="s">
        <v>13</v>
      </c>
      <c r="B5" s="14">
        <f t="shared" si="0"/>
        <v>4</v>
      </c>
      <c r="C5" s="11">
        <v>9</v>
      </c>
      <c r="D5" s="1">
        <v>2021</v>
      </c>
      <c r="E5" s="12">
        <f>'Submetering '!O5+'Submetering '!P5+'Submetering '!Q5+'Submetering '!R5+'Submetering '!S5</f>
        <v>26883</v>
      </c>
      <c r="F5" s="11">
        <f>('FS Seychelles'!R6*'FS Seychelles'!S6)/TOTAL!E5</f>
        <v>0.28668675371052338</v>
      </c>
      <c r="G5" s="12">
        <f>'Submetering '!AB5</f>
        <v>0</v>
      </c>
      <c r="H5" s="11">
        <f t="shared" si="1"/>
        <v>17.5</v>
      </c>
      <c r="I5" s="12">
        <f>'FS Seychelles'!T6+'FS Seychelles'!V6+'FS Seychelles'!W6+'FS Seychelles'!X6</f>
        <v>349</v>
      </c>
      <c r="J5" s="11">
        <f t="shared" si="2"/>
        <v>0</v>
      </c>
      <c r="K5" s="29">
        <f>'Submetering '!Z5</f>
        <v>136</v>
      </c>
      <c r="L5" s="11">
        <f t="shared" si="2"/>
        <v>0</v>
      </c>
      <c r="M5" s="57">
        <f>'FS Seychelles'!B6</f>
        <v>40.25</v>
      </c>
    </row>
    <row r="6" spans="1:13" s="15" customFormat="1">
      <c r="A6" s="1" t="s">
        <v>13</v>
      </c>
      <c r="B6" s="14">
        <f t="shared" si="0"/>
        <v>5</v>
      </c>
      <c r="C6" s="11">
        <v>9</v>
      </c>
      <c r="D6" s="1">
        <v>2021</v>
      </c>
      <c r="E6" s="12">
        <f>'Submetering '!O6+'Submetering '!P6+'Submetering '!Q6+'Submetering '!R6+'Submetering '!S6</f>
        <v>26723</v>
      </c>
      <c r="F6" s="11">
        <f>('FS Seychelles'!R7*'FS Seychelles'!S7)/TOTAL!E6</f>
        <v>0.2913501478127456</v>
      </c>
      <c r="G6" s="12">
        <f>'Submetering '!AB6</f>
        <v>0</v>
      </c>
      <c r="H6" s="11">
        <f t="shared" si="1"/>
        <v>17.5</v>
      </c>
      <c r="I6" s="12">
        <f>'FS Seychelles'!T7+'FS Seychelles'!V7+'FS Seychelles'!W7+'FS Seychelles'!X7</f>
        <v>410</v>
      </c>
      <c r="J6" s="11">
        <f t="shared" si="2"/>
        <v>0</v>
      </c>
      <c r="K6" s="29">
        <f>'Submetering '!Z6</f>
        <v>109</v>
      </c>
      <c r="L6" s="11">
        <f t="shared" si="2"/>
        <v>0</v>
      </c>
      <c r="M6" s="57">
        <f>'FS Seychelles'!B7</f>
        <v>37.659999999999997</v>
      </c>
    </row>
    <row r="7" spans="1:13" s="15" customFormat="1">
      <c r="A7" s="1" t="s">
        <v>13</v>
      </c>
      <c r="B7" s="14">
        <f t="shared" si="0"/>
        <v>6</v>
      </c>
      <c r="C7" s="11">
        <v>9</v>
      </c>
      <c r="D7" s="1">
        <v>2021</v>
      </c>
      <c r="E7" s="12">
        <f>'Submetering '!O7+'Submetering '!P7+'Submetering '!Q7+'Submetering '!R7+'Submetering '!S7</f>
        <v>24254</v>
      </c>
      <c r="F7" s="11">
        <f>('FS Seychelles'!R8*'FS Seychelles'!S8)/TOTAL!E7</f>
        <v>0.29105096066628189</v>
      </c>
      <c r="G7" s="12">
        <f>'Submetering '!AB7</f>
        <v>0</v>
      </c>
      <c r="H7" s="11">
        <f t="shared" si="1"/>
        <v>17.5</v>
      </c>
      <c r="I7" s="12">
        <f>'FS Seychelles'!T8+'FS Seychelles'!V8+'FS Seychelles'!W8+'FS Seychelles'!X8</f>
        <v>415</v>
      </c>
      <c r="J7" s="11">
        <f t="shared" si="2"/>
        <v>0</v>
      </c>
      <c r="K7" s="29">
        <f>'Submetering '!Z7</f>
        <v>63</v>
      </c>
      <c r="L7" s="11">
        <f t="shared" si="2"/>
        <v>0</v>
      </c>
      <c r="M7" s="57">
        <f>'FS Seychelles'!B8</f>
        <v>36.36</v>
      </c>
    </row>
    <row r="8" spans="1:13" s="15" customFormat="1">
      <c r="A8" s="1" t="s">
        <v>13</v>
      </c>
      <c r="B8" s="14">
        <f t="shared" si="0"/>
        <v>7</v>
      </c>
      <c r="C8" s="11">
        <v>9</v>
      </c>
      <c r="D8" s="1">
        <v>2021</v>
      </c>
      <c r="E8" s="12">
        <f>'Submetering '!O8+'Submetering '!P8+'Submetering '!Q8+'Submetering '!R8+'Submetering '!S8</f>
        <v>23291</v>
      </c>
      <c r="F8" s="11">
        <f>('FS Seychelles'!R9*'FS Seychelles'!S9)/TOTAL!E8</f>
        <v>0.29073247177021172</v>
      </c>
      <c r="G8" s="12">
        <f>'Submetering '!AB8</f>
        <v>0</v>
      </c>
      <c r="H8" s="11">
        <f t="shared" si="1"/>
        <v>17.5</v>
      </c>
      <c r="I8" s="12">
        <f>'FS Seychelles'!T9+'FS Seychelles'!V9+'FS Seychelles'!W9+'FS Seychelles'!X9</f>
        <v>383</v>
      </c>
      <c r="J8" s="11">
        <f t="shared" si="2"/>
        <v>0</v>
      </c>
      <c r="K8" s="29">
        <f>'Submetering '!Z8</f>
        <v>92</v>
      </c>
      <c r="L8" s="11">
        <f t="shared" si="2"/>
        <v>0</v>
      </c>
      <c r="M8" s="57">
        <f>'FS Seychelles'!B9</f>
        <v>36.36</v>
      </c>
    </row>
    <row r="9" spans="1:13" s="15" customFormat="1">
      <c r="A9" s="1" t="s">
        <v>13</v>
      </c>
      <c r="B9" s="14">
        <f t="shared" si="0"/>
        <v>8</v>
      </c>
      <c r="C9" s="11">
        <v>9</v>
      </c>
      <c r="D9" s="1">
        <v>2021</v>
      </c>
      <c r="E9" s="12">
        <f>'Submetering '!O9+'Submetering '!P9+'Submetering '!Q9+'Submetering '!R9+'Submetering '!S9</f>
        <v>21669</v>
      </c>
      <c r="F9" s="11">
        <f>('FS Seychelles'!R10*'FS Seychelles'!S10)/TOTAL!E9</f>
        <v>0.33415478333102588</v>
      </c>
      <c r="G9" s="12">
        <f>'Submetering '!AB9</f>
        <v>0</v>
      </c>
      <c r="H9" s="11">
        <f t="shared" si="1"/>
        <v>17.5</v>
      </c>
      <c r="I9" s="12">
        <f>'FS Seychelles'!T10+'FS Seychelles'!V10+'FS Seychelles'!W10+'FS Seychelles'!X10</f>
        <v>416</v>
      </c>
      <c r="J9" s="11">
        <f t="shared" si="2"/>
        <v>0</v>
      </c>
      <c r="K9" s="29">
        <f>'Submetering '!Z9</f>
        <v>102</v>
      </c>
      <c r="L9" s="11">
        <f t="shared" si="2"/>
        <v>0</v>
      </c>
      <c r="M9" s="57">
        <f>'FS Seychelles'!B10</f>
        <v>33.770000000000003</v>
      </c>
    </row>
    <row r="10" spans="1:13" s="15" customFormat="1">
      <c r="A10" s="1" t="s">
        <v>13</v>
      </c>
      <c r="B10" s="14">
        <f t="shared" si="0"/>
        <v>9</v>
      </c>
      <c r="C10" s="11">
        <v>9</v>
      </c>
      <c r="D10" s="1">
        <v>2021</v>
      </c>
      <c r="E10" s="12">
        <f>'Submetering '!O10+'Submetering '!P10+'Submetering '!Q10+'Submetering '!R10+'Submetering '!S10</f>
        <v>22531</v>
      </c>
      <c r="F10" s="11">
        <f>('FS Seychelles'!R11*'FS Seychelles'!S11)/TOTAL!E10</f>
        <v>0.29238382672761976</v>
      </c>
      <c r="G10" s="12">
        <f>'Submetering '!AB10</f>
        <v>0</v>
      </c>
      <c r="H10" s="11">
        <f t="shared" si="1"/>
        <v>17.5</v>
      </c>
      <c r="I10" s="12">
        <f>'FS Seychelles'!T11+'FS Seychelles'!V11+'FS Seychelles'!W11+'FS Seychelles'!X11</f>
        <v>361</v>
      </c>
      <c r="J10" s="11">
        <f t="shared" si="2"/>
        <v>0</v>
      </c>
      <c r="K10" s="29">
        <f>'Submetering '!Z10</f>
        <v>111</v>
      </c>
      <c r="L10" s="11">
        <f t="shared" si="2"/>
        <v>0</v>
      </c>
      <c r="M10" s="57">
        <f>'FS Seychelles'!B11</f>
        <v>45.33</v>
      </c>
    </row>
    <row r="11" spans="1:13" s="15" customFormat="1">
      <c r="A11" s="1" t="s">
        <v>13</v>
      </c>
      <c r="B11" s="14">
        <f t="shared" si="0"/>
        <v>10</v>
      </c>
      <c r="C11" s="11">
        <v>9</v>
      </c>
      <c r="D11" s="1">
        <v>2021</v>
      </c>
      <c r="E11" s="12">
        <f>'Submetering '!O11+'Submetering '!P11+'Submetering '!Q11+'Submetering '!R11+'Submetering '!S11</f>
        <v>24443</v>
      </c>
      <c r="F11" s="11">
        <f>('FS Seychelles'!R12*'FS Seychelles'!S12)/TOTAL!E11</f>
        <v>0.47669475923577304</v>
      </c>
      <c r="G11" s="12">
        <f>'Submetering '!AB11</f>
        <v>0</v>
      </c>
      <c r="H11" s="11">
        <f t="shared" si="1"/>
        <v>17.5</v>
      </c>
      <c r="I11" s="12">
        <f>'FS Seychelles'!T12+'FS Seychelles'!V12+'FS Seychelles'!W12+'FS Seychelles'!X12</f>
        <v>309</v>
      </c>
      <c r="J11" s="11">
        <f t="shared" si="2"/>
        <v>0</v>
      </c>
      <c r="K11" s="29">
        <f>'Submetering '!Z11</f>
        <v>104</v>
      </c>
      <c r="L11" s="11">
        <f t="shared" si="2"/>
        <v>0</v>
      </c>
      <c r="M11" s="57">
        <f>'FS Seychelles'!B12</f>
        <v>39.74</v>
      </c>
    </row>
    <row r="12" spans="1:13" s="15" customFormat="1">
      <c r="A12" s="1" t="s">
        <v>13</v>
      </c>
      <c r="B12" s="14">
        <f t="shared" si="0"/>
        <v>11</v>
      </c>
      <c r="C12" s="11">
        <v>9</v>
      </c>
      <c r="D12" s="1">
        <v>2021</v>
      </c>
      <c r="E12" s="12">
        <f>'Submetering '!O12+'Submetering '!P12+'Submetering '!Q12+'Submetering '!R12+'Submetering '!S12</f>
        <v>22754</v>
      </c>
      <c r="F12" s="11">
        <f>('FS Seychelles'!R13*'FS Seychelles'!S13)/TOTAL!E12</f>
        <v>0.29404060824470424</v>
      </c>
      <c r="G12" s="12">
        <f>'Submetering '!AB12</f>
        <v>0</v>
      </c>
      <c r="H12" s="11">
        <f t="shared" si="1"/>
        <v>17.5</v>
      </c>
      <c r="I12" s="12">
        <f>'FS Seychelles'!T13+'FS Seychelles'!V13+'FS Seychelles'!W13+'FS Seychelles'!X13</f>
        <v>324</v>
      </c>
      <c r="J12" s="11">
        <f t="shared" si="2"/>
        <v>0</v>
      </c>
      <c r="K12" s="29">
        <f>'Submetering '!Z12</f>
        <v>78</v>
      </c>
      <c r="L12" s="11">
        <f t="shared" si="2"/>
        <v>0</v>
      </c>
      <c r="M12" s="57">
        <f>'FS Seychelles'!B13</f>
        <v>44.74</v>
      </c>
    </row>
    <row r="13" spans="1:13" s="15" customFormat="1">
      <c r="A13" s="1" t="s">
        <v>13</v>
      </c>
      <c r="B13" s="14">
        <f t="shared" si="0"/>
        <v>12</v>
      </c>
      <c r="C13" s="11">
        <v>9</v>
      </c>
      <c r="D13" s="1">
        <v>2021</v>
      </c>
      <c r="E13" s="12">
        <f>'Submetering '!O13+'Submetering '!P13+'Submetering '!Q13+'Submetering '!R13+'Submetering '!S13</f>
        <v>0</v>
      </c>
      <c r="F13" s="11" t="e">
        <f>('FS Seychelles'!R14*'FS Seychelles'!S14)/TOTAL!E13</f>
        <v>#DIV/0!</v>
      </c>
      <c r="G13" s="12">
        <f>'Submetering '!AB13</f>
        <v>0</v>
      </c>
      <c r="H13" s="11">
        <f t="shared" si="1"/>
        <v>17.5</v>
      </c>
      <c r="I13" s="12">
        <f>'FS Seychelles'!T14+'FS Seychelles'!V14+'FS Seychelles'!W14+'FS Seychelles'!X14</f>
        <v>342</v>
      </c>
      <c r="J13" s="11">
        <f t="shared" si="2"/>
        <v>0</v>
      </c>
      <c r="K13" s="29">
        <f>'Submetering '!Z13</f>
        <v>38</v>
      </c>
      <c r="L13" s="11">
        <f t="shared" si="2"/>
        <v>0</v>
      </c>
      <c r="M13" s="57">
        <f>'FS Seychelles'!B14</f>
        <v>40.26</v>
      </c>
    </row>
    <row r="14" spans="1:13" s="15" customFormat="1">
      <c r="A14" s="1" t="s">
        <v>13</v>
      </c>
      <c r="B14" s="14">
        <f t="shared" si="0"/>
        <v>13</v>
      </c>
      <c r="C14" s="11">
        <v>9</v>
      </c>
      <c r="D14" s="1">
        <v>2021</v>
      </c>
      <c r="E14" s="12">
        <f>'Submetering '!O14+'Submetering '!P14+'Submetering '!Q14+'Submetering '!R14+'Submetering '!S14</f>
        <v>24613</v>
      </c>
      <c r="F14" s="11">
        <f>('FS Seychelles'!R15*'FS Seychelles'!S15)/TOTAL!E14</f>
        <v>0.30865152561654413</v>
      </c>
      <c r="G14" s="12">
        <f>'Submetering '!AB14</f>
        <v>0</v>
      </c>
      <c r="H14" s="11">
        <f t="shared" si="1"/>
        <v>17.5</v>
      </c>
      <c r="I14" s="12">
        <f>'FS Seychelles'!T15+'FS Seychelles'!V15+'FS Seychelles'!W15+'FS Seychelles'!X15</f>
        <v>401</v>
      </c>
      <c r="J14" s="11">
        <f t="shared" si="2"/>
        <v>0</v>
      </c>
      <c r="K14" s="29">
        <f>'Submetering '!Z14</f>
        <v>54</v>
      </c>
      <c r="L14" s="11">
        <f t="shared" si="2"/>
        <v>0</v>
      </c>
      <c r="M14" s="57">
        <f>'FS Seychelles'!B15</f>
        <v>50.65</v>
      </c>
    </row>
    <row r="15" spans="1:13" s="15" customFormat="1">
      <c r="A15" s="1" t="s">
        <v>13</v>
      </c>
      <c r="B15" s="14">
        <f t="shared" si="0"/>
        <v>14</v>
      </c>
      <c r="C15" s="11">
        <v>9</v>
      </c>
      <c r="D15" s="1">
        <v>2021</v>
      </c>
      <c r="E15" s="12">
        <f>'Submetering '!O15+'Submetering '!P15+'Submetering '!Q15+'Submetering '!R15+'Submetering '!S15</f>
        <v>24683</v>
      </c>
      <c r="F15" s="11">
        <f>('FS Seychelles'!R16*'FS Seychelles'!S16)/TOTAL!E15</f>
        <v>0.32333589920187988</v>
      </c>
      <c r="G15" s="12">
        <f>'Submetering '!AB15</f>
        <v>0</v>
      </c>
      <c r="H15" s="11">
        <f t="shared" si="1"/>
        <v>17.5</v>
      </c>
      <c r="I15" s="12">
        <f>'FS Seychelles'!T16+'FS Seychelles'!V16+'FS Seychelles'!W16+'FS Seychelles'!X16</f>
        <v>364</v>
      </c>
      <c r="J15" s="11">
        <f t="shared" si="2"/>
        <v>0</v>
      </c>
      <c r="K15" s="29">
        <f>'Submetering '!Z15</f>
        <v>78</v>
      </c>
      <c r="L15" s="11">
        <f t="shared" si="2"/>
        <v>0</v>
      </c>
      <c r="M15" s="57">
        <f>'FS Seychelles'!B16</f>
        <v>46.75</v>
      </c>
    </row>
    <row r="16" spans="1:13" s="15" customFormat="1">
      <c r="A16" s="1" t="s">
        <v>13</v>
      </c>
      <c r="B16" s="14">
        <f t="shared" si="0"/>
        <v>15</v>
      </c>
      <c r="C16" s="11">
        <v>9</v>
      </c>
      <c r="D16" s="1">
        <v>2021</v>
      </c>
      <c r="E16" s="12">
        <f>'Submetering '!O16+'Submetering '!P16+'Submetering '!Q16+'Submetering '!R16+'Submetering '!S16</f>
        <v>24346</v>
      </c>
      <c r="F16" s="11">
        <f>('FS Seychelles'!R17*'FS Seychelles'!S17)/TOTAL!E16</f>
        <v>0</v>
      </c>
      <c r="G16" s="12">
        <f>'Submetering '!AB16</f>
        <v>0</v>
      </c>
      <c r="H16" s="11">
        <f t="shared" si="1"/>
        <v>17.5</v>
      </c>
      <c r="I16" s="12">
        <f>'FS Seychelles'!T17+'FS Seychelles'!V17+'FS Seychelles'!W17+'FS Seychelles'!X17</f>
        <v>0</v>
      </c>
      <c r="J16" s="11">
        <f t="shared" si="2"/>
        <v>0</v>
      </c>
      <c r="K16" s="29">
        <f>'Submetering '!Z16</f>
        <v>0</v>
      </c>
      <c r="L16" s="11">
        <f t="shared" si="2"/>
        <v>0</v>
      </c>
      <c r="M16" s="57">
        <f>'FS Seychelles'!B17</f>
        <v>50.64</v>
      </c>
    </row>
    <row r="17" spans="1:13" s="15" customFormat="1">
      <c r="A17" s="1" t="s">
        <v>13</v>
      </c>
      <c r="B17" s="14">
        <f t="shared" si="0"/>
        <v>16</v>
      </c>
      <c r="C17" s="11">
        <v>9</v>
      </c>
      <c r="D17" s="1">
        <v>2021</v>
      </c>
      <c r="E17" s="12">
        <f>'Submetering '!O17+'Submetering '!P17+'Submetering '!Q17+'Submetering '!R17+'Submetering '!S17</f>
        <v>0</v>
      </c>
      <c r="F17" s="11" t="e">
        <f>('FS Seychelles'!R18*'FS Seychelles'!S18)/TOTAL!E17</f>
        <v>#DIV/0!</v>
      </c>
      <c r="G17" s="12">
        <f>'Submetering '!AB17</f>
        <v>0</v>
      </c>
      <c r="H17" s="11">
        <f t="shared" si="1"/>
        <v>17.5</v>
      </c>
      <c r="I17" s="12">
        <f>'FS Seychelles'!T18+'FS Seychelles'!V18+'FS Seychelles'!W18+'FS Seychelles'!X18</f>
        <v>0</v>
      </c>
      <c r="J17" s="11">
        <f t="shared" si="2"/>
        <v>0</v>
      </c>
      <c r="K17" s="29">
        <f>'Submetering '!Z17</f>
        <v>0</v>
      </c>
      <c r="L17" s="11">
        <f t="shared" si="2"/>
        <v>0</v>
      </c>
      <c r="M17" s="57">
        <f>'FS Seychelles'!B18</f>
        <v>0</v>
      </c>
    </row>
    <row r="18" spans="1:13" s="15" customFormat="1">
      <c r="A18" s="1" t="s">
        <v>13</v>
      </c>
      <c r="B18" s="14">
        <f t="shared" si="0"/>
        <v>17</v>
      </c>
      <c r="C18" s="11">
        <v>9</v>
      </c>
      <c r="D18" s="1">
        <v>2021</v>
      </c>
      <c r="E18" s="12">
        <f>'Submetering '!O18+'Submetering '!P18+'Submetering '!Q18+'Submetering '!R18+'Submetering '!S18</f>
        <v>0</v>
      </c>
      <c r="F18" s="11" t="e">
        <f>('FS Seychelles'!R19*'FS Seychelles'!S19)/TOTAL!E18</f>
        <v>#DIV/0!</v>
      </c>
      <c r="G18" s="12">
        <f>'Submetering '!AB18</f>
        <v>0</v>
      </c>
      <c r="H18" s="11">
        <f t="shared" si="1"/>
        <v>17.5</v>
      </c>
      <c r="I18" s="12">
        <f>'FS Seychelles'!T19+'FS Seychelles'!V19+'FS Seychelles'!W19+'FS Seychelles'!X19</f>
        <v>0</v>
      </c>
      <c r="J18" s="11">
        <f t="shared" si="2"/>
        <v>0</v>
      </c>
      <c r="K18" s="29">
        <f>'Submetering '!Z18</f>
        <v>0</v>
      </c>
      <c r="L18" s="11">
        <f t="shared" si="2"/>
        <v>0</v>
      </c>
      <c r="M18" s="57">
        <f>'FS Seychelles'!B19</f>
        <v>0</v>
      </c>
    </row>
    <row r="19" spans="1:13" s="15" customFormat="1">
      <c r="A19" s="1" t="s">
        <v>13</v>
      </c>
      <c r="B19" s="14">
        <f t="shared" si="0"/>
        <v>18</v>
      </c>
      <c r="C19" s="11">
        <v>9</v>
      </c>
      <c r="D19" s="1">
        <v>2021</v>
      </c>
      <c r="E19" s="12">
        <f>'Submetering '!O19+'Submetering '!P19+'Submetering '!Q19+'Submetering '!R19+'Submetering '!S19</f>
        <v>0</v>
      </c>
      <c r="F19" s="11" t="e">
        <f>('FS Seychelles'!R20*'FS Seychelles'!S20)/TOTAL!E19</f>
        <v>#DIV/0!</v>
      </c>
      <c r="G19" s="12">
        <f>'Submetering '!AB19</f>
        <v>0</v>
      </c>
      <c r="H19" s="11">
        <f t="shared" si="1"/>
        <v>17.5</v>
      </c>
      <c r="I19" s="12">
        <f>'FS Seychelles'!T20+'FS Seychelles'!V20+'FS Seychelles'!W20+'FS Seychelles'!X20</f>
        <v>0</v>
      </c>
      <c r="J19" s="11">
        <f t="shared" si="2"/>
        <v>0</v>
      </c>
      <c r="K19" s="29">
        <f>'Submetering '!Z19</f>
        <v>0</v>
      </c>
      <c r="L19" s="11">
        <f t="shared" si="2"/>
        <v>0</v>
      </c>
      <c r="M19" s="57">
        <f>'FS Seychelles'!B20</f>
        <v>0</v>
      </c>
    </row>
    <row r="20" spans="1:13" s="15" customFormat="1">
      <c r="A20" s="1" t="s">
        <v>13</v>
      </c>
      <c r="B20" s="14">
        <f t="shared" si="0"/>
        <v>19</v>
      </c>
      <c r="C20" s="11">
        <v>9</v>
      </c>
      <c r="D20" s="1">
        <v>2021</v>
      </c>
      <c r="E20" s="12">
        <f>'Submetering '!O20+'Submetering '!P20+'Submetering '!Q20+'Submetering '!R20+'Submetering '!S20</f>
        <v>0</v>
      </c>
      <c r="F20" s="11" t="e">
        <f>('FS Seychelles'!R21*'FS Seychelles'!S21)/TOTAL!E20</f>
        <v>#DIV/0!</v>
      </c>
      <c r="G20" s="12">
        <f>'Submetering '!AB20</f>
        <v>0</v>
      </c>
      <c r="H20" s="11">
        <f t="shared" si="1"/>
        <v>17.5</v>
      </c>
      <c r="I20" s="12">
        <f>'FS Seychelles'!T21+'FS Seychelles'!V21+'FS Seychelles'!W21+'FS Seychelles'!X21</f>
        <v>0</v>
      </c>
      <c r="J20" s="11">
        <f t="shared" si="2"/>
        <v>0</v>
      </c>
      <c r="K20" s="29">
        <f>'Submetering '!Z20</f>
        <v>0</v>
      </c>
      <c r="L20" s="11">
        <f t="shared" si="2"/>
        <v>0</v>
      </c>
      <c r="M20" s="57">
        <f>'FS Seychelles'!B21</f>
        <v>0</v>
      </c>
    </row>
    <row r="21" spans="1:13" s="15" customFormat="1">
      <c r="A21" s="1" t="s">
        <v>13</v>
      </c>
      <c r="B21" s="14">
        <f t="shared" si="0"/>
        <v>20</v>
      </c>
      <c r="C21" s="11">
        <v>9</v>
      </c>
      <c r="D21" s="1">
        <v>2021</v>
      </c>
      <c r="E21" s="12">
        <f>'Submetering '!O21+'Submetering '!P21+'Submetering '!Q21+'Submetering '!R21+'Submetering '!S21</f>
        <v>0</v>
      </c>
      <c r="F21" s="11" t="e">
        <f>('FS Seychelles'!R22*'FS Seychelles'!S22)/TOTAL!E21</f>
        <v>#DIV/0!</v>
      </c>
      <c r="G21" s="12">
        <f>'Submetering '!AB21</f>
        <v>0</v>
      </c>
      <c r="H21" s="11">
        <f t="shared" si="1"/>
        <v>17.5</v>
      </c>
      <c r="I21" s="12">
        <f>'FS Seychelles'!T22+'FS Seychelles'!V22+'FS Seychelles'!W22+'FS Seychelles'!X22</f>
        <v>0</v>
      </c>
      <c r="J21" s="11">
        <f t="shared" si="2"/>
        <v>0</v>
      </c>
      <c r="K21" s="29">
        <f>'Submetering '!Z21</f>
        <v>0</v>
      </c>
      <c r="L21" s="11">
        <f t="shared" si="2"/>
        <v>0</v>
      </c>
      <c r="M21" s="57">
        <f>'FS Seychelles'!B22</f>
        <v>0</v>
      </c>
    </row>
    <row r="22" spans="1:13" s="15" customFormat="1">
      <c r="A22" s="1" t="s">
        <v>13</v>
      </c>
      <c r="B22" s="14">
        <f t="shared" si="0"/>
        <v>21</v>
      </c>
      <c r="C22" s="11">
        <v>9</v>
      </c>
      <c r="D22" s="1">
        <v>2021</v>
      </c>
      <c r="E22" s="12">
        <f>'Submetering '!O22+'Submetering '!P22+'Submetering '!Q22+'Submetering '!R22+'Submetering '!S22</f>
        <v>0</v>
      </c>
      <c r="F22" s="11" t="e">
        <f>('FS Seychelles'!R23*'FS Seychelles'!S23)/TOTAL!E22</f>
        <v>#DIV/0!</v>
      </c>
      <c r="G22" s="12">
        <f>'Submetering '!AB22</f>
        <v>0</v>
      </c>
      <c r="H22" s="11">
        <f t="shared" si="1"/>
        <v>17.5</v>
      </c>
      <c r="I22" s="12">
        <f>'FS Seychelles'!T23+'FS Seychelles'!V23+'FS Seychelles'!W23+'FS Seychelles'!X23</f>
        <v>0</v>
      </c>
      <c r="J22" s="11">
        <f t="shared" si="2"/>
        <v>0</v>
      </c>
      <c r="K22" s="29">
        <f>'Submetering '!Z22</f>
        <v>0</v>
      </c>
      <c r="L22" s="11">
        <f t="shared" si="2"/>
        <v>0</v>
      </c>
      <c r="M22" s="57">
        <f>'FS Seychelles'!B23</f>
        <v>0</v>
      </c>
    </row>
    <row r="23" spans="1:13" s="15" customFormat="1">
      <c r="A23" s="1" t="s">
        <v>13</v>
      </c>
      <c r="B23" s="14">
        <f t="shared" si="0"/>
        <v>22</v>
      </c>
      <c r="C23" s="11">
        <v>9</v>
      </c>
      <c r="D23" s="1">
        <v>2021</v>
      </c>
      <c r="E23" s="12">
        <f>'Submetering '!O23+'Submetering '!P23+'Submetering '!Q23+'Submetering '!R23+'Submetering '!S23</f>
        <v>0</v>
      </c>
      <c r="F23" s="11" t="e">
        <f>('FS Seychelles'!R24*'FS Seychelles'!S24)/TOTAL!E23</f>
        <v>#DIV/0!</v>
      </c>
      <c r="G23" s="12">
        <f>'Submetering '!AB23</f>
        <v>0</v>
      </c>
      <c r="H23" s="11">
        <f t="shared" si="1"/>
        <v>17.5</v>
      </c>
      <c r="I23" s="12">
        <f>'FS Seychelles'!T24+'FS Seychelles'!V24+'FS Seychelles'!W24+'FS Seychelles'!X24</f>
        <v>0</v>
      </c>
      <c r="J23" s="11">
        <f t="shared" si="2"/>
        <v>0</v>
      </c>
      <c r="K23" s="29">
        <f>'Submetering '!Z23</f>
        <v>0</v>
      </c>
      <c r="L23" s="11">
        <f t="shared" si="2"/>
        <v>0</v>
      </c>
      <c r="M23" s="57">
        <f>'FS Seychelles'!B24</f>
        <v>0</v>
      </c>
    </row>
    <row r="24" spans="1:13" s="15" customFormat="1">
      <c r="A24" s="1" t="s">
        <v>13</v>
      </c>
      <c r="B24" s="14">
        <f t="shared" si="0"/>
        <v>23</v>
      </c>
      <c r="C24" s="11">
        <v>9</v>
      </c>
      <c r="D24" s="1">
        <v>2021</v>
      </c>
      <c r="E24" s="12">
        <f>'Submetering '!O24+'Submetering '!P24+'Submetering '!Q24+'Submetering '!R24+'Submetering '!S24</f>
        <v>0</v>
      </c>
      <c r="F24" s="11" t="e">
        <f>('FS Seychelles'!R25*'FS Seychelles'!S25)/TOTAL!E24</f>
        <v>#DIV/0!</v>
      </c>
      <c r="G24" s="12">
        <f>'Submetering '!AB24</f>
        <v>0</v>
      </c>
      <c r="H24" s="11">
        <f t="shared" si="1"/>
        <v>17.5</v>
      </c>
      <c r="I24" s="12">
        <f>'FS Seychelles'!T25+'FS Seychelles'!V25+'FS Seychelles'!W25+'FS Seychelles'!X25</f>
        <v>0</v>
      </c>
      <c r="J24" s="11">
        <f t="shared" si="2"/>
        <v>0</v>
      </c>
      <c r="K24" s="29">
        <f>'Submetering '!Z24</f>
        <v>0</v>
      </c>
      <c r="L24" s="11">
        <f t="shared" si="2"/>
        <v>0</v>
      </c>
      <c r="M24" s="57">
        <f>'FS Seychelles'!B25</f>
        <v>0</v>
      </c>
    </row>
    <row r="25" spans="1:13" s="15" customFormat="1">
      <c r="A25" s="1" t="s">
        <v>13</v>
      </c>
      <c r="B25" s="14">
        <f t="shared" si="0"/>
        <v>24</v>
      </c>
      <c r="C25" s="11">
        <v>9</v>
      </c>
      <c r="D25" s="1">
        <v>2021</v>
      </c>
      <c r="E25" s="12">
        <f>'Submetering '!O25+'Submetering '!P25+'Submetering '!Q25+'Submetering '!R25+'Submetering '!S25</f>
        <v>0</v>
      </c>
      <c r="F25" s="11" t="e">
        <f>('FS Seychelles'!R26*'FS Seychelles'!S26)/TOTAL!E25</f>
        <v>#DIV/0!</v>
      </c>
      <c r="G25" s="12">
        <f>'Submetering '!AB25</f>
        <v>0</v>
      </c>
      <c r="H25" s="11">
        <f t="shared" si="1"/>
        <v>17.5</v>
      </c>
      <c r="I25" s="12">
        <f>'FS Seychelles'!T26+'FS Seychelles'!V26+'FS Seychelles'!W26+'FS Seychelles'!X26</f>
        <v>0</v>
      </c>
      <c r="J25" s="11">
        <f t="shared" si="2"/>
        <v>0</v>
      </c>
      <c r="K25" s="29">
        <f>'Submetering '!Z25</f>
        <v>0</v>
      </c>
      <c r="L25" s="11">
        <f t="shared" si="2"/>
        <v>0</v>
      </c>
      <c r="M25" s="57">
        <f>'FS Seychelles'!B26</f>
        <v>0</v>
      </c>
    </row>
    <row r="26" spans="1:13" s="15" customFormat="1">
      <c r="A26" s="1" t="s">
        <v>13</v>
      </c>
      <c r="B26" s="14">
        <f>B25+1</f>
        <v>25</v>
      </c>
      <c r="C26" s="11">
        <v>9</v>
      </c>
      <c r="D26" s="1">
        <v>2021</v>
      </c>
      <c r="E26" s="12">
        <f>'Submetering '!O26+'Submetering '!P26+'Submetering '!Q26+'Submetering '!R26+'Submetering '!S26</f>
        <v>0</v>
      </c>
      <c r="F26" s="11" t="e">
        <f>('FS Seychelles'!R27*'FS Seychelles'!S27)/TOTAL!E26</f>
        <v>#DIV/0!</v>
      </c>
      <c r="G26" s="12">
        <f>'Submetering '!AB26</f>
        <v>0</v>
      </c>
      <c r="H26" s="11">
        <f t="shared" si="1"/>
        <v>17.5</v>
      </c>
      <c r="I26" s="12">
        <f>'FS Seychelles'!T27+'FS Seychelles'!V27+'FS Seychelles'!W27+'FS Seychelles'!X27</f>
        <v>0</v>
      </c>
      <c r="J26" s="11">
        <f t="shared" si="2"/>
        <v>0</v>
      </c>
      <c r="K26" s="29">
        <f>'Submetering '!Z26</f>
        <v>0</v>
      </c>
      <c r="L26" s="11">
        <f t="shared" si="2"/>
        <v>0</v>
      </c>
      <c r="M26" s="57">
        <f>'FS Seychelles'!B27</f>
        <v>0</v>
      </c>
    </row>
    <row r="27" spans="1:13" s="15" customFormat="1">
      <c r="A27" s="1" t="s">
        <v>13</v>
      </c>
      <c r="B27" s="14">
        <f t="shared" si="0"/>
        <v>26</v>
      </c>
      <c r="C27" s="11">
        <v>9</v>
      </c>
      <c r="D27" s="1">
        <v>2021</v>
      </c>
      <c r="E27" s="12">
        <f>'Submetering '!O27+'Submetering '!P27+'Submetering '!Q27+'Submetering '!R27+'Submetering '!S27</f>
        <v>0</v>
      </c>
      <c r="F27" s="11" t="e">
        <f>('FS Seychelles'!R28*'FS Seychelles'!S28)/TOTAL!E27</f>
        <v>#DIV/0!</v>
      </c>
      <c r="G27" s="12">
        <f>'Submetering '!AB27</f>
        <v>0</v>
      </c>
      <c r="H27" s="11">
        <f t="shared" si="1"/>
        <v>17.5</v>
      </c>
      <c r="I27" s="12">
        <f>'FS Seychelles'!T28+'FS Seychelles'!V28+'FS Seychelles'!W28+'FS Seychelles'!X28</f>
        <v>0</v>
      </c>
      <c r="J27" s="11">
        <f t="shared" si="2"/>
        <v>0</v>
      </c>
      <c r="K27" s="29">
        <f>'Submetering '!Z27</f>
        <v>0</v>
      </c>
      <c r="L27" s="11">
        <f t="shared" si="2"/>
        <v>0</v>
      </c>
      <c r="M27" s="57">
        <f>'FS Seychelles'!B28</f>
        <v>0</v>
      </c>
    </row>
    <row r="28" spans="1:13" s="15" customFormat="1">
      <c r="A28" s="1" t="s">
        <v>13</v>
      </c>
      <c r="B28" s="14">
        <f t="shared" si="0"/>
        <v>27</v>
      </c>
      <c r="C28" s="11">
        <v>9</v>
      </c>
      <c r="D28" s="1">
        <v>2021</v>
      </c>
      <c r="E28" s="12">
        <f>'Submetering '!O28+'Submetering '!P28+'Submetering '!Q28+'Submetering '!R28+'Submetering '!S28</f>
        <v>0</v>
      </c>
      <c r="F28" s="11" t="e">
        <f>('FS Seychelles'!R29*'FS Seychelles'!S29)/TOTAL!E28</f>
        <v>#DIV/0!</v>
      </c>
      <c r="G28" s="12">
        <f>'Submetering '!AB28</f>
        <v>0</v>
      </c>
      <c r="H28" s="11">
        <f t="shared" si="1"/>
        <v>17.5</v>
      </c>
      <c r="I28" s="12">
        <f>'FS Seychelles'!T29+'FS Seychelles'!V29+'FS Seychelles'!W29+'FS Seychelles'!X29</f>
        <v>0</v>
      </c>
      <c r="J28" s="11">
        <f t="shared" si="2"/>
        <v>0</v>
      </c>
      <c r="K28" s="29">
        <f>'Submetering '!Z28</f>
        <v>0</v>
      </c>
      <c r="L28" s="11">
        <f t="shared" si="2"/>
        <v>0</v>
      </c>
      <c r="M28" s="57">
        <f>'FS Seychelles'!B29</f>
        <v>0</v>
      </c>
    </row>
    <row r="29" spans="1:13" s="15" customFormat="1">
      <c r="A29" s="1" t="s">
        <v>13</v>
      </c>
      <c r="B29" s="14">
        <f t="shared" si="0"/>
        <v>28</v>
      </c>
      <c r="C29" s="11">
        <v>9</v>
      </c>
      <c r="D29" s="1">
        <v>2021</v>
      </c>
      <c r="E29" s="12">
        <f>'Submetering '!O29+'Submetering '!P29+'Submetering '!Q29+'Submetering '!R29+'Submetering '!S29</f>
        <v>0</v>
      </c>
      <c r="F29" s="11" t="e">
        <f>('FS Seychelles'!R30*'FS Seychelles'!S30)/TOTAL!E29</f>
        <v>#DIV/0!</v>
      </c>
      <c r="G29" s="12">
        <f>'Submetering '!AB29</f>
        <v>0</v>
      </c>
      <c r="H29" s="11">
        <f t="shared" si="1"/>
        <v>17.5</v>
      </c>
      <c r="I29" s="12">
        <f>'FS Seychelles'!T30+'FS Seychelles'!V30+'FS Seychelles'!W30+'FS Seychelles'!X30</f>
        <v>0</v>
      </c>
      <c r="J29" s="11">
        <f t="shared" si="2"/>
        <v>0</v>
      </c>
      <c r="K29" s="29">
        <f>'Submetering '!Z29</f>
        <v>0</v>
      </c>
      <c r="L29" s="11">
        <f t="shared" si="2"/>
        <v>0</v>
      </c>
      <c r="M29" s="57">
        <f>'FS Seychelles'!B30</f>
        <v>0</v>
      </c>
    </row>
    <row r="30" spans="1:13" s="15" customFormat="1">
      <c r="A30" s="1" t="s">
        <v>13</v>
      </c>
      <c r="B30" s="14">
        <f t="shared" si="0"/>
        <v>29</v>
      </c>
      <c r="C30" s="11">
        <v>9</v>
      </c>
      <c r="D30" s="1">
        <v>2021</v>
      </c>
      <c r="E30" s="12">
        <f>'Submetering '!O30+'Submetering '!P30+'Submetering '!Q30+'Submetering '!R30+'Submetering '!S30</f>
        <v>0</v>
      </c>
      <c r="F30" s="11" t="e">
        <f>('FS Seychelles'!R31*'FS Seychelles'!S31)/TOTAL!E30</f>
        <v>#DIV/0!</v>
      </c>
      <c r="G30" s="12">
        <f>'Submetering '!AB30</f>
        <v>0</v>
      </c>
      <c r="H30" s="11">
        <f t="shared" si="1"/>
        <v>17.5</v>
      </c>
      <c r="I30" s="12">
        <f>'FS Seychelles'!T31+'FS Seychelles'!V31+'FS Seychelles'!W31+'FS Seychelles'!X31</f>
        <v>0</v>
      </c>
      <c r="J30" s="11">
        <f t="shared" si="2"/>
        <v>0</v>
      </c>
      <c r="K30" s="29">
        <f>'Submetering '!Z30</f>
        <v>0</v>
      </c>
      <c r="L30" s="11">
        <f t="shared" si="2"/>
        <v>0</v>
      </c>
      <c r="M30" s="57">
        <f>'FS Seychelles'!B31</f>
        <v>0</v>
      </c>
    </row>
    <row r="31" spans="1:13" s="13" customFormat="1">
      <c r="A31" s="1" t="s">
        <v>13</v>
      </c>
      <c r="B31" s="14">
        <f t="shared" si="0"/>
        <v>30</v>
      </c>
      <c r="C31" s="11">
        <v>9</v>
      </c>
      <c r="D31" s="1">
        <v>2021</v>
      </c>
      <c r="E31" s="12">
        <f>'Submetering '!O31+'Submetering '!P31+'Submetering '!Q31+'Submetering '!R31+'Submetering '!S31</f>
        <v>0</v>
      </c>
      <c r="F31" s="11" t="e">
        <f>('FS Seychelles'!R32*'FS Seychelles'!S32)/TOTAL!E31</f>
        <v>#DIV/0!</v>
      </c>
      <c r="G31" s="12">
        <f>'Submetering '!AB31</f>
        <v>0</v>
      </c>
      <c r="H31" s="11">
        <f t="shared" si="1"/>
        <v>17.5</v>
      </c>
      <c r="I31" s="12">
        <f>'FS Seychelles'!T32+'FS Seychelles'!V32+'FS Seychelles'!W32+'FS Seychelles'!X32</f>
        <v>0</v>
      </c>
      <c r="J31" s="11">
        <f t="shared" si="2"/>
        <v>0</v>
      </c>
      <c r="K31" s="29">
        <f>'Submetering '!Z31</f>
        <v>0</v>
      </c>
      <c r="L31" s="11">
        <f t="shared" si="2"/>
        <v>0</v>
      </c>
      <c r="M31" s="57">
        <f>'FS Seychelles'!B32</f>
        <v>0</v>
      </c>
    </row>
    <row r="32" spans="1:13">
      <c r="A32" s="1" t="s">
        <v>13</v>
      </c>
      <c r="B32" s="14"/>
      <c r="C32" s="11"/>
      <c r="D32" s="1">
        <v>2021</v>
      </c>
      <c r="E32" s="12">
        <f>'Submetering '!O32+'Submetering '!P32+'Submetering '!Q32+'Submetering '!R32+'Submetering '!S32</f>
        <v>0</v>
      </c>
      <c r="F32" s="11" t="e">
        <f>('FS Seychelles'!R33*'FS Seychelles'!S33)/TOTAL!E32</f>
        <v>#DIV/0!</v>
      </c>
      <c r="G32" s="12">
        <f>'Submetering '!AB32</f>
        <v>0</v>
      </c>
      <c r="H32" s="11">
        <f t="shared" si="1"/>
        <v>17.5</v>
      </c>
      <c r="I32" s="12">
        <f>'FS Seychelles'!T33+'FS Seychelles'!V33+'FS Seychelles'!W33+'FS Seychelles'!X33</f>
        <v>0</v>
      </c>
      <c r="J32" s="11">
        <f t="shared" si="2"/>
        <v>0</v>
      </c>
      <c r="K32" s="29">
        <f>'Submetering '!Z32</f>
        <v>0</v>
      </c>
      <c r="L32" s="11">
        <f t="shared" si="2"/>
        <v>0</v>
      </c>
      <c r="M32" s="57">
        <f>'FS Seychelles'!B33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5"/>
  <sheetViews>
    <sheetView topLeftCell="A15" workbookViewId="0">
      <selection activeCell="E36" sqref="E36"/>
    </sheetView>
  </sheetViews>
  <sheetFormatPr defaultColWidth="11.5703125" defaultRowHeight="15"/>
  <cols>
    <col min="1" max="1" width="22.28515625" style="26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2" width="12.5703125" style="18" customWidth="1"/>
    <col min="23" max="28" width="16.5703125" style="18" customWidth="1"/>
  </cols>
  <sheetData>
    <row r="1" spans="1:28" s="9" customFormat="1" ht="30">
      <c r="A1" s="27" t="s">
        <v>0</v>
      </c>
      <c r="B1" s="24" t="s">
        <v>1</v>
      </c>
      <c r="C1" s="24" t="s">
        <v>2</v>
      </c>
      <c r="D1" s="24" t="s">
        <v>3</v>
      </c>
      <c r="E1" s="25" t="s">
        <v>14</v>
      </c>
      <c r="F1" s="25" t="s">
        <v>15</v>
      </c>
      <c r="G1" s="25" t="s">
        <v>16</v>
      </c>
      <c r="H1" s="25" t="s">
        <v>17</v>
      </c>
      <c r="I1" s="25" t="s">
        <v>18</v>
      </c>
      <c r="J1" s="25" t="s">
        <v>19</v>
      </c>
      <c r="K1" s="25" t="s">
        <v>20</v>
      </c>
      <c r="L1" s="25" t="s">
        <v>21</v>
      </c>
      <c r="M1" s="25" t="s">
        <v>22</v>
      </c>
      <c r="N1" s="25" t="s">
        <v>23</v>
      </c>
      <c r="O1" s="25" t="s">
        <v>24</v>
      </c>
      <c r="P1" s="25" t="s">
        <v>25</v>
      </c>
      <c r="Q1" s="25" t="s">
        <v>26</v>
      </c>
      <c r="R1" s="25" t="s">
        <v>27</v>
      </c>
      <c r="S1" s="25" t="s">
        <v>28</v>
      </c>
      <c r="T1" s="25" t="s">
        <v>29</v>
      </c>
      <c r="U1" s="25" t="s">
        <v>30</v>
      </c>
      <c r="V1" s="25" t="s">
        <v>31</v>
      </c>
      <c r="W1" s="25" t="s">
        <v>32</v>
      </c>
      <c r="X1" s="25" t="s">
        <v>33</v>
      </c>
      <c r="Y1" s="25" t="s">
        <v>34</v>
      </c>
      <c r="Z1" s="25" t="s">
        <v>35</v>
      </c>
      <c r="AA1" s="25" t="s">
        <v>36</v>
      </c>
      <c r="AB1" s="25" t="s">
        <v>37</v>
      </c>
    </row>
    <row r="2" spans="1:28">
      <c r="A2" s="1" t="s">
        <v>13</v>
      </c>
      <c r="B2" s="11">
        <v>1</v>
      </c>
      <c r="C2" s="11">
        <v>9</v>
      </c>
      <c r="D2" s="11">
        <v>2021</v>
      </c>
      <c r="E2" s="18">
        <f>'FS Seychelles'!B3</f>
        <v>51.79</v>
      </c>
      <c r="F2" s="18">
        <f>'FS Seychelles'!D3*1000</f>
        <v>2312.192</v>
      </c>
      <c r="G2" s="18">
        <f>'FS Seychelles'!E3*1000</f>
        <v>3573.248</v>
      </c>
      <c r="H2" s="18">
        <f>'FS Seychelles'!F3*1000</f>
        <v>4525.0560000000005</v>
      </c>
      <c r="I2" s="18">
        <f>'FS Seychelles'!G3*1000</f>
        <v>1463.04</v>
      </c>
      <c r="J2" s="18">
        <f>'FS Seychelles'!H3*1000</f>
        <v>2626.3040000000001</v>
      </c>
      <c r="K2" s="18">
        <f>'FS Seychelles'!I3*1000</f>
        <v>3614.7200000000003</v>
      </c>
      <c r="L2" s="18">
        <f>'FS Seychelles'!J3*1000</f>
        <v>1370.1120000000001</v>
      </c>
      <c r="M2" s="18">
        <f>'FS Seychelles'!K3*1000</f>
        <v>1962.24</v>
      </c>
      <c r="N2" s="18">
        <f>'FS Seychelles'!L3*1000</f>
        <v>3491.3280000000004</v>
      </c>
      <c r="O2" s="18">
        <f>'FS Seychelles'!M3</f>
        <v>0</v>
      </c>
      <c r="P2" s="18">
        <f>'FS Seychelles'!N3</f>
        <v>0</v>
      </c>
      <c r="Q2" s="18">
        <f>'FS Seychelles'!O3</f>
        <v>7559</v>
      </c>
      <c r="R2" s="18">
        <f>'FS Seychelles'!P3</f>
        <v>9760</v>
      </c>
      <c r="S2" s="18">
        <f>'FS Seychelles'!Q3</f>
        <v>7870</v>
      </c>
      <c r="T2" s="18">
        <f>'FS Seychelles'!R3</f>
        <v>7041</v>
      </c>
      <c r="U2" s="18">
        <f>'FS Seychelles'!T3</f>
        <v>65</v>
      </c>
      <c r="V2" s="18">
        <f>'FS Seychelles'!U3</f>
        <v>22</v>
      </c>
      <c r="W2" s="18">
        <f>'FS Seychelles'!V3</f>
        <v>95</v>
      </c>
      <c r="X2" s="18">
        <f>'FS Seychelles'!W3</f>
        <v>143</v>
      </c>
      <c r="Y2" s="18">
        <f>'FS Seychelles'!X3</f>
        <v>119</v>
      </c>
      <c r="Z2" s="18">
        <f>'FS Seychelles'!Y3</f>
        <v>159</v>
      </c>
      <c r="AA2" s="18">
        <f>'FS Seychelles'!Z3</f>
        <v>0</v>
      </c>
      <c r="AB2" s="18">
        <f>('FS Seychelles'!AC9+'FS Seychelles'!AC15)/30</f>
        <v>0</v>
      </c>
    </row>
    <row r="3" spans="1:28">
      <c r="A3" s="1" t="s">
        <v>13</v>
      </c>
      <c r="B3" s="11">
        <f>B2+1</f>
        <v>2</v>
      </c>
      <c r="C3" s="11">
        <v>9</v>
      </c>
      <c r="D3" s="11">
        <v>2021</v>
      </c>
      <c r="E3" s="18">
        <f>'FS Seychelles'!B4</f>
        <v>63.79</v>
      </c>
      <c r="F3" s="18">
        <f>'FS Seychelles'!D4*1000</f>
        <v>2094.848</v>
      </c>
      <c r="G3" s="18">
        <f>'FS Seychelles'!E4*1000</f>
        <v>3679.232</v>
      </c>
      <c r="H3" s="18">
        <f>'FS Seychelles'!F4*1000</f>
        <v>4633.0879999999997</v>
      </c>
      <c r="I3" s="18">
        <f>'FS Seychelles'!G4*1000</f>
        <v>1484.8</v>
      </c>
      <c r="J3" s="18">
        <f>'FS Seychelles'!H4*1000</f>
        <v>2369.2799999999997</v>
      </c>
      <c r="K3" s="18">
        <f>'FS Seychelles'!I4*1000</f>
        <v>3708.16</v>
      </c>
      <c r="L3" s="18">
        <f>'FS Seychelles'!J4*1000</f>
        <v>1334.7839999999999</v>
      </c>
      <c r="M3" s="18">
        <f>'FS Seychelles'!K4*1000</f>
        <v>1833.9840000000002</v>
      </c>
      <c r="N3" s="18">
        <f>'FS Seychelles'!L4*1000</f>
        <v>3344.8959999999997</v>
      </c>
      <c r="O3" s="18">
        <f>'FS Seychelles'!M4</f>
        <v>0</v>
      </c>
      <c r="P3" s="18">
        <f>'FS Seychelles'!N4</f>
        <v>0</v>
      </c>
      <c r="Q3" s="18">
        <f>'FS Seychelles'!O4</f>
        <v>13630</v>
      </c>
      <c r="R3" s="18">
        <f>'FS Seychelles'!P4</f>
        <v>8431</v>
      </c>
      <c r="S3" s="18">
        <f>'FS Seychelles'!Q4</f>
        <v>4102</v>
      </c>
      <c r="T3" s="18">
        <f>'FS Seychelles'!R4</f>
        <v>7044</v>
      </c>
      <c r="U3" s="18">
        <f>'FS Seychelles'!T4</f>
        <v>68</v>
      </c>
      <c r="V3" s="18">
        <f>'FS Seychelles'!U4</f>
        <v>31</v>
      </c>
      <c r="W3" s="18">
        <f>'FS Seychelles'!V4</f>
        <v>94</v>
      </c>
      <c r="X3" s="18">
        <f>'FS Seychelles'!W4</f>
        <v>165</v>
      </c>
      <c r="Y3" s="18">
        <f>'FS Seychelles'!X4</f>
        <v>144</v>
      </c>
      <c r="Z3" s="18">
        <f>'FS Seychelles'!Y4</f>
        <v>155</v>
      </c>
      <c r="AA3" s="18">
        <f>'FS Seychelles'!Z4</f>
        <v>0</v>
      </c>
      <c r="AB3" s="18">
        <f>('FS Seychelles'!AC10+'FS Seychelles'!AC16)/30</f>
        <v>0</v>
      </c>
    </row>
    <row r="4" spans="1:28">
      <c r="A4" s="1" t="s">
        <v>13</v>
      </c>
      <c r="B4" s="11">
        <f t="shared" ref="B4:B32" si="0">B3+1</f>
        <v>3</v>
      </c>
      <c r="C4" s="11">
        <v>9</v>
      </c>
      <c r="D4" s="11">
        <v>2021</v>
      </c>
      <c r="E4" s="18">
        <f>'FS Seychelles'!B5</f>
        <v>62.71</v>
      </c>
      <c r="F4" s="18">
        <f>'FS Seychelles'!D5*1000</f>
        <v>2394.1119999999996</v>
      </c>
      <c r="G4" s="18">
        <f>'FS Seychelles'!E5*1000</f>
        <v>3870.72</v>
      </c>
      <c r="H4" s="18">
        <f>'FS Seychelles'!F5*1000</f>
        <v>4577.28</v>
      </c>
      <c r="I4" s="18">
        <f>'FS Seychelles'!G5*1000</f>
        <v>1604.864</v>
      </c>
      <c r="J4" s="18">
        <f>'FS Seychelles'!H5*1000</f>
        <v>2433.2799999999997</v>
      </c>
      <c r="K4" s="18">
        <f>'FS Seychelles'!I5*1000</f>
        <v>3781.8879999999999</v>
      </c>
      <c r="L4" s="18">
        <f>'FS Seychelles'!J5*1000</f>
        <v>1382.7840000000001</v>
      </c>
      <c r="M4" s="18">
        <f>'FS Seychelles'!K5*1000</f>
        <v>1941.248</v>
      </c>
      <c r="N4" s="18">
        <f>'FS Seychelles'!L5*1000</f>
        <v>3455.4879999999998</v>
      </c>
      <c r="O4" s="18">
        <f>'FS Seychelles'!M5</f>
        <v>0</v>
      </c>
      <c r="P4" s="18">
        <f>'FS Seychelles'!N5</f>
        <v>0</v>
      </c>
      <c r="Q4" s="18">
        <f>'FS Seychelles'!O5</f>
        <v>5232</v>
      </c>
      <c r="R4" s="18">
        <f>'FS Seychelles'!P5</f>
        <v>9360</v>
      </c>
      <c r="S4" s="18">
        <f>'FS Seychelles'!Q5</f>
        <v>12039</v>
      </c>
      <c r="T4" s="18">
        <f>'FS Seychelles'!R5</f>
        <v>7253</v>
      </c>
      <c r="U4" s="18">
        <f>'FS Seychelles'!T5</f>
        <v>63</v>
      </c>
      <c r="V4" s="18">
        <f>'FS Seychelles'!U5</f>
        <v>39</v>
      </c>
      <c r="W4" s="18">
        <f>'FS Seychelles'!V5</f>
        <v>70</v>
      </c>
      <c r="X4" s="18">
        <f>'FS Seychelles'!W5</f>
        <v>140</v>
      </c>
      <c r="Y4" s="18">
        <f>'FS Seychelles'!X5</f>
        <v>50</v>
      </c>
      <c r="Z4" s="18">
        <f>'FS Seychelles'!Y5</f>
        <v>153</v>
      </c>
      <c r="AA4" s="18">
        <f>'FS Seychelles'!Z5</f>
        <v>0</v>
      </c>
      <c r="AB4" s="18">
        <f>('FS Seychelles'!AC11+'FS Seychelles'!AC17)/30</f>
        <v>0</v>
      </c>
    </row>
    <row r="5" spans="1:28">
      <c r="A5" s="1" t="s">
        <v>13</v>
      </c>
      <c r="B5" s="11">
        <f t="shared" si="0"/>
        <v>4</v>
      </c>
      <c r="C5" s="11">
        <v>9</v>
      </c>
      <c r="D5" s="11">
        <v>2021</v>
      </c>
      <c r="E5" s="18">
        <f>'FS Seychelles'!B6</f>
        <v>40.25</v>
      </c>
      <c r="F5" s="18">
        <f>'FS Seychelles'!D6*1000</f>
        <v>2415.36</v>
      </c>
      <c r="G5" s="18">
        <f>'FS Seychelles'!E6*1000</f>
        <v>3892.2240000000002</v>
      </c>
      <c r="H5" s="18">
        <f>'FS Seychelles'!F6*1000</f>
        <v>4925.4399999999996</v>
      </c>
      <c r="I5" s="18">
        <f>'FS Seychelles'!G6*1000</f>
        <v>1602.56</v>
      </c>
      <c r="J5" s="18">
        <f>'FS Seychelles'!H6*1000</f>
        <v>2499.3280000000004</v>
      </c>
      <c r="K5" s="18">
        <f>'FS Seychelles'!I6*1000</f>
        <v>4003.0720000000006</v>
      </c>
      <c r="L5" s="18">
        <f>'FS Seychelles'!J6*1000</f>
        <v>1232.768</v>
      </c>
      <c r="M5" s="18">
        <f>'FS Seychelles'!K6*1000</f>
        <v>1854.4639999999999</v>
      </c>
      <c r="N5" s="18">
        <f>'FS Seychelles'!L6*1000</f>
        <v>3274.752</v>
      </c>
      <c r="O5" s="18">
        <f>'FS Seychelles'!M6</f>
        <v>0</v>
      </c>
      <c r="P5" s="18">
        <f>'FS Seychelles'!N6</f>
        <v>3139</v>
      </c>
      <c r="Q5" s="18">
        <f>'FS Seychelles'!O6</f>
        <v>10652</v>
      </c>
      <c r="R5" s="18">
        <f>'FS Seychelles'!P6</f>
        <v>5611</v>
      </c>
      <c r="S5" s="18">
        <f>'FS Seychelles'!Q6</f>
        <v>7481</v>
      </c>
      <c r="T5" s="18">
        <f>'FS Seychelles'!R6</f>
        <v>7340</v>
      </c>
      <c r="U5" s="18">
        <f>'FS Seychelles'!T6</f>
        <v>55</v>
      </c>
      <c r="V5" s="18">
        <f>'FS Seychelles'!U6</f>
        <v>11</v>
      </c>
      <c r="W5" s="18">
        <f>'FS Seychelles'!V6</f>
        <v>83</v>
      </c>
      <c r="X5" s="18">
        <f>'FS Seychelles'!W6</f>
        <v>143</v>
      </c>
      <c r="Y5" s="18">
        <f>'FS Seychelles'!X6</f>
        <v>68</v>
      </c>
      <c r="Z5" s="18">
        <f>'FS Seychelles'!Y6</f>
        <v>136</v>
      </c>
      <c r="AA5" s="18">
        <f>'FS Seychelles'!Z6</f>
        <v>0</v>
      </c>
      <c r="AB5" s="18">
        <f>('FS Seychelles'!AC12+'FS Seychelles'!AC18)/30</f>
        <v>0</v>
      </c>
    </row>
    <row r="6" spans="1:28">
      <c r="A6" s="1" t="s">
        <v>13</v>
      </c>
      <c r="B6" s="11">
        <f t="shared" si="0"/>
        <v>5</v>
      </c>
      <c r="C6" s="11">
        <v>9</v>
      </c>
      <c r="D6" s="11">
        <v>2021</v>
      </c>
      <c r="E6" s="18">
        <f>'FS Seychelles'!B7</f>
        <v>37.659999999999997</v>
      </c>
      <c r="F6" s="18">
        <f>'FS Seychelles'!D7*1000</f>
        <v>2191.8719999999998</v>
      </c>
      <c r="G6" s="18">
        <f>'FS Seychelles'!E7*1000</f>
        <v>3960.8319999999999</v>
      </c>
      <c r="H6" s="18">
        <f>'FS Seychelles'!F7*1000</f>
        <v>4728.32</v>
      </c>
      <c r="I6" s="18">
        <f>'FS Seychelles'!G7*1000</f>
        <v>1654.528</v>
      </c>
      <c r="J6" s="18">
        <f>'FS Seychelles'!H7*1000</f>
        <v>2449.152</v>
      </c>
      <c r="K6" s="18">
        <f>'FS Seychelles'!I7*1000</f>
        <v>4010.4959999999996</v>
      </c>
      <c r="L6" s="18">
        <f>'FS Seychelles'!J7*1000</f>
        <v>1234.5600000000002</v>
      </c>
      <c r="M6" s="18">
        <f>'FS Seychelles'!K7*1000</f>
        <v>1910.0159999999998</v>
      </c>
      <c r="N6" s="18">
        <f>'FS Seychelles'!L7*1000</f>
        <v>3141.12</v>
      </c>
      <c r="O6" s="18">
        <f>'FS Seychelles'!M7</f>
        <v>0</v>
      </c>
      <c r="P6" s="18">
        <f>'FS Seychelles'!N7</f>
        <v>6609</v>
      </c>
      <c r="Q6" s="18">
        <f>'FS Seychelles'!O7</f>
        <v>5600</v>
      </c>
      <c r="R6" s="18">
        <f>'FS Seychelles'!P7</f>
        <v>8979</v>
      </c>
      <c r="S6" s="18">
        <f>'FS Seychelles'!Q7</f>
        <v>5535</v>
      </c>
      <c r="T6" s="18">
        <f>'FS Seychelles'!R7</f>
        <v>7415</v>
      </c>
      <c r="U6" s="18">
        <f>'FS Seychelles'!T7</f>
        <v>65</v>
      </c>
      <c r="V6" s="18">
        <f>'FS Seychelles'!U7</f>
        <v>23</v>
      </c>
      <c r="W6" s="18">
        <f>'FS Seychelles'!V7</f>
        <v>88</v>
      </c>
      <c r="X6" s="18">
        <f>'FS Seychelles'!W7</f>
        <v>172</v>
      </c>
      <c r="Y6" s="18">
        <f>'FS Seychelles'!X7</f>
        <v>85</v>
      </c>
      <c r="Z6" s="18">
        <f>'FS Seychelles'!Y7</f>
        <v>109</v>
      </c>
      <c r="AA6" s="18">
        <f>'FS Seychelles'!Z7</f>
        <v>0</v>
      </c>
      <c r="AB6" s="18">
        <f>('FS Seychelles'!AC13+'FS Seychelles'!AC19)/30</f>
        <v>0</v>
      </c>
    </row>
    <row r="7" spans="1:28">
      <c r="A7" s="1" t="s">
        <v>13</v>
      </c>
      <c r="B7" s="11">
        <f t="shared" si="0"/>
        <v>6</v>
      </c>
      <c r="C7" s="11">
        <v>9</v>
      </c>
      <c r="D7" s="11">
        <v>2021</v>
      </c>
      <c r="E7" s="18">
        <f>'FS Seychelles'!B8</f>
        <v>36.36</v>
      </c>
      <c r="F7" s="18">
        <f>'FS Seychelles'!D8*1000</f>
        <v>2237.9519999999998</v>
      </c>
      <c r="G7" s="18">
        <f>'FS Seychelles'!E8*1000</f>
        <v>3496.96</v>
      </c>
      <c r="H7" s="18">
        <f>'FS Seychelles'!F8*1000</f>
        <v>4549.6319999999996</v>
      </c>
      <c r="I7" s="18">
        <f>'FS Seychelles'!G8*1000</f>
        <v>1583.8719999999998</v>
      </c>
      <c r="J7" s="18">
        <f>'FS Seychelles'!H8*1000</f>
        <v>2338.8159999999998</v>
      </c>
      <c r="K7" s="18">
        <f>'FS Seychelles'!I8*1000</f>
        <v>3320.8319999999999</v>
      </c>
      <c r="L7" s="18">
        <f>'FS Seychelles'!J8*1000</f>
        <v>1343.7440000000001</v>
      </c>
      <c r="M7" s="18">
        <f>'FS Seychelles'!K8*1000</f>
        <v>1641.2159999999999</v>
      </c>
      <c r="N7" s="18">
        <f>'FS Seychelles'!L8*1000</f>
        <v>3361.7919999999999</v>
      </c>
      <c r="O7" s="18">
        <f>'FS Seychelles'!M8</f>
        <v>0</v>
      </c>
      <c r="P7" s="18">
        <f>'FS Seychelles'!N8</f>
        <v>0</v>
      </c>
      <c r="Q7" s="18">
        <f>'FS Seychelles'!O8</f>
        <v>8814</v>
      </c>
      <c r="R7" s="18">
        <f>'FS Seychelles'!P8</f>
        <v>4942</v>
      </c>
      <c r="S7" s="18">
        <f>'FS Seychelles'!Q8</f>
        <v>10498</v>
      </c>
      <c r="T7" s="18">
        <f>'FS Seychelles'!R8</f>
        <v>6723</v>
      </c>
      <c r="U7" s="18">
        <f>'FS Seychelles'!T8</f>
        <v>71</v>
      </c>
      <c r="V7" s="18">
        <f>'FS Seychelles'!U8</f>
        <v>35</v>
      </c>
      <c r="W7" s="18">
        <f>'FS Seychelles'!V8</f>
        <v>116</v>
      </c>
      <c r="X7" s="18">
        <f>'FS Seychelles'!W8</f>
        <v>148</v>
      </c>
      <c r="Y7" s="18">
        <f>'FS Seychelles'!X8</f>
        <v>80</v>
      </c>
      <c r="Z7" s="18">
        <f>'FS Seychelles'!Y8</f>
        <v>63</v>
      </c>
      <c r="AA7" s="18">
        <f>'FS Seychelles'!Z8</f>
        <v>0</v>
      </c>
      <c r="AB7" s="18">
        <f>('FS Seychelles'!AC14+'FS Seychelles'!AC20)/30</f>
        <v>0</v>
      </c>
    </row>
    <row r="8" spans="1:28">
      <c r="A8" s="1" t="s">
        <v>13</v>
      </c>
      <c r="B8" s="11">
        <f t="shared" si="0"/>
        <v>7</v>
      </c>
      <c r="C8" s="11">
        <v>9</v>
      </c>
      <c r="D8" s="11">
        <v>2021</v>
      </c>
      <c r="E8" s="18">
        <f>'FS Seychelles'!B9</f>
        <v>36.36</v>
      </c>
      <c r="F8" s="18">
        <f>'FS Seychelles'!D9*1000</f>
        <v>2185.2159999999999</v>
      </c>
      <c r="G8" s="18">
        <f>'FS Seychelles'!E9*1000</f>
        <v>3410.4320000000002</v>
      </c>
      <c r="H8" s="18">
        <f>'FS Seychelles'!F9*1000</f>
        <v>4551.1679999999997</v>
      </c>
      <c r="I8" s="18">
        <f>'FS Seychelles'!G9*1000</f>
        <v>1574.912</v>
      </c>
      <c r="J8" s="18">
        <f>'FS Seychelles'!H9*1000</f>
        <v>2344.4479999999999</v>
      </c>
      <c r="K8" s="18">
        <f>'FS Seychelles'!I9*1000</f>
        <v>2617.0879999999997</v>
      </c>
      <c r="L8" s="18">
        <f>'FS Seychelles'!J9*1000</f>
        <v>1415.1679999999999</v>
      </c>
      <c r="M8" s="18">
        <f>'FS Seychelles'!K9*1000</f>
        <v>1687.808</v>
      </c>
      <c r="N8" s="18">
        <f>'FS Seychelles'!L9*1000</f>
        <v>3388.4159999999997</v>
      </c>
      <c r="O8" s="18">
        <f>'FS Seychelles'!M9</f>
        <v>0</v>
      </c>
      <c r="P8" s="18">
        <f>'FS Seychelles'!N9</f>
        <v>0</v>
      </c>
      <c r="Q8" s="18">
        <f>'FS Seychelles'!O9</f>
        <v>5898</v>
      </c>
      <c r="R8" s="18">
        <f>'FS Seychelles'!P9</f>
        <v>8378</v>
      </c>
      <c r="S8" s="18">
        <f>'FS Seychelles'!Q9</f>
        <v>9015</v>
      </c>
      <c r="T8" s="18">
        <f>'FS Seychelles'!R9</f>
        <v>6449</v>
      </c>
      <c r="U8" s="18">
        <f>'FS Seychelles'!T9</f>
        <v>63</v>
      </c>
      <c r="V8" s="18">
        <f>'FS Seychelles'!U9</f>
        <v>16</v>
      </c>
      <c r="W8" s="18">
        <f>'FS Seychelles'!V9</f>
        <v>109</v>
      </c>
      <c r="X8" s="18">
        <f>'FS Seychelles'!W9</f>
        <v>127</v>
      </c>
      <c r="Y8" s="18">
        <f>'FS Seychelles'!X9</f>
        <v>84</v>
      </c>
      <c r="Z8" s="18">
        <f>'FS Seychelles'!Y9</f>
        <v>92</v>
      </c>
      <c r="AA8" s="18">
        <f>'FS Seychelles'!Z9</f>
        <v>0</v>
      </c>
      <c r="AB8" s="18">
        <f>('FS Seychelles'!AC15+'FS Seychelles'!AC21)/30</f>
        <v>0</v>
      </c>
    </row>
    <row r="9" spans="1:28">
      <c r="A9" s="1" t="s">
        <v>13</v>
      </c>
      <c r="B9" s="11">
        <f t="shared" si="0"/>
        <v>8</v>
      </c>
      <c r="C9" s="11">
        <v>9</v>
      </c>
      <c r="D9" s="11">
        <v>2021</v>
      </c>
      <c r="E9" s="18">
        <f>'FS Seychelles'!B10</f>
        <v>33.770000000000003</v>
      </c>
      <c r="F9" s="18">
        <f>'FS Seychelles'!D10*1000</f>
        <v>2168.8319999999999</v>
      </c>
      <c r="G9" s="18">
        <f>'FS Seychelles'!E10*1000</f>
        <v>3522.0479999999998</v>
      </c>
      <c r="H9" s="18">
        <f>'FS Seychelles'!F10*1000</f>
        <v>4656.6400000000003</v>
      </c>
      <c r="I9" s="18">
        <f>'FS Seychelles'!G10*1000</f>
        <v>1595.1360000000002</v>
      </c>
      <c r="J9" s="18">
        <f>'FS Seychelles'!H10*1000</f>
        <v>2429.1839999999997</v>
      </c>
      <c r="K9" s="18">
        <f>'FS Seychelles'!I10*1000</f>
        <v>2344.4479999999999</v>
      </c>
      <c r="L9" s="18">
        <f>'FS Seychelles'!J10*1000</f>
        <v>1422.4639999999999</v>
      </c>
      <c r="M9" s="18">
        <f>'FS Seychelles'!K10*1000</f>
        <v>1734.144</v>
      </c>
      <c r="N9" s="18">
        <f>'FS Seychelles'!L10*1000</f>
        <v>3388.4159999999997</v>
      </c>
      <c r="O9" s="18">
        <f>'FS Seychelles'!M10</f>
        <v>0</v>
      </c>
      <c r="P9" s="18">
        <f>'FS Seychelles'!N10</f>
        <v>7970</v>
      </c>
      <c r="Q9" s="18">
        <f>'FS Seychelles'!O10</f>
        <v>4455</v>
      </c>
      <c r="R9" s="18">
        <f>'FS Seychelles'!P10</f>
        <v>8024</v>
      </c>
      <c r="S9" s="18">
        <f>'FS Seychelles'!Q10</f>
        <v>1220</v>
      </c>
      <c r="T9" s="18">
        <f>'FS Seychelles'!R10</f>
        <v>6896</v>
      </c>
      <c r="U9" s="18">
        <f>'FS Seychelles'!T10</f>
        <v>58</v>
      </c>
      <c r="V9" s="18">
        <f>'FS Seychelles'!U10</f>
        <v>35</v>
      </c>
      <c r="W9" s="18">
        <f>'FS Seychelles'!V10</f>
        <v>93</v>
      </c>
      <c r="X9" s="18">
        <f>'FS Seychelles'!W10</f>
        <v>141</v>
      </c>
      <c r="Y9" s="18">
        <f>'FS Seychelles'!X10</f>
        <v>124</v>
      </c>
      <c r="Z9" s="18">
        <f>'FS Seychelles'!Y10</f>
        <v>102</v>
      </c>
      <c r="AA9" s="18">
        <f>'FS Seychelles'!Z10</f>
        <v>0</v>
      </c>
      <c r="AB9" s="18">
        <f>('FS Seychelles'!AC16+'FS Seychelles'!AC22)/30</f>
        <v>0</v>
      </c>
    </row>
    <row r="10" spans="1:28">
      <c r="A10" s="1" t="s">
        <v>13</v>
      </c>
      <c r="B10" s="11">
        <f t="shared" si="0"/>
        <v>9</v>
      </c>
      <c r="C10" s="11">
        <v>9</v>
      </c>
      <c r="D10" s="11">
        <v>2021</v>
      </c>
      <c r="E10" s="18">
        <f>'FS Seychelles'!B11</f>
        <v>45.33</v>
      </c>
      <c r="F10" s="18">
        <f>'FS Seychelles'!D11*1000</f>
        <v>2085.12</v>
      </c>
      <c r="G10" s="18">
        <f>'FS Seychelles'!E11*1000</f>
        <v>3247.616</v>
      </c>
      <c r="H10" s="18">
        <f>'FS Seychelles'!F11*1000</f>
        <v>4632.576</v>
      </c>
      <c r="I10" s="18">
        <f>'FS Seychelles'!G11*1000</f>
        <v>1456.6399999999999</v>
      </c>
      <c r="J10" s="18">
        <f>'FS Seychelles'!H11*1000</f>
        <v>2231.808</v>
      </c>
      <c r="K10" s="18">
        <f>'FS Seychelles'!I11*1000</f>
        <v>2207.7440000000001</v>
      </c>
      <c r="L10" s="18">
        <f>'FS Seychelles'!J11*1000</f>
        <v>1025.4080000000001</v>
      </c>
      <c r="M10" s="18">
        <f>'FS Seychelles'!K11*1000</f>
        <v>1751.296</v>
      </c>
      <c r="N10" s="18">
        <f>'FS Seychelles'!L11*1000</f>
        <v>2920.4479999999999</v>
      </c>
      <c r="O10" s="18">
        <f>'FS Seychelles'!M11</f>
        <v>9936</v>
      </c>
      <c r="P10" s="18">
        <f>'FS Seychelles'!N11</f>
        <v>0</v>
      </c>
      <c r="Q10" s="18">
        <f>'FS Seychelles'!O11</f>
        <v>1190</v>
      </c>
      <c r="R10" s="18">
        <f>'FS Seychelles'!P11</f>
        <v>10032</v>
      </c>
      <c r="S10" s="18">
        <f>'FS Seychelles'!Q11</f>
        <v>1373</v>
      </c>
      <c r="T10" s="18">
        <f>'FS Seychelles'!R11</f>
        <v>6274</v>
      </c>
      <c r="U10" s="18">
        <f>'FS Seychelles'!T11</f>
        <v>63</v>
      </c>
      <c r="V10" s="18">
        <f>'FS Seychelles'!U11</f>
        <v>48</v>
      </c>
      <c r="W10" s="18">
        <f>'FS Seychelles'!V11</f>
        <v>70</v>
      </c>
      <c r="X10" s="18">
        <f>'FS Seychelles'!W11</f>
        <v>153</v>
      </c>
      <c r="Y10" s="18">
        <f>'FS Seychelles'!X11</f>
        <v>75</v>
      </c>
      <c r="Z10" s="18">
        <f>'FS Seychelles'!Y11</f>
        <v>111</v>
      </c>
      <c r="AA10" s="18">
        <f>'FS Seychelles'!Z11</f>
        <v>0</v>
      </c>
      <c r="AB10" s="18">
        <f>('FS Seychelles'!AC17+'FS Seychelles'!AC23)/30</f>
        <v>0</v>
      </c>
    </row>
    <row r="11" spans="1:28">
      <c r="A11" s="1" t="s">
        <v>13</v>
      </c>
      <c r="B11" s="11">
        <f t="shared" si="0"/>
        <v>10</v>
      </c>
      <c r="C11" s="11">
        <v>9</v>
      </c>
      <c r="D11" s="11">
        <v>2021</v>
      </c>
      <c r="E11" s="18">
        <f>'FS Seychelles'!B12</f>
        <v>39.74</v>
      </c>
      <c r="F11" s="18">
        <f>'FS Seychelles'!D12*1000</f>
        <v>2006.5279999999998</v>
      </c>
      <c r="G11" s="18">
        <f>'FS Seychelles'!E12*1000</f>
        <v>3461.6319999999996</v>
      </c>
      <c r="H11" s="18">
        <f>'FS Seychelles'!F12*1000</f>
        <v>4774.9119999999994</v>
      </c>
      <c r="I11" s="18">
        <f>'FS Seychelles'!G12*1000</f>
        <v>1414.144</v>
      </c>
      <c r="J11" s="18">
        <f>'FS Seychelles'!H12*1000</f>
        <v>2209.5360000000001</v>
      </c>
      <c r="K11" s="18">
        <f>'FS Seychelles'!I12*1000</f>
        <v>2407.6799999999998</v>
      </c>
      <c r="L11" s="18">
        <f>'FS Seychelles'!J12*1000</f>
        <v>1480.704</v>
      </c>
      <c r="M11" s="18">
        <f>'FS Seychelles'!K12*1000</f>
        <v>1689.6</v>
      </c>
      <c r="N11" s="18">
        <f>'FS Seychelles'!L12*1000</f>
        <v>3386.88</v>
      </c>
      <c r="O11" s="18">
        <f>'FS Seychelles'!M12</f>
        <v>6241</v>
      </c>
      <c r="P11" s="18">
        <f>'FS Seychelles'!N12</f>
        <v>3553</v>
      </c>
      <c r="Q11" s="18">
        <f>'FS Seychelles'!O12</f>
        <v>2468</v>
      </c>
      <c r="R11" s="18">
        <f>'FS Seychelles'!P12</f>
        <v>6185</v>
      </c>
      <c r="S11" s="18">
        <f>'FS Seychelles'!Q12</f>
        <v>5996</v>
      </c>
      <c r="T11" s="18">
        <f>'FS Seychelles'!R12</f>
        <v>11097</v>
      </c>
      <c r="U11" s="18">
        <f>'FS Seychelles'!T12</f>
        <v>64</v>
      </c>
      <c r="V11" s="18">
        <f>'FS Seychelles'!U12</f>
        <v>36</v>
      </c>
      <c r="W11" s="18">
        <f>'FS Seychelles'!V12</f>
        <v>55</v>
      </c>
      <c r="X11" s="18">
        <f>'FS Seychelles'!W12</f>
        <v>106</v>
      </c>
      <c r="Y11" s="18">
        <f>'FS Seychelles'!X12</f>
        <v>84</v>
      </c>
      <c r="Z11" s="18">
        <f>'FS Seychelles'!Y12</f>
        <v>104</v>
      </c>
      <c r="AA11" s="18">
        <f>'FS Seychelles'!Z12</f>
        <v>0</v>
      </c>
      <c r="AB11" s="18">
        <f>('FS Seychelles'!AC18+'FS Seychelles'!AC24)/30</f>
        <v>0</v>
      </c>
    </row>
    <row r="12" spans="1:28">
      <c r="A12" s="1" t="s">
        <v>13</v>
      </c>
      <c r="B12" s="11">
        <f t="shared" si="0"/>
        <v>11</v>
      </c>
      <c r="C12" s="11">
        <v>9</v>
      </c>
      <c r="D12" s="11">
        <v>2021</v>
      </c>
      <c r="E12" s="18">
        <f>'FS Seychelles'!B13</f>
        <v>44.74</v>
      </c>
      <c r="F12" s="18">
        <f>'FS Seychelles'!D13*1000</f>
        <v>2050</v>
      </c>
      <c r="G12" s="18">
        <f>'FS Seychelles'!E13*1000</f>
        <v>3330</v>
      </c>
      <c r="H12" s="18">
        <f>'FS Seychelles'!F13*1000</f>
        <v>4680</v>
      </c>
      <c r="I12" s="18">
        <f>'FS Seychelles'!G13*1000</f>
        <v>1230</v>
      </c>
      <c r="J12" s="18">
        <f>'FS Seychelles'!H13*1000</f>
        <v>1910</v>
      </c>
      <c r="K12" s="18">
        <f>'FS Seychelles'!I13*1000</f>
        <v>2280</v>
      </c>
      <c r="L12" s="18">
        <f>'FS Seychelles'!J13*1000</f>
        <v>1420</v>
      </c>
      <c r="M12" s="18">
        <f>'FS Seychelles'!K13*1000</f>
        <v>1720</v>
      </c>
      <c r="N12" s="18">
        <f>'FS Seychelles'!L13*1000</f>
        <v>3310</v>
      </c>
      <c r="O12" s="18">
        <f>'FS Seychelles'!M13</f>
        <v>3900</v>
      </c>
      <c r="P12" s="18">
        <f>'FS Seychelles'!N13</f>
        <v>0</v>
      </c>
      <c r="Q12" s="18">
        <f>'FS Seychelles'!O13</f>
        <v>7142</v>
      </c>
      <c r="R12" s="18">
        <f>'FS Seychelles'!P13</f>
        <v>3332</v>
      </c>
      <c r="S12" s="18">
        <f>'FS Seychelles'!Q13</f>
        <v>8380</v>
      </c>
      <c r="T12" s="18">
        <f>'FS Seychelles'!R13</f>
        <v>6372</v>
      </c>
      <c r="U12" s="18">
        <f>'FS Seychelles'!T13</f>
        <v>64</v>
      </c>
      <c r="V12" s="18">
        <f>'FS Seychelles'!U13</f>
        <v>17</v>
      </c>
      <c r="W12" s="18">
        <f>'FS Seychelles'!V13</f>
        <v>59</v>
      </c>
      <c r="X12" s="18">
        <f>'FS Seychelles'!W13</f>
        <v>125</v>
      </c>
      <c r="Y12" s="18">
        <f>'FS Seychelles'!X13</f>
        <v>76</v>
      </c>
      <c r="Z12" s="18">
        <f>'FS Seychelles'!Y13</f>
        <v>78</v>
      </c>
      <c r="AA12" s="18">
        <f>'FS Seychelles'!Z13</f>
        <v>0</v>
      </c>
      <c r="AB12" s="18">
        <f>('FS Seychelles'!AC19+'FS Seychelles'!AC25)/30</f>
        <v>0</v>
      </c>
    </row>
    <row r="13" spans="1:28">
      <c r="A13" s="1" t="s">
        <v>13</v>
      </c>
      <c r="B13" s="11">
        <f t="shared" si="0"/>
        <v>12</v>
      </c>
      <c r="C13" s="11">
        <v>9</v>
      </c>
      <c r="D13" s="11">
        <v>2021</v>
      </c>
      <c r="E13" s="18">
        <f>'FS Seychelles'!B14</f>
        <v>40.26</v>
      </c>
      <c r="F13" s="18">
        <f>'FS Seychelles'!D14*1000</f>
        <v>2250</v>
      </c>
      <c r="G13" s="18">
        <f>'FS Seychelles'!E14*1000</f>
        <v>3800</v>
      </c>
      <c r="H13" s="18">
        <f>'FS Seychelles'!F14*1000</f>
        <v>4600</v>
      </c>
      <c r="I13" s="18">
        <f>'FS Seychelles'!G14*1000</f>
        <v>1360</v>
      </c>
      <c r="J13" s="18">
        <f>'FS Seychelles'!H14*1000</f>
        <v>2230</v>
      </c>
      <c r="K13" s="18">
        <f>'FS Seychelles'!I14*1000</f>
        <v>2510</v>
      </c>
      <c r="L13" s="18">
        <f>'FS Seychelles'!J14*1000</f>
        <v>1300</v>
      </c>
      <c r="M13" s="18">
        <f>'FS Seychelles'!K14*1000</f>
        <v>1770</v>
      </c>
      <c r="N13" s="18">
        <f>'FS Seychelles'!L14*1000</f>
        <v>3170</v>
      </c>
      <c r="O13" s="18">
        <f>'FS Seychelles'!M14</f>
        <v>0</v>
      </c>
      <c r="P13" s="18">
        <f>'FS Seychelles'!N14</f>
        <v>0</v>
      </c>
      <c r="Q13" s="18">
        <f>'FS Seychelles'!O14</f>
        <v>0</v>
      </c>
      <c r="R13" s="18">
        <f>'FS Seychelles'!P14</f>
        <v>0</v>
      </c>
      <c r="S13" s="18">
        <f>'FS Seychelles'!Q14</f>
        <v>0</v>
      </c>
      <c r="T13" s="18">
        <f>'FS Seychelles'!R14</f>
        <v>0</v>
      </c>
      <c r="U13" s="18">
        <f>'FS Seychelles'!T14</f>
        <v>56</v>
      </c>
      <c r="V13" s="18">
        <f>'FS Seychelles'!U14</f>
        <v>21</v>
      </c>
      <c r="W13" s="18">
        <f>'FS Seychelles'!V14</f>
        <v>72</v>
      </c>
      <c r="X13" s="18">
        <f>'FS Seychelles'!W14</f>
        <v>127</v>
      </c>
      <c r="Y13" s="18">
        <f>'FS Seychelles'!X14</f>
        <v>87</v>
      </c>
      <c r="Z13" s="18">
        <f>'FS Seychelles'!Y14</f>
        <v>38</v>
      </c>
      <c r="AA13" s="18">
        <f>'FS Seychelles'!Z14</f>
        <v>0</v>
      </c>
      <c r="AB13" s="18">
        <f>('FS Seychelles'!AC20+'FS Seychelles'!AC26)/30</f>
        <v>0</v>
      </c>
    </row>
    <row r="14" spans="1:28">
      <c r="A14" s="1" t="s">
        <v>13</v>
      </c>
      <c r="B14" s="11">
        <f t="shared" si="0"/>
        <v>13</v>
      </c>
      <c r="C14" s="11">
        <v>9</v>
      </c>
      <c r="D14" s="11">
        <v>2021</v>
      </c>
      <c r="E14" s="18">
        <f>'FS Seychelles'!B15</f>
        <v>50.65</v>
      </c>
      <c r="F14" s="18">
        <f>'FS Seychelles'!D15*1000</f>
        <v>2360</v>
      </c>
      <c r="G14" s="18">
        <f>'FS Seychelles'!E15*1000</f>
        <v>3840</v>
      </c>
      <c r="H14" s="18">
        <f>'FS Seychelles'!F15*1000</f>
        <v>4580</v>
      </c>
      <c r="I14" s="18">
        <f>'FS Seychelles'!G15*1000</f>
        <v>1370</v>
      </c>
      <c r="J14" s="18">
        <f>'FS Seychelles'!H15*1000</f>
        <v>2240</v>
      </c>
      <c r="K14" s="18">
        <f>'FS Seychelles'!I15*1000</f>
        <v>2530</v>
      </c>
      <c r="L14" s="18">
        <f>'FS Seychelles'!J15*1000</f>
        <v>1310</v>
      </c>
      <c r="M14" s="18">
        <f>'FS Seychelles'!K15*1000</f>
        <v>1690</v>
      </c>
      <c r="N14" s="18">
        <f>'FS Seychelles'!L15*1000</f>
        <v>3330</v>
      </c>
      <c r="O14" s="18">
        <f>'FS Seychelles'!M15</f>
        <v>0</v>
      </c>
      <c r="P14" s="18">
        <f>'FS Seychelles'!N15</f>
        <v>12255</v>
      </c>
      <c r="Q14" s="18">
        <f>'FS Seychelles'!O15</f>
        <v>0</v>
      </c>
      <c r="R14" s="18">
        <f>'FS Seychelles'!P15</f>
        <v>8633</v>
      </c>
      <c r="S14" s="18">
        <f>'FS Seychelles'!Q15</f>
        <v>3725</v>
      </c>
      <c r="T14" s="18">
        <f>'FS Seychelles'!R15</f>
        <v>6844</v>
      </c>
      <c r="U14" s="18">
        <f>'FS Seychelles'!T15</f>
        <v>60</v>
      </c>
      <c r="V14" s="18">
        <f>'FS Seychelles'!U15</f>
        <v>17</v>
      </c>
      <c r="W14" s="18">
        <f>'FS Seychelles'!V15</f>
        <v>99</v>
      </c>
      <c r="X14" s="18">
        <f>'FS Seychelles'!W15</f>
        <v>152</v>
      </c>
      <c r="Y14" s="18">
        <f>'FS Seychelles'!X15</f>
        <v>90</v>
      </c>
      <c r="Z14" s="18">
        <f>'FS Seychelles'!Y15</f>
        <v>54</v>
      </c>
      <c r="AA14" s="18">
        <f>'FS Seychelles'!Z15</f>
        <v>0</v>
      </c>
      <c r="AB14" s="18">
        <f>('FS Seychelles'!AC21+'FS Seychelles'!AC27)/30</f>
        <v>0</v>
      </c>
    </row>
    <row r="15" spans="1:28">
      <c r="A15" s="1" t="s">
        <v>13</v>
      </c>
      <c r="B15" s="11">
        <f t="shared" si="0"/>
        <v>14</v>
      </c>
      <c r="C15" s="11">
        <v>9</v>
      </c>
      <c r="D15" s="11">
        <v>2021</v>
      </c>
      <c r="E15" s="18">
        <f>'FS Seychelles'!B16</f>
        <v>46.75</v>
      </c>
      <c r="F15" s="18">
        <f>'FS Seychelles'!D16*1000</f>
        <v>2270</v>
      </c>
      <c r="G15" s="18">
        <f>'FS Seychelles'!E16*1000</f>
        <v>3670</v>
      </c>
      <c r="H15" s="18">
        <f>'FS Seychelles'!F16*1000</f>
        <v>4720</v>
      </c>
      <c r="I15" s="18">
        <f>'FS Seychelles'!G16*1000</f>
        <v>1420</v>
      </c>
      <c r="J15" s="18">
        <f>'FS Seychelles'!H16*1000</f>
        <v>2200</v>
      </c>
      <c r="K15" s="18">
        <f>'FS Seychelles'!I16*1000</f>
        <v>2410</v>
      </c>
      <c r="L15" s="18">
        <f>'FS Seychelles'!J16*1000</f>
        <v>1390</v>
      </c>
      <c r="M15" s="18">
        <f>'FS Seychelles'!K16*1000</f>
        <v>1520</v>
      </c>
      <c r="N15" s="18">
        <f>'FS Seychelles'!L16*1000</f>
        <v>3460</v>
      </c>
      <c r="O15" s="18">
        <f>'FS Seychelles'!M16</f>
        <v>3661</v>
      </c>
      <c r="P15" s="18">
        <f>'FS Seychelles'!N16</f>
        <v>7516</v>
      </c>
      <c r="Q15" s="18">
        <f>'FS Seychelles'!O16</f>
        <v>0</v>
      </c>
      <c r="R15" s="18">
        <f>'FS Seychelles'!P16</f>
        <v>12145</v>
      </c>
      <c r="S15" s="18">
        <f>'FS Seychelles'!Q16</f>
        <v>1361</v>
      </c>
      <c r="T15" s="18">
        <f>'FS Seychelles'!R16</f>
        <v>7190</v>
      </c>
      <c r="U15" s="18">
        <f>'FS Seychelles'!T16</f>
        <v>61</v>
      </c>
      <c r="V15" s="18">
        <f>'FS Seychelles'!U16</f>
        <v>39</v>
      </c>
      <c r="W15" s="18">
        <f>'FS Seychelles'!V16</f>
        <v>92</v>
      </c>
      <c r="X15" s="18">
        <f>'FS Seychelles'!W16</f>
        <v>113</v>
      </c>
      <c r="Y15" s="18">
        <f>'FS Seychelles'!X16</f>
        <v>98</v>
      </c>
      <c r="Z15" s="18">
        <f>'FS Seychelles'!Y16</f>
        <v>78</v>
      </c>
      <c r="AA15" s="18">
        <f>'FS Seychelles'!Z16</f>
        <v>0</v>
      </c>
      <c r="AB15" s="18">
        <f>('FS Seychelles'!AC22+'FS Seychelles'!AC28)/30</f>
        <v>0</v>
      </c>
    </row>
    <row r="16" spans="1:28">
      <c r="A16" s="1" t="s">
        <v>13</v>
      </c>
      <c r="B16" s="11">
        <f t="shared" si="0"/>
        <v>15</v>
      </c>
      <c r="C16" s="11">
        <v>9</v>
      </c>
      <c r="D16" s="11">
        <v>2021</v>
      </c>
      <c r="E16" s="18">
        <f>'FS Seychelles'!B17</f>
        <v>50.64</v>
      </c>
      <c r="F16" s="18">
        <f>'FS Seychelles'!D17*1000</f>
        <v>2260</v>
      </c>
      <c r="G16" s="18">
        <f>'FS Seychelles'!E17*1000</f>
        <v>3810</v>
      </c>
      <c r="H16" s="18">
        <f>'FS Seychelles'!F17*1000</f>
        <v>4610</v>
      </c>
      <c r="I16" s="18">
        <f>'FS Seychelles'!G17*1000</f>
        <v>1410</v>
      </c>
      <c r="J16" s="18">
        <f>'FS Seychelles'!H17*1000</f>
        <v>2330</v>
      </c>
      <c r="K16" s="18">
        <f>'FS Seychelles'!I17*1000</f>
        <v>2510</v>
      </c>
      <c r="L16" s="18">
        <f>'FS Seychelles'!J17*1000</f>
        <v>1380</v>
      </c>
      <c r="M16" s="18">
        <f>'FS Seychelles'!K17*1000</f>
        <v>1690</v>
      </c>
      <c r="N16" s="18">
        <f>'FS Seychelles'!L17*1000</f>
        <v>3470</v>
      </c>
      <c r="O16" s="18">
        <f>'FS Seychelles'!M17</f>
        <v>8327</v>
      </c>
      <c r="P16" s="18">
        <f>'FS Seychelles'!N17</f>
        <v>12107</v>
      </c>
      <c r="Q16" s="18">
        <f>'FS Seychelles'!O17</f>
        <v>0</v>
      </c>
      <c r="R16" s="18">
        <f>'FS Seychelles'!P17</f>
        <v>0</v>
      </c>
      <c r="S16" s="18">
        <f>'FS Seychelles'!Q17</f>
        <v>3912</v>
      </c>
      <c r="T16" s="18">
        <f>'FS Seychelles'!R17</f>
        <v>6720</v>
      </c>
      <c r="U16" s="18">
        <f>'FS Seychelles'!T17</f>
        <v>0</v>
      </c>
      <c r="V16" s="18">
        <f>'FS Seychelles'!U17</f>
        <v>0</v>
      </c>
      <c r="W16" s="18">
        <f>'FS Seychelles'!V17</f>
        <v>0</v>
      </c>
      <c r="X16" s="18">
        <f>'FS Seychelles'!W17</f>
        <v>0</v>
      </c>
      <c r="Y16" s="18">
        <f>'FS Seychelles'!X17</f>
        <v>0</v>
      </c>
      <c r="Z16" s="18">
        <f>'FS Seychelles'!Y17</f>
        <v>0</v>
      </c>
      <c r="AA16" s="18">
        <f>'FS Seychelles'!Z17</f>
        <v>0</v>
      </c>
      <c r="AB16" s="18">
        <f>('FS Seychelles'!AC23+'FS Seychelles'!AC29)/30</f>
        <v>0</v>
      </c>
    </row>
    <row r="17" spans="1:28">
      <c r="A17" s="1" t="s">
        <v>13</v>
      </c>
      <c r="B17" s="11">
        <f t="shared" si="0"/>
        <v>16</v>
      </c>
      <c r="C17" s="11">
        <v>9</v>
      </c>
      <c r="D17" s="11">
        <v>2021</v>
      </c>
      <c r="E17" s="18">
        <f>'FS Seychelles'!B18</f>
        <v>0</v>
      </c>
      <c r="F17" s="18">
        <f>'FS Seychelles'!D18*1000</f>
        <v>0</v>
      </c>
      <c r="G17" s="18">
        <f>'FS Seychelles'!E18*1000</f>
        <v>0</v>
      </c>
      <c r="H17" s="18">
        <f>'FS Seychelles'!F18*1000</f>
        <v>0</v>
      </c>
      <c r="I17" s="18">
        <f>'FS Seychelles'!G18*1000</f>
        <v>0</v>
      </c>
      <c r="J17" s="18">
        <f>'FS Seychelles'!H18*1000</f>
        <v>0</v>
      </c>
      <c r="K17" s="18">
        <f>'FS Seychelles'!I18*1000</f>
        <v>0</v>
      </c>
      <c r="L17" s="18">
        <f>'FS Seychelles'!J18*1000</f>
        <v>0</v>
      </c>
      <c r="M17" s="18">
        <f>'FS Seychelles'!K18*1000</f>
        <v>0</v>
      </c>
      <c r="N17" s="18">
        <f>'FS Seychelles'!L18*1000</f>
        <v>0</v>
      </c>
      <c r="O17" s="18">
        <f>'FS Seychelles'!M18</f>
        <v>0</v>
      </c>
      <c r="P17" s="18">
        <f>'FS Seychelles'!N18</f>
        <v>0</v>
      </c>
      <c r="Q17" s="18">
        <f>'FS Seychelles'!O18</f>
        <v>0</v>
      </c>
      <c r="R17" s="18">
        <f>'FS Seychelles'!P18</f>
        <v>0</v>
      </c>
      <c r="S17" s="18">
        <f>'FS Seychelles'!Q18</f>
        <v>0</v>
      </c>
      <c r="T17" s="18">
        <f>'FS Seychelles'!R18</f>
        <v>0</v>
      </c>
      <c r="U17" s="18">
        <f>'FS Seychelles'!T18</f>
        <v>0</v>
      </c>
      <c r="V17" s="18">
        <f>'FS Seychelles'!U18</f>
        <v>0</v>
      </c>
      <c r="W17" s="18">
        <f>'FS Seychelles'!V18</f>
        <v>0</v>
      </c>
      <c r="X17" s="18">
        <f>'FS Seychelles'!W18</f>
        <v>0</v>
      </c>
      <c r="Y17" s="18">
        <f>'FS Seychelles'!X18</f>
        <v>0</v>
      </c>
      <c r="Z17" s="18">
        <f>'FS Seychelles'!Y18</f>
        <v>0</v>
      </c>
      <c r="AA17" s="18">
        <f>'FS Seychelles'!Z18</f>
        <v>0</v>
      </c>
      <c r="AB17" s="18">
        <f>('FS Seychelles'!AC24+'FS Seychelles'!AC30)/30</f>
        <v>0</v>
      </c>
    </row>
    <row r="18" spans="1:28">
      <c r="A18" s="1" t="s">
        <v>13</v>
      </c>
      <c r="B18" s="11">
        <f t="shared" si="0"/>
        <v>17</v>
      </c>
      <c r="C18" s="11">
        <v>9</v>
      </c>
      <c r="D18" s="11">
        <v>2021</v>
      </c>
      <c r="E18" s="18">
        <f>'FS Seychelles'!B19</f>
        <v>0</v>
      </c>
      <c r="F18" s="18">
        <f>'FS Seychelles'!D19*1000</f>
        <v>0</v>
      </c>
      <c r="G18" s="18">
        <f>'FS Seychelles'!E19*1000</f>
        <v>0</v>
      </c>
      <c r="H18" s="18">
        <f>'FS Seychelles'!F19*1000</f>
        <v>0</v>
      </c>
      <c r="I18" s="18">
        <f>'FS Seychelles'!G19*1000</f>
        <v>0</v>
      </c>
      <c r="J18" s="18">
        <f>'FS Seychelles'!H19*1000</f>
        <v>0</v>
      </c>
      <c r="K18" s="18">
        <f>'FS Seychelles'!I19*1000</f>
        <v>0</v>
      </c>
      <c r="L18" s="18">
        <f>'FS Seychelles'!J19*1000</f>
        <v>0</v>
      </c>
      <c r="M18" s="18">
        <f>'FS Seychelles'!K19*1000</f>
        <v>0</v>
      </c>
      <c r="N18" s="18">
        <f>'FS Seychelles'!L19*1000</f>
        <v>0</v>
      </c>
      <c r="O18" s="18">
        <f>'FS Seychelles'!M19</f>
        <v>0</v>
      </c>
      <c r="P18" s="18">
        <f>'FS Seychelles'!N19</f>
        <v>0</v>
      </c>
      <c r="Q18" s="18">
        <f>'FS Seychelles'!O19</f>
        <v>0</v>
      </c>
      <c r="R18" s="18">
        <f>'FS Seychelles'!P19</f>
        <v>0</v>
      </c>
      <c r="S18" s="18">
        <f>'FS Seychelles'!Q19</f>
        <v>0</v>
      </c>
      <c r="T18" s="18">
        <f>'FS Seychelles'!R19</f>
        <v>0</v>
      </c>
      <c r="U18" s="18">
        <f>'FS Seychelles'!T19</f>
        <v>0</v>
      </c>
      <c r="V18" s="18">
        <f>'FS Seychelles'!U19</f>
        <v>0</v>
      </c>
      <c r="W18" s="18">
        <f>'FS Seychelles'!V19</f>
        <v>0</v>
      </c>
      <c r="X18" s="18">
        <f>'FS Seychelles'!W19</f>
        <v>0</v>
      </c>
      <c r="Y18" s="18">
        <f>'FS Seychelles'!X19</f>
        <v>0</v>
      </c>
      <c r="Z18" s="18">
        <f>'FS Seychelles'!Y19</f>
        <v>0</v>
      </c>
      <c r="AA18" s="18">
        <f>'FS Seychelles'!Z19</f>
        <v>0</v>
      </c>
      <c r="AB18" s="18">
        <f>('FS Seychelles'!AC25+'FS Seychelles'!AC31)/30</f>
        <v>0</v>
      </c>
    </row>
    <row r="19" spans="1:28">
      <c r="A19" s="1" t="s">
        <v>13</v>
      </c>
      <c r="B19" s="11">
        <f t="shared" si="0"/>
        <v>18</v>
      </c>
      <c r="C19" s="11">
        <v>9</v>
      </c>
      <c r="D19" s="11">
        <v>2021</v>
      </c>
      <c r="E19" s="18">
        <f>'FS Seychelles'!B20</f>
        <v>0</v>
      </c>
      <c r="F19" s="18">
        <f>'FS Seychelles'!D20*1000</f>
        <v>0</v>
      </c>
      <c r="G19" s="18">
        <f>'FS Seychelles'!E20*1000</f>
        <v>0</v>
      </c>
      <c r="H19" s="18">
        <f>'FS Seychelles'!F20*1000</f>
        <v>0</v>
      </c>
      <c r="I19" s="18">
        <f>'FS Seychelles'!G20*1000</f>
        <v>0</v>
      </c>
      <c r="J19" s="18">
        <f>'FS Seychelles'!H20*1000</f>
        <v>0</v>
      </c>
      <c r="K19" s="18">
        <f>'FS Seychelles'!I20*1000</f>
        <v>0</v>
      </c>
      <c r="L19" s="18">
        <f>'FS Seychelles'!J20*1000</f>
        <v>0</v>
      </c>
      <c r="M19" s="18">
        <f>'FS Seychelles'!K20*1000</f>
        <v>0</v>
      </c>
      <c r="N19" s="18">
        <f>'FS Seychelles'!L20*1000</f>
        <v>0</v>
      </c>
      <c r="O19" s="18">
        <f>'FS Seychelles'!M20</f>
        <v>0</v>
      </c>
      <c r="P19" s="18">
        <f>'FS Seychelles'!N20</f>
        <v>0</v>
      </c>
      <c r="Q19" s="18">
        <f>'FS Seychelles'!O20</f>
        <v>0</v>
      </c>
      <c r="R19" s="18">
        <f>'FS Seychelles'!P20</f>
        <v>0</v>
      </c>
      <c r="S19" s="18">
        <f>'FS Seychelles'!Q20</f>
        <v>0</v>
      </c>
      <c r="T19" s="18">
        <f>'FS Seychelles'!R20</f>
        <v>0</v>
      </c>
      <c r="U19" s="18">
        <f>'FS Seychelles'!T20</f>
        <v>0</v>
      </c>
      <c r="V19" s="18">
        <f>'FS Seychelles'!U20</f>
        <v>0</v>
      </c>
      <c r="W19" s="18">
        <f>'FS Seychelles'!V20</f>
        <v>0</v>
      </c>
      <c r="X19" s="18">
        <f>'FS Seychelles'!W20</f>
        <v>0</v>
      </c>
      <c r="Y19" s="18">
        <f>'FS Seychelles'!X20</f>
        <v>0</v>
      </c>
      <c r="Z19" s="18">
        <f>'FS Seychelles'!Y20</f>
        <v>0</v>
      </c>
      <c r="AA19" s="18">
        <f>'FS Seychelles'!Z20</f>
        <v>0</v>
      </c>
      <c r="AB19" s="18">
        <f>('FS Seychelles'!AC26+'FS Seychelles'!AC32)/30</f>
        <v>0</v>
      </c>
    </row>
    <row r="20" spans="1:28">
      <c r="A20" s="1" t="s">
        <v>13</v>
      </c>
      <c r="B20" s="11">
        <f t="shared" si="0"/>
        <v>19</v>
      </c>
      <c r="C20" s="11">
        <v>9</v>
      </c>
      <c r="D20" s="11">
        <v>2021</v>
      </c>
      <c r="E20" s="18">
        <f>'FS Seychelles'!B21</f>
        <v>0</v>
      </c>
      <c r="F20" s="18">
        <f>'FS Seychelles'!D21*1000</f>
        <v>0</v>
      </c>
      <c r="G20" s="18">
        <f>'FS Seychelles'!E21*1000</f>
        <v>0</v>
      </c>
      <c r="H20" s="18">
        <f>'FS Seychelles'!F21*1000</f>
        <v>0</v>
      </c>
      <c r="I20" s="18">
        <f>'FS Seychelles'!G21*1000</f>
        <v>0</v>
      </c>
      <c r="J20" s="18">
        <f>'FS Seychelles'!H21*1000</f>
        <v>0</v>
      </c>
      <c r="K20" s="18">
        <f>'FS Seychelles'!I21*1000</f>
        <v>0</v>
      </c>
      <c r="L20" s="18">
        <f>'FS Seychelles'!J21*1000</f>
        <v>0</v>
      </c>
      <c r="M20" s="18">
        <f>'FS Seychelles'!K21*1000</f>
        <v>0</v>
      </c>
      <c r="N20" s="18">
        <f>'FS Seychelles'!L21*1000</f>
        <v>0</v>
      </c>
      <c r="O20" s="18">
        <f>'FS Seychelles'!M21</f>
        <v>0</v>
      </c>
      <c r="P20" s="18">
        <f>'FS Seychelles'!N21</f>
        <v>0</v>
      </c>
      <c r="Q20" s="18">
        <f>'FS Seychelles'!O21</f>
        <v>0</v>
      </c>
      <c r="R20" s="18">
        <f>'FS Seychelles'!P21</f>
        <v>0</v>
      </c>
      <c r="S20" s="18">
        <f>'FS Seychelles'!Q21</f>
        <v>0</v>
      </c>
      <c r="T20" s="18">
        <f>'FS Seychelles'!R21</f>
        <v>0</v>
      </c>
      <c r="U20" s="18">
        <f>'FS Seychelles'!T21</f>
        <v>0</v>
      </c>
      <c r="V20" s="18">
        <f>'FS Seychelles'!U21</f>
        <v>0</v>
      </c>
      <c r="W20" s="18">
        <f>'FS Seychelles'!V21</f>
        <v>0</v>
      </c>
      <c r="X20" s="18">
        <f>'FS Seychelles'!W21</f>
        <v>0</v>
      </c>
      <c r="Y20" s="18">
        <f>'FS Seychelles'!X21</f>
        <v>0</v>
      </c>
      <c r="Z20" s="18">
        <f>'FS Seychelles'!Y21</f>
        <v>0</v>
      </c>
      <c r="AA20" s="18">
        <f>'FS Seychelles'!Z21</f>
        <v>0</v>
      </c>
      <c r="AB20" s="18">
        <f>('FS Seychelles'!AC27+'FS Seychelles'!AC33)/30</f>
        <v>0</v>
      </c>
    </row>
    <row r="21" spans="1:28">
      <c r="A21" s="1" t="s">
        <v>13</v>
      </c>
      <c r="B21" s="11">
        <f t="shared" si="0"/>
        <v>20</v>
      </c>
      <c r="C21" s="11">
        <v>9</v>
      </c>
      <c r="D21" s="11">
        <v>2021</v>
      </c>
      <c r="E21" s="18">
        <f>'FS Seychelles'!B22</f>
        <v>0</v>
      </c>
      <c r="F21" s="18">
        <f>'FS Seychelles'!D22*1000</f>
        <v>0</v>
      </c>
      <c r="G21" s="18">
        <f>'FS Seychelles'!E22*1000</f>
        <v>0</v>
      </c>
      <c r="H21" s="18">
        <f>'FS Seychelles'!F22*1000</f>
        <v>0</v>
      </c>
      <c r="I21" s="18">
        <f>'FS Seychelles'!G22*1000</f>
        <v>0</v>
      </c>
      <c r="J21" s="18">
        <f>'FS Seychelles'!H22*1000</f>
        <v>0</v>
      </c>
      <c r="K21" s="18">
        <f>'FS Seychelles'!I22*1000</f>
        <v>0</v>
      </c>
      <c r="L21" s="18">
        <f>'FS Seychelles'!J22*1000</f>
        <v>0</v>
      </c>
      <c r="M21" s="18">
        <f>'FS Seychelles'!K22*1000</f>
        <v>0</v>
      </c>
      <c r="N21" s="18">
        <f>'FS Seychelles'!L22*1000</f>
        <v>0</v>
      </c>
      <c r="O21" s="18">
        <f>'FS Seychelles'!M22</f>
        <v>0</v>
      </c>
      <c r="P21" s="18">
        <f>'FS Seychelles'!N22</f>
        <v>0</v>
      </c>
      <c r="Q21" s="18">
        <f>'FS Seychelles'!O22</f>
        <v>0</v>
      </c>
      <c r="R21" s="18">
        <f>'FS Seychelles'!P22</f>
        <v>0</v>
      </c>
      <c r="S21" s="18">
        <f>'FS Seychelles'!Q23</f>
        <v>0</v>
      </c>
      <c r="T21" s="18">
        <f>'FS Seychelles'!R22</f>
        <v>0</v>
      </c>
      <c r="U21" s="18">
        <f>'FS Seychelles'!T22</f>
        <v>0</v>
      </c>
      <c r="V21" s="18">
        <f>'FS Seychelles'!U22</f>
        <v>0</v>
      </c>
      <c r="W21" s="18">
        <f>'FS Seychelles'!V22</f>
        <v>0</v>
      </c>
      <c r="X21" s="18">
        <f>'FS Seychelles'!W22</f>
        <v>0</v>
      </c>
      <c r="Y21" s="18">
        <f>'FS Seychelles'!X22</f>
        <v>0</v>
      </c>
      <c r="Z21" s="18">
        <f>'FS Seychelles'!Y22</f>
        <v>0</v>
      </c>
      <c r="AA21" s="18">
        <f>'FS Seychelles'!Z22</f>
        <v>0</v>
      </c>
      <c r="AB21" s="18">
        <f>('FS Seychelles'!AC28+'FS Seychelles'!AC34)/30</f>
        <v>0</v>
      </c>
    </row>
    <row r="22" spans="1:28">
      <c r="A22" s="1" t="s">
        <v>13</v>
      </c>
      <c r="B22" s="11">
        <f t="shared" si="0"/>
        <v>21</v>
      </c>
      <c r="C22" s="11">
        <v>9</v>
      </c>
      <c r="D22" s="11">
        <v>2021</v>
      </c>
      <c r="E22" s="18">
        <f>'FS Seychelles'!B23</f>
        <v>0</v>
      </c>
      <c r="F22" s="18">
        <f>'FS Seychelles'!D23*1000</f>
        <v>0</v>
      </c>
      <c r="G22" s="18">
        <f>'FS Seychelles'!E23*1000</f>
        <v>0</v>
      </c>
      <c r="H22" s="18">
        <f>'FS Seychelles'!F23*1000</f>
        <v>0</v>
      </c>
      <c r="I22" s="18">
        <f>'FS Seychelles'!G23*1000</f>
        <v>0</v>
      </c>
      <c r="J22" s="18">
        <f>'FS Seychelles'!H23*1000</f>
        <v>0</v>
      </c>
      <c r="K22" s="18">
        <f>'FS Seychelles'!I23*1000</f>
        <v>0</v>
      </c>
      <c r="L22" s="18">
        <f>'FS Seychelles'!J23*1000</f>
        <v>0</v>
      </c>
      <c r="M22" s="18">
        <f>'FS Seychelles'!K23*1000</f>
        <v>0</v>
      </c>
      <c r="N22" s="18">
        <f>'FS Seychelles'!L23*1000</f>
        <v>0</v>
      </c>
      <c r="O22" s="18">
        <f>'FS Seychelles'!M23</f>
        <v>0</v>
      </c>
      <c r="P22" s="18">
        <f>'FS Seychelles'!N23</f>
        <v>0</v>
      </c>
      <c r="Q22" s="18">
        <f>'FS Seychelles'!O23</f>
        <v>0</v>
      </c>
      <c r="R22" s="18">
        <f>'FS Seychelles'!P23</f>
        <v>0</v>
      </c>
      <c r="S22" s="18">
        <f>'FS Seychelles'!Q24</f>
        <v>0</v>
      </c>
      <c r="T22" s="18">
        <f>'FS Seychelles'!R23</f>
        <v>0</v>
      </c>
      <c r="U22" s="18">
        <f>'FS Seychelles'!T23</f>
        <v>0</v>
      </c>
      <c r="V22" s="18">
        <f>'FS Seychelles'!U23</f>
        <v>0</v>
      </c>
      <c r="W22" s="18">
        <f>'FS Seychelles'!V23</f>
        <v>0</v>
      </c>
      <c r="X22" s="18">
        <f>'FS Seychelles'!W23</f>
        <v>0</v>
      </c>
      <c r="Y22" s="18">
        <f>'FS Seychelles'!X23</f>
        <v>0</v>
      </c>
      <c r="Z22" s="18">
        <f>'FS Seychelles'!Y23</f>
        <v>0</v>
      </c>
      <c r="AA22" s="18">
        <f>'FS Seychelles'!Z23</f>
        <v>0</v>
      </c>
      <c r="AB22" s="18">
        <f>('FS Seychelles'!AC29+'FS Seychelles'!AC35)/30</f>
        <v>0</v>
      </c>
    </row>
    <row r="23" spans="1:28">
      <c r="A23" s="1" t="s">
        <v>13</v>
      </c>
      <c r="B23" s="11">
        <f t="shared" si="0"/>
        <v>22</v>
      </c>
      <c r="C23" s="11">
        <v>9</v>
      </c>
      <c r="D23" s="11">
        <v>2021</v>
      </c>
      <c r="E23" s="18">
        <f>'FS Seychelles'!B24</f>
        <v>0</v>
      </c>
      <c r="F23" s="18">
        <f>'FS Seychelles'!D24*1000</f>
        <v>0</v>
      </c>
      <c r="G23" s="18">
        <f>'FS Seychelles'!E24*1000</f>
        <v>0</v>
      </c>
      <c r="H23" s="18">
        <f>'FS Seychelles'!F24*1000</f>
        <v>0</v>
      </c>
      <c r="I23" s="18">
        <f>'FS Seychelles'!G24*1000</f>
        <v>0</v>
      </c>
      <c r="J23" s="18">
        <f>'FS Seychelles'!H24*1000</f>
        <v>0</v>
      </c>
      <c r="K23" s="18">
        <f>'FS Seychelles'!I24*1000</f>
        <v>0</v>
      </c>
      <c r="L23" s="18">
        <f>'FS Seychelles'!J24*1000</f>
        <v>0</v>
      </c>
      <c r="M23" s="18">
        <f>'FS Seychelles'!K24*1000</f>
        <v>0</v>
      </c>
      <c r="N23" s="18">
        <f>'FS Seychelles'!L24*1000</f>
        <v>0</v>
      </c>
      <c r="O23" s="18">
        <f>'FS Seychelles'!M24</f>
        <v>0</v>
      </c>
      <c r="P23" s="18">
        <f>'FS Seychelles'!N24</f>
        <v>0</v>
      </c>
      <c r="Q23" s="18">
        <f>'FS Seychelles'!O24</f>
        <v>0</v>
      </c>
      <c r="R23" s="18">
        <f>'FS Seychelles'!P24</f>
        <v>0</v>
      </c>
      <c r="S23" s="18">
        <f>'FS Seychelles'!Q25</f>
        <v>0</v>
      </c>
      <c r="T23" s="18">
        <f>'FS Seychelles'!R24</f>
        <v>0</v>
      </c>
      <c r="U23" s="18">
        <f>'FS Seychelles'!T24</f>
        <v>0</v>
      </c>
      <c r="V23" s="18">
        <f>'FS Seychelles'!U24</f>
        <v>0</v>
      </c>
      <c r="W23" s="18">
        <f>'FS Seychelles'!V24</f>
        <v>0</v>
      </c>
      <c r="X23" s="18">
        <f>'FS Seychelles'!W24</f>
        <v>0</v>
      </c>
      <c r="Y23" s="18">
        <f>'FS Seychelles'!X24</f>
        <v>0</v>
      </c>
      <c r="Z23" s="18">
        <f>'FS Seychelles'!Y24</f>
        <v>0</v>
      </c>
      <c r="AA23" s="18">
        <f>'FS Seychelles'!Z24</f>
        <v>0</v>
      </c>
      <c r="AB23" s="18">
        <f>('FS Seychelles'!AC30+'FS Seychelles'!AC36)/30</f>
        <v>0</v>
      </c>
    </row>
    <row r="24" spans="1:28">
      <c r="A24" s="1" t="s">
        <v>13</v>
      </c>
      <c r="B24" s="11">
        <f t="shared" si="0"/>
        <v>23</v>
      </c>
      <c r="C24" s="11">
        <v>9</v>
      </c>
      <c r="D24" s="11">
        <v>2021</v>
      </c>
      <c r="E24" s="18">
        <f>'FS Seychelles'!B25</f>
        <v>0</v>
      </c>
      <c r="F24" s="18">
        <f>'FS Seychelles'!D25*1000</f>
        <v>0</v>
      </c>
      <c r="G24" s="18">
        <f>'FS Seychelles'!E25*1000</f>
        <v>0</v>
      </c>
      <c r="H24" s="18">
        <f>'FS Seychelles'!F25*1000</f>
        <v>0</v>
      </c>
      <c r="I24" s="18">
        <f>'FS Seychelles'!G25*1000</f>
        <v>0</v>
      </c>
      <c r="J24" s="18">
        <f>'FS Seychelles'!H25*1000</f>
        <v>0</v>
      </c>
      <c r="K24" s="18">
        <f>'FS Seychelles'!I25*1000</f>
        <v>0</v>
      </c>
      <c r="L24" s="18">
        <f>'FS Seychelles'!J25*1000</f>
        <v>0</v>
      </c>
      <c r="M24" s="18">
        <f>'FS Seychelles'!K25*1000</f>
        <v>0</v>
      </c>
      <c r="N24" s="18">
        <f>'FS Seychelles'!L25*1000</f>
        <v>0</v>
      </c>
      <c r="O24" s="18">
        <f>'FS Seychelles'!M25</f>
        <v>0</v>
      </c>
      <c r="P24" s="18">
        <f>'FS Seychelles'!N25</f>
        <v>0</v>
      </c>
      <c r="Q24" s="18">
        <f>'FS Seychelles'!O25</f>
        <v>0</v>
      </c>
      <c r="R24" s="18">
        <f>'FS Seychelles'!P25</f>
        <v>0</v>
      </c>
      <c r="S24" s="18">
        <f>'FS Seychelles'!Q25</f>
        <v>0</v>
      </c>
      <c r="T24" s="18">
        <f>'FS Seychelles'!R25</f>
        <v>0</v>
      </c>
      <c r="U24" s="18">
        <f>'FS Seychelles'!T25</f>
        <v>0</v>
      </c>
      <c r="V24" s="18">
        <f>'FS Seychelles'!U25</f>
        <v>0</v>
      </c>
      <c r="W24" s="18">
        <f>'FS Seychelles'!V25</f>
        <v>0</v>
      </c>
      <c r="X24" s="18">
        <f>'FS Seychelles'!W25</f>
        <v>0</v>
      </c>
      <c r="Y24" s="18">
        <f>'FS Seychelles'!X25</f>
        <v>0</v>
      </c>
      <c r="Z24" s="18">
        <f>'FS Seychelles'!Y25</f>
        <v>0</v>
      </c>
      <c r="AA24" s="18">
        <f>'FS Seychelles'!Z25</f>
        <v>0</v>
      </c>
      <c r="AB24" s="18">
        <f>('FS Seychelles'!AC31+'FS Seychelles'!AC37)/30</f>
        <v>0</v>
      </c>
    </row>
    <row r="25" spans="1:28">
      <c r="A25" s="1" t="s">
        <v>13</v>
      </c>
      <c r="B25" s="11">
        <f t="shared" si="0"/>
        <v>24</v>
      </c>
      <c r="C25" s="11">
        <v>9</v>
      </c>
      <c r="D25" s="11">
        <v>2021</v>
      </c>
      <c r="E25" s="18">
        <f>'FS Seychelles'!B26</f>
        <v>0</v>
      </c>
      <c r="F25" s="18">
        <f>'FS Seychelles'!D26*1000</f>
        <v>0</v>
      </c>
      <c r="G25" s="18">
        <f>'FS Seychelles'!E26*1000</f>
        <v>0</v>
      </c>
      <c r="H25" s="18">
        <f>'FS Seychelles'!F26*1000</f>
        <v>0</v>
      </c>
      <c r="I25" s="18">
        <f>'FS Seychelles'!G26*1000</f>
        <v>0</v>
      </c>
      <c r="J25" s="18">
        <f>'FS Seychelles'!H26*1000</f>
        <v>0</v>
      </c>
      <c r="K25" s="18">
        <f>'FS Seychelles'!I26*1000</f>
        <v>0</v>
      </c>
      <c r="L25" s="18">
        <f>'FS Seychelles'!J26*1000</f>
        <v>0</v>
      </c>
      <c r="M25" s="18">
        <f>'FS Seychelles'!K26*1000</f>
        <v>0</v>
      </c>
      <c r="N25" s="18">
        <f>'FS Seychelles'!L26*1000</f>
        <v>0</v>
      </c>
      <c r="O25" s="18">
        <f>'FS Seychelles'!M26</f>
        <v>0</v>
      </c>
      <c r="P25" s="18">
        <f>'FS Seychelles'!N26</f>
        <v>0</v>
      </c>
      <c r="Q25" s="18">
        <f>'FS Seychelles'!O26</f>
        <v>0</v>
      </c>
      <c r="R25" s="18">
        <f>'FS Seychelles'!P26</f>
        <v>0</v>
      </c>
      <c r="S25" s="18">
        <f>'FS Seychelles'!Q26</f>
        <v>0</v>
      </c>
      <c r="T25" s="18">
        <f>'FS Seychelles'!R26</f>
        <v>0</v>
      </c>
      <c r="U25" s="18">
        <f>'FS Seychelles'!T26</f>
        <v>0</v>
      </c>
      <c r="V25" s="18">
        <f>'FS Seychelles'!U26</f>
        <v>0</v>
      </c>
      <c r="W25" s="18">
        <f>'FS Seychelles'!V26</f>
        <v>0</v>
      </c>
      <c r="X25" s="18">
        <f>'FS Seychelles'!W26</f>
        <v>0</v>
      </c>
      <c r="Y25" s="18">
        <f>'FS Seychelles'!X26</f>
        <v>0</v>
      </c>
      <c r="Z25" s="18">
        <f>'FS Seychelles'!Y26</f>
        <v>0</v>
      </c>
      <c r="AA25" s="18">
        <f>'FS Seychelles'!Z26</f>
        <v>0</v>
      </c>
      <c r="AB25" s="18">
        <f>('FS Seychelles'!AC32+'FS Seychelles'!AC38)/30</f>
        <v>0</v>
      </c>
    </row>
    <row r="26" spans="1:28">
      <c r="A26" s="1" t="s">
        <v>13</v>
      </c>
      <c r="B26" s="11">
        <f>B25+1</f>
        <v>25</v>
      </c>
      <c r="C26" s="11">
        <v>9</v>
      </c>
      <c r="D26" s="11">
        <v>2021</v>
      </c>
      <c r="E26" s="18">
        <f>'FS Seychelles'!B27</f>
        <v>0</v>
      </c>
      <c r="F26" s="18">
        <f>'FS Seychelles'!D27*1000</f>
        <v>0</v>
      </c>
      <c r="G26" s="18">
        <f>'FS Seychelles'!E27*1000</f>
        <v>0</v>
      </c>
      <c r="H26" s="18">
        <f>'FS Seychelles'!F27*1000</f>
        <v>0</v>
      </c>
      <c r="I26" s="18">
        <f>'FS Seychelles'!G27*1000</f>
        <v>0</v>
      </c>
      <c r="J26" s="18">
        <f>'FS Seychelles'!H27*1000</f>
        <v>0</v>
      </c>
      <c r="K26" s="18">
        <f>'FS Seychelles'!I27*1000</f>
        <v>0</v>
      </c>
      <c r="L26" s="18">
        <f>'FS Seychelles'!J27*1000</f>
        <v>0</v>
      </c>
      <c r="M26" s="18">
        <f>'FS Seychelles'!K27*1000</f>
        <v>0</v>
      </c>
      <c r="N26" s="18">
        <f>'FS Seychelles'!L27*1000</f>
        <v>0</v>
      </c>
      <c r="O26" s="18">
        <f>'FS Seychelles'!M27</f>
        <v>0</v>
      </c>
      <c r="P26" s="18">
        <f>'FS Seychelles'!N27</f>
        <v>0</v>
      </c>
      <c r="Q26" s="18">
        <f>'FS Seychelles'!O27</f>
        <v>0</v>
      </c>
      <c r="R26" s="18">
        <f>'FS Seychelles'!P27</f>
        <v>0</v>
      </c>
      <c r="S26" s="18">
        <f>'FS Seychelles'!Q27</f>
        <v>0</v>
      </c>
      <c r="T26" s="18">
        <f>'FS Seychelles'!R27</f>
        <v>0</v>
      </c>
      <c r="U26" s="18">
        <f>'FS Seychelles'!T27</f>
        <v>0</v>
      </c>
      <c r="V26" s="18">
        <f>'FS Seychelles'!U27</f>
        <v>0</v>
      </c>
      <c r="W26" s="18">
        <f>'FS Seychelles'!V27</f>
        <v>0</v>
      </c>
      <c r="X26" s="18">
        <f>'FS Seychelles'!W27</f>
        <v>0</v>
      </c>
      <c r="Y26" s="18">
        <f>'FS Seychelles'!X27</f>
        <v>0</v>
      </c>
      <c r="Z26" s="18">
        <f>'FS Seychelles'!Y27</f>
        <v>0</v>
      </c>
      <c r="AA26" s="18">
        <f>'FS Seychelles'!Z27</f>
        <v>0</v>
      </c>
      <c r="AB26" s="18">
        <f>('FS Seychelles'!AC33+'FS Seychelles'!AC39)/30</f>
        <v>0</v>
      </c>
    </row>
    <row r="27" spans="1:28">
      <c r="A27" s="1" t="s">
        <v>13</v>
      </c>
      <c r="B27" s="11">
        <f t="shared" si="0"/>
        <v>26</v>
      </c>
      <c r="C27" s="11">
        <v>9</v>
      </c>
      <c r="D27" s="11">
        <v>2021</v>
      </c>
      <c r="E27" s="18">
        <f>'FS Seychelles'!B28</f>
        <v>0</v>
      </c>
      <c r="F27" s="18">
        <f>'FS Seychelles'!D28*1000</f>
        <v>0</v>
      </c>
      <c r="G27" s="18">
        <f>'FS Seychelles'!E28*1000</f>
        <v>0</v>
      </c>
      <c r="H27" s="18">
        <f>'FS Seychelles'!F28*1000</f>
        <v>0</v>
      </c>
      <c r="I27" s="18">
        <f>'FS Seychelles'!G28*1000</f>
        <v>0</v>
      </c>
      <c r="J27" s="18">
        <f>'FS Seychelles'!H28*1000</f>
        <v>0</v>
      </c>
      <c r="K27" s="18">
        <f>'FS Seychelles'!I28*1000</f>
        <v>0</v>
      </c>
      <c r="L27" s="18">
        <f>'FS Seychelles'!J28*1000</f>
        <v>0</v>
      </c>
      <c r="M27" s="18">
        <f>'FS Seychelles'!K28*1000</f>
        <v>0</v>
      </c>
      <c r="N27" s="18">
        <f>'FS Seychelles'!L28*1000</f>
        <v>0</v>
      </c>
      <c r="O27" s="18">
        <f>'FS Seychelles'!M28</f>
        <v>0</v>
      </c>
      <c r="P27" s="18">
        <f>'FS Seychelles'!N28</f>
        <v>0</v>
      </c>
      <c r="Q27" s="18">
        <f>'FS Seychelles'!O28</f>
        <v>0</v>
      </c>
      <c r="R27" s="18">
        <f>'FS Seychelles'!P28</f>
        <v>0</v>
      </c>
      <c r="S27" s="18">
        <f>'FS Seychelles'!Q28</f>
        <v>0</v>
      </c>
      <c r="T27" s="18">
        <f>'FS Seychelles'!R28</f>
        <v>0</v>
      </c>
      <c r="U27" s="18">
        <f>'FS Seychelles'!T28</f>
        <v>0</v>
      </c>
      <c r="V27" s="18">
        <f>'FS Seychelles'!U28</f>
        <v>0</v>
      </c>
      <c r="W27" s="18">
        <f>'FS Seychelles'!V28</f>
        <v>0</v>
      </c>
      <c r="X27" s="18">
        <f>'FS Seychelles'!W28</f>
        <v>0</v>
      </c>
      <c r="Y27" s="18">
        <f>'FS Seychelles'!X28</f>
        <v>0</v>
      </c>
      <c r="Z27" s="18">
        <f>'FS Seychelles'!Y28</f>
        <v>0</v>
      </c>
      <c r="AA27" s="18">
        <f>'FS Seychelles'!Z28</f>
        <v>0</v>
      </c>
      <c r="AB27" s="18">
        <f>('FS Seychelles'!AC34+'FS Seychelles'!AC40)/30</f>
        <v>0</v>
      </c>
    </row>
    <row r="28" spans="1:28">
      <c r="A28" s="1" t="s">
        <v>13</v>
      </c>
      <c r="B28" s="11">
        <f t="shared" si="0"/>
        <v>27</v>
      </c>
      <c r="C28" s="11">
        <v>9</v>
      </c>
      <c r="D28" s="11">
        <v>2021</v>
      </c>
      <c r="E28" s="18">
        <f>'FS Seychelles'!B29</f>
        <v>0</v>
      </c>
      <c r="F28" s="18">
        <f>'FS Seychelles'!D29*1000</f>
        <v>0</v>
      </c>
      <c r="G28" s="18">
        <f>'FS Seychelles'!E29*1000</f>
        <v>0</v>
      </c>
      <c r="H28" s="18">
        <f>'FS Seychelles'!F29*1000</f>
        <v>0</v>
      </c>
      <c r="I28" s="18">
        <f>'FS Seychelles'!G29*1000</f>
        <v>0</v>
      </c>
      <c r="J28" s="18">
        <f>'FS Seychelles'!H29*1000</f>
        <v>0</v>
      </c>
      <c r="K28" s="18">
        <f>'FS Seychelles'!I29*1000</f>
        <v>0</v>
      </c>
      <c r="L28" s="18">
        <f>'FS Seychelles'!J29*1000</f>
        <v>0</v>
      </c>
      <c r="M28" s="18">
        <f>'FS Seychelles'!K29*1000</f>
        <v>0</v>
      </c>
      <c r="N28" s="18">
        <f>'FS Seychelles'!L29*1000</f>
        <v>0</v>
      </c>
      <c r="O28" s="18">
        <f>'FS Seychelles'!M29</f>
        <v>0</v>
      </c>
      <c r="P28" s="18">
        <f>'FS Seychelles'!N29</f>
        <v>0</v>
      </c>
      <c r="Q28" s="18">
        <f>'FS Seychelles'!O29</f>
        <v>0</v>
      </c>
      <c r="R28" s="18">
        <f>'FS Seychelles'!P29</f>
        <v>0</v>
      </c>
      <c r="S28" s="18">
        <f>'FS Seychelles'!Q29</f>
        <v>0</v>
      </c>
      <c r="T28" s="18">
        <f>'FS Seychelles'!R29</f>
        <v>0</v>
      </c>
      <c r="U28" s="18">
        <f>'FS Seychelles'!T29</f>
        <v>0</v>
      </c>
      <c r="V28" s="18">
        <f>'FS Seychelles'!U29</f>
        <v>0</v>
      </c>
      <c r="W28" s="18">
        <f>'FS Seychelles'!V29</f>
        <v>0</v>
      </c>
      <c r="X28" s="18">
        <f>'FS Seychelles'!W29</f>
        <v>0</v>
      </c>
      <c r="Y28" s="18">
        <f>'FS Seychelles'!X29</f>
        <v>0</v>
      </c>
      <c r="Z28" s="18">
        <f>'FS Seychelles'!Y29</f>
        <v>0</v>
      </c>
      <c r="AA28" s="18">
        <f>'FS Seychelles'!Z29</f>
        <v>0</v>
      </c>
      <c r="AB28" s="18">
        <f>('FS Seychelles'!AC35+'FS Seychelles'!AC41)/30</f>
        <v>0</v>
      </c>
    </row>
    <row r="29" spans="1:28">
      <c r="A29" s="1" t="s">
        <v>13</v>
      </c>
      <c r="B29" s="11">
        <f t="shared" si="0"/>
        <v>28</v>
      </c>
      <c r="C29" s="11">
        <v>9</v>
      </c>
      <c r="D29" s="11">
        <v>2021</v>
      </c>
      <c r="E29" s="18">
        <f>'FS Seychelles'!B30</f>
        <v>0</v>
      </c>
      <c r="F29" s="18">
        <f>'FS Seychelles'!D30*1000</f>
        <v>0</v>
      </c>
      <c r="G29" s="18">
        <f>'FS Seychelles'!E30*1000</f>
        <v>0</v>
      </c>
      <c r="H29" s="18">
        <f>'FS Seychelles'!F30*1000</f>
        <v>0</v>
      </c>
      <c r="I29" s="18">
        <f>'FS Seychelles'!G30*1000</f>
        <v>0</v>
      </c>
      <c r="J29" s="18">
        <f>'FS Seychelles'!H30*1000</f>
        <v>0</v>
      </c>
      <c r="K29" s="18">
        <f>'FS Seychelles'!I30*1000</f>
        <v>0</v>
      </c>
      <c r="L29" s="18">
        <f>'FS Seychelles'!J30*1000</f>
        <v>0</v>
      </c>
      <c r="M29" s="18">
        <f>'FS Seychelles'!K30*1000</f>
        <v>0</v>
      </c>
      <c r="N29" s="18">
        <f>'FS Seychelles'!L30*1000</f>
        <v>0</v>
      </c>
      <c r="O29" s="18">
        <f>'FS Seychelles'!M30</f>
        <v>0</v>
      </c>
      <c r="P29" s="18">
        <f>'FS Seychelles'!N30</f>
        <v>0</v>
      </c>
      <c r="Q29" s="18">
        <f>'FS Seychelles'!O30</f>
        <v>0</v>
      </c>
      <c r="R29" s="18">
        <f>'FS Seychelles'!P30</f>
        <v>0</v>
      </c>
      <c r="S29" s="18">
        <f>'FS Seychelles'!Q30</f>
        <v>0</v>
      </c>
      <c r="T29" s="18">
        <f>'FS Seychelles'!R30</f>
        <v>0</v>
      </c>
      <c r="U29" s="18">
        <f>'FS Seychelles'!T30</f>
        <v>0</v>
      </c>
      <c r="V29" s="18">
        <f>'FS Seychelles'!U30</f>
        <v>0</v>
      </c>
      <c r="W29" s="18">
        <f>'FS Seychelles'!V30</f>
        <v>0</v>
      </c>
      <c r="X29" s="18">
        <f>'FS Seychelles'!W30</f>
        <v>0</v>
      </c>
      <c r="Y29" s="18">
        <f>'FS Seychelles'!X30</f>
        <v>0</v>
      </c>
      <c r="Z29" s="18">
        <f>'FS Seychelles'!Y30</f>
        <v>0</v>
      </c>
      <c r="AA29" s="18">
        <f>'FS Seychelles'!Z30</f>
        <v>0</v>
      </c>
      <c r="AB29" s="18">
        <f>('FS Seychelles'!AC36+'FS Seychelles'!AC42)/30</f>
        <v>0</v>
      </c>
    </row>
    <row r="30" spans="1:28">
      <c r="A30" s="1" t="s">
        <v>13</v>
      </c>
      <c r="B30" s="11">
        <f t="shared" si="0"/>
        <v>29</v>
      </c>
      <c r="C30" s="11">
        <v>9</v>
      </c>
      <c r="D30" s="11">
        <v>2021</v>
      </c>
      <c r="E30" s="18">
        <f>'FS Seychelles'!B31</f>
        <v>0</v>
      </c>
      <c r="F30" s="18">
        <f>'FS Seychelles'!D31*1000</f>
        <v>0</v>
      </c>
      <c r="G30" s="18">
        <f>'FS Seychelles'!E31*1000</f>
        <v>0</v>
      </c>
      <c r="H30" s="18">
        <f>'FS Seychelles'!F31*1000</f>
        <v>0</v>
      </c>
      <c r="I30" s="18">
        <f>'FS Seychelles'!G31*1000</f>
        <v>0</v>
      </c>
      <c r="J30" s="18">
        <f>'FS Seychelles'!H31*1000</f>
        <v>0</v>
      </c>
      <c r="K30" s="18">
        <f>'FS Seychelles'!I31*1000</f>
        <v>0</v>
      </c>
      <c r="L30" s="18">
        <f>'FS Seychelles'!J31*1000</f>
        <v>0</v>
      </c>
      <c r="M30" s="18">
        <f>'FS Seychelles'!K31*1000</f>
        <v>0</v>
      </c>
      <c r="N30" s="18">
        <f>'FS Seychelles'!L31*1000</f>
        <v>0</v>
      </c>
      <c r="O30" s="18">
        <f>'FS Seychelles'!M31</f>
        <v>0</v>
      </c>
      <c r="P30" s="18">
        <f>'FS Seychelles'!N31</f>
        <v>0</v>
      </c>
      <c r="Q30" s="18">
        <f>'FS Seychelles'!O31</f>
        <v>0</v>
      </c>
      <c r="R30" s="18">
        <f>'FS Seychelles'!P31</f>
        <v>0</v>
      </c>
      <c r="S30" s="18">
        <f>'FS Seychelles'!Q31</f>
        <v>0</v>
      </c>
      <c r="T30" s="18">
        <f>'FS Seychelles'!R31</f>
        <v>0</v>
      </c>
      <c r="U30" s="18">
        <f>'FS Seychelles'!T31</f>
        <v>0</v>
      </c>
      <c r="V30" s="18">
        <f>'FS Seychelles'!U31</f>
        <v>0</v>
      </c>
      <c r="W30" s="18">
        <f>'FS Seychelles'!V31</f>
        <v>0</v>
      </c>
      <c r="X30" s="18">
        <f>'FS Seychelles'!W31</f>
        <v>0</v>
      </c>
      <c r="Y30" s="18">
        <f>'FS Seychelles'!X31</f>
        <v>0</v>
      </c>
      <c r="Z30" s="18">
        <f>'FS Seychelles'!Y31</f>
        <v>0</v>
      </c>
      <c r="AA30" s="18">
        <f>'FS Seychelles'!Z31</f>
        <v>0</v>
      </c>
      <c r="AB30" s="18">
        <f>('FS Seychelles'!AC37+'FS Seychelles'!AC43)/30</f>
        <v>0</v>
      </c>
    </row>
    <row r="31" spans="1:28">
      <c r="A31" s="1" t="s">
        <v>13</v>
      </c>
      <c r="B31" s="11">
        <f t="shared" si="0"/>
        <v>30</v>
      </c>
      <c r="C31" s="11">
        <v>9</v>
      </c>
      <c r="D31" s="11">
        <v>2021</v>
      </c>
      <c r="E31" s="18">
        <f>'FS Seychelles'!B32</f>
        <v>0</v>
      </c>
      <c r="F31" s="18">
        <f>'FS Seychelles'!D32*1000</f>
        <v>0</v>
      </c>
      <c r="G31" s="18">
        <f>'FS Seychelles'!E32*1000</f>
        <v>0</v>
      </c>
      <c r="H31" s="18">
        <f>'FS Seychelles'!F32*1000</f>
        <v>0</v>
      </c>
      <c r="I31" s="18">
        <f>'FS Seychelles'!G32*1000</f>
        <v>0</v>
      </c>
      <c r="J31" s="18">
        <f>'FS Seychelles'!H32*1000</f>
        <v>0</v>
      </c>
      <c r="K31" s="18">
        <f>'FS Seychelles'!I32*1000</f>
        <v>0</v>
      </c>
      <c r="L31" s="18">
        <f>'FS Seychelles'!J32*1000</f>
        <v>0</v>
      </c>
      <c r="M31" s="18">
        <f>'FS Seychelles'!K32*1000</f>
        <v>0</v>
      </c>
      <c r="N31" s="18">
        <f>'FS Seychelles'!L32*1000</f>
        <v>0</v>
      </c>
      <c r="O31" s="18">
        <f>'FS Seychelles'!M32</f>
        <v>0</v>
      </c>
      <c r="P31" s="18">
        <f>'FS Seychelles'!N32</f>
        <v>0</v>
      </c>
      <c r="Q31" s="18">
        <f>'FS Seychelles'!O32</f>
        <v>0</v>
      </c>
      <c r="R31" s="18">
        <f>'FS Seychelles'!P32</f>
        <v>0</v>
      </c>
      <c r="S31" s="18">
        <f>'FS Seychelles'!Q32</f>
        <v>0</v>
      </c>
      <c r="T31" s="18">
        <f>'FS Seychelles'!R32</f>
        <v>0</v>
      </c>
      <c r="U31" s="18">
        <f>'FS Seychelles'!T32</f>
        <v>0</v>
      </c>
      <c r="V31" s="18">
        <f>'FS Seychelles'!U32</f>
        <v>0</v>
      </c>
      <c r="W31" s="18">
        <f>'FS Seychelles'!V32</f>
        <v>0</v>
      </c>
      <c r="X31" s="18">
        <f>'FS Seychelles'!W32</f>
        <v>0</v>
      </c>
      <c r="Y31" s="18">
        <f>'FS Seychelles'!X32</f>
        <v>0</v>
      </c>
      <c r="Z31" s="18">
        <f>'FS Seychelles'!Y32</f>
        <v>0</v>
      </c>
      <c r="AA31" s="18">
        <f>'FS Seychelles'!Z32</f>
        <v>0</v>
      </c>
      <c r="AB31" s="18">
        <f>('FS Seychelles'!AC38+'FS Seychelles'!AC44)/30</f>
        <v>0</v>
      </c>
    </row>
    <row r="32" spans="1:28">
      <c r="A32" s="1" t="s">
        <v>13</v>
      </c>
      <c r="E32" s="18">
        <f>'FS Seychelles'!B33</f>
        <v>0</v>
      </c>
      <c r="F32" s="18">
        <f>'FS Seychelles'!D33*1000</f>
        <v>0</v>
      </c>
      <c r="G32" s="18">
        <f>'FS Seychelles'!E33*1000</f>
        <v>0</v>
      </c>
      <c r="H32" s="18">
        <f>'FS Seychelles'!F33*1000</f>
        <v>0</v>
      </c>
      <c r="I32" s="18">
        <f>'FS Seychelles'!G33*1000</f>
        <v>0</v>
      </c>
      <c r="J32" s="18">
        <f>'FS Seychelles'!H33*1000</f>
        <v>0</v>
      </c>
      <c r="K32" s="18">
        <f>'FS Seychelles'!I33*1000</f>
        <v>0</v>
      </c>
      <c r="L32" s="18">
        <f>'FS Seychelles'!J33*1000</f>
        <v>0</v>
      </c>
      <c r="M32" s="18">
        <f>'FS Seychelles'!K33*1000</f>
        <v>0</v>
      </c>
      <c r="N32" s="18">
        <f>'FS Seychelles'!L33*1000</f>
        <v>0</v>
      </c>
      <c r="O32" s="18">
        <f>'FS Seychelles'!M33</f>
        <v>0</v>
      </c>
      <c r="P32" s="18">
        <f>'FS Seychelles'!N33</f>
        <v>0</v>
      </c>
      <c r="Q32" s="18">
        <f>'FS Seychelles'!O33</f>
        <v>0</v>
      </c>
      <c r="R32" s="18">
        <f>'FS Seychelles'!P33</f>
        <v>0</v>
      </c>
      <c r="S32" s="18">
        <f>'FS Seychelles'!Q33</f>
        <v>0</v>
      </c>
      <c r="T32" s="18">
        <f>'FS Seychelles'!R33</f>
        <v>0</v>
      </c>
      <c r="U32" s="18">
        <f>'FS Seychelles'!T33</f>
        <v>0</v>
      </c>
      <c r="V32" s="18">
        <f>'FS Seychelles'!U33</f>
        <v>0</v>
      </c>
      <c r="W32" s="18">
        <f>'FS Seychelles'!V33</f>
        <v>0</v>
      </c>
      <c r="X32" s="18">
        <f>'FS Seychelles'!W33</f>
        <v>0</v>
      </c>
      <c r="Y32" s="18">
        <f>'FS Seychelles'!X33</f>
        <v>0</v>
      </c>
      <c r="Z32" s="18">
        <f>'FS Seychelles'!Y33</f>
        <v>0</v>
      </c>
      <c r="AA32" s="18">
        <f>'FS Seychelles'!Z33</f>
        <v>0</v>
      </c>
      <c r="AB32" s="18">
        <f>('FS Seychelles'!AC39+'FS Seychelles'!AC45)/30</f>
        <v>0</v>
      </c>
    </row>
    <row r="33" spans="15:18">
      <c r="O33" s="18">
        <f>SUM(O2:O32)</f>
        <v>32065</v>
      </c>
      <c r="P33" s="18">
        <f>SUM(P2:P32)</f>
        <v>53149</v>
      </c>
      <c r="Q33" s="18">
        <f>SUM(Q2:Q32)</f>
        <v>72640</v>
      </c>
      <c r="R33" s="18">
        <f>SUM(R2:R32)</f>
        <v>103812</v>
      </c>
    </row>
    <row r="35" spans="15:18">
      <c r="R35" s="18">
        <f>SUM(O33:R33)</f>
        <v>261666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9"/>
  <sheetViews>
    <sheetView tabSelected="1" zoomScaleNormal="100" workbookViewId="0">
      <pane xSplit="1" topLeftCell="G1" activePane="topRight" state="frozen"/>
      <selection pane="topRight" activeCell="AB13" sqref="AB13:AC14"/>
    </sheetView>
  </sheetViews>
  <sheetFormatPr defaultRowHeight="12.75"/>
  <cols>
    <col min="1" max="1" width="10.5703125" style="19" bestFit="1" customWidth="1"/>
    <col min="2" max="3" width="12.7109375" style="19" customWidth="1"/>
    <col min="4" max="4" width="9.140625" style="19"/>
    <col min="5" max="9" width="9.140625" style="39"/>
    <col min="10" max="10" width="10.28515625" style="39" customWidth="1"/>
    <col min="11" max="11" width="9.140625" style="39"/>
    <col min="12" max="12" width="10.7109375" style="39" customWidth="1"/>
    <col min="13" max="13" width="13.42578125" style="19" customWidth="1"/>
    <col min="14" max="14" width="11.42578125" style="19" customWidth="1"/>
    <col min="15" max="15" width="11.7109375" style="19" customWidth="1"/>
    <col min="16" max="16" width="11.5703125" style="19" customWidth="1"/>
    <col min="17" max="17" width="11.7109375" style="19" customWidth="1"/>
    <col min="18" max="19" width="12" style="19" customWidth="1"/>
    <col min="20" max="21" width="10.7109375" style="19" customWidth="1"/>
    <col min="22" max="22" width="9.42578125" style="19" bestFit="1" customWidth="1"/>
    <col min="23" max="23" width="9.140625" style="19"/>
    <col min="24" max="24" width="8.140625" style="19" customWidth="1"/>
    <col min="25" max="25" width="9.140625" style="19"/>
    <col min="26" max="26" width="11.85546875" style="19" customWidth="1"/>
    <col min="27" max="27" width="13.5703125" style="36" customWidth="1"/>
    <col min="28" max="29" width="9.140625" style="36"/>
    <col min="30" max="16384" width="9.140625" style="19"/>
  </cols>
  <sheetData>
    <row r="1" spans="1:29">
      <c r="D1" s="86"/>
      <c r="E1" s="86"/>
      <c r="F1" s="86"/>
      <c r="G1" s="86"/>
      <c r="H1" s="86"/>
      <c r="I1" s="86"/>
      <c r="J1" s="86"/>
      <c r="K1" s="86"/>
      <c r="L1" s="86"/>
      <c r="AA1" s="83"/>
      <c r="AB1" s="83"/>
      <c r="AC1" s="83"/>
    </row>
    <row r="2" spans="1:29" s="23" customFormat="1" ht="31.5" customHeight="1">
      <c r="A2" s="75" t="s">
        <v>38</v>
      </c>
      <c r="B2" s="60" t="s">
        <v>39</v>
      </c>
      <c r="C2" s="72" t="s">
        <v>40</v>
      </c>
      <c r="D2" s="70" t="s">
        <v>41</v>
      </c>
      <c r="E2" s="71" t="s">
        <v>42</v>
      </c>
      <c r="F2" s="71" t="s">
        <v>43</v>
      </c>
      <c r="G2" s="71" t="s">
        <v>44</v>
      </c>
      <c r="H2" s="71" t="s">
        <v>45</v>
      </c>
      <c r="I2" s="71" t="s">
        <v>46</v>
      </c>
      <c r="J2" s="71" t="s">
        <v>47</v>
      </c>
      <c r="K2" s="71" t="s">
        <v>48</v>
      </c>
      <c r="L2" s="71" t="s">
        <v>49</v>
      </c>
      <c r="M2" s="73" t="s">
        <v>50</v>
      </c>
      <c r="N2" s="41" t="s">
        <v>51</v>
      </c>
      <c r="O2" s="41" t="s">
        <v>52</v>
      </c>
      <c r="P2" s="41" t="s">
        <v>53</v>
      </c>
      <c r="Q2" s="41" t="s">
        <v>54</v>
      </c>
      <c r="R2" s="42" t="s">
        <v>55</v>
      </c>
      <c r="S2" s="42" t="s">
        <v>56</v>
      </c>
      <c r="T2" s="40" t="s">
        <v>57</v>
      </c>
      <c r="U2" s="40" t="s">
        <v>58</v>
      </c>
      <c r="V2" s="40" t="s">
        <v>59</v>
      </c>
      <c r="W2" s="40" t="s">
        <v>60</v>
      </c>
      <c r="X2" s="40" t="s">
        <v>61</v>
      </c>
      <c r="Y2" s="40" t="s">
        <v>62</v>
      </c>
      <c r="Z2" s="43" t="s">
        <v>63</v>
      </c>
      <c r="AA2" s="94" t="s">
        <v>37</v>
      </c>
      <c r="AB2" s="94"/>
      <c r="AC2" s="94"/>
    </row>
    <row r="3" spans="1:29" ht="15" customHeight="1">
      <c r="A3" s="58">
        <v>44440</v>
      </c>
      <c r="B3" s="67">
        <v>51.79</v>
      </c>
      <c r="C3" s="67">
        <v>172</v>
      </c>
      <c r="D3" s="68">
        <v>2.312192</v>
      </c>
      <c r="E3" s="66">
        <v>3.573248</v>
      </c>
      <c r="F3" s="66">
        <v>4.5250560000000002</v>
      </c>
      <c r="G3" s="66">
        <v>1.4630399999999999</v>
      </c>
      <c r="H3" s="66">
        <v>2.6263040000000002</v>
      </c>
      <c r="I3" s="66">
        <v>3.6147200000000002</v>
      </c>
      <c r="J3" s="66">
        <v>1.370112</v>
      </c>
      <c r="K3" s="66">
        <v>1.96224</v>
      </c>
      <c r="L3" s="66">
        <v>3.4913280000000002</v>
      </c>
      <c r="M3" s="74">
        <v>0</v>
      </c>
      <c r="N3" s="59">
        <v>0</v>
      </c>
      <c r="O3" s="32">
        <v>7559</v>
      </c>
      <c r="P3" s="32">
        <v>9760</v>
      </c>
      <c r="Q3" s="32">
        <v>7870</v>
      </c>
      <c r="R3" s="21">
        <f>2110+2745+2186</f>
        <v>7041</v>
      </c>
      <c r="S3" s="21">
        <v>1.05</v>
      </c>
      <c r="T3" s="31">
        <v>65</v>
      </c>
      <c r="U3" s="20">
        <v>22</v>
      </c>
      <c r="V3" s="20">
        <v>95</v>
      </c>
      <c r="W3" s="20">
        <v>143</v>
      </c>
      <c r="X3" s="20">
        <v>119</v>
      </c>
      <c r="Y3" s="31">
        <v>159</v>
      </c>
      <c r="Z3" s="35">
        <v>0</v>
      </c>
      <c r="AA3" s="95" t="s">
        <v>64</v>
      </c>
      <c r="AB3" s="95"/>
      <c r="AC3" s="95"/>
    </row>
    <row r="4" spans="1:29" ht="15" customHeight="1">
      <c r="A4" s="58">
        <v>44441</v>
      </c>
      <c r="B4" s="67">
        <v>63.79</v>
      </c>
      <c r="C4" s="67">
        <v>220</v>
      </c>
      <c r="D4" s="68">
        <v>2.0948479999999998</v>
      </c>
      <c r="E4" s="66">
        <v>3.6792319999999998</v>
      </c>
      <c r="F4" s="66">
        <v>4.6330879999999999</v>
      </c>
      <c r="G4" s="66">
        <v>1.4847999999999999</v>
      </c>
      <c r="H4" s="66">
        <v>2.3692799999999998</v>
      </c>
      <c r="I4" s="66">
        <v>3.7081599999999999</v>
      </c>
      <c r="J4" s="66">
        <v>1.334784</v>
      </c>
      <c r="K4" s="66">
        <v>1.8339840000000001</v>
      </c>
      <c r="L4" s="66">
        <v>3.3448959999999999</v>
      </c>
      <c r="M4" s="74">
        <v>0</v>
      </c>
      <c r="N4" s="59">
        <v>0</v>
      </c>
      <c r="O4" s="32">
        <v>13630</v>
      </c>
      <c r="P4" s="32">
        <v>8431</v>
      </c>
      <c r="Q4" s="32">
        <v>4102</v>
      </c>
      <c r="R4" s="21">
        <f>3601+2296+1147</f>
        <v>7044</v>
      </c>
      <c r="S4" s="21">
        <v>1.05</v>
      </c>
      <c r="T4" s="31">
        <v>68</v>
      </c>
      <c r="U4" s="20">
        <v>31</v>
      </c>
      <c r="V4" s="20">
        <v>94</v>
      </c>
      <c r="W4" s="20">
        <v>165</v>
      </c>
      <c r="X4" s="20">
        <v>144</v>
      </c>
      <c r="Y4" s="31">
        <v>155</v>
      </c>
      <c r="Z4" s="35">
        <v>0</v>
      </c>
      <c r="AA4" s="33" t="s">
        <v>65</v>
      </c>
      <c r="AB4" s="38" t="s">
        <v>66</v>
      </c>
      <c r="AC4" s="33" t="s">
        <v>67</v>
      </c>
    </row>
    <row r="5" spans="1:29" ht="15" customHeight="1">
      <c r="A5" s="58">
        <v>44442</v>
      </c>
      <c r="B5" s="67">
        <v>62.71</v>
      </c>
      <c r="C5" s="67">
        <v>266</v>
      </c>
      <c r="D5" s="68">
        <v>2.3941119999999998</v>
      </c>
      <c r="E5" s="66">
        <v>3.8707199999999999</v>
      </c>
      <c r="F5" s="66">
        <v>4.57728</v>
      </c>
      <c r="G5" s="66">
        <v>1.6048640000000001</v>
      </c>
      <c r="H5" s="66">
        <v>2.4332799999999999</v>
      </c>
      <c r="I5" s="66">
        <v>3.7818879999999999</v>
      </c>
      <c r="J5" s="66">
        <v>1.382784</v>
      </c>
      <c r="K5" s="66">
        <v>1.9412480000000001</v>
      </c>
      <c r="L5" s="66">
        <v>3.4554879999999999</v>
      </c>
      <c r="M5" s="65">
        <v>0</v>
      </c>
      <c r="N5" s="47">
        <v>0</v>
      </c>
      <c r="O5" s="47">
        <v>5232</v>
      </c>
      <c r="P5" s="47">
        <v>9360</v>
      </c>
      <c r="Q5" s="47">
        <v>12039</v>
      </c>
      <c r="R5" s="47">
        <f>1377+2614+3262</f>
        <v>7253</v>
      </c>
      <c r="S5" s="21">
        <v>1.05</v>
      </c>
      <c r="T5" s="31">
        <v>63</v>
      </c>
      <c r="U5" s="31">
        <v>39</v>
      </c>
      <c r="V5" s="31">
        <v>70</v>
      </c>
      <c r="W5" s="31">
        <v>140</v>
      </c>
      <c r="X5" s="31">
        <v>50</v>
      </c>
      <c r="Y5" s="31">
        <v>153</v>
      </c>
      <c r="Z5" s="35">
        <v>0</v>
      </c>
      <c r="AA5" s="34"/>
      <c r="AB5" s="81"/>
      <c r="AC5" s="34"/>
    </row>
    <row r="6" spans="1:29" ht="15" customHeight="1">
      <c r="A6" s="58">
        <v>44443</v>
      </c>
      <c r="B6" s="67">
        <v>40.25</v>
      </c>
      <c r="C6" s="67">
        <v>273</v>
      </c>
      <c r="D6" s="68">
        <v>2.4153600000000002</v>
      </c>
      <c r="E6" s="66">
        <v>3.8922240000000001</v>
      </c>
      <c r="F6" s="66">
        <v>4.92544</v>
      </c>
      <c r="G6" s="66">
        <v>1.60256</v>
      </c>
      <c r="H6" s="66">
        <v>2.4993280000000002</v>
      </c>
      <c r="I6" s="66">
        <v>4.0030720000000004</v>
      </c>
      <c r="J6" s="66">
        <v>1.2327680000000001</v>
      </c>
      <c r="K6" s="66">
        <v>1.8544639999999999</v>
      </c>
      <c r="L6" s="66">
        <v>3.2747519999999999</v>
      </c>
      <c r="M6" s="65">
        <v>0</v>
      </c>
      <c r="N6" s="47">
        <v>3139</v>
      </c>
      <c r="O6" s="47">
        <v>10652</v>
      </c>
      <c r="P6" s="47">
        <v>5611</v>
      </c>
      <c r="Q6" s="47">
        <v>7481</v>
      </c>
      <c r="R6" s="47">
        <f>843+2955+1548+1994</f>
        <v>7340</v>
      </c>
      <c r="S6" s="21">
        <v>1.05</v>
      </c>
      <c r="T6" s="31">
        <v>55</v>
      </c>
      <c r="U6" s="31">
        <v>11</v>
      </c>
      <c r="V6" s="31">
        <v>83</v>
      </c>
      <c r="W6" s="31">
        <v>143</v>
      </c>
      <c r="X6" s="31">
        <v>68</v>
      </c>
      <c r="Y6" s="31">
        <v>136</v>
      </c>
      <c r="Z6" s="35">
        <v>0</v>
      </c>
      <c r="AA6" s="34"/>
      <c r="AB6" s="81"/>
      <c r="AC6" s="34"/>
    </row>
    <row r="7" spans="1:29" ht="15" customHeight="1">
      <c r="A7" s="58">
        <v>44444</v>
      </c>
      <c r="B7" s="67">
        <v>37.659999999999997</v>
      </c>
      <c r="C7" s="67">
        <v>288</v>
      </c>
      <c r="D7" s="68">
        <v>2.191872</v>
      </c>
      <c r="E7" s="66">
        <v>3.9608319999999999</v>
      </c>
      <c r="F7" s="66">
        <v>4.7283200000000001</v>
      </c>
      <c r="G7" s="66">
        <v>1.654528</v>
      </c>
      <c r="H7" s="66">
        <v>2.4491520000000002</v>
      </c>
      <c r="I7" s="66">
        <v>4.0104959999999998</v>
      </c>
      <c r="J7" s="66">
        <v>1.2345600000000001</v>
      </c>
      <c r="K7" s="66">
        <v>1.9100159999999999</v>
      </c>
      <c r="L7" s="66">
        <v>3.1411199999999999</v>
      </c>
      <c r="M7" s="65">
        <v>0</v>
      </c>
      <c r="N7" s="59">
        <v>6609</v>
      </c>
      <c r="O7" s="32">
        <v>5600</v>
      </c>
      <c r="P7" s="32">
        <v>8979</v>
      </c>
      <c r="Q7" s="32">
        <v>5535</v>
      </c>
      <c r="R7" s="21">
        <f>1497+1768+2575+1575</f>
        <v>7415</v>
      </c>
      <c r="S7" s="21">
        <v>1.05</v>
      </c>
      <c r="T7" s="31">
        <v>65</v>
      </c>
      <c r="U7" s="31">
        <v>23</v>
      </c>
      <c r="V7" s="31">
        <v>88</v>
      </c>
      <c r="W7" s="31">
        <v>172</v>
      </c>
      <c r="X7" s="31">
        <v>85</v>
      </c>
      <c r="Y7" s="31">
        <v>109</v>
      </c>
      <c r="Z7" s="35">
        <v>0</v>
      </c>
      <c r="AA7" s="34"/>
      <c r="AB7" s="82"/>
      <c r="AC7" s="34"/>
    </row>
    <row r="8" spans="1:29" ht="15" customHeight="1">
      <c r="A8" s="58">
        <v>44445</v>
      </c>
      <c r="B8" s="67">
        <v>36.36</v>
      </c>
      <c r="C8" s="67">
        <v>288</v>
      </c>
      <c r="D8" s="68">
        <v>2.2379519999999999</v>
      </c>
      <c r="E8" s="66">
        <v>3.4969600000000001</v>
      </c>
      <c r="F8" s="66">
        <v>4.5496319999999999</v>
      </c>
      <c r="G8" s="66">
        <v>1.5838719999999999</v>
      </c>
      <c r="H8" s="66">
        <v>2.338816</v>
      </c>
      <c r="I8" s="66">
        <v>3.3208319999999998</v>
      </c>
      <c r="J8" s="66">
        <v>1.343744</v>
      </c>
      <c r="K8" s="66">
        <v>1.641216</v>
      </c>
      <c r="L8" s="66">
        <v>3.3617919999999999</v>
      </c>
      <c r="M8" s="65">
        <v>0</v>
      </c>
      <c r="N8" s="59">
        <v>0</v>
      </c>
      <c r="O8" s="32">
        <v>8814</v>
      </c>
      <c r="P8" s="32">
        <v>4942</v>
      </c>
      <c r="Q8" s="32">
        <v>10498</v>
      </c>
      <c r="R8" s="21">
        <f>2383+1433+2907</f>
        <v>6723</v>
      </c>
      <c r="S8" s="21">
        <v>1.05</v>
      </c>
      <c r="T8" s="46">
        <v>71</v>
      </c>
      <c r="U8" s="46">
        <v>35</v>
      </c>
      <c r="V8" s="46">
        <v>116</v>
      </c>
      <c r="W8" s="46">
        <v>148</v>
      </c>
      <c r="X8" s="46">
        <v>80</v>
      </c>
      <c r="Y8" s="46">
        <v>63</v>
      </c>
      <c r="Z8" s="35">
        <v>0</v>
      </c>
      <c r="AA8" s="63"/>
      <c r="AB8" s="80"/>
      <c r="AC8" s="34"/>
    </row>
    <row r="9" spans="1:29" ht="15" customHeight="1">
      <c r="A9" s="58">
        <v>44446</v>
      </c>
      <c r="B9" s="67">
        <v>36.36</v>
      </c>
      <c r="C9" s="67">
        <v>302</v>
      </c>
      <c r="D9" s="68">
        <v>2.185216</v>
      </c>
      <c r="E9" s="66">
        <v>3.4104320000000001</v>
      </c>
      <c r="F9" s="66">
        <v>4.5511679999999997</v>
      </c>
      <c r="G9" s="66">
        <v>1.5749120000000001</v>
      </c>
      <c r="H9" s="66">
        <v>2.3444479999999999</v>
      </c>
      <c r="I9" s="66">
        <v>2.6170879999999999</v>
      </c>
      <c r="J9" s="66">
        <v>1.415168</v>
      </c>
      <c r="K9" s="66">
        <v>1.687808</v>
      </c>
      <c r="L9" s="66">
        <v>3.3884159999999999</v>
      </c>
      <c r="M9" s="65">
        <v>0</v>
      </c>
      <c r="N9" s="59">
        <v>0</v>
      </c>
      <c r="O9" s="32">
        <v>5898</v>
      </c>
      <c r="P9" s="32">
        <v>8378</v>
      </c>
      <c r="Q9" s="32">
        <v>9015</v>
      </c>
      <c r="R9" s="21">
        <f>1609+2375+2465</f>
        <v>6449</v>
      </c>
      <c r="S9" s="21">
        <v>1.05</v>
      </c>
      <c r="T9" s="31">
        <v>63</v>
      </c>
      <c r="U9" s="20">
        <v>16</v>
      </c>
      <c r="V9" s="20">
        <v>109</v>
      </c>
      <c r="W9" s="20">
        <v>127</v>
      </c>
      <c r="X9" s="20">
        <v>84</v>
      </c>
      <c r="Y9" s="31">
        <v>92</v>
      </c>
      <c r="Z9" s="35">
        <v>0</v>
      </c>
      <c r="AA9" s="64"/>
      <c r="AB9" s="80"/>
      <c r="AC9" s="34"/>
    </row>
    <row r="10" spans="1:29" ht="15.75" customHeight="1">
      <c r="A10" s="58">
        <v>44447</v>
      </c>
      <c r="B10" s="67">
        <v>33.770000000000003</v>
      </c>
      <c r="C10" s="67">
        <v>286</v>
      </c>
      <c r="D10" s="68">
        <v>2.1688320000000001</v>
      </c>
      <c r="E10" s="66">
        <v>3.5220479999999998</v>
      </c>
      <c r="F10" s="66">
        <v>4.6566400000000003</v>
      </c>
      <c r="G10" s="66">
        <v>1.5951360000000001</v>
      </c>
      <c r="H10" s="66">
        <v>2.4291839999999998</v>
      </c>
      <c r="I10" s="66">
        <v>2.3444479999999999</v>
      </c>
      <c r="J10" s="66">
        <v>1.422464</v>
      </c>
      <c r="K10" s="66">
        <v>1.7341439999999999</v>
      </c>
      <c r="L10" s="66">
        <v>3.3884159999999999</v>
      </c>
      <c r="M10" s="65">
        <v>0</v>
      </c>
      <c r="N10" s="59">
        <v>7970</v>
      </c>
      <c r="O10" s="32">
        <v>4455</v>
      </c>
      <c r="P10" s="32">
        <v>8024</v>
      </c>
      <c r="Q10" s="32">
        <v>1220</v>
      </c>
      <c r="R10" s="21">
        <f>2149+1268+2259+1220</f>
        <v>6896</v>
      </c>
      <c r="S10" s="21">
        <v>1.05</v>
      </c>
      <c r="T10" s="31">
        <v>58</v>
      </c>
      <c r="U10" s="31">
        <v>35</v>
      </c>
      <c r="V10" s="31">
        <v>93</v>
      </c>
      <c r="W10" s="31">
        <v>141</v>
      </c>
      <c r="X10" s="31">
        <v>124</v>
      </c>
      <c r="Y10" s="31">
        <v>102</v>
      </c>
      <c r="Z10" s="35">
        <v>0</v>
      </c>
      <c r="AA10" s="45"/>
      <c r="AB10" s="61" t="s">
        <v>68</v>
      </c>
      <c r="AC10" s="62">
        <f>SUM(AC6:AC9)</f>
        <v>0</v>
      </c>
    </row>
    <row r="11" spans="1:29" ht="15" customHeight="1">
      <c r="A11" s="58">
        <v>44448</v>
      </c>
      <c r="B11" s="67">
        <v>45.33</v>
      </c>
      <c r="C11" s="67">
        <v>184</v>
      </c>
      <c r="D11" s="68">
        <v>2.0851199999999999</v>
      </c>
      <c r="E11" s="66">
        <v>3.2476159999999998</v>
      </c>
      <c r="F11" s="66">
        <v>4.6325760000000002</v>
      </c>
      <c r="G11" s="66">
        <v>1.4566399999999999</v>
      </c>
      <c r="H11" s="66">
        <v>2.231808</v>
      </c>
      <c r="I11" s="66">
        <v>2.2077439999999999</v>
      </c>
      <c r="J11" s="66">
        <v>1.0254080000000001</v>
      </c>
      <c r="K11" s="66">
        <v>1.751296</v>
      </c>
      <c r="L11" s="66">
        <v>2.9204479999999999</v>
      </c>
      <c r="M11" s="65">
        <v>9936</v>
      </c>
      <c r="N11" s="74">
        <v>0</v>
      </c>
      <c r="O11" s="74">
        <v>1190</v>
      </c>
      <c r="P11" s="74">
        <v>10032</v>
      </c>
      <c r="Q11" s="74">
        <v>1373</v>
      </c>
      <c r="R11" s="74">
        <f>2649+326+2895+404</f>
        <v>6274</v>
      </c>
      <c r="S11" s="21">
        <v>1.05</v>
      </c>
      <c r="T11" s="31">
        <v>63</v>
      </c>
      <c r="U11" s="20">
        <v>48</v>
      </c>
      <c r="V11" s="20">
        <v>70</v>
      </c>
      <c r="W11" s="20">
        <v>153</v>
      </c>
      <c r="X11" s="20">
        <v>75</v>
      </c>
      <c r="Y11" s="31">
        <v>111</v>
      </c>
      <c r="Z11" s="35">
        <v>0</v>
      </c>
      <c r="AA11" s="96" t="s">
        <v>69</v>
      </c>
      <c r="AB11" s="97"/>
      <c r="AC11" s="97"/>
    </row>
    <row r="12" spans="1:29" ht="15" customHeight="1">
      <c r="A12" s="58">
        <v>44449</v>
      </c>
      <c r="B12" s="67">
        <v>39.74</v>
      </c>
      <c r="C12" s="67">
        <v>213</v>
      </c>
      <c r="D12" s="68">
        <v>2.0065279999999999</v>
      </c>
      <c r="E12" s="66">
        <v>3.4616319999999998</v>
      </c>
      <c r="F12" s="66">
        <v>4.7749119999999996</v>
      </c>
      <c r="G12" s="66">
        <v>1.4141440000000001</v>
      </c>
      <c r="H12" s="66">
        <v>2.2095359999999999</v>
      </c>
      <c r="I12" s="66">
        <v>2.40768</v>
      </c>
      <c r="J12" s="66">
        <v>1.480704</v>
      </c>
      <c r="K12" s="66">
        <v>1.6896</v>
      </c>
      <c r="L12" s="66">
        <v>3.3868800000000001</v>
      </c>
      <c r="M12" s="65">
        <v>6241</v>
      </c>
      <c r="N12" s="59">
        <v>3553</v>
      </c>
      <c r="O12" s="32">
        <v>2468</v>
      </c>
      <c r="P12" s="32">
        <v>6185</v>
      </c>
      <c r="Q12" s="32">
        <v>5996</v>
      </c>
      <c r="R12" s="21">
        <f>1621+922+699+1859+5996</f>
        <v>11097</v>
      </c>
      <c r="S12" s="21">
        <v>1.05</v>
      </c>
      <c r="T12" s="31">
        <v>64</v>
      </c>
      <c r="U12" s="31">
        <v>36</v>
      </c>
      <c r="V12" s="31">
        <v>55</v>
      </c>
      <c r="W12" s="31">
        <v>106</v>
      </c>
      <c r="X12" s="31">
        <v>84</v>
      </c>
      <c r="Y12" s="31">
        <v>104</v>
      </c>
      <c r="Z12" s="35">
        <v>0</v>
      </c>
      <c r="AA12" s="84"/>
      <c r="AB12" s="98" t="s">
        <v>70</v>
      </c>
      <c r="AC12" s="99"/>
    </row>
    <row r="13" spans="1:29" ht="15" customHeight="1">
      <c r="A13" s="58">
        <v>44450</v>
      </c>
      <c r="B13" s="67">
        <v>44.74</v>
      </c>
      <c r="C13" s="67">
        <v>234</v>
      </c>
      <c r="D13" s="68">
        <v>2.0499999999999998</v>
      </c>
      <c r="E13" s="66">
        <v>3.33</v>
      </c>
      <c r="F13" s="66">
        <v>4.68</v>
      </c>
      <c r="G13" s="66">
        <v>1.23</v>
      </c>
      <c r="H13" s="66">
        <v>1.91</v>
      </c>
      <c r="I13" s="66">
        <v>2.2799999999999998</v>
      </c>
      <c r="J13" s="66">
        <v>1.42</v>
      </c>
      <c r="K13" s="66">
        <v>1.72</v>
      </c>
      <c r="L13" s="66">
        <v>3.31</v>
      </c>
      <c r="M13" s="65">
        <v>3900</v>
      </c>
      <c r="N13" s="59">
        <v>0</v>
      </c>
      <c r="O13" s="59">
        <v>7142</v>
      </c>
      <c r="P13" s="32">
        <v>3332</v>
      </c>
      <c r="Q13" s="32">
        <v>8380</v>
      </c>
      <c r="R13" s="21">
        <f>1026+1942+1071+2333</f>
        <v>6372</v>
      </c>
      <c r="S13" s="21">
        <v>1.05</v>
      </c>
      <c r="T13" s="31">
        <v>64</v>
      </c>
      <c r="U13" s="31">
        <v>17</v>
      </c>
      <c r="V13" s="31">
        <v>59</v>
      </c>
      <c r="W13" s="31">
        <v>125</v>
      </c>
      <c r="X13" s="31">
        <v>76</v>
      </c>
      <c r="Y13" s="31">
        <v>78</v>
      </c>
      <c r="Z13" s="35">
        <v>0</v>
      </c>
      <c r="AA13" s="44" t="s">
        <v>71</v>
      </c>
      <c r="AB13" s="87"/>
      <c r="AC13" s="88"/>
    </row>
    <row r="14" spans="1:29" ht="15" customHeight="1">
      <c r="A14" s="58">
        <v>44451</v>
      </c>
      <c r="B14" s="67">
        <v>40.26</v>
      </c>
      <c r="C14" s="67">
        <v>216</v>
      </c>
      <c r="D14" s="68">
        <v>2.25</v>
      </c>
      <c r="E14" s="66">
        <v>3.8</v>
      </c>
      <c r="F14" s="66">
        <v>4.5999999999999996</v>
      </c>
      <c r="G14" s="66">
        <v>1.36</v>
      </c>
      <c r="H14" s="66">
        <v>2.23</v>
      </c>
      <c r="I14" s="66">
        <v>2.5099999999999998</v>
      </c>
      <c r="J14" s="66">
        <v>1.3</v>
      </c>
      <c r="K14" s="66">
        <v>1.77</v>
      </c>
      <c r="L14" s="66">
        <v>3.17</v>
      </c>
      <c r="M14" s="65"/>
      <c r="N14" s="49"/>
      <c r="O14" s="47"/>
      <c r="P14" s="47"/>
      <c r="Q14" s="47"/>
      <c r="R14" s="21"/>
      <c r="S14" s="21">
        <v>1.05</v>
      </c>
      <c r="T14" s="31">
        <v>56</v>
      </c>
      <c r="U14" s="20">
        <v>21</v>
      </c>
      <c r="V14" s="20">
        <v>72</v>
      </c>
      <c r="W14" s="20">
        <v>127</v>
      </c>
      <c r="X14" s="20">
        <v>87</v>
      </c>
      <c r="Y14" s="20">
        <v>38</v>
      </c>
      <c r="Z14" s="35">
        <v>0</v>
      </c>
      <c r="AA14" s="44" t="s">
        <v>72</v>
      </c>
      <c r="AB14" s="87"/>
      <c r="AC14" s="88"/>
    </row>
    <row r="15" spans="1:29" ht="15">
      <c r="A15" s="58">
        <v>44452</v>
      </c>
      <c r="B15" s="67">
        <v>50.65</v>
      </c>
      <c r="C15" s="67">
        <v>228</v>
      </c>
      <c r="D15" s="68">
        <v>2.36</v>
      </c>
      <c r="E15" s="66">
        <v>3.84</v>
      </c>
      <c r="F15" s="66">
        <v>4.58</v>
      </c>
      <c r="G15" s="66">
        <v>1.37</v>
      </c>
      <c r="H15" s="66">
        <v>2.2400000000000002</v>
      </c>
      <c r="I15" s="66">
        <v>2.5299999999999998</v>
      </c>
      <c r="J15" s="66">
        <v>1.31</v>
      </c>
      <c r="K15" s="66">
        <v>1.69</v>
      </c>
      <c r="L15" s="66">
        <v>3.33</v>
      </c>
      <c r="M15" s="65">
        <v>0</v>
      </c>
      <c r="N15" s="49">
        <v>12255</v>
      </c>
      <c r="O15" s="47">
        <v>0</v>
      </c>
      <c r="P15" s="47">
        <v>8633</v>
      </c>
      <c r="Q15" s="47">
        <v>3725</v>
      </c>
      <c r="R15" s="21">
        <f>3265+2452+1127</f>
        <v>6844</v>
      </c>
      <c r="S15" s="21">
        <v>1.1100000000000001</v>
      </c>
      <c r="T15" s="31">
        <v>60</v>
      </c>
      <c r="U15" s="31">
        <v>17</v>
      </c>
      <c r="V15" s="20">
        <v>99</v>
      </c>
      <c r="W15" s="20">
        <v>152</v>
      </c>
      <c r="X15" s="20">
        <v>90</v>
      </c>
      <c r="Y15" s="20">
        <v>54</v>
      </c>
      <c r="Z15" s="35">
        <v>0</v>
      </c>
      <c r="AA15" s="85"/>
      <c r="AB15" s="37" t="s">
        <v>68</v>
      </c>
      <c r="AC15" s="34">
        <f>SUM(AB13:AC14)</f>
        <v>0</v>
      </c>
    </row>
    <row r="16" spans="1:29" ht="15" customHeight="1">
      <c r="A16" s="58">
        <v>44453</v>
      </c>
      <c r="B16" s="67">
        <v>46.75</v>
      </c>
      <c r="C16" s="67">
        <v>239</v>
      </c>
      <c r="D16" s="68">
        <v>2.27</v>
      </c>
      <c r="E16" s="66">
        <v>3.67</v>
      </c>
      <c r="F16" s="66">
        <v>4.72</v>
      </c>
      <c r="G16" s="66">
        <v>1.42</v>
      </c>
      <c r="H16" s="66">
        <v>2.2000000000000002</v>
      </c>
      <c r="I16" s="66">
        <v>2.41</v>
      </c>
      <c r="J16" s="66">
        <v>1.39</v>
      </c>
      <c r="K16" s="66">
        <v>1.52</v>
      </c>
      <c r="L16" s="66">
        <v>3.46</v>
      </c>
      <c r="M16" s="65">
        <v>3661</v>
      </c>
      <c r="N16" s="47">
        <v>7516</v>
      </c>
      <c r="O16" s="47">
        <v>0</v>
      </c>
      <c r="P16" s="47">
        <v>12145</v>
      </c>
      <c r="Q16" s="47">
        <v>1361</v>
      </c>
      <c r="R16" s="47">
        <f>996+1997+3706+491</f>
        <v>7190</v>
      </c>
      <c r="S16" s="21">
        <v>1.1100000000000001</v>
      </c>
      <c r="T16" s="31">
        <v>61</v>
      </c>
      <c r="U16" s="31">
        <v>39</v>
      </c>
      <c r="V16" s="31">
        <v>92</v>
      </c>
      <c r="W16" s="31">
        <v>113</v>
      </c>
      <c r="X16" s="31">
        <v>98</v>
      </c>
      <c r="Y16" s="31">
        <v>78</v>
      </c>
      <c r="Z16" s="35">
        <v>0</v>
      </c>
      <c r="AA16" s="89"/>
      <c r="AB16" s="86"/>
      <c r="AC16" s="90"/>
    </row>
    <row r="17" spans="1:30" ht="15" customHeight="1">
      <c r="A17" s="58">
        <v>44454</v>
      </c>
      <c r="B17" s="67">
        <v>50.64</v>
      </c>
      <c r="C17" s="67"/>
      <c r="D17" s="68">
        <v>2.2599999999999998</v>
      </c>
      <c r="E17" s="66">
        <v>3.81</v>
      </c>
      <c r="F17" s="66">
        <v>4.6100000000000003</v>
      </c>
      <c r="G17" s="66">
        <v>1.41</v>
      </c>
      <c r="H17" s="66">
        <v>2.33</v>
      </c>
      <c r="I17" s="66">
        <v>2.5099999999999998</v>
      </c>
      <c r="J17" s="66">
        <v>1.38</v>
      </c>
      <c r="K17" s="66">
        <v>1.69</v>
      </c>
      <c r="L17" s="66">
        <v>3.47</v>
      </c>
      <c r="M17" s="65">
        <v>8327</v>
      </c>
      <c r="N17" s="49">
        <v>12107</v>
      </c>
      <c r="O17" s="47">
        <v>0</v>
      </c>
      <c r="P17" s="47">
        <v>0</v>
      </c>
      <c r="Q17" s="47">
        <v>3912</v>
      </c>
      <c r="R17" s="21">
        <f>2212+3232+1276</f>
        <v>6720</v>
      </c>
      <c r="S17" s="21"/>
      <c r="T17" s="31"/>
      <c r="U17" s="31"/>
      <c r="V17" s="31"/>
      <c r="W17" s="31"/>
      <c r="X17" s="31"/>
      <c r="Y17" s="31"/>
      <c r="Z17" s="35">
        <v>0</v>
      </c>
      <c r="AA17" s="89"/>
      <c r="AB17" s="86"/>
      <c r="AC17" s="90"/>
    </row>
    <row r="18" spans="1:30" ht="15" customHeight="1">
      <c r="A18" s="58">
        <v>44455</v>
      </c>
      <c r="B18" s="67"/>
      <c r="C18" s="67"/>
      <c r="D18" s="68"/>
      <c r="E18" s="66"/>
      <c r="F18" s="66"/>
      <c r="G18" s="66"/>
      <c r="H18" s="66"/>
      <c r="I18" s="66"/>
      <c r="J18" s="66"/>
      <c r="K18" s="66"/>
      <c r="L18" s="66"/>
      <c r="M18" s="65"/>
      <c r="N18" s="47"/>
      <c r="O18" s="47"/>
      <c r="P18" s="47"/>
      <c r="Q18" s="47"/>
      <c r="R18" s="21"/>
      <c r="S18" s="21"/>
      <c r="T18" s="31"/>
      <c r="U18" s="31"/>
      <c r="V18" s="31"/>
      <c r="W18" s="31"/>
      <c r="X18" s="31"/>
      <c r="Y18" s="31"/>
      <c r="Z18" s="35">
        <v>0</v>
      </c>
      <c r="AA18" s="89"/>
      <c r="AB18" s="86"/>
      <c r="AC18" s="90"/>
    </row>
    <row r="19" spans="1:30" ht="15" customHeight="1">
      <c r="A19" s="58">
        <v>44456</v>
      </c>
      <c r="B19" s="67"/>
      <c r="C19" s="67"/>
      <c r="D19" s="68"/>
      <c r="E19" s="66"/>
      <c r="F19" s="66"/>
      <c r="G19" s="66"/>
      <c r="H19" s="66"/>
      <c r="I19" s="66"/>
      <c r="J19" s="66"/>
      <c r="K19" s="66"/>
      <c r="L19" s="66"/>
      <c r="M19" s="65"/>
      <c r="N19" s="47"/>
      <c r="O19" s="47"/>
      <c r="P19" s="47"/>
      <c r="Q19" s="47"/>
      <c r="R19" s="21"/>
      <c r="S19" s="21"/>
      <c r="T19" s="31"/>
      <c r="U19" s="31"/>
      <c r="V19" s="31"/>
      <c r="W19" s="31"/>
      <c r="X19" s="31"/>
      <c r="Y19" s="31"/>
      <c r="Z19" s="35">
        <v>0</v>
      </c>
      <c r="AA19" s="89"/>
      <c r="AB19" s="86"/>
      <c r="AC19" s="90"/>
    </row>
    <row r="20" spans="1:30" ht="15" customHeight="1">
      <c r="A20" s="58">
        <v>44457</v>
      </c>
      <c r="B20" s="67"/>
      <c r="C20" s="67"/>
      <c r="D20" s="68"/>
      <c r="E20" s="66"/>
      <c r="F20" s="66"/>
      <c r="G20" s="66"/>
      <c r="H20" s="66"/>
      <c r="I20" s="66"/>
      <c r="J20" s="66"/>
      <c r="K20" s="66"/>
      <c r="L20" s="66"/>
      <c r="M20" s="65"/>
      <c r="N20" s="47"/>
      <c r="O20" s="47"/>
      <c r="P20" s="47"/>
      <c r="Q20" s="47"/>
      <c r="R20" s="21"/>
      <c r="S20" s="21"/>
      <c r="T20" s="31"/>
      <c r="U20" s="31"/>
      <c r="V20" s="31"/>
      <c r="W20" s="31"/>
      <c r="X20" s="31"/>
      <c r="Y20" s="31"/>
      <c r="Z20" s="35">
        <v>0</v>
      </c>
      <c r="AA20" s="89"/>
      <c r="AB20" s="86"/>
      <c r="AC20" s="90"/>
    </row>
    <row r="21" spans="1:30" ht="15" customHeight="1">
      <c r="A21" s="58">
        <v>44458</v>
      </c>
      <c r="B21" s="67"/>
      <c r="C21" s="67"/>
      <c r="D21" s="68"/>
      <c r="E21" s="66"/>
      <c r="F21" s="66"/>
      <c r="G21" s="66"/>
      <c r="H21" s="66"/>
      <c r="I21" s="66"/>
      <c r="J21" s="66"/>
      <c r="K21" s="66"/>
      <c r="L21" s="66"/>
      <c r="M21" s="65"/>
      <c r="N21" s="47"/>
      <c r="O21" s="47"/>
      <c r="P21" s="47"/>
      <c r="Q21" s="47"/>
      <c r="R21" s="21"/>
      <c r="S21" s="21"/>
      <c r="T21" s="31"/>
      <c r="U21" s="31"/>
      <c r="V21" s="31"/>
      <c r="W21" s="31"/>
      <c r="X21" s="31"/>
      <c r="Y21" s="31"/>
      <c r="Z21" s="35">
        <v>0</v>
      </c>
      <c r="AA21" s="89"/>
      <c r="AB21" s="86"/>
      <c r="AC21" s="90"/>
      <c r="AD21" s="22"/>
    </row>
    <row r="22" spans="1:30" ht="15" customHeight="1">
      <c r="A22" s="58">
        <v>44459</v>
      </c>
      <c r="B22" s="67"/>
      <c r="C22" s="67"/>
      <c r="D22" s="68"/>
      <c r="E22" s="66"/>
      <c r="F22" s="66"/>
      <c r="G22" s="66"/>
      <c r="H22" s="66"/>
      <c r="I22" s="66"/>
      <c r="J22" s="66"/>
      <c r="K22" s="66"/>
      <c r="L22" s="66"/>
      <c r="M22" s="65"/>
      <c r="N22" s="49"/>
      <c r="O22" s="47"/>
      <c r="P22" s="47"/>
      <c r="Q22" s="47"/>
      <c r="R22" s="21"/>
      <c r="S22" s="21"/>
      <c r="T22" s="31"/>
      <c r="U22" s="31"/>
      <c r="V22" s="31"/>
      <c r="W22" s="31"/>
      <c r="X22" s="31"/>
      <c r="Y22" s="31"/>
      <c r="Z22" s="35">
        <v>0</v>
      </c>
      <c r="AA22" s="89"/>
      <c r="AB22" s="86"/>
      <c r="AC22" s="90"/>
      <c r="AD22" s="22"/>
    </row>
    <row r="23" spans="1:30" ht="15" customHeight="1">
      <c r="A23" s="58">
        <v>44460</v>
      </c>
      <c r="B23" s="67"/>
      <c r="C23" s="67"/>
      <c r="D23" s="68"/>
      <c r="E23" s="66"/>
      <c r="F23" s="66"/>
      <c r="G23" s="66"/>
      <c r="H23" s="66"/>
      <c r="I23" s="66"/>
      <c r="J23" s="66"/>
      <c r="K23" s="66"/>
      <c r="L23" s="66"/>
      <c r="M23" s="65"/>
      <c r="N23" s="49"/>
      <c r="O23" s="47"/>
      <c r="P23" s="47"/>
      <c r="Q23" s="47"/>
      <c r="R23" s="21"/>
      <c r="S23" s="21"/>
      <c r="T23" s="31"/>
      <c r="U23" s="31"/>
      <c r="V23" s="31"/>
      <c r="W23" s="31"/>
      <c r="X23" s="31"/>
      <c r="Y23" s="31"/>
      <c r="Z23" s="35">
        <v>0</v>
      </c>
      <c r="AA23" s="89"/>
      <c r="AB23" s="86"/>
      <c r="AC23" s="90"/>
      <c r="AD23" s="22"/>
    </row>
    <row r="24" spans="1:30" ht="15" customHeight="1">
      <c r="A24" s="58">
        <v>44461</v>
      </c>
      <c r="B24" s="67"/>
      <c r="C24" s="67"/>
      <c r="D24" s="68"/>
      <c r="E24" s="66"/>
      <c r="F24" s="66"/>
      <c r="G24" s="66"/>
      <c r="H24" s="66"/>
      <c r="I24" s="66"/>
      <c r="J24" s="66"/>
      <c r="K24" s="66"/>
      <c r="L24" s="66"/>
      <c r="M24" s="65"/>
      <c r="N24" s="49"/>
      <c r="O24" s="47"/>
      <c r="P24" s="47"/>
      <c r="Q24" s="47"/>
      <c r="R24" s="21"/>
      <c r="S24" s="21"/>
      <c r="T24" s="31"/>
      <c r="U24" s="31"/>
      <c r="V24" s="20"/>
      <c r="W24" s="20"/>
      <c r="X24" s="20"/>
      <c r="Y24" s="20"/>
      <c r="Z24" s="35">
        <v>0</v>
      </c>
      <c r="AA24" s="89"/>
      <c r="AB24" s="86"/>
      <c r="AC24" s="90"/>
      <c r="AD24" s="22"/>
    </row>
    <row r="25" spans="1:30" ht="15" customHeight="1">
      <c r="A25" s="58">
        <v>44462</v>
      </c>
      <c r="B25" s="67"/>
      <c r="C25" s="67"/>
      <c r="D25" s="68"/>
      <c r="E25" s="66"/>
      <c r="F25" s="66"/>
      <c r="G25" s="66"/>
      <c r="H25" s="66"/>
      <c r="I25" s="66"/>
      <c r="J25" s="66"/>
      <c r="K25" s="66"/>
      <c r="L25" s="66"/>
      <c r="M25" s="65"/>
      <c r="N25" s="49"/>
      <c r="O25" s="47"/>
      <c r="P25" s="47"/>
      <c r="Q25" s="47"/>
      <c r="R25" s="21"/>
      <c r="S25" s="21"/>
      <c r="T25" s="31"/>
      <c r="U25" s="31"/>
      <c r="V25" s="20"/>
      <c r="W25" s="20"/>
      <c r="X25" s="20"/>
      <c r="Y25" s="20"/>
      <c r="Z25" s="35">
        <v>0</v>
      </c>
      <c r="AA25" s="89"/>
      <c r="AB25" s="86"/>
      <c r="AC25" s="90"/>
      <c r="AD25" s="22"/>
    </row>
    <row r="26" spans="1:30" ht="15" customHeight="1">
      <c r="A26" s="58">
        <v>44463</v>
      </c>
      <c r="B26" s="67"/>
      <c r="C26" s="67"/>
      <c r="D26" s="68"/>
      <c r="E26" s="66"/>
      <c r="F26" s="66"/>
      <c r="G26" s="66"/>
      <c r="H26" s="66"/>
      <c r="I26" s="66"/>
      <c r="J26" s="66"/>
      <c r="K26" s="66"/>
      <c r="L26" s="66"/>
      <c r="M26" s="65"/>
      <c r="N26" s="49"/>
      <c r="O26" s="47"/>
      <c r="P26" s="47"/>
      <c r="Q26" s="47"/>
      <c r="R26" s="21"/>
      <c r="S26" s="21"/>
      <c r="T26" s="79"/>
      <c r="U26" s="31"/>
      <c r="V26" s="20"/>
      <c r="W26" s="20"/>
      <c r="X26" s="20"/>
      <c r="Y26" s="20"/>
      <c r="Z26" s="35">
        <v>0</v>
      </c>
      <c r="AA26" s="89"/>
      <c r="AB26" s="86"/>
      <c r="AC26" s="90"/>
      <c r="AD26" s="22"/>
    </row>
    <row r="27" spans="1:30" ht="15" customHeight="1">
      <c r="A27" s="58">
        <v>44464</v>
      </c>
      <c r="B27" s="67"/>
      <c r="C27" s="67"/>
      <c r="D27" s="68"/>
      <c r="E27" s="66"/>
      <c r="F27" s="66"/>
      <c r="G27" s="66"/>
      <c r="H27" s="66"/>
      <c r="I27" s="66"/>
      <c r="J27" s="66"/>
      <c r="K27" s="66"/>
      <c r="L27" s="66"/>
      <c r="M27" s="65"/>
      <c r="N27" s="49"/>
      <c r="O27" s="47"/>
      <c r="P27" s="47"/>
      <c r="Q27" s="47"/>
      <c r="R27" s="21"/>
      <c r="S27" s="21"/>
      <c r="T27" s="31"/>
      <c r="U27" s="31"/>
      <c r="V27" s="20"/>
      <c r="W27" s="20"/>
      <c r="X27" s="20"/>
      <c r="Y27" s="20"/>
      <c r="Z27" s="35">
        <v>0</v>
      </c>
      <c r="AA27" s="89"/>
      <c r="AB27" s="86"/>
      <c r="AC27" s="90"/>
      <c r="AD27" s="22"/>
    </row>
    <row r="28" spans="1:30" ht="15" customHeight="1">
      <c r="A28" s="58">
        <v>44465</v>
      </c>
      <c r="B28" s="67"/>
      <c r="C28" s="67"/>
      <c r="D28" s="68"/>
      <c r="E28" s="66"/>
      <c r="F28" s="66"/>
      <c r="G28" s="66"/>
      <c r="H28" s="66"/>
      <c r="I28" s="66"/>
      <c r="J28" s="66"/>
      <c r="K28" s="66"/>
      <c r="L28" s="66"/>
      <c r="M28" s="65"/>
      <c r="N28" s="49"/>
      <c r="O28" s="47"/>
      <c r="P28" s="47"/>
      <c r="Q28" s="47"/>
      <c r="R28" s="21"/>
      <c r="S28" s="21"/>
      <c r="T28" s="31"/>
      <c r="U28" s="31"/>
      <c r="V28" s="20"/>
      <c r="W28" s="20"/>
      <c r="X28" s="20"/>
      <c r="Y28" s="20"/>
      <c r="Z28" s="35">
        <v>0</v>
      </c>
      <c r="AA28" s="89"/>
      <c r="AB28" s="86"/>
      <c r="AC28" s="90"/>
      <c r="AD28" s="22"/>
    </row>
    <row r="29" spans="1:30" ht="15" customHeight="1">
      <c r="A29" s="58">
        <v>44466</v>
      </c>
      <c r="B29" s="67"/>
      <c r="C29" s="67"/>
      <c r="D29" s="68"/>
      <c r="E29" s="66"/>
      <c r="F29" s="66"/>
      <c r="G29" s="66"/>
      <c r="H29" s="66"/>
      <c r="I29" s="66"/>
      <c r="J29" s="66"/>
      <c r="K29" s="66"/>
      <c r="L29" s="66"/>
      <c r="M29" s="65"/>
      <c r="N29" s="49"/>
      <c r="O29" s="47"/>
      <c r="P29" s="47"/>
      <c r="Q29" s="47"/>
      <c r="R29" s="21"/>
      <c r="S29" s="21"/>
      <c r="T29" s="31"/>
      <c r="U29" s="31"/>
      <c r="V29" s="20"/>
      <c r="W29" s="20"/>
      <c r="X29" s="20"/>
      <c r="Y29" s="20"/>
      <c r="Z29" s="35">
        <v>0</v>
      </c>
      <c r="AA29" s="89"/>
      <c r="AB29" s="86"/>
      <c r="AC29" s="90"/>
      <c r="AD29" s="22"/>
    </row>
    <row r="30" spans="1:30" ht="15" customHeight="1">
      <c r="A30" s="58">
        <v>44467</v>
      </c>
      <c r="B30" s="67"/>
      <c r="C30" s="67"/>
      <c r="D30" s="68"/>
      <c r="E30" s="66"/>
      <c r="F30" s="66"/>
      <c r="G30" s="66"/>
      <c r="H30" s="66"/>
      <c r="I30" s="66"/>
      <c r="J30" s="66"/>
      <c r="K30" s="66"/>
      <c r="L30" s="66"/>
      <c r="M30" s="65"/>
      <c r="N30" s="49"/>
      <c r="O30" s="47"/>
      <c r="P30" s="47"/>
      <c r="Q30" s="47"/>
      <c r="R30" s="21"/>
      <c r="S30" s="21"/>
      <c r="T30" s="31"/>
      <c r="U30" s="31"/>
      <c r="V30" s="31"/>
      <c r="W30" s="31"/>
      <c r="X30" s="31"/>
      <c r="Y30" s="31"/>
      <c r="Z30" s="35">
        <v>0</v>
      </c>
      <c r="AA30" s="89"/>
      <c r="AB30" s="86"/>
      <c r="AC30" s="90"/>
      <c r="AD30" s="22"/>
    </row>
    <row r="31" spans="1:30" ht="15" customHeight="1">
      <c r="A31" s="58">
        <v>44468</v>
      </c>
      <c r="B31" s="67"/>
      <c r="C31" s="67"/>
      <c r="D31" s="68"/>
      <c r="E31" s="66"/>
      <c r="F31" s="66"/>
      <c r="G31" s="66"/>
      <c r="H31" s="66"/>
      <c r="I31" s="66"/>
      <c r="J31" s="66"/>
      <c r="K31" s="66"/>
      <c r="L31" s="66"/>
      <c r="M31" s="65"/>
      <c r="N31" s="50"/>
      <c r="O31" s="51"/>
      <c r="P31" s="47"/>
      <c r="Q31" s="47"/>
      <c r="R31" s="21"/>
      <c r="S31" s="21"/>
      <c r="T31" s="31"/>
      <c r="U31" s="31"/>
      <c r="V31" s="31"/>
      <c r="W31" s="31"/>
      <c r="X31" s="31"/>
      <c r="Y31" s="31"/>
      <c r="Z31" s="35">
        <v>0</v>
      </c>
      <c r="AA31" s="89"/>
      <c r="AB31" s="86"/>
      <c r="AC31" s="90"/>
      <c r="AD31" s="22"/>
    </row>
    <row r="32" spans="1:30" ht="15" customHeight="1">
      <c r="A32" s="58">
        <v>44469</v>
      </c>
      <c r="B32" s="67"/>
      <c r="C32" s="67"/>
      <c r="D32" s="68"/>
      <c r="E32" s="66"/>
      <c r="F32" s="66"/>
      <c r="G32" s="66"/>
      <c r="H32" s="66"/>
      <c r="I32" s="66"/>
      <c r="J32" s="66"/>
      <c r="K32" s="66"/>
      <c r="L32" s="66"/>
      <c r="M32" s="65"/>
      <c r="N32" s="52"/>
      <c r="O32" s="53"/>
      <c r="P32" s="53"/>
      <c r="Q32" s="53"/>
      <c r="R32" s="21"/>
      <c r="S32" s="21"/>
      <c r="T32" s="31"/>
      <c r="U32" s="31"/>
      <c r="V32" s="31"/>
      <c r="W32" s="31"/>
      <c r="X32" s="31"/>
      <c r="Y32" s="31"/>
      <c r="Z32" s="35">
        <v>0</v>
      </c>
      <c r="AA32" s="89"/>
      <c r="AB32" s="86"/>
      <c r="AC32" s="90"/>
      <c r="AD32" s="22"/>
    </row>
    <row r="33" spans="1:29" ht="15" customHeight="1">
      <c r="A33" s="58"/>
      <c r="B33" s="48"/>
      <c r="C33" s="69"/>
      <c r="D33" s="76"/>
      <c r="E33" s="76"/>
      <c r="F33" s="76"/>
      <c r="G33" s="76"/>
      <c r="H33" s="76"/>
      <c r="I33" s="76"/>
      <c r="J33" s="76"/>
      <c r="K33" s="76"/>
      <c r="L33" s="76"/>
      <c r="M33" s="65"/>
      <c r="N33" s="53"/>
      <c r="O33" s="53"/>
      <c r="P33" s="54"/>
      <c r="Q33" s="55"/>
      <c r="R33" s="21"/>
      <c r="S33" s="21"/>
      <c r="T33" s="56"/>
      <c r="U33" s="56"/>
      <c r="V33" s="56"/>
      <c r="W33" s="56"/>
      <c r="X33" s="56"/>
      <c r="Y33" s="56"/>
      <c r="Z33" s="35">
        <v>0</v>
      </c>
      <c r="AA33" s="91"/>
      <c r="AB33" s="92"/>
      <c r="AC33" s="93"/>
    </row>
    <row r="34" spans="1:29">
      <c r="W34" s="78"/>
      <c r="X34" s="78"/>
      <c r="AA34" s="83"/>
      <c r="AB34" s="83"/>
      <c r="AC34" s="83"/>
    </row>
    <row r="35" spans="1:29">
      <c r="T35" s="86"/>
      <c r="U35" s="86"/>
      <c r="V35" s="86"/>
      <c r="AA35" s="83"/>
      <c r="AB35" s="83"/>
      <c r="AC35" s="83"/>
    </row>
    <row r="36" spans="1:29">
      <c r="AA36" s="83"/>
      <c r="AB36" s="83"/>
      <c r="AC36" s="83"/>
    </row>
    <row r="37" spans="1:29">
      <c r="M37" s="49" t="s">
        <v>73</v>
      </c>
      <c r="N37" s="47" t="s">
        <v>74</v>
      </c>
      <c r="O37" s="47">
        <v>38000</v>
      </c>
      <c r="AA37" s="83"/>
      <c r="AB37" s="83"/>
      <c r="AC37" s="83"/>
    </row>
    <row r="38" spans="1:29" ht="15">
      <c r="M38" s="47"/>
      <c r="N38" s="47"/>
      <c r="O38" s="47"/>
      <c r="P38" s="77"/>
      <c r="AA38" s="83"/>
      <c r="AB38" s="83"/>
      <c r="AC38" s="83"/>
    </row>
    <row r="39" spans="1:29" ht="15">
      <c r="P39" s="77"/>
      <c r="AA39" s="83"/>
      <c r="AB39" s="83"/>
      <c r="AC39" s="83"/>
    </row>
  </sheetData>
  <mergeCells count="9">
    <mergeCell ref="T35:V35"/>
    <mergeCell ref="AB13:AC13"/>
    <mergeCell ref="AB14:AC14"/>
    <mergeCell ref="AA16:AC33"/>
    <mergeCell ref="D1:L1"/>
    <mergeCell ref="AA2:AC2"/>
    <mergeCell ref="AA3:AC3"/>
    <mergeCell ref="AA11:AC11"/>
    <mergeCell ref="AB12:AC12"/>
  </mergeCells>
  <phoneticPr fontId="2" type="noConversion"/>
  <pageMargins left="0.7" right="0.7" top="0.75" bottom="0.75" header="0.3" footer="0.3"/>
  <pageSetup scale="89" orientation="portrait" r:id="rId1"/>
  <colBreaks count="1" manualBreakCount="1">
    <brk id="19" max="32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2" ma:contentTypeDescription="Create a new document." ma:contentTypeScope="" ma:versionID="0eaf907d2f6070ca37dafb69c50b4233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61189f769c577b9c04ae4f18061de57f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3C1FFEE-54E3-4891-B98C-21C3BE451C87}"/>
</file>

<file path=customXml/itemProps2.xml><?xml version="1.0" encoding="utf-8"?>
<ds:datastoreItem xmlns:ds="http://schemas.openxmlformats.org/officeDocument/2006/customXml" ds:itemID="{E99E6936-EF7E-451B-BDFB-80F884242F61}"/>
</file>

<file path=customXml/itemProps3.xml><?xml version="1.0" encoding="utf-8"?>
<ds:datastoreItem xmlns:ds="http://schemas.openxmlformats.org/officeDocument/2006/customXml" ds:itemID="{620F5833-E3D5-4465-B836-0DEADAE27D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>Bertrand Morel</cp:lastModifiedBy>
  <cp:revision/>
  <dcterms:created xsi:type="dcterms:W3CDTF">2019-08-14T08:16:24Z</dcterms:created>
  <dcterms:modified xsi:type="dcterms:W3CDTF">2021-09-16T13:20:17Z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</Properties>
</file>