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19440" windowHeight="12135" tabRatio="620" activeTab="1"/>
  </bookViews>
  <sheets>
    <sheet name="TOTAL" sheetId="117" r:id="rId1"/>
    <sheet name="Electricity" sheetId="102" r:id="rId2"/>
    <sheet name="Gas" sheetId="109" r:id="rId3"/>
    <sheet name="Fuel Diesel" sheetId="116" r:id="rId4"/>
    <sheet name="Water" sheetId="106" r:id="rId5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17" l="1"/>
  <c r="F2" i="117"/>
  <c r="E2" i="117"/>
  <c r="E4" i="117"/>
  <c r="F40" i="116" l="1"/>
  <c r="F8" i="102" l="1"/>
  <c r="F9" i="102"/>
  <c r="F10" i="102"/>
  <c r="F11" i="102"/>
  <c r="F12" i="102"/>
  <c r="F13" i="102"/>
  <c r="F14" i="102"/>
  <c r="F15" i="102"/>
  <c r="F16" i="102"/>
  <c r="F17" i="102"/>
  <c r="F18" i="102"/>
  <c r="F19" i="102"/>
  <c r="F20" i="102"/>
  <c r="F21" i="102"/>
  <c r="F22" i="102"/>
  <c r="F23" i="102"/>
  <c r="F24" i="102"/>
  <c r="F25" i="102"/>
  <c r="F26" i="102"/>
  <c r="F27" i="102"/>
  <c r="F28" i="102"/>
  <c r="F29" i="102"/>
  <c r="F30" i="102"/>
  <c r="F31" i="102"/>
  <c r="F32" i="102"/>
  <c r="F33" i="102"/>
  <c r="F34" i="102"/>
  <c r="F35" i="102"/>
  <c r="F36" i="102"/>
  <c r="F37" i="102"/>
  <c r="H11" i="106" l="1"/>
  <c r="H12" i="106"/>
  <c r="H13" i="106"/>
  <c r="H14" i="106"/>
  <c r="H15" i="106"/>
  <c r="H16" i="106"/>
  <c r="H17" i="106"/>
  <c r="H18" i="106"/>
  <c r="H19" i="106"/>
  <c r="H20" i="106"/>
  <c r="H21" i="106"/>
  <c r="H22" i="106"/>
  <c r="H23" i="106"/>
  <c r="H24" i="106"/>
  <c r="H25" i="106"/>
  <c r="H26" i="106"/>
  <c r="H27" i="106"/>
  <c r="H28" i="106"/>
  <c r="H29" i="106"/>
  <c r="H30" i="106"/>
  <c r="H31" i="106"/>
  <c r="H32" i="106"/>
  <c r="H33" i="106"/>
  <c r="H34" i="106"/>
  <c r="H35" i="106"/>
  <c r="H36" i="106"/>
  <c r="H37" i="106"/>
  <c r="H38" i="106"/>
  <c r="H10" i="106"/>
  <c r="H9" i="106"/>
  <c r="G9" i="116"/>
  <c r="H9" i="116" l="1"/>
  <c r="J2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I3" i="117"/>
  <c r="I7" i="117"/>
  <c r="I10" i="117"/>
  <c r="I17" i="117"/>
  <c r="I24" i="117"/>
  <c r="I31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L39" i="102" l="1"/>
  <c r="J11" i="106"/>
  <c r="J12" i="106"/>
  <c r="J13" i="106"/>
  <c r="J14" i="106"/>
  <c r="J15" i="106"/>
  <c r="J16" i="106"/>
  <c r="J17" i="106"/>
  <c r="J18" i="106"/>
  <c r="K18" i="106" s="1"/>
  <c r="L18" i="106" s="1"/>
  <c r="J19" i="106"/>
  <c r="J20" i="106"/>
  <c r="J21" i="106"/>
  <c r="J22" i="106"/>
  <c r="J23" i="106"/>
  <c r="J24" i="106"/>
  <c r="J25" i="106"/>
  <c r="J26" i="106"/>
  <c r="J27" i="106"/>
  <c r="J28" i="106"/>
  <c r="J29" i="106"/>
  <c r="J30" i="106"/>
  <c r="J31" i="106"/>
  <c r="J32" i="106"/>
  <c r="J33" i="106"/>
  <c r="J34" i="106"/>
  <c r="J35" i="106"/>
  <c r="J36" i="106"/>
  <c r="J37" i="106"/>
  <c r="J38" i="106"/>
  <c r="J10" i="106"/>
  <c r="J9" i="106"/>
  <c r="I13" i="117"/>
  <c r="G9" i="109"/>
  <c r="I16" i="102"/>
  <c r="J16" i="102" s="1"/>
  <c r="I17" i="102"/>
  <c r="J17" i="102" s="1"/>
  <c r="I18" i="102"/>
  <c r="J18" i="102" s="1"/>
  <c r="I19" i="102"/>
  <c r="J19" i="102" s="1"/>
  <c r="I20" i="102"/>
  <c r="J20" i="102" s="1"/>
  <c r="I21" i="102"/>
  <c r="J21" i="102" s="1"/>
  <c r="I22" i="102"/>
  <c r="J22" i="102" s="1"/>
  <c r="I23" i="102"/>
  <c r="J23" i="102" s="1"/>
  <c r="I24" i="102"/>
  <c r="J24" i="102" s="1"/>
  <c r="I25" i="102"/>
  <c r="J25" i="102" s="1"/>
  <c r="I26" i="102"/>
  <c r="J26" i="102" s="1"/>
  <c r="I27" i="102"/>
  <c r="J27" i="102" s="1"/>
  <c r="I28" i="102"/>
  <c r="J28" i="102" s="1"/>
  <c r="I29" i="102"/>
  <c r="J29" i="102" s="1"/>
  <c r="I30" i="102"/>
  <c r="J30" i="102" s="1"/>
  <c r="I31" i="102"/>
  <c r="J31" i="102" s="1"/>
  <c r="I32" i="102"/>
  <c r="J32" i="102" s="1"/>
  <c r="I33" i="102"/>
  <c r="J33" i="102" s="1"/>
  <c r="I34" i="102"/>
  <c r="J34" i="102" s="1"/>
  <c r="I35" i="102"/>
  <c r="J35" i="102" s="1"/>
  <c r="I36" i="102"/>
  <c r="J36" i="102" s="1"/>
  <c r="I37" i="102"/>
  <c r="J37" i="102" s="1"/>
  <c r="G17" i="102"/>
  <c r="G23" i="102"/>
  <c r="G25" i="102"/>
  <c r="G28" i="102"/>
  <c r="G30" i="102"/>
  <c r="G34" i="102"/>
  <c r="G37" i="102"/>
  <c r="D40" i="116"/>
  <c r="C40" i="116"/>
  <c r="G38" i="116"/>
  <c r="I30" i="117"/>
  <c r="I29" i="117"/>
  <c r="I28" i="117"/>
  <c r="G35" i="116"/>
  <c r="I27" i="117"/>
  <c r="I26" i="117"/>
  <c r="I25" i="117"/>
  <c r="G31" i="116"/>
  <c r="I23" i="117"/>
  <c r="G30" i="116"/>
  <c r="I22" i="117"/>
  <c r="G29" i="116"/>
  <c r="I21" i="117"/>
  <c r="G28" i="116"/>
  <c r="I20" i="117"/>
  <c r="I19" i="117"/>
  <c r="G26" i="116"/>
  <c r="I18" i="117"/>
  <c r="G25" i="116"/>
  <c r="G24" i="116"/>
  <c r="I16" i="117"/>
  <c r="G23" i="116"/>
  <c r="I15" i="117"/>
  <c r="G22" i="116"/>
  <c r="I14" i="117"/>
  <c r="G20" i="116"/>
  <c r="I12" i="117"/>
  <c r="I11" i="117"/>
  <c r="G18" i="116"/>
  <c r="G17" i="116"/>
  <c r="I9" i="117"/>
  <c r="I8" i="117"/>
  <c r="G15" i="116"/>
  <c r="G14" i="116"/>
  <c r="I6" i="117"/>
  <c r="I5" i="117"/>
  <c r="G12" i="116"/>
  <c r="I4" i="117"/>
  <c r="G11" i="116"/>
  <c r="G10" i="116"/>
  <c r="I2" i="117"/>
  <c r="J8" i="109"/>
  <c r="J19" i="109" s="1"/>
  <c r="I40" i="106"/>
  <c r="G40" i="106"/>
  <c r="I41" i="106" s="1"/>
  <c r="E40" i="106"/>
  <c r="F38" i="106"/>
  <c r="F37" i="106"/>
  <c r="F36" i="106"/>
  <c r="F35" i="106"/>
  <c r="F34" i="106"/>
  <c r="F33" i="106"/>
  <c r="F32" i="106"/>
  <c r="F31" i="106"/>
  <c r="F30" i="106"/>
  <c r="K30" i="106" s="1"/>
  <c r="L30" i="106" s="1"/>
  <c r="F29" i="106"/>
  <c r="F28" i="106"/>
  <c r="F27" i="106"/>
  <c r="F26" i="106"/>
  <c r="F25" i="106"/>
  <c r="F24" i="106"/>
  <c r="F23" i="106"/>
  <c r="F22" i="106"/>
  <c r="F21" i="106"/>
  <c r="F20" i="106"/>
  <c r="F19" i="106"/>
  <c r="F18" i="106"/>
  <c r="F17" i="106"/>
  <c r="F16" i="106"/>
  <c r="F15" i="106"/>
  <c r="F14" i="106"/>
  <c r="F13" i="106"/>
  <c r="F12" i="106"/>
  <c r="F11" i="106"/>
  <c r="F10" i="106"/>
  <c r="K10" i="106" s="1"/>
  <c r="L10" i="106" s="1"/>
  <c r="F9" i="106"/>
  <c r="D40" i="109"/>
  <c r="C40" i="109"/>
  <c r="G38" i="109"/>
  <c r="G37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C40" i="106"/>
  <c r="D40" i="106"/>
  <c r="I8" i="102"/>
  <c r="J8" i="102" s="1"/>
  <c r="G9" i="102"/>
  <c r="I9" i="102"/>
  <c r="J9" i="102" s="1"/>
  <c r="G10" i="102"/>
  <c r="I10" i="102"/>
  <c r="J10" i="102" s="1"/>
  <c r="I11" i="102"/>
  <c r="J11" i="102" s="1"/>
  <c r="I12" i="102"/>
  <c r="J12" i="102" s="1"/>
  <c r="G13" i="102"/>
  <c r="I13" i="102"/>
  <c r="J13" i="102" s="1"/>
  <c r="I14" i="102"/>
  <c r="J14" i="102" s="1"/>
  <c r="I15" i="102"/>
  <c r="J15" i="102" s="1"/>
  <c r="C39" i="102"/>
  <c r="D39" i="102"/>
  <c r="F40" i="109"/>
  <c r="Q40" i="109" s="1"/>
  <c r="G10" i="109"/>
  <c r="O40" i="109"/>
  <c r="H17" i="116" l="1"/>
  <c r="J10" i="117"/>
  <c r="J5" i="117"/>
  <c r="H12" i="116"/>
  <c r="H18" i="116"/>
  <c r="J11" i="117"/>
  <c r="H10" i="116"/>
  <c r="J3" i="117"/>
  <c r="H35" i="116"/>
  <c r="J28" i="117"/>
  <c r="H22" i="116"/>
  <c r="J15" i="117"/>
  <c r="H28" i="116"/>
  <c r="J21" i="117"/>
  <c r="H24" i="116"/>
  <c r="J17" i="117"/>
  <c r="H29" i="116"/>
  <c r="J22" i="117"/>
  <c r="H25" i="116"/>
  <c r="J18" i="117"/>
  <c r="H31" i="116"/>
  <c r="J24" i="117"/>
  <c r="H11" i="116"/>
  <c r="J4" i="117"/>
  <c r="H23" i="116"/>
  <c r="J16" i="117"/>
  <c r="H14" i="116"/>
  <c r="J7" i="117"/>
  <c r="H20" i="116"/>
  <c r="J13" i="117"/>
  <c r="H30" i="116"/>
  <c r="J23" i="117"/>
  <c r="H38" i="116"/>
  <c r="J31" i="117"/>
  <c r="H15" i="116"/>
  <c r="J8" i="117"/>
  <c r="J19" i="117"/>
  <c r="H26" i="116"/>
  <c r="E26" i="117"/>
  <c r="E16" i="117"/>
  <c r="E30" i="117"/>
  <c r="K15" i="106"/>
  <c r="L15" i="106" s="1"/>
  <c r="K27" i="106"/>
  <c r="L27" i="106" s="1"/>
  <c r="K38" i="106"/>
  <c r="L38" i="106" s="1"/>
  <c r="E12" i="117"/>
  <c r="E15" i="117"/>
  <c r="E25" i="117"/>
  <c r="E23" i="117"/>
  <c r="E13" i="117"/>
  <c r="K31" i="106"/>
  <c r="L31" i="106" s="1"/>
  <c r="K32" i="106"/>
  <c r="L32" i="106" s="1"/>
  <c r="K21" i="106"/>
  <c r="L21" i="106" s="1"/>
  <c r="K33" i="106"/>
  <c r="L33" i="106" s="1"/>
  <c r="K35" i="106"/>
  <c r="L35" i="106" s="1"/>
  <c r="K11" i="106"/>
  <c r="L11" i="106" s="1"/>
  <c r="J40" i="106"/>
  <c r="K17" i="106"/>
  <c r="L17" i="106" s="1"/>
  <c r="K9" i="106"/>
  <c r="L9" i="106" s="1"/>
  <c r="K28" i="106"/>
  <c r="L28" i="106" s="1"/>
  <c r="K16" i="106"/>
  <c r="L16" i="106" s="1"/>
  <c r="K13" i="106"/>
  <c r="L13" i="106" s="1"/>
  <c r="K23" i="106"/>
  <c r="L23" i="106" s="1"/>
  <c r="K29" i="106"/>
  <c r="L29" i="106" s="1"/>
  <c r="K36" i="106"/>
  <c r="L36" i="106" s="1"/>
  <c r="K25" i="106"/>
  <c r="L25" i="106" s="1"/>
  <c r="K37" i="106"/>
  <c r="L37" i="106" s="1"/>
  <c r="L11" i="117"/>
  <c r="K12" i="106"/>
  <c r="L12" i="106" s="1"/>
  <c r="G16" i="116"/>
  <c r="G13" i="116"/>
  <c r="G19" i="116"/>
  <c r="G21" i="116"/>
  <c r="G27" i="116"/>
  <c r="K37" i="102"/>
  <c r="L37" i="102" s="1"/>
  <c r="M37" i="102" s="1"/>
  <c r="E9" i="117"/>
  <c r="G22" i="102"/>
  <c r="K22" i="102" s="1"/>
  <c r="L22" i="102" s="1"/>
  <c r="M22" i="102" s="1"/>
  <c r="E5" i="117"/>
  <c r="E21" i="117"/>
  <c r="K10" i="102"/>
  <c r="L10" i="102" s="1"/>
  <c r="M10" i="102" s="1"/>
  <c r="E31" i="117"/>
  <c r="J33" i="109"/>
  <c r="J11" i="109"/>
  <c r="J27" i="109"/>
  <c r="J28" i="109"/>
  <c r="J13" i="109"/>
  <c r="M8" i="109"/>
  <c r="M13" i="109" s="1"/>
  <c r="J26" i="109"/>
  <c r="E14" i="117"/>
  <c r="E20" i="117"/>
  <c r="E29" i="117"/>
  <c r="E6" i="117"/>
  <c r="K25" i="102"/>
  <c r="L25" i="102" s="1"/>
  <c r="M25" i="102" s="1"/>
  <c r="K34" i="102"/>
  <c r="L34" i="102" s="1"/>
  <c r="M34" i="102" s="1"/>
  <c r="E18" i="117"/>
  <c r="E27" i="117"/>
  <c r="G26" i="102"/>
  <c r="K26" i="102" s="1"/>
  <c r="L26" i="102" s="1"/>
  <c r="M26" i="102" s="1"/>
  <c r="G20" i="102"/>
  <c r="K20" i="102" s="1"/>
  <c r="L20" i="102" s="1"/>
  <c r="M20" i="102" s="1"/>
  <c r="K9" i="102"/>
  <c r="L9" i="102" s="1"/>
  <c r="M9" i="102" s="1"/>
  <c r="J14" i="109"/>
  <c r="J12" i="109"/>
  <c r="K22" i="106"/>
  <c r="L22" i="106" s="1"/>
  <c r="G32" i="116"/>
  <c r="G36" i="116"/>
  <c r="G35" i="102"/>
  <c r="K35" i="102" s="1"/>
  <c r="L35" i="102" s="1"/>
  <c r="M35" i="102" s="1"/>
  <c r="G33" i="102"/>
  <c r="K33" i="102" s="1"/>
  <c r="L33" i="102" s="1"/>
  <c r="M33" i="102" s="1"/>
  <c r="E17" i="117"/>
  <c r="K30" i="102"/>
  <c r="L30" i="102" s="1"/>
  <c r="M30" i="102" s="1"/>
  <c r="K34" i="106"/>
  <c r="L34" i="106" s="1"/>
  <c r="K26" i="106"/>
  <c r="L26" i="106" s="1"/>
  <c r="K23" i="102"/>
  <c r="L23" i="102" s="1"/>
  <c r="M23" i="102" s="1"/>
  <c r="J20" i="109"/>
  <c r="J24" i="109"/>
  <c r="K13" i="102"/>
  <c r="L13" i="102" s="1"/>
  <c r="M13" i="102" s="1"/>
  <c r="J16" i="109"/>
  <c r="J31" i="109"/>
  <c r="J9" i="109"/>
  <c r="J38" i="109"/>
  <c r="J32" i="109"/>
  <c r="J37" i="109"/>
  <c r="J10" i="109"/>
  <c r="J17" i="109"/>
  <c r="J30" i="109"/>
  <c r="E8" i="117"/>
  <c r="E7" i="117"/>
  <c r="K19" i="106"/>
  <c r="L19" i="106" s="1"/>
  <c r="K24" i="106"/>
  <c r="L24" i="106" s="1"/>
  <c r="G33" i="116"/>
  <c r="G37" i="116"/>
  <c r="E22" i="117"/>
  <c r="G24" i="102"/>
  <c r="K24" i="102" s="1"/>
  <c r="L24" i="102" s="1"/>
  <c r="M24" i="102" s="1"/>
  <c r="K17" i="102"/>
  <c r="L17" i="102" s="1"/>
  <c r="M17" i="102" s="1"/>
  <c r="P8" i="109"/>
  <c r="J18" i="109"/>
  <c r="J25" i="109"/>
  <c r="J21" i="109"/>
  <c r="G8" i="102"/>
  <c r="K8" i="102" s="1"/>
  <c r="L8" i="102" s="1"/>
  <c r="M8" i="102" s="1"/>
  <c r="J29" i="109"/>
  <c r="J36" i="109"/>
  <c r="J22" i="109"/>
  <c r="J35" i="109"/>
  <c r="J15" i="109"/>
  <c r="J34" i="109"/>
  <c r="J23" i="109"/>
  <c r="G15" i="102"/>
  <c r="K15" i="102" s="1"/>
  <c r="L15" i="102" s="1"/>
  <c r="M15" i="102" s="1"/>
  <c r="G11" i="102"/>
  <c r="K11" i="102" s="1"/>
  <c r="L11" i="102" s="1"/>
  <c r="M11" i="102" s="1"/>
  <c r="E3" i="117"/>
  <c r="K14" i="106"/>
  <c r="L14" i="106" s="1"/>
  <c r="K20" i="106"/>
  <c r="L20" i="106" s="1"/>
  <c r="G34" i="116"/>
  <c r="G29" i="102"/>
  <c r="K29" i="102" s="1"/>
  <c r="L29" i="102" s="1"/>
  <c r="M29" i="102" s="1"/>
  <c r="G27" i="102"/>
  <c r="K27" i="102" s="1"/>
  <c r="L27" i="102" s="1"/>
  <c r="M27" i="102" s="1"/>
  <c r="G19" i="102"/>
  <c r="K19" i="102" s="1"/>
  <c r="L19" i="102" s="1"/>
  <c r="M19" i="102" s="1"/>
  <c r="E10" i="117"/>
  <c r="L23" i="117"/>
  <c r="L3" i="117"/>
  <c r="M29" i="109"/>
  <c r="K28" i="102"/>
  <c r="L28" i="102" s="1"/>
  <c r="M28" i="102" s="1"/>
  <c r="F39" i="102"/>
  <c r="E24" i="117"/>
  <c r="E19" i="117"/>
  <c r="G18" i="102"/>
  <c r="K18" i="102" s="1"/>
  <c r="L18" i="102" s="1"/>
  <c r="M18" i="102" s="1"/>
  <c r="G14" i="102"/>
  <c r="K14" i="102" s="1"/>
  <c r="L14" i="102" s="1"/>
  <c r="M14" i="102" s="1"/>
  <c r="G12" i="102"/>
  <c r="K12" i="102" s="1"/>
  <c r="L12" i="102" s="1"/>
  <c r="M12" i="102" s="1"/>
  <c r="G36" i="102"/>
  <c r="K36" i="102" s="1"/>
  <c r="L36" i="102" s="1"/>
  <c r="M36" i="102" s="1"/>
  <c r="G32" i="102"/>
  <c r="K32" i="102" s="1"/>
  <c r="L32" i="102" s="1"/>
  <c r="M32" i="102" s="1"/>
  <c r="E11" i="117"/>
  <c r="I39" i="102"/>
  <c r="E28" i="117"/>
  <c r="G31" i="102"/>
  <c r="K31" i="102" s="1"/>
  <c r="L31" i="102" s="1"/>
  <c r="M31" i="102" s="1"/>
  <c r="G21" i="102"/>
  <c r="K21" i="102" s="1"/>
  <c r="L21" i="102" s="1"/>
  <c r="M21" i="102" s="1"/>
  <c r="G16" i="102"/>
  <c r="K16" i="102" s="1"/>
  <c r="L16" i="102" s="1"/>
  <c r="M16" i="102" s="1"/>
  <c r="J12" i="117" l="1"/>
  <c r="H19" i="116"/>
  <c r="H36" i="116"/>
  <c r="J29" i="117"/>
  <c r="H34" i="116"/>
  <c r="J27" i="117"/>
  <c r="H32" i="116"/>
  <c r="H40" i="116" s="1"/>
  <c r="J25" i="117"/>
  <c r="H13" i="116"/>
  <c r="J6" i="117"/>
  <c r="H16" i="116"/>
  <c r="J9" i="117"/>
  <c r="H37" i="116"/>
  <c r="J30" i="117"/>
  <c r="H27" i="116"/>
  <c r="J20" i="117"/>
  <c r="H33" i="116"/>
  <c r="J26" i="117"/>
  <c r="H21" i="116"/>
  <c r="J14" i="117"/>
  <c r="F17" i="117"/>
  <c r="K40" i="102"/>
  <c r="L8" i="117"/>
  <c r="L25" i="117"/>
  <c r="L10" i="117"/>
  <c r="L21" i="117"/>
  <c r="L20" i="117"/>
  <c r="L31" i="117"/>
  <c r="L2" i="117"/>
  <c r="F31" i="117"/>
  <c r="M31" i="109"/>
  <c r="M34" i="109"/>
  <c r="M26" i="109"/>
  <c r="M16" i="109"/>
  <c r="M35" i="109"/>
  <c r="M24" i="109"/>
  <c r="M28" i="109"/>
  <c r="M25" i="109"/>
  <c r="M9" i="109"/>
  <c r="M17" i="109"/>
  <c r="Q17" i="109" s="1"/>
  <c r="R17" i="109" s="1"/>
  <c r="M30" i="109"/>
  <c r="M18" i="109"/>
  <c r="P21" i="109"/>
  <c r="M12" i="109"/>
  <c r="M19" i="109"/>
  <c r="M36" i="109"/>
  <c r="M21" i="109"/>
  <c r="M27" i="109"/>
  <c r="M15" i="109"/>
  <c r="M14" i="109"/>
  <c r="Q14" i="109" s="1"/>
  <c r="R14" i="109" s="1"/>
  <c r="L24" i="117"/>
  <c r="L12" i="117"/>
  <c r="L9" i="117"/>
  <c r="L17" i="117"/>
  <c r="L26" i="117"/>
  <c r="L4" i="117"/>
  <c r="L28" i="117"/>
  <c r="L14" i="117"/>
  <c r="L16" i="117"/>
  <c r="L6" i="117"/>
  <c r="L5" i="117"/>
  <c r="L22" i="117"/>
  <c r="L30" i="117"/>
  <c r="L13" i="117"/>
  <c r="L19" i="117"/>
  <c r="L29" i="117"/>
  <c r="L15" i="117"/>
  <c r="L40" i="106"/>
  <c r="O40" i="106" s="1"/>
  <c r="L7" i="117"/>
  <c r="L18" i="117"/>
  <c r="F13" i="117"/>
  <c r="F16" i="117"/>
  <c r="F3" i="117"/>
  <c r="F4" i="117"/>
  <c r="F5" i="117"/>
  <c r="F20" i="117"/>
  <c r="F9" i="117"/>
  <c r="F29" i="117"/>
  <c r="M38" i="109"/>
  <c r="Q38" i="109" s="1"/>
  <c r="R38" i="109" s="1"/>
  <c r="M23" i="109"/>
  <c r="M33" i="109"/>
  <c r="P37" i="109"/>
  <c r="M32" i="109"/>
  <c r="M11" i="109"/>
  <c r="M37" i="109"/>
  <c r="M10" i="109"/>
  <c r="M22" i="109"/>
  <c r="M20" i="109"/>
  <c r="Q20" i="109" s="1"/>
  <c r="R20" i="109" s="1"/>
  <c r="F7" i="117"/>
  <c r="F14" i="117"/>
  <c r="F27" i="117"/>
  <c r="F23" i="117"/>
  <c r="F19" i="117"/>
  <c r="F28" i="117"/>
  <c r="F24" i="117"/>
  <c r="F18" i="117"/>
  <c r="P30" i="109"/>
  <c r="P33" i="109"/>
  <c r="P18" i="109"/>
  <c r="P23" i="109"/>
  <c r="P31" i="109"/>
  <c r="Q31" i="109" s="1"/>
  <c r="R31" i="109" s="1"/>
  <c r="P32" i="109"/>
  <c r="P10" i="109"/>
  <c r="P11" i="109"/>
  <c r="P24" i="109"/>
  <c r="Q24" i="109" s="1"/>
  <c r="R24" i="109" s="1"/>
  <c r="P14" i="109"/>
  <c r="P13" i="109"/>
  <c r="Q13" i="109" s="1"/>
  <c r="R13" i="109" s="1"/>
  <c r="P28" i="109"/>
  <c r="Q28" i="109" s="1"/>
  <c r="R28" i="109" s="1"/>
  <c r="P25" i="109"/>
  <c r="P27" i="109"/>
  <c r="P36" i="109"/>
  <c r="P17" i="109"/>
  <c r="P9" i="109"/>
  <c r="Q9" i="109" s="1"/>
  <c r="R9" i="109" s="1"/>
  <c r="P12" i="109"/>
  <c r="Q12" i="109" s="1"/>
  <c r="R12" i="109" s="1"/>
  <c r="P16" i="109"/>
  <c r="Q16" i="109" s="1"/>
  <c r="R16" i="109" s="1"/>
  <c r="P22" i="109"/>
  <c r="P38" i="109"/>
  <c r="P26" i="109"/>
  <c r="Q26" i="109" s="1"/>
  <c r="R26" i="109" s="1"/>
  <c r="P19" i="109"/>
  <c r="Q19" i="109" s="1"/>
  <c r="R19" i="109" s="1"/>
  <c r="P15" i="109"/>
  <c r="P29" i="109"/>
  <c r="Q29" i="109" s="1"/>
  <c r="R29" i="109" s="1"/>
  <c r="L27" i="117"/>
  <c r="F21" i="117"/>
  <c r="Q32" i="109"/>
  <c r="R32" i="109" s="1"/>
  <c r="F11" i="117"/>
  <c r="P35" i="109"/>
  <c r="Q35" i="109" s="1"/>
  <c r="R35" i="109" s="1"/>
  <c r="Q21" i="109"/>
  <c r="R21" i="109" s="1"/>
  <c r="P20" i="109"/>
  <c r="P34" i="109"/>
  <c r="Q34" i="109" s="1"/>
  <c r="R34" i="109" s="1"/>
  <c r="F12" i="117"/>
  <c r="F26" i="117"/>
  <c r="F30" i="117"/>
  <c r="F6" i="117"/>
  <c r="F10" i="117"/>
  <c r="F15" i="117"/>
  <c r="F25" i="117"/>
  <c r="F8" i="117"/>
  <c r="F22" i="117"/>
  <c r="Q36" i="109" l="1"/>
  <c r="R36" i="109" s="1"/>
  <c r="Q18" i="109"/>
  <c r="R18" i="109" s="1"/>
  <c r="Q22" i="109"/>
  <c r="R22" i="109" s="1"/>
  <c r="Q33" i="109"/>
  <c r="R33" i="109" s="1"/>
  <c r="Q15" i="109"/>
  <c r="R15" i="109" s="1"/>
  <c r="Q27" i="109"/>
  <c r="R27" i="109" s="1"/>
  <c r="Q25" i="109"/>
  <c r="R25" i="109" s="1"/>
  <c r="Q30" i="109"/>
  <c r="R30" i="109" s="1"/>
  <c r="Q23" i="109"/>
  <c r="R23" i="109" s="1"/>
  <c r="Q11" i="109"/>
  <c r="R11" i="109" s="1"/>
  <c r="Q10" i="109"/>
  <c r="R10" i="109" s="1"/>
  <c r="Q37" i="109"/>
  <c r="R37" i="109" s="1"/>
  <c r="H21" i="117"/>
  <c r="H9" i="117"/>
  <c r="H6" i="117"/>
  <c r="H19" i="117"/>
  <c r="H31" i="117"/>
  <c r="H7" i="117"/>
  <c r="H26" i="117"/>
  <c r="H10" i="117"/>
  <c r="H29" i="117"/>
  <c r="H22" i="117"/>
  <c r="H2" i="117"/>
  <c r="H24" i="117"/>
  <c r="H13" i="117"/>
  <c r="H27" i="117"/>
  <c r="H28" i="117"/>
  <c r="H15" i="117"/>
  <c r="H14" i="117"/>
  <c r="H5" i="117"/>
  <c r="H12" i="117"/>
  <c r="H25" i="117"/>
  <c r="H17" i="117"/>
  <c r="M39" i="102"/>
  <c r="P39" i="102" s="1"/>
  <c r="H11" i="117" l="1"/>
  <c r="H4" i="117"/>
  <c r="H16" i="117"/>
  <c r="H8" i="117"/>
  <c r="H18" i="117"/>
  <c r="H20" i="117"/>
  <c r="H23" i="117"/>
  <c r="R40" i="109"/>
  <c r="U40" i="109" s="1"/>
  <c r="H30" i="117"/>
  <c r="H3" i="117"/>
</calcChain>
</file>

<file path=xl/sharedStrings.xml><?xml version="1.0" encoding="utf-8"?>
<sst xmlns="http://schemas.openxmlformats.org/spreadsheetml/2006/main" count="118" uniqueCount="58">
  <si>
    <t>Used</t>
  </si>
  <si>
    <t>Date</t>
  </si>
  <si>
    <t>Engineering Department</t>
  </si>
  <si>
    <t xml:space="preserve">Daily Electricity Consumption </t>
  </si>
  <si>
    <t>kWh (Used x2000)</t>
  </si>
  <si>
    <t>RN</t>
  </si>
  <si>
    <t xml:space="preserve">TOTAL COST include 10% TAX  (sub total cost X 1.1) </t>
  </si>
  <si>
    <t>Cost  (kWh x IDR 1553.25)</t>
  </si>
  <si>
    <t>IDR Cost (kWh x IDR 1035.5)</t>
  </si>
  <si>
    <t>USD</t>
  </si>
  <si>
    <t>METER READING</t>
  </si>
  <si>
    <t>Sub-Total Cost    (Based + Peak cost)</t>
  </si>
  <si>
    <t>DW 1 Cost  (M3 x IDR 4,000)</t>
  </si>
  <si>
    <t>Water Cost (M3 x IDR 13,582)</t>
  </si>
  <si>
    <t>DW 2 Cost  (M3 x IDR 4,000)</t>
  </si>
  <si>
    <t>Total Cost    (Municipal + DW1 + DW2 cost)</t>
  </si>
  <si>
    <t xml:space="preserve">Daily Water Consumption </t>
  </si>
  <si>
    <t xml:space="preserve">Daily Gas Consumption </t>
  </si>
  <si>
    <t xml:space="preserve">Diesel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</si>
  <si>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</si>
  <si>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</si>
  <si>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</si>
  <si>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</si>
  <si>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</si>
  <si>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</si>
  <si>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Used (ltrs)</t>
  </si>
  <si>
    <t xml:space="preserve">IDR Cost m3 x rate IDR </t>
  </si>
  <si>
    <t>METER READING (tube installed)</t>
  </si>
  <si>
    <t>Tube installed</t>
  </si>
  <si>
    <t>Used (kg)</t>
  </si>
  <si>
    <t>IDR</t>
  </si>
  <si>
    <t>USD (Total Cost / exchange rate IDR)</t>
  </si>
  <si>
    <t>MUNICIPAL WATER</t>
  </si>
  <si>
    <t>DEEP WELL</t>
  </si>
  <si>
    <t>BASED LOAD  (from 10 pm - 6 pm)</t>
  </si>
  <si>
    <t>PEAK LOAD (from 6 pm - 10 pm)</t>
  </si>
  <si>
    <t xml:space="preserve">Daily Fuel Consumption </t>
  </si>
  <si>
    <t>Used (reading)</t>
  </si>
  <si>
    <t>Room Nights</t>
  </si>
  <si>
    <t>Food Covers</t>
  </si>
  <si>
    <t>RNs &amp; Food Cover is based on actual November &amp; forecasting December 2020</t>
  </si>
  <si>
    <t>Total KWh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</si>
  <si>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</si>
  <si>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</si>
  <si>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</si>
  <si>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</si>
  <si>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</si>
  <si>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</si>
  <si>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</si>
  <si>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</si>
  <si>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</si>
  <si>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</si>
  <si>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</si>
  <si>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</si>
  <si>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</si>
  <si>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Bali at Sayan</t>
  </si>
  <si>
    <t xml:space="preserve">IDR Cost kg x rate IDR </t>
  </si>
  <si>
    <t>NOVEMBER'20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</si>
</sst>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&quot;$&quot;#,##0.00"/>
    <numFmt numFmtId="169" formatCode="[$$-409]#,##0.00"/>
    <numFmt numFmtId="170" formatCode="[$IDR]\ #,##0_);\([$IDR]\ #,##0\)"/>
  </numFmts>
  <fonts count="16" x14ac:knownFonts="1">
    <font>
      <sz val="10"/>
      <name val="Arial"/>
    </font>
    <font>
      <sz val="10"/>
      <name val="Arial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1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99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shrinkToFit="1"/>
    </xf>
    <xf numFmtId="166" fontId="3" fillId="0" borderId="1" xfId="1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shrinkToFit="1"/>
    </xf>
    <xf numFmtId="166" fontId="3" fillId="0" borderId="0" xfId="1" applyFont="1" applyFill="1" applyBorder="1" applyAlignment="1">
      <alignment horizontal="center" shrinkToFit="1"/>
    </xf>
    <xf numFmtId="166" fontId="4" fillId="0" borderId="1" xfId="1" applyFont="1" applyFill="1" applyBorder="1" applyAlignment="1">
      <alignment horizontal="center" shrinkToFit="1"/>
    </xf>
    <xf numFmtId="167" fontId="4" fillId="0" borderId="1" xfId="1" applyNumberFormat="1" applyFont="1" applyFill="1" applyBorder="1" applyAlignment="1">
      <alignment horizontal="center" shrinkToFit="1"/>
    </xf>
    <xf numFmtId="43" fontId="3" fillId="0" borderId="1" xfId="0" applyNumberFormat="1" applyFont="1" applyFill="1" applyBorder="1" applyAlignment="1">
      <alignment shrinkToFit="1"/>
    </xf>
    <xf numFmtId="0" fontId="1" fillId="2" borderId="0" xfId="0" applyFont="1" applyFill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164" fontId="4" fillId="0" borderId="1" xfId="2" applyFont="1" applyFill="1" applyBorder="1" applyAlignment="1">
      <alignment horizontal="center" vertical="center" shrinkToFit="1"/>
    </xf>
    <xf numFmtId="166" fontId="3" fillId="0" borderId="0" xfId="1" applyFont="1" applyFill="1" applyBorder="1" applyAlignment="1">
      <alignment horizontal="center" vertical="center" shrinkToFit="1"/>
    </xf>
    <xf numFmtId="164" fontId="2" fillId="0" borderId="0" xfId="2" applyFont="1" applyFill="1" applyBorder="1" applyAlignment="1">
      <alignment shrinkToFit="1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66" fontId="5" fillId="2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166" fontId="4" fillId="0" borderId="1" xfId="1" applyNumberFormat="1" applyFont="1" applyFill="1" applyBorder="1" applyAlignment="1">
      <alignment horizontal="center" shrinkToFit="1"/>
    </xf>
    <xf numFmtId="167" fontId="3" fillId="0" borderId="1" xfId="1" applyNumberFormat="1" applyFont="1" applyFill="1" applyBorder="1" applyAlignment="1">
      <alignment horizontal="center" shrinkToFit="1"/>
    </xf>
    <xf numFmtId="166" fontId="2" fillId="0" borderId="0" xfId="1" applyFont="1" applyFill="1" applyBorder="1" applyAlignment="1">
      <alignment shrinkToFit="1"/>
    </xf>
    <xf numFmtId="167" fontId="3" fillId="0" borderId="0" xfId="1" applyNumberFormat="1" applyFont="1" applyFill="1" applyBorder="1" applyAlignment="1">
      <alignment horizontal="center" shrinkToFit="1"/>
    </xf>
    <xf numFmtId="166" fontId="14" fillId="0" borderId="1" xfId="1" applyFont="1" applyBorder="1"/>
    <xf numFmtId="166" fontId="0" fillId="0" borderId="0" xfId="1" applyFont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shrinkToFit="1"/>
    </xf>
    <xf numFmtId="166" fontId="4" fillId="0" borderId="0" xfId="1" applyFont="1" applyFill="1" applyBorder="1" applyAlignment="1">
      <alignment horizontal="center" shrinkToFit="1"/>
    </xf>
    <xf numFmtId="167" fontId="4" fillId="0" borderId="0" xfId="1" applyNumberFormat="1" applyFont="1" applyFill="1" applyBorder="1" applyAlignment="1">
      <alignment horizontal="center" shrinkToFit="1"/>
    </xf>
    <xf numFmtId="0" fontId="5" fillId="0" borderId="0" xfId="0" applyFont="1" applyAlignment="1">
      <alignment vertical="center"/>
    </xf>
    <xf numFmtId="166" fontId="5" fillId="0" borderId="0" xfId="1" applyFont="1" applyAlignment="1">
      <alignment vertical="center"/>
    </xf>
    <xf numFmtId="167" fontId="5" fillId="0" borderId="0" xfId="1" applyNumberFormat="1" applyFont="1" applyAlignment="1">
      <alignment vertical="center"/>
    </xf>
    <xf numFmtId="167" fontId="0" fillId="0" borderId="0" xfId="1" applyNumberFormat="1" applyFont="1" applyAlignment="1">
      <alignment horizontal="center"/>
    </xf>
    <xf numFmtId="167" fontId="11" fillId="0" borderId="1" xfId="5" applyNumberFormat="1" applyFont="1" applyBorder="1"/>
    <xf numFmtId="165" fontId="0" fillId="0" borderId="0" xfId="0" applyNumberFormat="1"/>
    <xf numFmtId="167" fontId="2" fillId="0" borderId="0" xfId="1" applyNumberFormat="1" applyFont="1" applyFill="1" applyBorder="1" applyAlignment="1">
      <alignment horizontal="center" shrinkToFit="1"/>
    </xf>
    <xf numFmtId="165" fontId="0" fillId="0" borderId="0" xfId="6" applyFont="1"/>
    <xf numFmtId="167" fontId="3" fillId="0" borderId="0" xfId="1" applyNumberFormat="1" applyFont="1" applyFill="1" applyBorder="1" applyAlignment="1">
      <alignment horizontal="center" vertical="center" shrinkToFit="1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7" fontId="2" fillId="0" borderId="0" xfId="1" applyNumberFormat="1" applyFont="1" applyAlignment="1">
      <alignment horizontal="center"/>
    </xf>
    <xf numFmtId="169" fontId="0" fillId="0" borderId="0" xfId="0" applyNumberFormat="1" applyBorder="1"/>
    <xf numFmtId="168" fontId="2" fillId="0" borderId="0" xfId="2" applyNumberFormat="1" applyFont="1" applyFill="1" applyBorder="1" applyAlignment="1">
      <alignment shrinkToFit="1"/>
    </xf>
    <xf numFmtId="164" fontId="2" fillId="0" borderId="0" xfId="2" applyFont="1" applyFill="1" applyBorder="1" applyAlignment="1">
      <alignment horizontal="center" shrinkToFit="1"/>
    </xf>
    <xf numFmtId="0" fontId="5" fillId="0" borderId="0" xfId="0" applyFont="1"/>
    <xf numFmtId="168" fontId="7" fillId="0" borderId="0" xfId="2" applyNumberFormat="1" applyFont="1" applyFill="1" applyBorder="1" applyAlignment="1">
      <alignment shrinkToFit="1"/>
    </xf>
    <xf numFmtId="165" fontId="7" fillId="0" borderId="0" xfId="2" applyNumberFormat="1" applyFont="1" applyFill="1" applyBorder="1" applyAlignment="1">
      <alignment shrinkToFit="1"/>
    </xf>
    <xf numFmtId="164" fontId="0" fillId="0" borderId="0" xfId="0" applyNumberFormat="1" applyAlignment="1"/>
    <xf numFmtId="170" fontId="2" fillId="0" borderId="0" xfId="2" applyNumberFormat="1" applyFont="1" applyFill="1" applyBorder="1" applyAlignment="1">
      <alignment shrinkToFit="1"/>
    </xf>
    <xf numFmtId="169" fontId="9" fillId="0" borderId="0" xfId="2" applyNumberFormat="1" applyFont="1" applyFill="1" applyBorder="1" applyAlignment="1">
      <alignment shrinkToFit="1"/>
    </xf>
    <xf numFmtId="0" fontId="0" fillId="10" borderId="0" xfId="0" applyFill="1"/>
    <xf numFmtId="0" fontId="0" fillId="10" borderId="0" xfId="0" applyFill="1" applyBorder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6" fontId="2" fillId="3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shrinkToFit="1"/>
    </xf>
    <xf numFmtId="165" fontId="4" fillId="0" borderId="1" xfId="1" applyNumberFormat="1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168" fontId="0" fillId="0" borderId="1" xfId="0" applyNumberFormat="1" applyBorder="1"/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9" fontId="0" fillId="0" borderId="2" xfId="0" applyNumberFormat="1" applyBorder="1"/>
    <xf numFmtId="169" fontId="0" fillId="0" borderId="1" xfId="0" applyNumberFormat="1" applyBorder="1"/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7" fontId="6" fillId="2" borderId="0" xfId="0" applyNumberFormat="1" applyFont="1" applyFill="1" applyBorder="1" applyAlignment="1">
      <alignment horizontal="center" vertical="center"/>
    </xf>
    <xf numFmtId="17" fontId="6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66" fontId="2" fillId="3" borderId="1" xfId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</cellXfs>
  <cellStyles count="14">
    <cellStyle name="Comma" xfId="1" builtinId="3"/>
    <cellStyle name="Comma [0]" xfId="2" builtinId="6"/>
    <cellStyle name="Comma 2" xfId="3"/>
    <cellStyle name="Comma 3" xfId="4"/>
    <cellStyle name="Comma 4" xfId="5"/>
    <cellStyle name="Currency" xfId="6" builtinId="4"/>
    <cellStyle name="Currency 2" xfId="7"/>
    <cellStyle name="Currency 3" xfId="8"/>
    <cellStyle name="Normal" xfId="0" builtinId="0"/>
    <cellStyle name="Normal 2" xfId="9"/>
    <cellStyle name="Normal 3" xfId="10"/>
    <cellStyle name="Percent 2" xfId="11"/>
    <cellStyle name="Percent 3" xfId="12"/>
    <cellStyle name="Percent 4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123825</xdr:rowOff>
    </xdr:to>
    <xdr:pic>
      <xdr:nvPicPr>
        <xdr:cNvPr id="37086" name="Picture 1">
          <a:extLst>
            <a:ext uri="{FF2B5EF4-FFF2-40B4-BE49-F238E27FC236}">
              <a16:creationId xmlns=""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123825</xdr:rowOff>
    </xdr:to>
    <xdr:pic>
      <xdr:nvPicPr>
        <xdr:cNvPr id="38180" name="Picture 1">
          <a:extLst>
            <a:ext uri="{FF2B5EF4-FFF2-40B4-BE49-F238E27FC236}">
              <a16:creationId xmlns=""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G19" sqref="G19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">
      <c r="A1" s="58" t="s">
        <v>42</v>
      </c>
      <c r="B1" s="58" t="s">
        <v>43</v>
      </c>
      <c r="C1" s="59" t="s">
        <v>44</v>
      </c>
      <c r="D1" s="58" t="s">
        <v>45</v>
      </c>
      <c r="E1" s="60" t="s">
        <v>46</v>
      </c>
      <c r="F1" s="61" t="s">
        <v>47</v>
      </c>
      <c r="G1" s="60" t="s">
        <v>48</v>
      </c>
      <c r="H1" s="61" t="s">
        <v>49</v>
      </c>
      <c r="I1" s="60" t="s">
        <v>50</v>
      </c>
      <c r="J1" s="61" t="s">
        <v>51</v>
      </c>
      <c r="K1" s="60" t="s">
        <v>52</v>
      </c>
      <c r="L1" s="62" t="s">
        <v>53</v>
      </c>
      <c r="M1" s="60" t="s">
        <v>54</v>
      </c>
      <c r="N1" s="60" t="s">
        <v>39</v>
      </c>
    </row>
    <row r="2" spans="1:14" ht="15" x14ac:dyDescent="0.25">
      <c r="A2" s="63" t="s">
        <v>55</v>
      </c>
      <c r="B2" s="64">
        <v>1</v>
      </c>
      <c r="C2" s="65">
        <v>11</v>
      </c>
      <c r="D2" s="64">
        <v>2020</v>
      </c>
      <c r="E2" s="66">
        <f>Electricity!F8+Electricity!I8</f>
        <v>6419.9999999999873</v>
      </c>
      <c r="F2" s="67">
        <f>Electricity!L8/TOTAL!E2</f>
        <v>1231.3095015576321</v>
      </c>
      <c r="G2" s="66">
        <f>Gas!F9+Gas!I9+Gas!L9+Gas!O9</f>
        <v>120.80536912751678</v>
      </c>
      <c r="H2" s="67">
        <f>Gas!Q9/TOTAL!G2</f>
        <v>10630</v>
      </c>
      <c r="I2" s="66">
        <f>'Fuel Diesel'!F9</f>
        <v>0</v>
      </c>
      <c r="J2" s="68" t="e">
        <f>'Fuel Diesel'!G9/'Fuel Diesel'!F9</f>
        <v>#DIV/0!</v>
      </c>
      <c r="K2" s="66">
        <f>Water!E9+Water!G9+Water!I9</f>
        <v>116</v>
      </c>
      <c r="L2" s="67">
        <f>Water!K9/TOTAL!K2</f>
        <v>4000</v>
      </c>
      <c r="M2" s="66">
        <f>Electricity!C8</f>
        <v>8</v>
      </c>
      <c r="N2" s="66">
        <f>Electricity!D8</f>
        <v>70</v>
      </c>
    </row>
    <row r="3" spans="1:14" ht="15" x14ac:dyDescent="0.25">
      <c r="A3" s="63" t="s">
        <v>55</v>
      </c>
      <c r="B3" s="64">
        <f>B2+1</f>
        <v>2</v>
      </c>
      <c r="C3" s="65">
        <v>11</v>
      </c>
      <c r="D3" s="64">
        <v>2020</v>
      </c>
      <c r="E3" s="66">
        <f>Electricity!F9+Electricity!I9</f>
        <v>6320.0000000000218</v>
      </c>
      <c r="F3" s="67">
        <f>Electricity!L9/TOTAL!E3</f>
        <v>1225.5601265822788</v>
      </c>
      <c r="G3" s="66">
        <f>Gas!F10+Gas!I10+Gas!L10+Gas!O10</f>
        <v>44.870565675934806</v>
      </c>
      <c r="H3" s="67">
        <f>Gas!Q10/TOTAL!G3</f>
        <v>10630</v>
      </c>
      <c r="I3" s="66">
        <f>'Fuel Diesel'!F10</f>
        <v>48</v>
      </c>
      <c r="J3" s="68">
        <f>'Fuel Diesel'!G10/'Fuel Diesel'!F10</f>
        <v>10700</v>
      </c>
      <c r="K3" s="66">
        <f>Water!E10+Water!G10+Water!I10</f>
        <v>134</v>
      </c>
      <c r="L3" s="67">
        <f>Water!K10/TOTAL!K3</f>
        <v>4000</v>
      </c>
      <c r="M3" s="66">
        <f>Electricity!C9</f>
        <v>5</v>
      </c>
      <c r="N3" s="66">
        <f>Electricity!D9</f>
        <v>26</v>
      </c>
    </row>
    <row r="4" spans="1:14" ht="15" x14ac:dyDescent="0.25">
      <c r="A4" s="63" t="s">
        <v>55</v>
      </c>
      <c r="B4" s="64">
        <f t="shared" ref="B4:B31" si="0">B3+1</f>
        <v>3</v>
      </c>
      <c r="C4" s="65">
        <v>11</v>
      </c>
      <c r="D4" s="64">
        <v>2020</v>
      </c>
      <c r="E4" s="66">
        <f>Electricity!F10+Electricity!I10</f>
        <v>5160.0000000000246</v>
      </c>
      <c r="F4" s="67">
        <f>Electricity!L10/TOTAL!E4</f>
        <v>1236.1782945736425</v>
      </c>
      <c r="G4" s="66">
        <f>Gas!F11+Gas!I11+Gas!L11+Gas!O11</f>
        <v>24.161073825503355</v>
      </c>
      <c r="H4" s="67">
        <f>Gas!Q11/TOTAL!G4</f>
        <v>10629.999999999998</v>
      </c>
      <c r="I4" s="66">
        <f>'Fuel Diesel'!F11</f>
        <v>0</v>
      </c>
      <c r="J4" s="68" t="e">
        <f>'Fuel Diesel'!G11/'Fuel Diesel'!F11</f>
        <v>#DIV/0!</v>
      </c>
      <c r="K4" s="66">
        <f>Water!E11+Water!G11+Water!I11</f>
        <v>116</v>
      </c>
      <c r="L4" s="67">
        <f>Water!K11/TOTAL!K4</f>
        <v>4000</v>
      </c>
      <c r="M4" s="66">
        <f>Electricity!C10</f>
        <v>3</v>
      </c>
      <c r="N4" s="66">
        <f>Electricity!D10</f>
        <v>14</v>
      </c>
    </row>
    <row r="5" spans="1:14" ht="15" x14ac:dyDescent="0.25">
      <c r="A5" s="63" t="s">
        <v>55</v>
      </c>
      <c r="B5" s="64">
        <f t="shared" si="0"/>
        <v>4</v>
      </c>
      <c r="C5" s="65">
        <v>11</v>
      </c>
      <c r="D5" s="64">
        <v>2020</v>
      </c>
      <c r="E5" s="66">
        <f>Electricity!F11+Electricity!I11</f>
        <v>5339.9999999999891</v>
      </c>
      <c r="F5" s="67">
        <f>Electricity!L11/TOTAL!E5</f>
        <v>1220.1059925093641</v>
      </c>
      <c r="G5" s="66">
        <f>Gas!F12+Gas!I12+Gas!L12+Gas!O12</f>
        <v>31.064237775647175</v>
      </c>
      <c r="H5" s="67">
        <f>Gas!Q12/TOTAL!G5</f>
        <v>10629.999999999998</v>
      </c>
      <c r="I5" s="66">
        <f>'Fuel Diesel'!F12</f>
        <v>0</v>
      </c>
      <c r="J5" s="68" t="e">
        <f>'Fuel Diesel'!G12/'Fuel Diesel'!F12</f>
        <v>#DIV/0!</v>
      </c>
      <c r="K5" s="66">
        <f>Water!E12+Water!G12+Water!I12</f>
        <v>133</v>
      </c>
      <c r="L5" s="67">
        <f>Water!K12/TOTAL!K5</f>
        <v>4000</v>
      </c>
      <c r="M5" s="66">
        <f>Electricity!C11</f>
        <v>4</v>
      </c>
      <c r="N5" s="66">
        <f>Electricity!D11</f>
        <v>18</v>
      </c>
    </row>
    <row r="6" spans="1:14" ht="15" x14ac:dyDescent="0.25">
      <c r="A6" s="63" t="s">
        <v>55</v>
      </c>
      <c r="B6" s="64">
        <f t="shared" si="0"/>
        <v>5</v>
      </c>
      <c r="C6" s="65">
        <v>11</v>
      </c>
      <c r="D6" s="64">
        <v>2020</v>
      </c>
      <c r="E6" s="66">
        <f>Electricity!F12+Electricity!I12</f>
        <v>4819.9999999999791</v>
      </c>
      <c r="F6" s="67">
        <f>Electricity!L12/TOTAL!E6</f>
        <v>1233.576970954357</v>
      </c>
      <c r="G6" s="66">
        <f>Gas!F13+Gas!I13+Gas!L13+Gas!O13</f>
        <v>41.418983700862896</v>
      </c>
      <c r="H6" s="67">
        <f>Gas!Q13/TOTAL!G6</f>
        <v>10630</v>
      </c>
      <c r="I6" s="66">
        <f>'Fuel Diesel'!F13</f>
        <v>0</v>
      </c>
      <c r="J6" s="68" t="e">
        <f>'Fuel Diesel'!G13/'Fuel Diesel'!F13</f>
        <v>#DIV/0!</v>
      </c>
      <c r="K6" s="66">
        <f>Water!E13+Water!G13+Water!I13</f>
        <v>111</v>
      </c>
      <c r="L6" s="67">
        <f>Water!K13/TOTAL!K6</f>
        <v>4000</v>
      </c>
      <c r="M6" s="66">
        <f>Electricity!C12</f>
        <v>4</v>
      </c>
      <c r="N6" s="66">
        <f>Electricity!D12</f>
        <v>24</v>
      </c>
    </row>
    <row r="7" spans="1:14" ht="15" x14ac:dyDescent="0.25">
      <c r="A7" s="63" t="s">
        <v>55</v>
      </c>
      <c r="B7" s="64">
        <f t="shared" si="0"/>
        <v>6</v>
      </c>
      <c r="C7" s="65">
        <v>11</v>
      </c>
      <c r="D7" s="64">
        <v>2020</v>
      </c>
      <c r="E7" s="66">
        <f>Electricity!F13+Electricity!I13</f>
        <v>4840.0000000000318</v>
      </c>
      <c r="F7" s="67">
        <f>Electricity!L13/TOTAL!E7</f>
        <v>1235.5397727272716</v>
      </c>
      <c r="G7" s="66">
        <f>Gas!F14+Gas!I14+Gas!L14+Gas!O14</f>
        <v>27.612655800575265</v>
      </c>
      <c r="H7" s="67">
        <f>Gas!Q14/TOTAL!G7</f>
        <v>10629.999999999998</v>
      </c>
      <c r="I7" s="66">
        <f>'Fuel Diesel'!F14</f>
        <v>74</v>
      </c>
      <c r="J7" s="68">
        <f>'Fuel Diesel'!G14/'Fuel Diesel'!F14</f>
        <v>10700</v>
      </c>
      <c r="K7" s="66">
        <f>Water!E14+Water!G14+Water!I14</f>
        <v>126</v>
      </c>
      <c r="L7" s="67">
        <f>Water!K14/TOTAL!K7</f>
        <v>4000</v>
      </c>
      <c r="M7" s="66">
        <f>Electricity!C13</f>
        <v>2</v>
      </c>
      <c r="N7" s="66">
        <f>Electricity!D13</f>
        <v>16</v>
      </c>
    </row>
    <row r="8" spans="1:14" ht="15" x14ac:dyDescent="0.25">
      <c r="A8" s="63" t="s">
        <v>55</v>
      </c>
      <c r="B8" s="64">
        <f t="shared" si="0"/>
        <v>7</v>
      </c>
      <c r="C8" s="65">
        <v>11</v>
      </c>
      <c r="D8" s="64">
        <v>2020</v>
      </c>
      <c r="E8" s="66">
        <f>Electricity!F14+Electricity!I14</f>
        <v>4960.0000000000082</v>
      </c>
      <c r="F8" s="67">
        <f>Electricity!L14/TOTAL!E8</f>
        <v>1235.5018145161293</v>
      </c>
      <c r="G8" s="66">
        <f>Gas!F15+Gas!I15+Gas!L15+Gas!O15</f>
        <v>24.161073825503355</v>
      </c>
      <c r="H8" s="67">
        <f>Gas!Q15/TOTAL!G8</f>
        <v>10629.999999999998</v>
      </c>
      <c r="I8" s="66">
        <f>'Fuel Diesel'!F15</f>
        <v>0</v>
      </c>
      <c r="J8" s="68" t="e">
        <f>'Fuel Diesel'!G15/'Fuel Diesel'!F15</f>
        <v>#DIV/0!</v>
      </c>
      <c r="K8" s="66">
        <f>Water!E15+Water!G15+Water!I15</f>
        <v>132</v>
      </c>
      <c r="L8" s="67">
        <f>Water!K15/TOTAL!K8</f>
        <v>4000</v>
      </c>
      <c r="M8" s="66">
        <f>Electricity!C14</f>
        <v>4</v>
      </c>
      <c r="N8" s="66">
        <f>Electricity!D14</f>
        <v>14</v>
      </c>
    </row>
    <row r="9" spans="1:14" ht="15" x14ac:dyDescent="0.25">
      <c r="A9" s="63" t="s">
        <v>55</v>
      </c>
      <c r="B9" s="64">
        <f t="shared" si="0"/>
        <v>8</v>
      </c>
      <c r="C9" s="65">
        <v>11</v>
      </c>
      <c r="D9" s="64">
        <v>2020</v>
      </c>
      <c r="E9" s="66">
        <f>Electricity!F15+Electricity!I15</f>
        <v>4819.9999999999791</v>
      </c>
      <c r="F9" s="67">
        <f>Electricity!L15/TOTAL!E9</f>
        <v>1233.576970954357</v>
      </c>
      <c r="G9" s="66">
        <f>Gas!F16+Gas!I16+Gas!L16+Gas!O16</f>
        <v>51.773729626078627</v>
      </c>
      <c r="H9" s="67">
        <f>Gas!Q16/TOTAL!G9</f>
        <v>10630</v>
      </c>
      <c r="I9" s="66">
        <f>'Fuel Diesel'!F16</f>
        <v>0</v>
      </c>
      <c r="J9" s="68" t="e">
        <f>'Fuel Diesel'!G16/'Fuel Diesel'!F16</f>
        <v>#DIV/0!</v>
      </c>
      <c r="K9" s="66">
        <f>Water!E16+Water!G16+Water!I16</f>
        <v>146</v>
      </c>
      <c r="L9" s="67">
        <f>Water!K16/TOTAL!K9</f>
        <v>4000</v>
      </c>
      <c r="M9" s="66">
        <f>Electricity!C15</f>
        <v>6</v>
      </c>
      <c r="N9" s="66">
        <f>Electricity!D15</f>
        <v>30</v>
      </c>
    </row>
    <row r="10" spans="1:14" ht="15" x14ac:dyDescent="0.25">
      <c r="A10" s="63" t="s">
        <v>55</v>
      </c>
      <c r="B10" s="64">
        <f t="shared" si="0"/>
        <v>9</v>
      </c>
      <c r="C10" s="65">
        <v>11</v>
      </c>
      <c r="D10" s="64">
        <v>2020</v>
      </c>
      <c r="E10" s="66">
        <f>Electricity!F16+Electricity!I16</f>
        <v>4980.0000000000182</v>
      </c>
      <c r="F10" s="67">
        <f>Electricity!L16/TOTAL!E10</f>
        <v>1230.5399598393585</v>
      </c>
      <c r="G10" s="66">
        <f>Gas!F17+Gas!I17+Gas!L17+Gas!O17</f>
        <v>32.790028763183123</v>
      </c>
      <c r="H10" s="67">
        <f>Gas!Q17/TOTAL!G10</f>
        <v>10630</v>
      </c>
      <c r="I10" s="66">
        <f>'Fuel Diesel'!F17</f>
        <v>53</v>
      </c>
      <c r="J10" s="68">
        <f>'Fuel Diesel'!G17/'Fuel Diesel'!F17</f>
        <v>10700</v>
      </c>
      <c r="K10" s="66">
        <f>Water!E17+Water!G17+Water!I17</f>
        <v>160</v>
      </c>
      <c r="L10" s="67">
        <f>Water!K17/TOTAL!K10</f>
        <v>4000</v>
      </c>
      <c r="M10" s="66">
        <f>Electricity!C16</f>
        <v>1</v>
      </c>
      <c r="N10" s="66">
        <f>Electricity!D16</f>
        <v>19</v>
      </c>
    </row>
    <row r="11" spans="1:14" ht="15" x14ac:dyDescent="0.25">
      <c r="A11" s="63" t="s">
        <v>55</v>
      </c>
      <c r="B11" s="64">
        <f t="shared" si="0"/>
        <v>10</v>
      </c>
      <c r="C11" s="65">
        <v>11</v>
      </c>
      <c r="D11" s="64">
        <v>2020</v>
      </c>
      <c r="E11" s="66">
        <f>Electricity!F17+Electricity!I17</f>
        <v>5059.9999999999882</v>
      </c>
      <c r="F11" s="67">
        <f>Electricity!L17/TOTAL!E11</f>
        <v>1235.846739130435</v>
      </c>
      <c r="G11" s="66">
        <f>Gas!F18+Gas!I18+Gas!L18+Gas!O18</f>
        <v>10.354745925215724</v>
      </c>
      <c r="H11" s="67">
        <f>Gas!Q18/TOTAL!G11</f>
        <v>10630</v>
      </c>
      <c r="I11" s="66">
        <f>'Fuel Diesel'!F18</f>
        <v>0</v>
      </c>
      <c r="J11" s="68" t="e">
        <f>'Fuel Diesel'!G18/'Fuel Diesel'!F18</f>
        <v>#DIV/0!</v>
      </c>
      <c r="K11" s="66">
        <f>Water!E18+Water!G18+Water!I18</f>
        <v>180</v>
      </c>
      <c r="L11" s="67">
        <f>Water!K18/TOTAL!K11</f>
        <v>4000</v>
      </c>
      <c r="M11" s="66">
        <f>Electricity!C17</f>
        <v>5</v>
      </c>
      <c r="N11" s="66">
        <f>Electricity!D17</f>
        <v>6</v>
      </c>
    </row>
    <row r="12" spans="1:14" ht="15" x14ac:dyDescent="0.25">
      <c r="A12" s="63" t="s">
        <v>55</v>
      </c>
      <c r="B12" s="64">
        <f t="shared" si="0"/>
        <v>11</v>
      </c>
      <c r="C12" s="65">
        <v>11</v>
      </c>
      <c r="D12" s="64">
        <v>2020</v>
      </c>
      <c r="E12" s="66">
        <f>Electricity!F18+Electricity!I18</f>
        <v>5279.9999999999873</v>
      </c>
      <c r="F12" s="67">
        <f>Electricity!L18/TOTAL!E12</f>
        <v>1236.1281249999995</v>
      </c>
      <c r="G12" s="66">
        <f>Gas!F19+Gas!I19+Gas!L19+Gas!O19</f>
        <v>31.064237775647175</v>
      </c>
      <c r="H12" s="67">
        <f>Gas!Q19/TOTAL!G12</f>
        <v>10629.999999999998</v>
      </c>
      <c r="I12" s="66">
        <f>'Fuel Diesel'!F19</f>
        <v>0</v>
      </c>
      <c r="J12" s="68" t="e">
        <f>'Fuel Diesel'!G19/'Fuel Diesel'!F19</f>
        <v>#DIV/0!</v>
      </c>
      <c r="K12" s="66">
        <f>Water!E19+Water!G19+Water!I19</f>
        <v>207</v>
      </c>
      <c r="L12" s="67">
        <f>Water!K19/TOTAL!K12</f>
        <v>4000</v>
      </c>
      <c r="M12" s="66">
        <f>Electricity!C18</f>
        <v>6</v>
      </c>
      <c r="N12" s="66">
        <f>Electricity!D18</f>
        <v>18</v>
      </c>
    </row>
    <row r="13" spans="1:14" ht="15" x14ac:dyDescent="0.25">
      <c r="A13" s="63" t="s">
        <v>55</v>
      </c>
      <c r="B13" s="64">
        <f t="shared" si="0"/>
        <v>12</v>
      </c>
      <c r="C13" s="65">
        <v>11</v>
      </c>
      <c r="D13" s="64">
        <v>2020</v>
      </c>
      <c r="E13" s="66">
        <f>Electricity!F19+Electricity!I19</f>
        <v>5640.0000000000155</v>
      </c>
      <c r="F13" s="67">
        <f>Electricity!L19/TOTAL!E13</f>
        <v>1235.9904255319154</v>
      </c>
      <c r="G13" s="66">
        <f>Gas!F20+Gas!I20+Gas!L20+Gas!O20</f>
        <v>48.322147651006709</v>
      </c>
      <c r="H13" s="67">
        <f>Gas!Q20/TOTAL!G13</f>
        <v>10630</v>
      </c>
      <c r="I13" s="66">
        <f>'Fuel Diesel'!F20</f>
        <v>0</v>
      </c>
      <c r="J13" s="68" t="e">
        <f>'Fuel Diesel'!G20/'Fuel Diesel'!F20</f>
        <v>#DIV/0!</v>
      </c>
      <c r="K13" s="66">
        <f>Water!E20+Water!G20+Water!I20</f>
        <v>223</v>
      </c>
      <c r="L13" s="67">
        <f>Water!K20/TOTAL!K13</f>
        <v>4000</v>
      </c>
      <c r="M13" s="66">
        <f>Electricity!C19</f>
        <v>6</v>
      </c>
      <c r="N13" s="66">
        <f>Electricity!D19</f>
        <v>28</v>
      </c>
    </row>
    <row r="14" spans="1:14" ht="15" x14ac:dyDescent="0.25">
      <c r="A14" s="63" t="s">
        <v>55</v>
      </c>
      <c r="B14" s="64">
        <f t="shared" si="0"/>
        <v>13</v>
      </c>
      <c r="C14" s="65">
        <v>11</v>
      </c>
      <c r="D14" s="64">
        <v>2020</v>
      </c>
      <c r="E14" s="66">
        <f>Electricity!F20+Electricity!I20</f>
        <v>5719.9999999999427</v>
      </c>
      <c r="F14" s="67">
        <f>Electricity!L20/TOTAL!E14</f>
        <v>1236.6259615384615</v>
      </c>
      <c r="G14" s="66">
        <f>Gas!F21+Gas!I21+Gas!L21+Gas!O21</f>
        <v>39.693192713326944</v>
      </c>
      <c r="H14" s="67">
        <f>Gas!Q21/TOTAL!G14</f>
        <v>10630</v>
      </c>
      <c r="I14" s="66">
        <f>'Fuel Diesel'!F21</f>
        <v>0</v>
      </c>
      <c r="J14" s="68" t="e">
        <f>'Fuel Diesel'!G21/'Fuel Diesel'!F21</f>
        <v>#DIV/0!</v>
      </c>
      <c r="K14" s="66">
        <f>Water!E21+Water!G21+Water!I21</f>
        <v>181</v>
      </c>
      <c r="L14" s="67">
        <f>Water!K21/TOTAL!K14</f>
        <v>4000</v>
      </c>
      <c r="M14" s="66">
        <f>Electricity!C20</f>
        <v>7</v>
      </c>
      <c r="N14" s="66">
        <f>Electricity!D20</f>
        <v>23</v>
      </c>
    </row>
    <row r="15" spans="1:14" ht="15" x14ac:dyDescent="0.25">
      <c r="A15" s="63" t="s">
        <v>55</v>
      </c>
      <c r="B15" s="64">
        <f t="shared" si="0"/>
        <v>14</v>
      </c>
      <c r="C15" s="65">
        <v>11</v>
      </c>
      <c r="D15" s="64">
        <v>2020</v>
      </c>
      <c r="E15" s="66">
        <f>Electricity!F21+Electricity!I21</f>
        <v>5660.0000000000673</v>
      </c>
      <c r="F15" s="67">
        <f>Electricity!L21/TOTAL!E15</f>
        <v>1237.6603356890453</v>
      </c>
      <c r="G15" s="66">
        <f>Gas!F22+Gas!I22+Gas!L22+Gas!O22</f>
        <v>89.741131351869612</v>
      </c>
      <c r="H15" s="67">
        <f>Gas!Q22/TOTAL!G15</f>
        <v>10630</v>
      </c>
      <c r="I15" s="66">
        <f>'Fuel Diesel'!F22</f>
        <v>0</v>
      </c>
      <c r="J15" s="68" t="e">
        <f>'Fuel Diesel'!G22/'Fuel Diesel'!F22</f>
        <v>#DIV/0!</v>
      </c>
      <c r="K15" s="66">
        <f>Water!E22+Water!G22+Water!I22</f>
        <v>164</v>
      </c>
      <c r="L15" s="67">
        <f>Water!K22/TOTAL!K15</f>
        <v>4000</v>
      </c>
      <c r="M15" s="66">
        <f>Electricity!C21</f>
        <v>9</v>
      </c>
      <c r="N15" s="66">
        <f>Electricity!D21</f>
        <v>52</v>
      </c>
    </row>
    <row r="16" spans="1:14" ht="15" x14ac:dyDescent="0.25">
      <c r="A16" s="63" t="s">
        <v>55</v>
      </c>
      <c r="B16" s="64">
        <f t="shared" si="0"/>
        <v>15</v>
      </c>
      <c r="C16" s="65">
        <v>11</v>
      </c>
      <c r="D16" s="64">
        <v>2020</v>
      </c>
      <c r="E16" s="66">
        <f>Electricity!F22+Electricity!I22</f>
        <v>5840.0000000000173</v>
      </c>
      <c r="F16" s="67">
        <f>Electricity!L22/TOTAL!E16</f>
        <v>1234.6209760273975</v>
      </c>
      <c r="G16" s="66">
        <f>Gas!F23+Gas!I23+Gas!L23+Gas!O23</f>
        <v>60.402684563758392</v>
      </c>
      <c r="H16" s="67">
        <f>Gas!Q23/TOTAL!G16</f>
        <v>10629.999999999998</v>
      </c>
      <c r="I16" s="66">
        <f>'Fuel Diesel'!F23</f>
        <v>0</v>
      </c>
      <c r="J16" s="68" t="e">
        <f>'Fuel Diesel'!G23/'Fuel Diesel'!F23</f>
        <v>#DIV/0!</v>
      </c>
      <c r="K16" s="66">
        <f>Water!E23+Water!G23+Water!I23</f>
        <v>196</v>
      </c>
      <c r="L16" s="67">
        <f>Water!K23/TOTAL!K16</f>
        <v>4000</v>
      </c>
      <c r="M16" s="66">
        <f>Electricity!C22</f>
        <v>10</v>
      </c>
      <c r="N16" s="66">
        <f>Electricity!D22</f>
        <v>35</v>
      </c>
    </row>
    <row r="17" spans="1:14" ht="15" x14ac:dyDescent="0.25">
      <c r="A17" s="63" t="s">
        <v>55</v>
      </c>
      <c r="B17" s="64">
        <f t="shared" si="0"/>
        <v>16</v>
      </c>
      <c r="C17" s="65">
        <v>11</v>
      </c>
      <c r="D17" s="64">
        <v>2020</v>
      </c>
      <c r="E17" s="66">
        <f>Electricity!F23+Electricity!I23</f>
        <v>6079.9999999999127</v>
      </c>
      <c r="F17" s="67">
        <f>Electricity!L23/TOTAL!E17</f>
        <v>1230.8484375000019</v>
      </c>
      <c r="G17" s="66">
        <f>Gas!F24+Gas!I24+Gas!L24+Gas!O24</f>
        <v>50.047938638542668</v>
      </c>
      <c r="H17" s="67">
        <f>Gas!Q24/TOTAL!G17</f>
        <v>10629.999999999998</v>
      </c>
      <c r="I17" s="66">
        <f>'Fuel Diesel'!F24</f>
        <v>52</v>
      </c>
      <c r="J17" s="68">
        <f>'Fuel Diesel'!G24/'Fuel Diesel'!F24</f>
        <v>10700</v>
      </c>
      <c r="K17" s="66">
        <f>Water!E24+Water!G24+Water!I24</f>
        <v>202</v>
      </c>
      <c r="L17" s="67">
        <f>Water!K24/TOTAL!K17</f>
        <v>4000</v>
      </c>
      <c r="M17" s="66">
        <f>Electricity!C23</f>
        <v>5</v>
      </c>
      <c r="N17" s="66">
        <f>Electricity!D23</f>
        <v>29</v>
      </c>
    </row>
    <row r="18" spans="1:14" ht="15" x14ac:dyDescent="0.25">
      <c r="A18" s="63" t="s">
        <v>55</v>
      </c>
      <c r="B18" s="64">
        <f t="shared" si="0"/>
        <v>17</v>
      </c>
      <c r="C18" s="65">
        <v>11</v>
      </c>
      <c r="D18" s="64">
        <v>2020</v>
      </c>
      <c r="E18" s="66">
        <f>Electricity!F24+Electricity!I24</f>
        <v>6080.0000000000555</v>
      </c>
      <c r="F18" s="67">
        <f>Electricity!L24/TOTAL!E18</f>
        <v>1234.595312499999</v>
      </c>
      <c r="G18" s="66">
        <f>Gas!F25+Gas!I25+Gas!L25+Gas!O25</f>
        <v>48.322147651006709</v>
      </c>
      <c r="H18" s="67">
        <f>Gas!Q25/TOTAL!G18</f>
        <v>10630</v>
      </c>
      <c r="I18" s="66">
        <f>'Fuel Diesel'!F25</f>
        <v>0</v>
      </c>
      <c r="J18" s="68" t="e">
        <f>'Fuel Diesel'!G25/'Fuel Diesel'!F25</f>
        <v>#DIV/0!</v>
      </c>
      <c r="K18" s="66">
        <f>Water!E25+Water!G25+Water!I25</f>
        <v>196</v>
      </c>
      <c r="L18" s="67">
        <f>Water!K25/TOTAL!K18</f>
        <v>4000</v>
      </c>
      <c r="M18" s="66">
        <f>Electricity!C24</f>
        <v>12</v>
      </c>
      <c r="N18" s="66">
        <f>Electricity!D24</f>
        <v>28</v>
      </c>
    </row>
    <row r="19" spans="1:14" ht="15" x14ac:dyDescent="0.25">
      <c r="A19" s="63" t="s">
        <v>55</v>
      </c>
      <c r="B19" s="64">
        <f t="shared" si="0"/>
        <v>18</v>
      </c>
      <c r="C19" s="65">
        <v>11</v>
      </c>
      <c r="D19" s="64">
        <v>2020</v>
      </c>
      <c r="E19" s="66">
        <f>Electricity!F25+Electricity!I25</f>
        <v>6080.0000000000127</v>
      </c>
      <c r="F19" s="67">
        <f>Electricity!L25/TOTAL!E19</f>
        <v>1242.0890624999993</v>
      </c>
      <c r="G19" s="66">
        <f>Gas!F26+Gas!I26+Gas!L26+Gas!O26</f>
        <v>89.741131351869612</v>
      </c>
      <c r="H19" s="67">
        <f>Gas!Q26/TOTAL!G19</f>
        <v>10630</v>
      </c>
      <c r="I19" s="66">
        <f>'Fuel Diesel'!F26</f>
        <v>0</v>
      </c>
      <c r="J19" s="68" t="e">
        <f>'Fuel Diesel'!G26/'Fuel Diesel'!F26</f>
        <v>#DIV/0!</v>
      </c>
      <c r="K19" s="66">
        <f>Water!E26+Water!G26+Water!I26</f>
        <v>186</v>
      </c>
      <c r="L19" s="67">
        <f>Water!K26/TOTAL!K19</f>
        <v>4000</v>
      </c>
      <c r="M19" s="66">
        <f>Electricity!C25</f>
        <v>17</v>
      </c>
      <c r="N19" s="66">
        <f>Electricity!D25</f>
        <v>52</v>
      </c>
    </row>
    <row r="20" spans="1:14" ht="15" x14ac:dyDescent="0.25">
      <c r="A20" s="63" t="s">
        <v>55</v>
      </c>
      <c r="B20" s="64">
        <f t="shared" si="0"/>
        <v>19</v>
      </c>
      <c r="C20" s="65">
        <v>11</v>
      </c>
      <c r="D20" s="64">
        <v>2020</v>
      </c>
      <c r="E20" s="66">
        <f>Electricity!F26+Electricity!I26</f>
        <v>6539.9999999999636</v>
      </c>
      <c r="F20" s="67">
        <f>Electricity!L26/TOTAL!E20</f>
        <v>1226.1333333333341</v>
      </c>
      <c r="G20" s="66">
        <f>Gas!F27+Gas!I27+Gas!L27+Gas!O27</f>
        <v>93.192713326941515</v>
      </c>
      <c r="H20" s="67">
        <f>Gas!Q27/TOTAL!G20</f>
        <v>10629.999999999998</v>
      </c>
      <c r="I20" s="66">
        <f>'Fuel Diesel'!F27</f>
        <v>0</v>
      </c>
      <c r="J20" s="68" t="e">
        <f>'Fuel Diesel'!G27/'Fuel Diesel'!F27</f>
        <v>#DIV/0!</v>
      </c>
      <c r="K20" s="66">
        <f>Water!E27+Water!G27+Water!I27</f>
        <v>184</v>
      </c>
      <c r="L20" s="67">
        <f>Water!K27/TOTAL!K20</f>
        <v>4000</v>
      </c>
      <c r="M20" s="66">
        <f>Electricity!C26</f>
        <v>10</v>
      </c>
      <c r="N20" s="66">
        <f>Electricity!D26</f>
        <v>54</v>
      </c>
    </row>
    <row r="21" spans="1:14" ht="15" x14ac:dyDescent="0.25">
      <c r="A21" s="63" t="s">
        <v>55</v>
      </c>
      <c r="B21" s="64">
        <f t="shared" si="0"/>
        <v>20</v>
      </c>
      <c r="C21" s="65">
        <v>11</v>
      </c>
      <c r="D21" s="64">
        <v>2020</v>
      </c>
      <c r="E21" s="66">
        <f>Electricity!F27+Electricity!I27</f>
        <v>6240.0000000000655</v>
      </c>
      <c r="F21" s="67">
        <f>Electricity!L27/TOTAL!E21</f>
        <v>1235.7962339743583</v>
      </c>
      <c r="G21" s="66">
        <f>Gas!F28+Gas!I28+Gas!L28+Gas!O28</f>
        <v>82.837967401725791</v>
      </c>
      <c r="H21" s="67">
        <f>Gas!Q28/TOTAL!G21</f>
        <v>10630</v>
      </c>
      <c r="I21" s="66">
        <f>'Fuel Diesel'!F28</f>
        <v>0</v>
      </c>
      <c r="J21" s="68" t="e">
        <f>'Fuel Diesel'!G28/'Fuel Diesel'!F28</f>
        <v>#DIV/0!</v>
      </c>
      <c r="K21" s="66">
        <f>Water!E28+Water!G28+Water!I28</f>
        <v>193</v>
      </c>
      <c r="L21" s="67">
        <f>Water!K28/TOTAL!K21</f>
        <v>4000</v>
      </c>
      <c r="M21" s="66">
        <f>Electricity!C27</f>
        <v>14</v>
      </c>
      <c r="N21" s="66">
        <f>Electricity!D27</f>
        <v>48</v>
      </c>
    </row>
    <row r="22" spans="1:14" ht="15" x14ac:dyDescent="0.25">
      <c r="A22" s="63" t="s">
        <v>55</v>
      </c>
      <c r="B22" s="64">
        <f t="shared" si="0"/>
        <v>21</v>
      </c>
      <c r="C22" s="65">
        <v>11</v>
      </c>
      <c r="D22" s="64">
        <v>2020</v>
      </c>
      <c r="E22" s="66">
        <f>Electricity!F28+Electricity!I28</f>
        <v>6299.9999999999118</v>
      </c>
      <c r="F22" s="67">
        <f>Electricity!L28/TOTAL!E22</f>
        <v>1236.6828571428584</v>
      </c>
      <c r="G22" s="66">
        <f>Gas!F29+Gas!I29+Gas!L29+Gas!O29</f>
        <v>115.62799616490891</v>
      </c>
      <c r="H22" s="67">
        <f>Gas!Q29/TOTAL!G22</f>
        <v>10630</v>
      </c>
      <c r="I22" s="66">
        <f>'Fuel Diesel'!F29</f>
        <v>0</v>
      </c>
      <c r="J22" s="68" t="e">
        <f>'Fuel Diesel'!G29/'Fuel Diesel'!F29</f>
        <v>#DIV/0!</v>
      </c>
      <c r="K22" s="66">
        <f>Water!E29+Water!G29+Water!I29</f>
        <v>209</v>
      </c>
      <c r="L22" s="67">
        <f>Water!K29/TOTAL!K22</f>
        <v>4000</v>
      </c>
      <c r="M22" s="66">
        <f>Electricity!C28</f>
        <v>14</v>
      </c>
      <c r="N22" s="66">
        <f>Electricity!D28</f>
        <v>67</v>
      </c>
    </row>
    <row r="23" spans="1:14" ht="15" x14ac:dyDescent="0.25">
      <c r="A23" s="63" t="s">
        <v>55</v>
      </c>
      <c r="B23" s="64">
        <f t="shared" si="0"/>
        <v>22</v>
      </c>
      <c r="C23" s="65">
        <v>11</v>
      </c>
      <c r="D23" s="64">
        <v>2020</v>
      </c>
      <c r="E23" s="66">
        <f>Electricity!F29+Electricity!I29</f>
        <v>6400.0000000000482</v>
      </c>
      <c r="F23" s="67">
        <f>Electricity!L29/TOTAL!E23</f>
        <v>1235.1573437499992</v>
      </c>
      <c r="G23" s="66">
        <f>Gas!F30+Gas!I30+Gas!L30+Gas!O30</f>
        <v>98.370086289549377</v>
      </c>
      <c r="H23" s="67">
        <f>Gas!Q30/TOTAL!G23</f>
        <v>10630</v>
      </c>
      <c r="I23" s="66">
        <f>'Fuel Diesel'!F30</f>
        <v>0</v>
      </c>
      <c r="J23" s="68" t="e">
        <f>'Fuel Diesel'!G30/'Fuel Diesel'!F30</f>
        <v>#DIV/0!</v>
      </c>
      <c r="K23" s="66">
        <f>Water!E30+Water!G30+Water!I30</f>
        <v>216</v>
      </c>
      <c r="L23" s="67">
        <f>Water!K30/TOTAL!K23</f>
        <v>4000</v>
      </c>
      <c r="M23" s="66">
        <f>Electricity!C29</f>
        <v>18</v>
      </c>
      <c r="N23" s="66">
        <f>Electricity!D29</f>
        <v>57</v>
      </c>
    </row>
    <row r="24" spans="1:14" ht="15" x14ac:dyDescent="0.25">
      <c r="A24" s="63" t="s">
        <v>55</v>
      </c>
      <c r="B24" s="64">
        <f t="shared" si="0"/>
        <v>23</v>
      </c>
      <c r="C24" s="65">
        <v>11</v>
      </c>
      <c r="D24" s="64">
        <v>2020</v>
      </c>
      <c r="E24" s="66">
        <f>Electricity!F30+Electricity!I30</f>
        <v>6639.9999999999436</v>
      </c>
      <c r="F24" s="67">
        <f>Electricity!L30/TOTAL!E24</f>
        <v>1231.6835843373501</v>
      </c>
      <c r="G24" s="66">
        <f>Gas!F31+Gas!I31+Gas!L31+Gas!O31</f>
        <v>110.45062320230106</v>
      </c>
      <c r="H24" s="67">
        <f>Gas!Q31/TOTAL!G24</f>
        <v>10629.999999999998</v>
      </c>
      <c r="I24" s="66">
        <f>'Fuel Diesel'!F31</f>
        <v>49</v>
      </c>
      <c r="J24" s="68">
        <f>'Fuel Diesel'!G31/'Fuel Diesel'!F31</f>
        <v>10700</v>
      </c>
      <c r="K24" s="66">
        <f>Water!E31+Water!G31+Water!I31</f>
        <v>215</v>
      </c>
      <c r="L24" s="67">
        <f>Water!K31/TOTAL!K24</f>
        <v>4000</v>
      </c>
      <c r="M24" s="66">
        <f>Electricity!C30</f>
        <v>15</v>
      </c>
      <c r="N24" s="66">
        <f>Electricity!D30</f>
        <v>64</v>
      </c>
    </row>
    <row r="25" spans="1:14" ht="15" x14ac:dyDescent="0.25">
      <c r="A25" s="63" t="s">
        <v>55</v>
      </c>
      <c r="B25" s="64">
        <f t="shared" si="0"/>
        <v>24</v>
      </c>
      <c r="C25" s="65">
        <v>11</v>
      </c>
      <c r="D25" s="64">
        <v>2020</v>
      </c>
      <c r="E25" s="66">
        <f>Electricity!F31+Electricity!I31</f>
        <v>5860.0000000000564</v>
      </c>
      <c r="F25" s="67">
        <f>Electricity!L31/TOTAL!E25</f>
        <v>1228.4634812286683</v>
      </c>
      <c r="G25" s="66">
        <f>Gas!F32+Gas!I32+Gas!L32+Gas!O32</f>
        <v>70.757430488974109</v>
      </c>
      <c r="H25" s="67">
        <f>Gas!Q32/TOTAL!G25</f>
        <v>10630</v>
      </c>
      <c r="I25" s="66">
        <f>'Fuel Diesel'!F32</f>
        <v>0</v>
      </c>
      <c r="J25" s="68" t="e">
        <f>'Fuel Diesel'!G32/'Fuel Diesel'!F32</f>
        <v>#DIV/0!</v>
      </c>
      <c r="K25" s="66">
        <f>Water!E32+Water!G32+Water!I32</f>
        <v>196</v>
      </c>
      <c r="L25" s="67">
        <f>Water!K32/TOTAL!K25</f>
        <v>4000</v>
      </c>
      <c r="M25" s="66">
        <f>Electricity!C31</f>
        <v>6</v>
      </c>
      <c r="N25" s="66">
        <f>Electricity!D31</f>
        <v>41</v>
      </c>
    </row>
    <row r="26" spans="1:14" ht="15" x14ac:dyDescent="0.25">
      <c r="A26" s="63" t="s">
        <v>55</v>
      </c>
      <c r="B26" s="64">
        <f>B25+1</f>
        <v>25</v>
      </c>
      <c r="C26" s="65">
        <v>11</v>
      </c>
      <c r="D26" s="64">
        <v>2020</v>
      </c>
      <c r="E26" s="66">
        <f>Electricity!F32+Electricity!I32</f>
        <v>5479.99999999999</v>
      </c>
      <c r="F26" s="67">
        <f>Electricity!L32/TOTAL!E26</f>
        <v>1226.3494525547453</v>
      </c>
      <c r="G26" s="66">
        <f>Gas!F33+Gas!I33+Gas!L33+Gas!O33</f>
        <v>56.951102588686474</v>
      </c>
      <c r="H26" s="67">
        <f>Gas!Q33/TOTAL!G26</f>
        <v>10630</v>
      </c>
      <c r="I26" s="66">
        <f>'Fuel Diesel'!F33</f>
        <v>0</v>
      </c>
      <c r="J26" s="68" t="e">
        <f>'Fuel Diesel'!G33/'Fuel Diesel'!F33</f>
        <v>#DIV/0!</v>
      </c>
      <c r="K26" s="66">
        <f>Water!E33+Water!G33+Water!I33</f>
        <v>206</v>
      </c>
      <c r="L26" s="67">
        <f>Water!K33/TOTAL!K26</f>
        <v>4000</v>
      </c>
      <c r="M26" s="66">
        <f>Electricity!C32</f>
        <v>4</v>
      </c>
      <c r="N26" s="66">
        <f>Electricity!D32</f>
        <v>33</v>
      </c>
    </row>
    <row r="27" spans="1:14" ht="15" x14ac:dyDescent="0.25">
      <c r="A27" s="63" t="s">
        <v>55</v>
      </c>
      <c r="B27" s="64">
        <f t="shared" si="0"/>
        <v>26</v>
      </c>
      <c r="C27" s="65">
        <v>11</v>
      </c>
      <c r="D27" s="64">
        <v>2020</v>
      </c>
      <c r="E27" s="66">
        <f>Electricity!F33+Electricity!I33</f>
        <v>5159.9999999999536</v>
      </c>
      <c r="F27" s="67">
        <f>Electricity!L33/TOTAL!E27</f>
        <v>1233.9708333333342</v>
      </c>
      <c r="G27" s="66">
        <f>Gas!F34+Gas!I34+Gas!L34+Gas!O34</f>
        <v>32.790028763183123</v>
      </c>
      <c r="H27" s="67">
        <f>Gas!Q34/TOTAL!G27</f>
        <v>10630</v>
      </c>
      <c r="I27" s="66">
        <f>'Fuel Diesel'!F34</f>
        <v>0</v>
      </c>
      <c r="J27" s="68" t="e">
        <f>'Fuel Diesel'!G34/'Fuel Diesel'!F34</f>
        <v>#DIV/0!</v>
      </c>
      <c r="K27" s="66">
        <f>Water!E34+Water!G34+Water!I34</f>
        <v>201</v>
      </c>
      <c r="L27" s="67">
        <f>Water!K34/TOTAL!K27</f>
        <v>4000</v>
      </c>
      <c r="M27" s="66">
        <f>Electricity!C33</f>
        <v>6</v>
      </c>
      <c r="N27" s="66">
        <f>Electricity!D33</f>
        <v>19</v>
      </c>
    </row>
    <row r="28" spans="1:14" ht="15" x14ac:dyDescent="0.25">
      <c r="A28" s="63" t="s">
        <v>55</v>
      </c>
      <c r="B28" s="64">
        <f t="shared" si="0"/>
        <v>27</v>
      </c>
      <c r="C28" s="65">
        <v>11</v>
      </c>
      <c r="D28" s="64">
        <v>2020</v>
      </c>
      <c r="E28" s="66">
        <f>Electricity!F34+Electricity!I34</f>
        <v>5379.9999999999955</v>
      </c>
      <c r="F28" s="67">
        <f>Electricity!L34/TOTAL!E28</f>
        <v>1232.2065055762077</v>
      </c>
      <c r="G28" s="66">
        <f>Gas!F35+Gas!I35+Gas!L35+Gas!O35</f>
        <v>55.22531160115053</v>
      </c>
      <c r="H28" s="67">
        <f>Gas!Q35/TOTAL!G28</f>
        <v>10629.999999999998</v>
      </c>
      <c r="I28" s="66">
        <f>'Fuel Diesel'!F35</f>
        <v>0</v>
      </c>
      <c r="J28" s="68" t="e">
        <f>'Fuel Diesel'!G35/'Fuel Diesel'!F35</f>
        <v>#DIV/0!</v>
      </c>
      <c r="K28" s="66">
        <f>Water!E35+Water!G35+Water!I35</f>
        <v>202</v>
      </c>
      <c r="L28" s="67">
        <f>Water!K35/TOTAL!K28</f>
        <v>4000</v>
      </c>
      <c r="M28" s="66">
        <f>Electricity!C34</f>
        <v>6</v>
      </c>
      <c r="N28" s="66">
        <f>Electricity!D34</f>
        <v>32</v>
      </c>
    </row>
    <row r="29" spans="1:14" ht="15" x14ac:dyDescent="0.25">
      <c r="A29" s="63" t="s">
        <v>55</v>
      </c>
      <c r="B29" s="64">
        <f t="shared" si="0"/>
        <v>28</v>
      </c>
      <c r="C29" s="65">
        <v>11</v>
      </c>
      <c r="D29" s="64">
        <v>2020</v>
      </c>
      <c r="E29" s="66">
        <f>Electricity!F35+Electricity!I35</f>
        <v>5260.0000000000055</v>
      </c>
      <c r="F29" s="67">
        <f>Electricity!L35/TOTAL!E29</f>
        <v>1234.3317490494308</v>
      </c>
      <c r="G29" s="66">
        <f>Gas!F36+Gas!I36+Gas!L36+Gas!O36</f>
        <v>70.757430488974109</v>
      </c>
      <c r="H29" s="67">
        <f>Gas!Q36/TOTAL!G29</f>
        <v>10630</v>
      </c>
      <c r="I29" s="66">
        <f>'Fuel Diesel'!F36</f>
        <v>0</v>
      </c>
      <c r="J29" s="68" t="e">
        <f>'Fuel Diesel'!G36/'Fuel Diesel'!F36</f>
        <v>#DIV/0!</v>
      </c>
      <c r="K29" s="66">
        <f>Water!E36+Water!G36+Water!I36</f>
        <v>157</v>
      </c>
      <c r="L29" s="67">
        <f>Water!K36/TOTAL!K29</f>
        <v>4000</v>
      </c>
      <c r="M29" s="66">
        <f>Electricity!C35</f>
        <v>7</v>
      </c>
      <c r="N29" s="66">
        <f>Electricity!D35</f>
        <v>41</v>
      </c>
    </row>
    <row r="30" spans="1:14" ht="15" x14ac:dyDescent="0.25">
      <c r="A30" s="63" t="s">
        <v>55</v>
      </c>
      <c r="B30" s="64">
        <f t="shared" si="0"/>
        <v>29</v>
      </c>
      <c r="C30" s="65">
        <v>11</v>
      </c>
      <c r="D30" s="64">
        <v>2020</v>
      </c>
      <c r="E30" s="66">
        <f>Electricity!F36+Electricity!I36</f>
        <v>5400.0000000000346</v>
      </c>
      <c r="F30" s="67">
        <f>Electricity!L36/TOTAL!E30</f>
        <v>1238.189537037036</v>
      </c>
      <c r="G30" s="66">
        <f>Gas!F37+Gas!I37+Gas!L37+Gas!O37</f>
        <v>82.837967401725791</v>
      </c>
      <c r="H30" s="67">
        <f>Gas!Q37/TOTAL!G30</f>
        <v>10630</v>
      </c>
      <c r="I30" s="66">
        <f>'Fuel Diesel'!F37</f>
        <v>0</v>
      </c>
      <c r="J30" s="68" t="e">
        <f>'Fuel Diesel'!G37/'Fuel Diesel'!F37</f>
        <v>#DIV/0!</v>
      </c>
      <c r="K30" s="66">
        <f>Water!E37+Water!G37+Water!I37</f>
        <v>177</v>
      </c>
      <c r="L30" s="67">
        <f>Water!K37/TOTAL!K30</f>
        <v>4000</v>
      </c>
      <c r="M30" s="66">
        <f>Electricity!C36</f>
        <v>7</v>
      </c>
      <c r="N30" s="66">
        <f>Electricity!D36</f>
        <v>48</v>
      </c>
    </row>
    <row r="31" spans="1:14" ht="15" x14ac:dyDescent="0.25">
      <c r="A31" s="63" t="s">
        <v>55</v>
      </c>
      <c r="B31" s="64">
        <f t="shared" si="0"/>
        <v>30</v>
      </c>
      <c r="C31" s="65">
        <v>11</v>
      </c>
      <c r="D31" s="64">
        <v>2020</v>
      </c>
      <c r="E31" s="66">
        <f>Electricity!F37+Electricity!I37</f>
        <v>5520</v>
      </c>
      <c r="F31" s="67">
        <f>Electricity!L37/TOTAL!E31</f>
        <v>1233.9708333333335</v>
      </c>
      <c r="G31" s="66">
        <f>Gas!F38+Gas!I38+Gas!L38+Gas!O38</f>
        <v>63.854266538830295</v>
      </c>
      <c r="H31" s="67">
        <f>Gas!Q38/TOTAL!G31</f>
        <v>10630</v>
      </c>
      <c r="I31" s="66">
        <f>'Fuel Diesel'!F38</f>
        <v>49</v>
      </c>
      <c r="J31" s="68">
        <f>'Fuel Diesel'!G38/'Fuel Diesel'!F38</f>
        <v>10700</v>
      </c>
      <c r="K31" s="66">
        <f>Water!E38+Water!G38+Water!I38</f>
        <v>189</v>
      </c>
      <c r="L31" s="67">
        <f>Water!K38/TOTAL!K31</f>
        <v>4000</v>
      </c>
      <c r="M31" s="66">
        <f>Electricity!C37</f>
        <v>7</v>
      </c>
      <c r="N31" s="66">
        <f>Electricity!D37</f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2"/>
  <sheetViews>
    <sheetView tabSelected="1" zoomScale="87" zoomScaleNormal="87" workbookViewId="0">
      <pane xSplit="2" ySplit="7" topLeftCell="C8" activePane="bottomRight" state="frozen"/>
      <selection pane="topRight" activeCell="C1" sqref="C1"/>
      <selection pane="bottomLeft" activeCell="A9" sqref="A9"/>
      <selection pane="bottomRight" activeCell="K40" sqref="K40"/>
    </sheetView>
  </sheetViews>
  <sheetFormatPr defaultRowHeight="12.75" x14ac:dyDescent="0.2"/>
  <cols>
    <col min="1" max="1" width="2.5703125" style="1" customWidth="1"/>
    <col min="2" max="2" width="5.85546875" customWidth="1"/>
    <col min="3" max="3" width="6.5703125" customWidth="1"/>
    <col min="4" max="4" width="7.5703125" style="7" customWidth="1"/>
    <col min="5" max="5" width="9.42578125" style="2" customWidth="1"/>
    <col min="6" max="6" width="11.28515625" style="2" customWidth="1"/>
    <col min="7" max="7" width="16.5703125" style="2" customWidth="1"/>
    <col min="8" max="8" width="10.28515625" style="2" customWidth="1"/>
    <col min="9" max="9" width="11.140625" style="2" customWidth="1"/>
    <col min="10" max="10" width="16.7109375" style="2" customWidth="1"/>
    <col min="11" max="11" width="16.28515625" style="2" customWidth="1"/>
    <col min="12" max="12" width="18" customWidth="1"/>
    <col min="13" max="13" width="16.7109375" customWidth="1"/>
    <col min="14" max="14" width="2.5703125" style="1" customWidth="1"/>
  </cols>
  <sheetData>
    <row r="1" spans="1:14" ht="15.75" x14ac:dyDescent="0.25">
      <c r="B1" s="88" t="s">
        <v>3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56"/>
      <c r="N1" s="57"/>
    </row>
    <row r="2" spans="1:14" ht="15.75" x14ac:dyDescent="0.25">
      <c r="B2" s="88" t="s">
        <v>2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56"/>
      <c r="N2" s="57"/>
    </row>
    <row r="3" spans="1:14" x14ac:dyDescent="0.2">
      <c r="B3" s="6"/>
      <c r="C3" s="5"/>
      <c r="D3" s="14"/>
      <c r="E3" s="5"/>
      <c r="F3" s="5"/>
      <c r="G3" s="5"/>
      <c r="H3" s="5"/>
      <c r="I3" s="5"/>
      <c r="J3" s="5"/>
      <c r="K3" s="5"/>
      <c r="L3" s="5"/>
      <c r="M3" s="56"/>
      <c r="N3" s="57"/>
    </row>
    <row r="4" spans="1:14" x14ac:dyDescent="0.2">
      <c r="A4" s="8"/>
      <c r="B4" s="90" t="s">
        <v>57</v>
      </c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8"/>
    </row>
    <row r="5" spans="1:14" ht="23.25" customHeight="1" x14ac:dyDescent="0.2">
      <c r="A5" s="79"/>
      <c r="B5" s="87" t="s">
        <v>1</v>
      </c>
      <c r="C5" s="87" t="s">
        <v>38</v>
      </c>
      <c r="D5" s="87" t="s">
        <v>39</v>
      </c>
      <c r="E5" s="86" t="s">
        <v>34</v>
      </c>
      <c r="F5" s="86"/>
      <c r="G5" s="86"/>
      <c r="H5" s="89" t="s">
        <v>35</v>
      </c>
      <c r="I5" s="89"/>
      <c r="J5" s="89"/>
      <c r="K5" s="87" t="s">
        <v>11</v>
      </c>
      <c r="L5" s="87" t="s">
        <v>6</v>
      </c>
      <c r="M5" s="87" t="s">
        <v>9</v>
      </c>
      <c r="N5" s="69"/>
    </row>
    <row r="6" spans="1:14" s="7" customFormat="1" ht="48" customHeight="1" x14ac:dyDescent="0.2">
      <c r="A6" s="79"/>
      <c r="B6" s="87"/>
      <c r="C6" s="87"/>
      <c r="D6" s="87"/>
      <c r="E6" s="87" t="s">
        <v>37</v>
      </c>
      <c r="F6" s="87" t="s">
        <v>4</v>
      </c>
      <c r="G6" s="87" t="s">
        <v>8</v>
      </c>
      <c r="H6" s="87" t="s">
        <v>37</v>
      </c>
      <c r="I6" s="87" t="s">
        <v>4</v>
      </c>
      <c r="J6" s="87" t="s">
        <v>7</v>
      </c>
      <c r="K6" s="87"/>
      <c r="L6" s="87"/>
      <c r="M6" s="87"/>
      <c r="N6" s="69"/>
    </row>
    <row r="7" spans="1:14" ht="15.75" customHeight="1" x14ac:dyDescent="0.2">
      <c r="A7" s="80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70"/>
    </row>
    <row r="8" spans="1:14" ht="15.75" customHeight="1" x14ac:dyDescent="0.25">
      <c r="A8" s="80"/>
      <c r="B8" s="77">
        <v>1</v>
      </c>
      <c r="C8" s="37">
        <v>8</v>
      </c>
      <c r="D8" s="37">
        <v>70</v>
      </c>
      <c r="E8" s="11">
        <v>2.6899999999999977</v>
      </c>
      <c r="F8" s="12">
        <f t="shared" ref="F8:F38" si="0">E8*2000</f>
        <v>5379.9999999999955</v>
      </c>
      <c r="G8" s="4">
        <f t="shared" ref="G8:G38" si="1">F8*1035.5</f>
        <v>5570989.9999999953</v>
      </c>
      <c r="H8" s="11">
        <v>0.51999999999999602</v>
      </c>
      <c r="I8" s="12">
        <f t="shared" ref="I8:I15" si="2">H8*2000</f>
        <v>1039.999999999992</v>
      </c>
      <c r="J8" s="4">
        <f t="shared" ref="J8:J15" si="3">I8*1553.25</f>
        <v>1615379.9999999877</v>
      </c>
      <c r="K8" s="11">
        <f t="shared" ref="K8:K15" si="4">G8+J8</f>
        <v>7186369.9999999832</v>
      </c>
      <c r="L8" s="13">
        <f t="shared" ref="L8:L15" si="5">K8*1.1</f>
        <v>7905006.9999999823</v>
      </c>
      <c r="M8" s="85">
        <f>L8/14084</f>
        <v>561.27570292530402</v>
      </c>
      <c r="N8" s="84"/>
    </row>
    <row r="9" spans="1:14" ht="17.100000000000001" customHeight="1" x14ac:dyDescent="0.25">
      <c r="A9" s="80"/>
      <c r="B9" s="77">
        <v>2</v>
      </c>
      <c r="C9" s="37">
        <v>5</v>
      </c>
      <c r="D9" s="37">
        <v>26</v>
      </c>
      <c r="E9" s="11">
        <v>2.6800000000000068</v>
      </c>
      <c r="F9" s="12">
        <f t="shared" si="0"/>
        <v>5360.0000000000136</v>
      </c>
      <c r="G9" s="4">
        <f t="shared" si="1"/>
        <v>5550280.000000014</v>
      </c>
      <c r="H9" s="11">
        <v>0.48000000000000398</v>
      </c>
      <c r="I9" s="12">
        <f t="shared" si="2"/>
        <v>960.00000000000796</v>
      </c>
      <c r="J9" s="4">
        <f t="shared" si="3"/>
        <v>1491120.0000000123</v>
      </c>
      <c r="K9" s="11">
        <f t="shared" si="4"/>
        <v>7041400.0000000261</v>
      </c>
      <c r="L9" s="13">
        <f t="shared" si="5"/>
        <v>7745540.0000000289</v>
      </c>
      <c r="M9" s="85">
        <f t="shared" ref="M9:M38" si="6">L9/14084</f>
        <v>549.95313831298131</v>
      </c>
      <c r="N9" s="84"/>
    </row>
    <row r="10" spans="1:14" ht="17.100000000000001" customHeight="1" x14ac:dyDescent="0.25">
      <c r="A10" s="80"/>
      <c r="B10" s="77">
        <v>3</v>
      </c>
      <c r="C10" s="37">
        <v>3</v>
      </c>
      <c r="D10" s="37">
        <v>14</v>
      </c>
      <c r="E10" s="11">
        <v>2.1400000000000148</v>
      </c>
      <c r="F10" s="12">
        <f t="shared" si="0"/>
        <v>4280.0000000000291</v>
      </c>
      <c r="G10" s="4">
        <f t="shared" si="1"/>
        <v>4431940.0000000298</v>
      </c>
      <c r="H10" s="11">
        <v>0.43999999999999773</v>
      </c>
      <c r="I10" s="12">
        <f t="shared" si="2"/>
        <v>879.99999999999545</v>
      </c>
      <c r="J10" s="4">
        <f t="shared" si="3"/>
        <v>1366859.999999993</v>
      </c>
      <c r="K10" s="11">
        <f t="shared" si="4"/>
        <v>5798800.0000000224</v>
      </c>
      <c r="L10" s="13">
        <f t="shared" si="5"/>
        <v>6378680.0000000251</v>
      </c>
      <c r="M10" s="85">
        <f t="shared" si="6"/>
        <v>452.90258449304355</v>
      </c>
      <c r="N10" s="84"/>
    </row>
    <row r="11" spans="1:14" ht="17.100000000000001" customHeight="1" x14ac:dyDescent="0.25">
      <c r="A11" s="80"/>
      <c r="B11" s="77">
        <v>4</v>
      </c>
      <c r="C11" s="37">
        <v>4</v>
      </c>
      <c r="D11" s="37">
        <v>18</v>
      </c>
      <c r="E11" s="11">
        <v>2.289999999999992</v>
      </c>
      <c r="F11" s="12">
        <f t="shared" si="0"/>
        <v>4579.9999999999836</v>
      </c>
      <c r="G11" s="4">
        <f t="shared" si="1"/>
        <v>4742589.9999999832</v>
      </c>
      <c r="H11" s="11">
        <v>0.38000000000000256</v>
      </c>
      <c r="I11" s="12">
        <f t="shared" si="2"/>
        <v>760.00000000000512</v>
      </c>
      <c r="J11" s="4">
        <f t="shared" si="3"/>
        <v>1180470.0000000079</v>
      </c>
      <c r="K11" s="11">
        <f t="shared" si="4"/>
        <v>5923059.9999999907</v>
      </c>
      <c r="L11" s="13">
        <f t="shared" si="5"/>
        <v>6515365.9999999907</v>
      </c>
      <c r="M11" s="85">
        <f t="shared" si="6"/>
        <v>462.60763987503486</v>
      </c>
      <c r="N11" s="84"/>
    </row>
    <row r="12" spans="1:14" ht="17.100000000000001" customHeight="1" x14ac:dyDescent="0.25">
      <c r="A12" s="80"/>
      <c r="B12" s="77">
        <v>5</v>
      </c>
      <c r="C12" s="37">
        <v>4</v>
      </c>
      <c r="D12" s="37">
        <v>24</v>
      </c>
      <c r="E12" s="11">
        <v>2.0099999999999909</v>
      </c>
      <c r="F12" s="12">
        <f t="shared" si="0"/>
        <v>4019.9999999999818</v>
      </c>
      <c r="G12" s="4">
        <f t="shared" si="1"/>
        <v>4162709.9999999814</v>
      </c>
      <c r="H12" s="11">
        <v>0.39999999999999858</v>
      </c>
      <c r="I12" s="12">
        <f t="shared" si="2"/>
        <v>799.99999999999716</v>
      </c>
      <c r="J12" s="4">
        <f t="shared" si="3"/>
        <v>1242599.9999999956</v>
      </c>
      <c r="K12" s="11">
        <f t="shared" si="4"/>
        <v>5405309.9999999767</v>
      </c>
      <c r="L12" s="13">
        <f t="shared" si="5"/>
        <v>5945840.9999999749</v>
      </c>
      <c r="M12" s="85">
        <f t="shared" si="6"/>
        <v>422.16990911672644</v>
      </c>
      <c r="N12" s="84"/>
    </row>
    <row r="13" spans="1:14" ht="17.100000000000001" customHeight="1" x14ac:dyDescent="0.25">
      <c r="A13" s="80"/>
      <c r="B13" s="77">
        <v>6</v>
      </c>
      <c r="C13" s="37">
        <v>2</v>
      </c>
      <c r="D13" s="37">
        <v>16</v>
      </c>
      <c r="E13" s="11">
        <v>2.0100000000000193</v>
      </c>
      <c r="F13" s="12">
        <f t="shared" si="0"/>
        <v>4020.0000000000387</v>
      </c>
      <c r="G13" s="4">
        <f t="shared" si="1"/>
        <v>4162710.00000004</v>
      </c>
      <c r="H13" s="11">
        <v>0.40999999999999659</v>
      </c>
      <c r="I13" s="12">
        <f t="shared" si="2"/>
        <v>819.99999999999318</v>
      </c>
      <c r="J13" s="4">
        <f t="shared" si="3"/>
        <v>1273664.9999999893</v>
      </c>
      <c r="K13" s="11">
        <f t="shared" si="4"/>
        <v>5436375.0000000298</v>
      </c>
      <c r="L13" s="13">
        <f t="shared" si="5"/>
        <v>5980012.5000000335</v>
      </c>
      <c r="M13" s="85">
        <f t="shared" si="6"/>
        <v>424.59617296222905</v>
      </c>
      <c r="N13" s="84"/>
    </row>
    <row r="14" spans="1:14" ht="17.100000000000001" customHeight="1" x14ac:dyDescent="0.25">
      <c r="A14" s="80"/>
      <c r="B14" s="77">
        <v>7</v>
      </c>
      <c r="C14" s="37">
        <v>4</v>
      </c>
      <c r="D14" s="37">
        <v>14</v>
      </c>
      <c r="E14" s="11">
        <v>2.0600000000000023</v>
      </c>
      <c r="F14" s="12">
        <f t="shared" si="0"/>
        <v>4120.0000000000045</v>
      </c>
      <c r="G14" s="4">
        <f t="shared" si="1"/>
        <v>4266260.0000000047</v>
      </c>
      <c r="H14" s="11">
        <v>0.42000000000000171</v>
      </c>
      <c r="I14" s="12">
        <f t="shared" si="2"/>
        <v>840.00000000000341</v>
      </c>
      <c r="J14" s="4">
        <f t="shared" si="3"/>
        <v>1304730.0000000054</v>
      </c>
      <c r="K14" s="11">
        <f t="shared" si="4"/>
        <v>5570990.0000000102</v>
      </c>
      <c r="L14" s="13">
        <f t="shared" si="5"/>
        <v>6128089.0000000121</v>
      </c>
      <c r="M14" s="85">
        <f t="shared" si="6"/>
        <v>435.10998295938742</v>
      </c>
      <c r="N14" s="84"/>
    </row>
    <row r="15" spans="1:14" ht="17.100000000000001" customHeight="1" x14ac:dyDescent="0.25">
      <c r="A15" s="80"/>
      <c r="B15" s="77">
        <v>8</v>
      </c>
      <c r="C15" s="37">
        <v>6</v>
      </c>
      <c r="D15" s="37">
        <v>30</v>
      </c>
      <c r="E15" s="11">
        <v>2.0099999999999909</v>
      </c>
      <c r="F15" s="12">
        <f t="shared" si="0"/>
        <v>4019.9999999999818</v>
      </c>
      <c r="G15" s="4">
        <f t="shared" si="1"/>
        <v>4162709.9999999814</v>
      </c>
      <c r="H15" s="11">
        <v>0.39999999999999858</v>
      </c>
      <c r="I15" s="12">
        <f t="shared" si="2"/>
        <v>799.99999999999716</v>
      </c>
      <c r="J15" s="4">
        <f t="shared" si="3"/>
        <v>1242599.9999999956</v>
      </c>
      <c r="K15" s="11">
        <f t="shared" si="4"/>
        <v>5405309.9999999767</v>
      </c>
      <c r="L15" s="13">
        <f t="shared" si="5"/>
        <v>5945840.9999999749</v>
      </c>
      <c r="M15" s="85">
        <f t="shared" si="6"/>
        <v>422.16990911672644</v>
      </c>
      <c r="N15" s="84"/>
    </row>
    <row r="16" spans="1:14" ht="17.100000000000001" customHeight="1" x14ac:dyDescent="0.25">
      <c r="A16" s="80"/>
      <c r="B16" s="77">
        <v>9</v>
      </c>
      <c r="C16" s="37">
        <v>1</v>
      </c>
      <c r="D16" s="37">
        <v>19</v>
      </c>
      <c r="E16" s="11">
        <v>2.0900000000000034</v>
      </c>
      <c r="F16" s="12">
        <f t="shared" si="0"/>
        <v>4180.0000000000073</v>
      </c>
      <c r="G16" s="4">
        <f t="shared" si="1"/>
        <v>4328390.0000000075</v>
      </c>
      <c r="H16" s="11">
        <v>0.40000000000000568</v>
      </c>
      <c r="I16" s="12">
        <f t="shared" ref="I16:I37" si="7">H16*2000</f>
        <v>800.00000000001137</v>
      </c>
      <c r="J16" s="4">
        <f t="shared" ref="J16:J37" si="8">I16*1553.25</f>
        <v>1242600.0000000177</v>
      </c>
      <c r="K16" s="11">
        <f t="shared" ref="K16:K37" si="9">G16+J16</f>
        <v>5570990.0000000251</v>
      </c>
      <c r="L16" s="13">
        <f t="shared" ref="L16:L37" si="10">K16*1.1</f>
        <v>6128089.0000000279</v>
      </c>
      <c r="M16" s="85">
        <f t="shared" si="6"/>
        <v>435.1099829593885</v>
      </c>
      <c r="N16" s="84"/>
    </row>
    <row r="17" spans="1:14" ht="17.100000000000001" customHeight="1" x14ac:dyDescent="0.25">
      <c r="A17" s="80"/>
      <c r="B17" s="77">
        <v>10</v>
      </c>
      <c r="C17" s="37">
        <v>5</v>
      </c>
      <c r="D17" s="37">
        <v>6</v>
      </c>
      <c r="E17" s="11">
        <v>2.0999999999999943</v>
      </c>
      <c r="F17" s="12">
        <f t="shared" si="0"/>
        <v>4199.9999999999891</v>
      </c>
      <c r="G17" s="4">
        <f t="shared" si="1"/>
        <v>4349099.9999999888</v>
      </c>
      <c r="H17" s="11">
        <v>0.42999999999999972</v>
      </c>
      <c r="I17" s="12">
        <f t="shared" si="7"/>
        <v>859.99999999999943</v>
      </c>
      <c r="J17" s="4">
        <f t="shared" si="8"/>
        <v>1335794.9999999991</v>
      </c>
      <c r="K17" s="11">
        <f t="shared" si="9"/>
        <v>5684894.9999999879</v>
      </c>
      <c r="L17" s="13">
        <f t="shared" si="10"/>
        <v>6253384.499999987</v>
      </c>
      <c r="M17" s="85">
        <f t="shared" si="6"/>
        <v>444.00628372621321</v>
      </c>
      <c r="N17" s="84"/>
    </row>
    <row r="18" spans="1:14" ht="17.100000000000001" customHeight="1" x14ac:dyDescent="0.25">
      <c r="A18" s="80"/>
      <c r="B18" s="77">
        <v>11</v>
      </c>
      <c r="C18" s="37">
        <v>6</v>
      </c>
      <c r="D18" s="37">
        <v>18</v>
      </c>
      <c r="E18" s="11">
        <v>2.1899999999999977</v>
      </c>
      <c r="F18" s="12">
        <f t="shared" si="0"/>
        <v>4379.9999999999955</v>
      </c>
      <c r="G18" s="4">
        <f t="shared" si="1"/>
        <v>4535489.9999999953</v>
      </c>
      <c r="H18" s="11">
        <v>0.44999999999999574</v>
      </c>
      <c r="I18" s="12">
        <f t="shared" si="7"/>
        <v>899.99999999999147</v>
      </c>
      <c r="J18" s="4">
        <f t="shared" si="8"/>
        <v>1397924.9999999867</v>
      </c>
      <c r="K18" s="11">
        <f t="shared" si="9"/>
        <v>5933414.9999999823</v>
      </c>
      <c r="L18" s="13">
        <f t="shared" si="10"/>
        <v>6526756.4999999814</v>
      </c>
      <c r="M18" s="85">
        <f t="shared" si="6"/>
        <v>463.41639449020033</v>
      </c>
      <c r="N18" s="84"/>
    </row>
    <row r="19" spans="1:14" ht="17.100000000000001" customHeight="1" x14ac:dyDescent="0.25">
      <c r="A19" s="80"/>
      <c r="B19" s="77">
        <v>12</v>
      </c>
      <c r="C19" s="37">
        <v>6</v>
      </c>
      <c r="D19" s="37">
        <v>28</v>
      </c>
      <c r="E19" s="11">
        <v>2.3400000000000034</v>
      </c>
      <c r="F19" s="12">
        <f t="shared" si="0"/>
        <v>4680.0000000000073</v>
      </c>
      <c r="G19" s="4">
        <f t="shared" si="1"/>
        <v>4846140.0000000075</v>
      </c>
      <c r="H19" s="11">
        <v>0.48000000000000398</v>
      </c>
      <c r="I19" s="12">
        <f t="shared" si="7"/>
        <v>960.00000000000796</v>
      </c>
      <c r="J19" s="4">
        <f t="shared" si="8"/>
        <v>1491120.0000000123</v>
      </c>
      <c r="K19" s="11">
        <f t="shared" si="9"/>
        <v>6337260.0000000196</v>
      </c>
      <c r="L19" s="13">
        <f t="shared" si="10"/>
        <v>6970986.0000000224</v>
      </c>
      <c r="M19" s="85">
        <f t="shared" si="6"/>
        <v>494.95782448168291</v>
      </c>
      <c r="N19" s="84"/>
    </row>
    <row r="20" spans="1:14" ht="17.100000000000001" customHeight="1" x14ac:dyDescent="0.25">
      <c r="A20" s="80"/>
      <c r="B20" s="77">
        <v>13</v>
      </c>
      <c r="C20" s="37">
        <v>7</v>
      </c>
      <c r="D20" s="37">
        <v>23</v>
      </c>
      <c r="E20" s="11">
        <v>2.3699999999999761</v>
      </c>
      <c r="F20" s="12">
        <f t="shared" si="0"/>
        <v>4739.9999999999527</v>
      </c>
      <c r="G20" s="4">
        <f t="shared" si="1"/>
        <v>4908269.9999999506</v>
      </c>
      <c r="H20" s="11">
        <v>0.48999999999999488</v>
      </c>
      <c r="I20" s="12">
        <f t="shared" si="7"/>
        <v>979.99999999998977</v>
      </c>
      <c r="J20" s="4">
        <f t="shared" si="8"/>
        <v>1522184.9999999842</v>
      </c>
      <c r="K20" s="11">
        <f t="shared" si="9"/>
        <v>6430454.9999999348</v>
      </c>
      <c r="L20" s="13">
        <f t="shared" si="10"/>
        <v>7073500.4999999292</v>
      </c>
      <c r="M20" s="85">
        <f t="shared" si="6"/>
        <v>502.23661601817162</v>
      </c>
      <c r="N20" s="84"/>
    </row>
    <row r="21" spans="1:14" ht="17.100000000000001" customHeight="1" x14ac:dyDescent="0.25">
      <c r="A21" s="80"/>
      <c r="B21" s="77">
        <v>14</v>
      </c>
      <c r="C21" s="37">
        <v>9</v>
      </c>
      <c r="D21" s="37">
        <v>52</v>
      </c>
      <c r="E21" s="11">
        <v>2.3400000000000318</v>
      </c>
      <c r="F21" s="12">
        <f t="shared" si="0"/>
        <v>4680.0000000000637</v>
      </c>
      <c r="G21" s="4">
        <f t="shared" si="1"/>
        <v>4846140.0000000661</v>
      </c>
      <c r="H21" s="11">
        <v>0.49000000000000199</v>
      </c>
      <c r="I21" s="12">
        <f t="shared" si="7"/>
        <v>980.00000000000398</v>
      </c>
      <c r="J21" s="4">
        <f t="shared" si="8"/>
        <v>1522185.0000000063</v>
      </c>
      <c r="K21" s="11">
        <f t="shared" si="9"/>
        <v>6368325.0000000726</v>
      </c>
      <c r="L21" s="13">
        <f t="shared" si="10"/>
        <v>7005157.5000000801</v>
      </c>
      <c r="M21" s="85">
        <f t="shared" si="6"/>
        <v>497.38408832718545</v>
      </c>
      <c r="N21" s="84"/>
    </row>
    <row r="22" spans="1:14" ht="17.100000000000001" customHeight="1" x14ac:dyDescent="0.25">
      <c r="A22" s="80"/>
      <c r="B22" s="77">
        <v>15</v>
      </c>
      <c r="C22" s="37">
        <v>10</v>
      </c>
      <c r="D22" s="37">
        <v>35</v>
      </c>
      <c r="E22" s="11">
        <v>2.4300000000000068</v>
      </c>
      <c r="F22" s="12">
        <f t="shared" si="0"/>
        <v>4860.0000000000136</v>
      </c>
      <c r="G22" s="4">
        <f t="shared" si="1"/>
        <v>5032530.000000014</v>
      </c>
      <c r="H22" s="11">
        <v>0.49000000000000199</v>
      </c>
      <c r="I22" s="12">
        <f t="shared" si="7"/>
        <v>980.00000000000398</v>
      </c>
      <c r="J22" s="4">
        <f t="shared" si="8"/>
        <v>1522185.0000000063</v>
      </c>
      <c r="K22" s="11">
        <f t="shared" si="9"/>
        <v>6554715.0000000205</v>
      </c>
      <c r="L22" s="13">
        <f t="shared" si="10"/>
        <v>7210186.5000000233</v>
      </c>
      <c r="M22" s="85">
        <f t="shared" si="6"/>
        <v>511.94167140017208</v>
      </c>
      <c r="N22" s="84"/>
    </row>
    <row r="23" spans="1:14" ht="17.100000000000001" customHeight="1" x14ac:dyDescent="0.25">
      <c r="A23" s="80"/>
      <c r="B23" s="77">
        <v>16</v>
      </c>
      <c r="C23" s="37">
        <v>5</v>
      </c>
      <c r="D23" s="37">
        <v>29</v>
      </c>
      <c r="E23" s="11">
        <v>2.5499999999999545</v>
      </c>
      <c r="F23" s="12">
        <f t="shared" si="0"/>
        <v>5099.9999999999091</v>
      </c>
      <c r="G23" s="4">
        <f t="shared" si="1"/>
        <v>5281049.9999999059</v>
      </c>
      <c r="H23" s="11">
        <v>0.49000000000000199</v>
      </c>
      <c r="I23" s="12">
        <f t="shared" si="7"/>
        <v>980.00000000000398</v>
      </c>
      <c r="J23" s="4">
        <f t="shared" si="8"/>
        <v>1522185.0000000063</v>
      </c>
      <c r="K23" s="11">
        <f t="shared" si="9"/>
        <v>6803234.9999999125</v>
      </c>
      <c r="L23" s="13">
        <f t="shared" si="10"/>
        <v>7483558.4999999041</v>
      </c>
      <c r="M23" s="85">
        <f t="shared" si="6"/>
        <v>531.35178216415113</v>
      </c>
      <c r="N23" s="84"/>
    </row>
    <row r="24" spans="1:14" ht="17.100000000000001" customHeight="1" x14ac:dyDescent="0.25">
      <c r="A24" s="80"/>
      <c r="B24" s="77">
        <v>17</v>
      </c>
      <c r="C24" s="37">
        <v>12</v>
      </c>
      <c r="D24" s="37">
        <v>28</v>
      </c>
      <c r="E24" s="11">
        <v>2.5300000000000296</v>
      </c>
      <c r="F24" s="12">
        <f t="shared" si="0"/>
        <v>5060.0000000000591</v>
      </c>
      <c r="G24" s="4">
        <f t="shared" si="1"/>
        <v>5239630.0000000615</v>
      </c>
      <c r="H24" s="11">
        <v>0.50999999999999801</v>
      </c>
      <c r="I24" s="12">
        <f t="shared" si="7"/>
        <v>1019.999999999996</v>
      </c>
      <c r="J24" s="4">
        <f t="shared" si="8"/>
        <v>1584314.9999999937</v>
      </c>
      <c r="K24" s="11">
        <f t="shared" si="9"/>
        <v>6823945.0000000549</v>
      </c>
      <c r="L24" s="13">
        <f t="shared" si="10"/>
        <v>7506339.5000000615</v>
      </c>
      <c r="M24" s="85">
        <f t="shared" si="6"/>
        <v>532.96929139449458</v>
      </c>
      <c r="N24" s="84"/>
    </row>
    <row r="25" spans="1:14" ht="17.100000000000001" customHeight="1" x14ac:dyDescent="0.25">
      <c r="A25" s="80"/>
      <c r="B25" s="77">
        <v>18</v>
      </c>
      <c r="C25" s="37">
        <v>17</v>
      </c>
      <c r="D25" s="37">
        <v>52</v>
      </c>
      <c r="E25" s="11">
        <v>2.4900000000000091</v>
      </c>
      <c r="F25" s="12">
        <f t="shared" si="0"/>
        <v>4980.0000000000182</v>
      </c>
      <c r="G25" s="4">
        <f t="shared" si="1"/>
        <v>5156790.0000000186</v>
      </c>
      <c r="H25" s="11">
        <v>0.54999999999999716</v>
      </c>
      <c r="I25" s="12">
        <f t="shared" si="7"/>
        <v>1099.9999999999943</v>
      </c>
      <c r="J25" s="4">
        <f t="shared" si="8"/>
        <v>1708574.9999999912</v>
      </c>
      <c r="K25" s="11">
        <f t="shared" si="9"/>
        <v>6865365.0000000093</v>
      </c>
      <c r="L25" s="13">
        <f t="shared" si="10"/>
        <v>7551901.5000000112</v>
      </c>
      <c r="M25" s="85">
        <f t="shared" si="6"/>
        <v>536.20430985515554</v>
      </c>
      <c r="N25" s="84"/>
    </row>
    <row r="26" spans="1:14" ht="17.100000000000001" customHeight="1" x14ac:dyDescent="0.25">
      <c r="A26" s="80"/>
      <c r="B26" s="77">
        <v>19</v>
      </c>
      <c r="C26" s="37">
        <v>10</v>
      </c>
      <c r="D26" s="37">
        <v>54</v>
      </c>
      <c r="E26" s="11">
        <v>2.7699999999999818</v>
      </c>
      <c r="F26" s="12">
        <f t="shared" si="0"/>
        <v>5539.9999999999636</v>
      </c>
      <c r="G26" s="4">
        <f t="shared" si="1"/>
        <v>5736669.9999999627</v>
      </c>
      <c r="H26" s="11">
        <v>0.5</v>
      </c>
      <c r="I26" s="12">
        <f t="shared" si="7"/>
        <v>1000</v>
      </c>
      <c r="J26" s="4">
        <f t="shared" si="8"/>
        <v>1553250</v>
      </c>
      <c r="K26" s="11">
        <f t="shared" si="9"/>
        <v>7289919.9999999627</v>
      </c>
      <c r="L26" s="13">
        <f t="shared" si="10"/>
        <v>8018911.99999996</v>
      </c>
      <c r="M26" s="85">
        <f t="shared" si="6"/>
        <v>569.36324907696394</v>
      </c>
      <c r="N26" s="84"/>
    </row>
    <row r="27" spans="1:14" ht="17.100000000000001" customHeight="1" x14ac:dyDescent="0.25">
      <c r="A27" s="80"/>
      <c r="B27" s="77">
        <v>20</v>
      </c>
      <c r="C27" s="37">
        <v>14</v>
      </c>
      <c r="D27" s="37">
        <v>48</v>
      </c>
      <c r="E27" s="11">
        <v>2.5900000000000318</v>
      </c>
      <c r="F27" s="12">
        <f t="shared" si="0"/>
        <v>5180.0000000000637</v>
      </c>
      <c r="G27" s="4">
        <f t="shared" si="1"/>
        <v>5363890.0000000661</v>
      </c>
      <c r="H27" s="11">
        <v>0.53000000000000114</v>
      </c>
      <c r="I27" s="12">
        <f t="shared" si="7"/>
        <v>1060.0000000000023</v>
      </c>
      <c r="J27" s="4">
        <f t="shared" si="8"/>
        <v>1646445.0000000035</v>
      </c>
      <c r="K27" s="11">
        <f t="shared" si="9"/>
        <v>7010335.0000000698</v>
      </c>
      <c r="L27" s="13">
        <f t="shared" si="10"/>
        <v>7711368.5000000773</v>
      </c>
      <c r="M27" s="85">
        <f t="shared" si="6"/>
        <v>547.52687446748632</v>
      </c>
      <c r="N27" s="84"/>
    </row>
    <row r="28" spans="1:14" ht="17.100000000000001" customHeight="1" x14ac:dyDescent="0.25">
      <c r="A28" s="80"/>
      <c r="B28" s="77">
        <v>21</v>
      </c>
      <c r="C28" s="37">
        <v>14</v>
      </c>
      <c r="D28" s="37">
        <v>67</v>
      </c>
      <c r="E28" s="11">
        <v>2.6099999999999568</v>
      </c>
      <c r="F28" s="12">
        <f t="shared" si="0"/>
        <v>5219.9999999999136</v>
      </c>
      <c r="G28" s="4">
        <f t="shared" si="1"/>
        <v>5405309.9999999106</v>
      </c>
      <c r="H28" s="11">
        <v>0.53999999999999915</v>
      </c>
      <c r="I28" s="12">
        <f t="shared" si="7"/>
        <v>1079.9999999999982</v>
      </c>
      <c r="J28" s="4">
        <f t="shared" si="8"/>
        <v>1677509.9999999972</v>
      </c>
      <c r="K28" s="11">
        <f t="shared" si="9"/>
        <v>7082819.9999999078</v>
      </c>
      <c r="L28" s="13">
        <f t="shared" si="10"/>
        <v>7791101.9999998994</v>
      </c>
      <c r="M28" s="85">
        <f t="shared" si="6"/>
        <v>553.18815677363671</v>
      </c>
      <c r="N28" s="84"/>
    </row>
    <row r="29" spans="1:14" ht="17.100000000000001" customHeight="1" x14ac:dyDescent="0.25">
      <c r="A29" s="80"/>
      <c r="B29" s="77">
        <v>22</v>
      </c>
      <c r="C29" s="37">
        <v>18</v>
      </c>
      <c r="D29" s="37">
        <v>57</v>
      </c>
      <c r="E29" s="11">
        <v>2.660000000000025</v>
      </c>
      <c r="F29" s="12">
        <f t="shared" si="0"/>
        <v>5320.00000000005</v>
      </c>
      <c r="G29" s="4">
        <f t="shared" si="1"/>
        <v>5508860.0000000522</v>
      </c>
      <c r="H29" s="11">
        <v>0.53999999999999915</v>
      </c>
      <c r="I29" s="12">
        <f t="shared" si="7"/>
        <v>1079.9999999999982</v>
      </c>
      <c r="J29" s="4">
        <f t="shared" si="8"/>
        <v>1677509.9999999972</v>
      </c>
      <c r="K29" s="11">
        <f t="shared" si="9"/>
        <v>7186370.0000000494</v>
      </c>
      <c r="L29" s="13">
        <f t="shared" si="10"/>
        <v>7905007.0000000549</v>
      </c>
      <c r="M29" s="85">
        <f t="shared" si="6"/>
        <v>561.27570292530925</v>
      </c>
      <c r="N29" s="84"/>
    </row>
    <row r="30" spans="1:14" ht="17.100000000000001" customHeight="1" x14ac:dyDescent="0.25">
      <c r="A30" s="80"/>
      <c r="B30" s="77">
        <v>23</v>
      </c>
      <c r="C30" s="37">
        <v>15</v>
      </c>
      <c r="D30" s="37">
        <v>64</v>
      </c>
      <c r="E30" s="11">
        <v>2.7799999999999727</v>
      </c>
      <c r="F30" s="12">
        <f t="shared" si="0"/>
        <v>5559.9999999999454</v>
      </c>
      <c r="G30" s="4">
        <f t="shared" si="1"/>
        <v>5757379.9999999432</v>
      </c>
      <c r="H30" s="11">
        <v>0.53999999999999915</v>
      </c>
      <c r="I30" s="12">
        <f t="shared" si="7"/>
        <v>1079.9999999999982</v>
      </c>
      <c r="J30" s="4">
        <f t="shared" si="8"/>
        <v>1677509.9999999972</v>
      </c>
      <c r="K30" s="11">
        <f t="shared" si="9"/>
        <v>7434889.9999999404</v>
      </c>
      <c r="L30" s="13">
        <f t="shared" si="10"/>
        <v>8178378.9999999348</v>
      </c>
      <c r="M30" s="85">
        <f t="shared" si="6"/>
        <v>580.68581368928824</v>
      </c>
      <c r="N30" s="84"/>
    </row>
    <row r="31" spans="1:14" ht="17.100000000000001" customHeight="1" x14ac:dyDescent="0.25">
      <c r="A31" s="80"/>
      <c r="B31" s="77">
        <v>24</v>
      </c>
      <c r="C31" s="37">
        <v>6</v>
      </c>
      <c r="D31" s="37">
        <v>41</v>
      </c>
      <c r="E31" s="11">
        <v>2.4700000000000273</v>
      </c>
      <c r="F31" s="12">
        <f t="shared" si="0"/>
        <v>4940.0000000000546</v>
      </c>
      <c r="G31" s="4">
        <f t="shared" si="1"/>
        <v>5115370.0000000568</v>
      </c>
      <c r="H31" s="11">
        <v>0.46000000000000085</v>
      </c>
      <c r="I31" s="12">
        <f t="shared" si="7"/>
        <v>920.00000000000171</v>
      </c>
      <c r="J31" s="4">
        <f t="shared" si="8"/>
        <v>1428990.0000000026</v>
      </c>
      <c r="K31" s="11">
        <f t="shared" si="9"/>
        <v>6544360.0000000596</v>
      </c>
      <c r="L31" s="13">
        <f t="shared" si="10"/>
        <v>7198796.0000000661</v>
      </c>
      <c r="M31" s="85">
        <f t="shared" si="6"/>
        <v>511.13291678500894</v>
      </c>
      <c r="N31" s="84"/>
    </row>
    <row r="32" spans="1:14" ht="17.100000000000001" customHeight="1" x14ac:dyDescent="0.25">
      <c r="A32" s="80"/>
      <c r="B32" s="77">
        <v>25</v>
      </c>
      <c r="C32" s="37">
        <v>4</v>
      </c>
      <c r="D32" s="37">
        <v>33</v>
      </c>
      <c r="E32" s="11">
        <v>2.3199999999999932</v>
      </c>
      <c r="F32" s="12">
        <f t="shared" si="0"/>
        <v>4639.9999999999864</v>
      </c>
      <c r="G32" s="4">
        <f t="shared" si="1"/>
        <v>4804719.999999986</v>
      </c>
      <c r="H32" s="11">
        <v>0.42000000000000171</v>
      </c>
      <c r="I32" s="12">
        <f t="shared" si="7"/>
        <v>840.00000000000341</v>
      </c>
      <c r="J32" s="4">
        <f t="shared" si="8"/>
        <v>1304730.0000000054</v>
      </c>
      <c r="K32" s="11">
        <f t="shared" si="9"/>
        <v>6109449.9999999916</v>
      </c>
      <c r="L32" s="13">
        <f t="shared" si="10"/>
        <v>6720394.9999999916</v>
      </c>
      <c r="M32" s="85">
        <f t="shared" si="6"/>
        <v>477.16522294802553</v>
      </c>
      <c r="N32" s="84"/>
    </row>
    <row r="33" spans="1:16" ht="17.100000000000001" customHeight="1" x14ac:dyDescent="0.25">
      <c r="A33" s="80"/>
      <c r="B33" s="77">
        <v>26</v>
      </c>
      <c r="C33" s="37">
        <v>6</v>
      </c>
      <c r="D33" s="37">
        <v>19</v>
      </c>
      <c r="E33" s="11">
        <v>2.1499999999999773</v>
      </c>
      <c r="F33" s="12">
        <f t="shared" si="0"/>
        <v>4299.9999999999545</v>
      </c>
      <c r="G33" s="4">
        <f t="shared" si="1"/>
        <v>4452649.9999999525</v>
      </c>
      <c r="H33" s="11">
        <v>0.42999999999999972</v>
      </c>
      <c r="I33" s="12">
        <f t="shared" si="7"/>
        <v>859.99999999999943</v>
      </c>
      <c r="J33" s="4">
        <f t="shared" si="8"/>
        <v>1335794.9999999991</v>
      </c>
      <c r="K33" s="11">
        <f t="shared" si="9"/>
        <v>5788444.9999999516</v>
      </c>
      <c r="L33" s="13">
        <f t="shared" si="10"/>
        <v>6367289.4999999469</v>
      </c>
      <c r="M33" s="85">
        <f t="shared" si="6"/>
        <v>452.09382987787183</v>
      </c>
      <c r="N33" s="84"/>
    </row>
    <row r="34" spans="1:16" ht="17.100000000000001" customHeight="1" x14ac:dyDescent="0.25">
      <c r="A34" s="80"/>
      <c r="B34" s="77">
        <v>27</v>
      </c>
      <c r="C34" s="37">
        <v>6</v>
      </c>
      <c r="D34" s="37">
        <v>32</v>
      </c>
      <c r="E34" s="11">
        <v>2.25</v>
      </c>
      <c r="F34" s="12">
        <f t="shared" si="0"/>
        <v>4500</v>
      </c>
      <c r="G34" s="4">
        <f t="shared" si="1"/>
        <v>4659750</v>
      </c>
      <c r="H34" s="11">
        <v>0.43999999999999773</v>
      </c>
      <c r="I34" s="12">
        <f t="shared" si="7"/>
        <v>879.99999999999545</v>
      </c>
      <c r="J34" s="4">
        <f t="shared" si="8"/>
        <v>1366859.999999993</v>
      </c>
      <c r="K34" s="11">
        <f t="shared" si="9"/>
        <v>6026609.9999999925</v>
      </c>
      <c r="L34" s="13">
        <f t="shared" si="10"/>
        <v>6629270.9999999925</v>
      </c>
      <c r="M34" s="85">
        <f t="shared" si="6"/>
        <v>470.69518602669643</v>
      </c>
      <c r="N34" s="84"/>
    </row>
    <row r="35" spans="1:16" ht="17.100000000000001" customHeight="1" x14ac:dyDescent="0.25">
      <c r="A35" s="80"/>
      <c r="B35" s="77">
        <v>28</v>
      </c>
      <c r="C35" s="37">
        <v>7</v>
      </c>
      <c r="D35" s="37">
        <v>41</v>
      </c>
      <c r="E35" s="11">
        <v>2.1899999999999977</v>
      </c>
      <c r="F35" s="12">
        <f t="shared" si="0"/>
        <v>4379.9999999999955</v>
      </c>
      <c r="G35" s="4">
        <f t="shared" si="1"/>
        <v>4535489.9999999953</v>
      </c>
      <c r="H35" s="11">
        <v>0.44000000000000483</v>
      </c>
      <c r="I35" s="12">
        <f t="shared" si="7"/>
        <v>880.00000000000966</v>
      </c>
      <c r="J35" s="4">
        <f t="shared" si="8"/>
        <v>1366860.0000000149</v>
      </c>
      <c r="K35" s="11">
        <f t="shared" si="9"/>
        <v>5902350.0000000102</v>
      </c>
      <c r="L35" s="13">
        <f t="shared" si="10"/>
        <v>6492585.0000000121</v>
      </c>
      <c r="M35" s="85">
        <f t="shared" si="6"/>
        <v>460.9901306447041</v>
      </c>
      <c r="N35" s="84"/>
    </row>
    <row r="36" spans="1:16" ht="17.100000000000001" customHeight="1" x14ac:dyDescent="0.25">
      <c r="A36" s="80"/>
      <c r="B36" s="77">
        <v>29</v>
      </c>
      <c r="C36" s="37">
        <v>7</v>
      </c>
      <c r="D36" s="37">
        <v>48</v>
      </c>
      <c r="E36" s="11">
        <v>2.2300000000000182</v>
      </c>
      <c r="F36" s="12">
        <f t="shared" si="0"/>
        <v>4460.0000000000364</v>
      </c>
      <c r="G36" s="4">
        <f t="shared" si="1"/>
        <v>4618330.0000000373</v>
      </c>
      <c r="H36" s="11">
        <v>0.46999999999999886</v>
      </c>
      <c r="I36" s="12">
        <f t="shared" si="7"/>
        <v>939.99999999999773</v>
      </c>
      <c r="J36" s="4">
        <f t="shared" si="8"/>
        <v>1460054.9999999965</v>
      </c>
      <c r="K36" s="11">
        <f t="shared" si="9"/>
        <v>6078385.0000000335</v>
      </c>
      <c r="L36" s="13">
        <f t="shared" si="10"/>
        <v>6686223.5000000373</v>
      </c>
      <c r="M36" s="85">
        <f t="shared" si="6"/>
        <v>474.73895910253032</v>
      </c>
      <c r="N36" s="84"/>
    </row>
    <row r="37" spans="1:16" ht="17.100000000000001" customHeight="1" x14ac:dyDescent="0.25">
      <c r="A37" s="80"/>
      <c r="B37" s="77">
        <v>30</v>
      </c>
      <c r="C37" s="37">
        <v>7</v>
      </c>
      <c r="D37" s="37">
        <v>37</v>
      </c>
      <c r="E37" s="11">
        <v>2.2999999999999998</v>
      </c>
      <c r="F37" s="12">
        <f t="shared" si="0"/>
        <v>4600</v>
      </c>
      <c r="G37" s="4">
        <f t="shared" si="1"/>
        <v>4763300</v>
      </c>
      <c r="H37" s="11">
        <v>0.46</v>
      </c>
      <c r="I37" s="12">
        <f t="shared" si="7"/>
        <v>920</v>
      </c>
      <c r="J37" s="4">
        <f t="shared" si="8"/>
        <v>1428990</v>
      </c>
      <c r="K37" s="11">
        <f t="shared" si="9"/>
        <v>6192290</v>
      </c>
      <c r="L37" s="13">
        <f t="shared" si="10"/>
        <v>6811519.0000000009</v>
      </c>
      <c r="M37" s="85">
        <f t="shared" si="6"/>
        <v>483.63525986935537</v>
      </c>
      <c r="N37" s="84"/>
    </row>
    <row r="38" spans="1:16" ht="17.100000000000001" customHeight="1" x14ac:dyDescent="0.25">
      <c r="A38" s="80"/>
      <c r="B38" s="77"/>
      <c r="C38" s="37"/>
      <c r="D38" s="37"/>
      <c r="E38" s="11"/>
      <c r="F38" s="12"/>
      <c r="G38" s="4"/>
      <c r="H38" s="11"/>
      <c r="I38" s="12"/>
      <c r="J38" s="4"/>
      <c r="K38" s="11"/>
      <c r="L38" s="13"/>
      <c r="M38" s="85"/>
      <c r="N38" s="84"/>
    </row>
    <row r="39" spans="1:16" ht="15" x14ac:dyDescent="0.25">
      <c r="C39" s="19">
        <f>SUM(C8:C38)</f>
        <v>228</v>
      </c>
      <c r="D39" s="19">
        <f>SUM(D8:D38)</f>
        <v>1043</v>
      </c>
      <c r="F39" s="19">
        <f>SUM(F8:F38)</f>
        <v>141279.99999999997</v>
      </c>
      <c r="I39" s="19">
        <f>SUM(I8:I38)</f>
        <v>28000</v>
      </c>
      <c r="K39" s="2" t="s">
        <v>41</v>
      </c>
      <c r="L39" s="54">
        <f>SUM(L8:L38)</f>
        <v>208765084.00000006</v>
      </c>
      <c r="M39" s="55">
        <f>SUM(M8:M38)</f>
        <v>14822.854586765123</v>
      </c>
      <c r="N39" s="47"/>
      <c r="P39" s="40" t="e">
        <f>#REF!+#REF!+#REF!+#REF!+#REF!+#REF!+#REF!+#REF!+#REF!+#REF!+M39+#REF!</f>
        <v>#REF!</v>
      </c>
    </row>
    <row r="40" spans="1:16" x14ac:dyDescent="0.2">
      <c r="K40" s="53">
        <f>F39+I39</f>
        <v>169279.99999999997</v>
      </c>
    </row>
    <row r="41" spans="1:16" x14ac:dyDescent="0.2">
      <c r="C41" t="s">
        <v>40</v>
      </c>
      <c r="M41" s="42"/>
    </row>
    <row r="42" spans="1:16" x14ac:dyDescent="0.2">
      <c r="M42" s="45"/>
    </row>
  </sheetData>
  <mergeCells count="17">
    <mergeCell ref="J6:J7"/>
    <mergeCell ref="E5:G5"/>
    <mergeCell ref="G6:G7"/>
    <mergeCell ref="H6:H7"/>
    <mergeCell ref="I6:I7"/>
    <mergeCell ref="B1:L1"/>
    <mergeCell ref="B2:L2"/>
    <mergeCell ref="H5:J5"/>
    <mergeCell ref="K5:K7"/>
    <mergeCell ref="L5:L7"/>
    <mergeCell ref="B5:B7"/>
    <mergeCell ref="C5:C7"/>
    <mergeCell ref="B4:M4"/>
    <mergeCell ref="D5:D7"/>
    <mergeCell ref="M5:M7"/>
    <mergeCell ref="E6:E7"/>
    <mergeCell ref="F6:F7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opLeftCell="A3" zoomScale="80" zoomScaleNormal="80" workbookViewId="0">
      <pane xSplit="2" ySplit="6" topLeftCell="C9" activePane="bottomRight" state="frozen"/>
      <selection activeCell="A3" sqref="A3"/>
      <selection pane="topRight" activeCell="C3" sqref="C3"/>
      <selection pane="bottomLeft" activeCell="A9" sqref="A9"/>
      <selection pane="bottomRight" activeCell="O7" sqref="O7:O8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style="2" customWidth="1"/>
    <col min="4" max="4" width="8.42578125" style="7" customWidth="1"/>
    <col min="5" max="5" width="11" style="2" customWidth="1"/>
    <col min="6" max="6" width="9.5703125" style="2" customWidth="1"/>
    <col min="7" max="7" width="11.140625" style="2" customWidth="1"/>
    <col min="8" max="8" width="9.42578125" style="2" customWidth="1"/>
    <col min="9" max="9" width="7.140625" style="2" customWidth="1"/>
    <col min="10" max="10" width="13.7109375" style="2" customWidth="1"/>
    <col min="11" max="11" width="11.140625" style="2" customWidth="1"/>
    <col min="12" max="12" width="6.7109375" style="2" customWidth="1"/>
    <col min="13" max="13" width="13.7109375" style="36" customWidth="1"/>
    <col min="14" max="14" width="8.7109375" style="2" customWidth="1"/>
    <col min="15" max="15" width="6.42578125" style="2" customWidth="1"/>
    <col min="16" max="16" width="11.140625" style="2" customWidth="1"/>
    <col min="17" max="17" width="15" style="7" customWidth="1"/>
    <col min="18" max="18" width="16.28515625" style="2" customWidth="1"/>
    <col min="19" max="19" width="2.5703125" style="1" customWidth="1"/>
    <col min="21" max="21" width="21.5703125" customWidth="1"/>
  </cols>
  <sheetData>
    <row r="1" spans="1:19" ht="15.75" x14ac:dyDescent="0.25">
      <c r="B1" s="88" t="s">
        <v>17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</row>
    <row r="2" spans="1:19" ht="15.75" x14ac:dyDescent="0.25">
      <c r="B2" s="88" t="s">
        <v>2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</row>
    <row r="3" spans="1:19" x14ac:dyDescent="0.2">
      <c r="E3" s="9"/>
      <c r="F3" s="10"/>
      <c r="G3" s="10"/>
      <c r="H3" s="10"/>
      <c r="I3" s="10"/>
      <c r="J3" s="10"/>
      <c r="K3" s="10"/>
      <c r="L3" s="10"/>
      <c r="M3" s="27"/>
      <c r="N3" s="9"/>
      <c r="O3" s="10"/>
      <c r="P3" s="10"/>
      <c r="Q3" s="18"/>
    </row>
    <row r="4" spans="1:19" x14ac:dyDescent="0.2">
      <c r="A4" s="8"/>
      <c r="B4" s="91" t="s">
        <v>57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8"/>
    </row>
    <row r="5" spans="1:19" ht="23.25" customHeight="1" x14ac:dyDescent="0.2">
      <c r="A5" s="79"/>
      <c r="B5" s="87" t="s">
        <v>1</v>
      </c>
      <c r="C5" s="87" t="s">
        <v>38</v>
      </c>
      <c r="D5" s="87" t="s">
        <v>39</v>
      </c>
      <c r="E5" s="93" t="s">
        <v>19</v>
      </c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2" t="s">
        <v>20</v>
      </c>
      <c r="R5" s="92"/>
      <c r="S5" s="69"/>
    </row>
    <row r="6" spans="1:19" s="7" customFormat="1" ht="48" customHeight="1" x14ac:dyDescent="0.2">
      <c r="A6" s="79"/>
      <c r="B6" s="87"/>
      <c r="C6" s="87"/>
      <c r="D6" s="87"/>
      <c r="E6" s="93" t="s">
        <v>21</v>
      </c>
      <c r="F6" s="93"/>
      <c r="G6" s="93"/>
      <c r="H6" s="93" t="s">
        <v>22</v>
      </c>
      <c r="I6" s="93"/>
      <c r="J6" s="93"/>
      <c r="K6" s="93" t="s">
        <v>23</v>
      </c>
      <c r="L6" s="93"/>
      <c r="M6" s="93"/>
      <c r="N6" s="94" t="s">
        <v>24</v>
      </c>
      <c r="O6" s="94"/>
      <c r="P6" s="94"/>
      <c r="Q6" s="92"/>
      <c r="R6" s="92"/>
      <c r="S6" s="69"/>
    </row>
    <row r="7" spans="1:19" ht="36" customHeight="1" x14ac:dyDescent="0.2">
      <c r="A7" s="80"/>
      <c r="B7" s="87"/>
      <c r="C7" s="87"/>
      <c r="D7" s="87"/>
      <c r="E7" s="87" t="s">
        <v>10</v>
      </c>
      <c r="F7" s="95" t="s">
        <v>29</v>
      </c>
      <c r="G7" s="73" t="s">
        <v>56</v>
      </c>
      <c r="H7" s="87" t="s">
        <v>27</v>
      </c>
      <c r="I7" s="87" t="s">
        <v>29</v>
      </c>
      <c r="J7" s="73" t="s">
        <v>56</v>
      </c>
      <c r="K7" s="87" t="s">
        <v>10</v>
      </c>
      <c r="L7" s="87" t="s">
        <v>29</v>
      </c>
      <c r="M7" s="73" t="s">
        <v>26</v>
      </c>
      <c r="N7" s="87" t="s">
        <v>28</v>
      </c>
      <c r="O7" s="87" t="s">
        <v>29</v>
      </c>
      <c r="P7" s="73" t="s">
        <v>26</v>
      </c>
      <c r="Q7" s="92"/>
      <c r="R7" s="92"/>
      <c r="S7" s="70"/>
    </row>
    <row r="8" spans="1:19" ht="15.75" customHeight="1" x14ac:dyDescent="0.2">
      <c r="A8" s="80"/>
      <c r="B8" s="87"/>
      <c r="C8" s="87"/>
      <c r="D8" s="87"/>
      <c r="E8" s="87"/>
      <c r="F8" s="96"/>
      <c r="G8" s="82">
        <v>10630</v>
      </c>
      <c r="H8" s="87"/>
      <c r="I8" s="87"/>
      <c r="J8" s="82">
        <f>G8</f>
        <v>10630</v>
      </c>
      <c r="K8" s="87"/>
      <c r="L8" s="87"/>
      <c r="M8" s="82">
        <f>J8</f>
        <v>10630</v>
      </c>
      <c r="N8" s="87"/>
      <c r="O8" s="87"/>
      <c r="P8" s="82">
        <f>J8</f>
        <v>10630</v>
      </c>
      <c r="Q8" s="83" t="s">
        <v>30</v>
      </c>
      <c r="R8" s="73" t="s">
        <v>9</v>
      </c>
      <c r="S8" s="70"/>
    </row>
    <row r="9" spans="1:19" ht="17.100000000000001" customHeight="1" x14ac:dyDescent="0.25">
      <c r="A9" s="80"/>
      <c r="B9" s="77">
        <v>1</v>
      </c>
      <c r="C9" s="16">
        <v>8</v>
      </c>
      <c r="D9" s="16">
        <v>70</v>
      </c>
      <c r="E9" s="3">
        <v>8</v>
      </c>
      <c r="F9" s="11">
        <v>113.66536912751678</v>
      </c>
      <c r="G9" s="25">
        <f>F9*$G$8</f>
        <v>1208262.8738255035</v>
      </c>
      <c r="H9" s="3"/>
      <c r="I9" s="25"/>
      <c r="J9" s="25">
        <f>I9*$J$8</f>
        <v>0</v>
      </c>
      <c r="K9" s="3"/>
      <c r="L9" s="11">
        <v>0</v>
      </c>
      <c r="M9" s="12">
        <f>L9*$M$8</f>
        <v>0</v>
      </c>
      <c r="N9" s="3"/>
      <c r="O9" s="11">
        <v>7.14</v>
      </c>
      <c r="P9" s="24">
        <f>O9*$P$8</f>
        <v>75898.2</v>
      </c>
      <c r="Q9" s="17">
        <f>P9+G9+J9+M9</f>
        <v>1284161.0738255035</v>
      </c>
      <c r="R9" s="78">
        <f>Q9/14084</f>
        <v>91.178718675483069</v>
      </c>
      <c r="S9" s="70"/>
    </row>
    <row r="10" spans="1:19" ht="17.100000000000001" customHeight="1" x14ac:dyDescent="0.25">
      <c r="A10" s="80"/>
      <c r="B10" s="77">
        <v>2</v>
      </c>
      <c r="C10" s="16">
        <v>5</v>
      </c>
      <c r="D10" s="16">
        <v>26</v>
      </c>
      <c r="E10" s="3">
        <v>8</v>
      </c>
      <c r="F10" s="11">
        <v>37.730565675934805</v>
      </c>
      <c r="G10" s="25">
        <f>F10*$G$8</f>
        <v>401075.913135187</v>
      </c>
      <c r="H10" s="3"/>
      <c r="I10" s="25"/>
      <c r="J10" s="25">
        <f>I10*$J$8</f>
        <v>0</v>
      </c>
      <c r="K10" s="3"/>
      <c r="L10" s="11">
        <v>0</v>
      </c>
      <c r="M10" s="12">
        <f t="shared" ref="M10:M38" si="0">L10*$M$8</f>
        <v>0</v>
      </c>
      <c r="N10" s="3"/>
      <c r="O10" s="11">
        <v>7.14</v>
      </c>
      <c r="P10" s="24">
        <f>O10*$P$8</f>
        <v>75898.2</v>
      </c>
      <c r="Q10" s="17">
        <f>J10+M10+G10+P10</f>
        <v>476974.11313518701</v>
      </c>
      <c r="R10" s="78">
        <f t="shared" ref="R10:R39" si="1">Q10/14084</f>
        <v>33.866381222322282</v>
      </c>
      <c r="S10" s="70"/>
    </row>
    <row r="11" spans="1:19" ht="17.100000000000001" customHeight="1" x14ac:dyDescent="0.25">
      <c r="A11" s="80"/>
      <c r="B11" s="77">
        <v>3</v>
      </c>
      <c r="C11" s="16">
        <v>3</v>
      </c>
      <c r="D11" s="16">
        <v>14</v>
      </c>
      <c r="E11" s="3">
        <v>8</v>
      </c>
      <c r="F11" s="11">
        <v>17.021073825503354</v>
      </c>
      <c r="G11" s="25">
        <f t="shared" ref="G11:G39" si="2">F11*$G$8</f>
        <v>180934.01476510064</v>
      </c>
      <c r="H11" s="3"/>
      <c r="I11" s="25"/>
      <c r="J11" s="25">
        <f t="shared" ref="J11:J38" si="3">I11*$J$8</f>
        <v>0</v>
      </c>
      <c r="K11" s="3"/>
      <c r="L11" s="11">
        <v>0</v>
      </c>
      <c r="M11" s="12">
        <f t="shared" si="0"/>
        <v>0</v>
      </c>
      <c r="N11" s="3"/>
      <c r="O11" s="11">
        <v>7.14</v>
      </c>
      <c r="P11" s="24">
        <f t="shared" ref="P11:P39" si="4">O11*$P$8</f>
        <v>75898.2</v>
      </c>
      <c r="Q11" s="17">
        <f t="shared" ref="Q11:Q39" si="5">J11+M11+G11+P11</f>
        <v>256832.21476510062</v>
      </c>
      <c r="R11" s="78">
        <f t="shared" si="1"/>
        <v>18.235743735096609</v>
      </c>
      <c r="S11" s="70"/>
    </row>
    <row r="12" spans="1:19" ht="17.100000000000001" customHeight="1" x14ac:dyDescent="0.25">
      <c r="A12" s="80"/>
      <c r="B12" s="77">
        <v>4</v>
      </c>
      <c r="C12" s="16">
        <v>4</v>
      </c>
      <c r="D12" s="16">
        <v>18</v>
      </c>
      <c r="E12" s="3">
        <v>8</v>
      </c>
      <c r="F12" s="11">
        <v>23.924237775647175</v>
      </c>
      <c r="G12" s="25">
        <f t="shared" si="2"/>
        <v>254314.64755512946</v>
      </c>
      <c r="H12" s="3"/>
      <c r="I12" s="25"/>
      <c r="J12" s="25">
        <f t="shared" si="3"/>
        <v>0</v>
      </c>
      <c r="K12" s="3"/>
      <c r="L12" s="11">
        <v>0</v>
      </c>
      <c r="M12" s="12">
        <f t="shared" si="0"/>
        <v>0</v>
      </c>
      <c r="N12" s="3"/>
      <c r="O12" s="11">
        <v>7.14</v>
      </c>
      <c r="P12" s="24">
        <f t="shared" si="4"/>
        <v>75898.2</v>
      </c>
      <c r="Q12" s="17">
        <f t="shared" si="5"/>
        <v>330212.84755512944</v>
      </c>
      <c r="R12" s="78">
        <f t="shared" si="1"/>
        <v>23.445956230838501</v>
      </c>
      <c r="S12" s="70"/>
    </row>
    <row r="13" spans="1:19" ht="17.100000000000001" customHeight="1" x14ac:dyDescent="0.25">
      <c r="A13" s="80"/>
      <c r="B13" s="77">
        <v>5</v>
      </c>
      <c r="C13" s="16">
        <v>4</v>
      </c>
      <c r="D13" s="16">
        <v>24</v>
      </c>
      <c r="E13" s="3">
        <v>8</v>
      </c>
      <c r="F13" s="11">
        <v>34.278983700862895</v>
      </c>
      <c r="G13" s="25">
        <f t="shared" si="2"/>
        <v>364385.59674017259</v>
      </c>
      <c r="H13" s="3"/>
      <c r="I13" s="25"/>
      <c r="J13" s="25">
        <f t="shared" si="3"/>
        <v>0</v>
      </c>
      <c r="K13" s="3"/>
      <c r="L13" s="11">
        <v>0</v>
      </c>
      <c r="M13" s="12">
        <f t="shared" si="0"/>
        <v>0</v>
      </c>
      <c r="N13" s="3"/>
      <c r="O13" s="11">
        <v>7.14</v>
      </c>
      <c r="P13" s="24">
        <f t="shared" si="4"/>
        <v>75898.2</v>
      </c>
      <c r="Q13" s="17">
        <f t="shared" si="5"/>
        <v>440283.79674017261</v>
      </c>
      <c r="R13" s="78">
        <f t="shared" si="1"/>
        <v>31.261274974451336</v>
      </c>
      <c r="S13" s="70"/>
    </row>
    <row r="14" spans="1:19" ht="17.100000000000001" customHeight="1" x14ac:dyDescent="0.25">
      <c r="A14" s="80"/>
      <c r="B14" s="77">
        <v>6</v>
      </c>
      <c r="C14" s="16">
        <v>2</v>
      </c>
      <c r="D14" s="16">
        <v>16</v>
      </c>
      <c r="E14" s="3">
        <v>8</v>
      </c>
      <c r="F14" s="11">
        <v>20.472655800575264</v>
      </c>
      <c r="G14" s="25">
        <f t="shared" si="2"/>
        <v>217624.33116011505</v>
      </c>
      <c r="H14" s="3"/>
      <c r="I14" s="25"/>
      <c r="J14" s="25">
        <f t="shared" si="3"/>
        <v>0</v>
      </c>
      <c r="K14" s="3"/>
      <c r="L14" s="11">
        <v>0</v>
      </c>
      <c r="M14" s="12">
        <f t="shared" si="0"/>
        <v>0</v>
      </c>
      <c r="N14" s="3"/>
      <c r="O14" s="11">
        <v>7.14</v>
      </c>
      <c r="P14" s="24">
        <f t="shared" si="4"/>
        <v>75898.2</v>
      </c>
      <c r="Q14" s="17">
        <f t="shared" si="5"/>
        <v>293522.53116011503</v>
      </c>
      <c r="R14" s="78">
        <f t="shared" si="1"/>
        <v>20.840849982967555</v>
      </c>
      <c r="S14" s="70"/>
    </row>
    <row r="15" spans="1:19" ht="17.100000000000001" customHeight="1" x14ac:dyDescent="0.25">
      <c r="A15" s="80"/>
      <c r="B15" s="77">
        <v>7</v>
      </c>
      <c r="C15" s="16">
        <v>4</v>
      </c>
      <c r="D15" s="16">
        <v>14</v>
      </c>
      <c r="E15" s="3">
        <v>8</v>
      </c>
      <c r="F15" s="11">
        <v>17.021073825503354</v>
      </c>
      <c r="G15" s="25">
        <f t="shared" si="2"/>
        <v>180934.01476510064</v>
      </c>
      <c r="H15" s="3"/>
      <c r="I15" s="25"/>
      <c r="J15" s="25">
        <f t="shared" si="3"/>
        <v>0</v>
      </c>
      <c r="K15" s="3"/>
      <c r="L15" s="11">
        <v>0</v>
      </c>
      <c r="M15" s="12">
        <f t="shared" si="0"/>
        <v>0</v>
      </c>
      <c r="N15" s="3"/>
      <c r="O15" s="11">
        <v>7.14</v>
      </c>
      <c r="P15" s="24">
        <f t="shared" si="4"/>
        <v>75898.2</v>
      </c>
      <c r="Q15" s="17">
        <f t="shared" si="5"/>
        <v>256832.21476510062</v>
      </c>
      <c r="R15" s="78">
        <f t="shared" si="1"/>
        <v>18.235743735096609</v>
      </c>
      <c r="S15" s="70"/>
    </row>
    <row r="16" spans="1:19" ht="17.100000000000001" customHeight="1" x14ac:dyDescent="0.25">
      <c r="A16" s="80"/>
      <c r="B16" s="77">
        <v>8</v>
      </c>
      <c r="C16" s="16">
        <v>6</v>
      </c>
      <c r="D16" s="16">
        <v>30</v>
      </c>
      <c r="E16" s="3">
        <v>8</v>
      </c>
      <c r="F16" s="11">
        <v>44.633729626078626</v>
      </c>
      <c r="G16" s="25">
        <f t="shared" si="2"/>
        <v>474456.54592521582</v>
      </c>
      <c r="H16" s="3"/>
      <c r="I16" s="25"/>
      <c r="J16" s="25">
        <f t="shared" si="3"/>
        <v>0</v>
      </c>
      <c r="K16" s="3"/>
      <c r="L16" s="11">
        <v>0</v>
      </c>
      <c r="M16" s="12">
        <f t="shared" si="0"/>
        <v>0</v>
      </c>
      <c r="N16" s="3"/>
      <c r="O16" s="11">
        <v>7.14</v>
      </c>
      <c r="P16" s="24">
        <f t="shared" si="4"/>
        <v>75898.2</v>
      </c>
      <c r="Q16" s="17">
        <f t="shared" si="5"/>
        <v>550354.74592521577</v>
      </c>
      <c r="R16" s="78">
        <f t="shared" si="1"/>
        <v>39.076593718064167</v>
      </c>
      <c r="S16" s="70"/>
    </row>
    <row r="17" spans="1:19" ht="17.100000000000001" customHeight="1" x14ac:dyDescent="0.25">
      <c r="A17" s="80"/>
      <c r="B17" s="77">
        <v>9</v>
      </c>
      <c r="C17" s="16">
        <v>1</v>
      </c>
      <c r="D17" s="16">
        <v>19</v>
      </c>
      <c r="E17" s="3">
        <v>8</v>
      </c>
      <c r="F17" s="11">
        <v>25.650028763183123</v>
      </c>
      <c r="G17" s="25">
        <f t="shared" si="2"/>
        <v>272659.80575263657</v>
      </c>
      <c r="H17" s="3"/>
      <c r="I17" s="25"/>
      <c r="J17" s="25">
        <f t="shared" si="3"/>
        <v>0</v>
      </c>
      <c r="K17" s="3"/>
      <c r="L17" s="11">
        <v>0</v>
      </c>
      <c r="M17" s="12">
        <f t="shared" si="0"/>
        <v>0</v>
      </c>
      <c r="N17" s="3"/>
      <c r="O17" s="11">
        <v>7.14</v>
      </c>
      <c r="P17" s="24">
        <f t="shared" si="4"/>
        <v>75898.2</v>
      </c>
      <c r="Q17" s="17">
        <f t="shared" si="5"/>
        <v>348558.00575263659</v>
      </c>
      <c r="R17" s="78">
        <f t="shared" si="1"/>
        <v>24.748509354773969</v>
      </c>
      <c r="S17" s="70"/>
    </row>
    <row r="18" spans="1:19" ht="17.100000000000001" customHeight="1" x14ac:dyDescent="0.25">
      <c r="A18" s="80"/>
      <c r="B18" s="77">
        <v>10</v>
      </c>
      <c r="C18" s="16">
        <v>5</v>
      </c>
      <c r="D18" s="16">
        <v>6</v>
      </c>
      <c r="E18" s="3">
        <v>8</v>
      </c>
      <c r="F18" s="11">
        <v>3.2147459252157242</v>
      </c>
      <c r="G18" s="25">
        <f t="shared" si="2"/>
        <v>34172.749185043147</v>
      </c>
      <c r="H18" s="3"/>
      <c r="I18" s="25"/>
      <c r="J18" s="25">
        <f t="shared" si="3"/>
        <v>0</v>
      </c>
      <c r="K18" s="3"/>
      <c r="L18" s="11">
        <v>0</v>
      </c>
      <c r="M18" s="12">
        <f t="shared" si="0"/>
        <v>0</v>
      </c>
      <c r="N18" s="3"/>
      <c r="O18" s="11">
        <v>7.14</v>
      </c>
      <c r="P18" s="24">
        <f t="shared" si="4"/>
        <v>75898.2</v>
      </c>
      <c r="Q18" s="17">
        <f t="shared" si="5"/>
        <v>110070.94918504314</v>
      </c>
      <c r="R18" s="78">
        <f t="shared" si="1"/>
        <v>7.8153187436128331</v>
      </c>
      <c r="S18" s="70"/>
    </row>
    <row r="19" spans="1:19" ht="17.100000000000001" customHeight="1" x14ac:dyDescent="0.25">
      <c r="A19" s="80"/>
      <c r="B19" s="77">
        <v>11</v>
      </c>
      <c r="C19" s="16">
        <v>6</v>
      </c>
      <c r="D19" s="16">
        <v>18</v>
      </c>
      <c r="E19" s="3">
        <v>8</v>
      </c>
      <c r="F19" s="11">
        <v>23.924237775647175</v>
      </c>
      <c r="G19" s="25">
        <f t="shared" si="2"/>
        <v>254314.64755512946</v>
      </c>
      <c r="H19" s="3"/>
      <c r="I19" s="25"/>
      <c r="J19" s="25">
        <f t="shared" si="3"/>
        <v>0</v>
      </c>
      <c r="K19" s="3"/>
      <c r="L19" s="11">
        <v>0</v>
      </c>
      <c r="M19" s="12">
        <f t="shared" si="0"/>
        <v>0</v>
      </c>
      <c r="N19" s="3"/>
      <c r="O19" s="11">
        <v>7.14</v>
      </c>
      <c r="P19" s="24">
        <f t="shared" si="4"/>
        <v>75898.2</v>
      </c>
      <c r="Q19" s="17">
        <f t="shared" si="5"/>
        <v>330212.84755512944</v>
      </c>
      <c r="R19" s="78">
        <f t="shared" si="1"/>
        <v>23.445956230838501</v>
      </c>
      <c r="S19" s="70"/>
    </row>
    <row r="20" spans="1:19" ht="17.100000000000001" customHeight="1" x14ac:dyDescent="0.25">
      <c r="A20" s="80"/>
      <c r="B20" s="77">
        <v>12</v>
      </c>
      <c r="C20" s="16">
        <v>6</v>
      </c>
      <c r="D20" s="16">
        <v>28</v>
      </c>
      <c r="E20" s="3">
        <v>8</v>
      </c>
      <c r="F20" s="11">
        <v>41.182147651006709</v>
      </c>
      <c r="G20" s="25">
        <f t="shared" si="2"/>
        <v>437766.22953020129</v>
      </c>
      <c r="H20" s="3"/>
      <c r="I20" s="25"/>
      <c r="J20" s="25">
        <f t="shared" si="3"/>
        <v>0</v>
      </c>
      <c r="K20" s="3"/>
      <c r="L20" s="11">
        <v>0</v>
      </c>
      <c r="M20" s="12">
        <f t="shared" si="0"/>
        <v>0</v>
      </c>
      <c r="N20" s="3"/>
      <c r="O20" s="11">
        <v>7.14</v>
      </c>
      <c r="P20" s="24">
        <f t="shared" si="4"/>
        <v>75898.2</v>
      </c>
      <c r="Q20" s="17">
        <f t="shared" si="5"/>
        <v>513664.42953020131</v>
      </c>
      <c r="R20" s="78">
        <f t="shared" si="1"/>
        <v>36.471487470193217</v>
      </c>
      <c r="S20" s="70"/>
    </row>
    <row r="21" spans="1:19" ht="17.100000000000001" customHeight="1" x14ac:dyDescent="0.25">
      <c r="A21" s="80"/>
      <c r="B21" s="77">
        <v>13</v>
      </c>
      <c r="C21" s="16">
        <v>7</v>
      </c>
      <c r="D21" s="16">
        <v>23</v>
      </c>
      <c r="E21" s="3">
        <v>8</v>
      </c>
      <c r="F21" s="11">
        <v>32.553192713326943</v>
      </c>
      <c r="G21" s="25">
        <f t="shared" si="2"/>
        <v>346040.43854266539</v>
      </c>
      <c r="H21" s="3"/>
      <c r="I21" s="25"/>
      <c r="J21" s="25">
        <f t="shared" si="3"/>
        <v>0</v>
      </c>
      <c r="K21" s="3"/>
      <c r="L21" s="11">
        <v>0</v>
      </c>
      <c r="M21" s="12">
        <f t="shared" si="0"/>
        <v>0</v>
      </c>
      <c r="N21" s="3"/>
      <c r="O21" s="11">
        <v>7.14</v>
      </c>
      <c r="P21" s="24">
        <f t="shared" si="4"/>
        <v>75898.2</v>
      </c>
      <c r="Q21" s="17">
        <f t="shared" si="5"/>
        <v>421938.6385426654</v>
      </c>
      <c r="R21" s="78">
        <f t="shared" si="1"/>
        <v>29.958721850515861</v>
      </c>
      <c r="S21" s="70"/>
    </row>
    <row r="22" spans="1:19" ht="17.100000000000001" customHeight="1" x14ac:dyDescent="0.25">
      <c r="A22" s="80"/>
      <c r="B22" s="77">
        <v>14</v>
      </c>
      <c r="C22" s="16">
        <v>9</v>
      </c>
      <c r="D22" s="16">
        <v>52</v>
      </c>
      <c r="E22" s="3">
        <v>8</v>
      </c>
      <c r="F22" s="11">
        <v>82.601131351869611</v>
      </c>
      <c r="G22" s="25">
        <f t="shared" si="2"/>
        <v>878050.02627037396</v>
      </c>
      <c r="H22" s="3"/>
      <c r="I22" s="25"/>
      <c r="J22" s="25">
        <f t="shared" si="3"/>
        <v>0</v>
      </c>
      <c r="K22" s="3"/>
      <c r="L22" s="11">
        <v>0</v>
      </c>
      <c r="M22" s="12">
        <f t="shared" si="0"/>
        <v>0</v>
      </c>
      <c r="N22" s="3"/>
      <c r="O22" s="11">
        <v>7.14</v>
      </c>
      <c r="P22" s="24">
        <f t="shared" si="4"/>
        <v>75898.2</v>
      </c>
      <c r="Q22" s="17">
        <f t="shared" si="5"/>
        <v>953948.22627037391</v>
      </c>
      <c r="R22" s="78">
        <f t="shared" si="1"/>
        <v>67.73276244464455</v>
      </c>
      <c r="S22" s="70"/>
    </row>
    <row r="23" spans="1:19" ht="17.100000000000001" customHeight="1" x14ac:dyDescent="0.25">
      <c r="A23" s="80"/>
      <c r="B23" s="77">
        <v>15</v>
      </c>
      <c r="C23" s="16">
        <v>10</v>
      </c>
      <c r="D23" s="16">
        <v>35</v>
      </c>
      <c r="E23" s="3">
        <v>8</v>
      </c>
      <c r="F23" s="11">
        <v>53.262684563758391</v>
      </c>
      <c r="G23" s="25">
        <f t="shared" si="2"/>
        <v>566182.33691275166</v>
      </c>
      <c r="H23" s="3"/>
      <c r="I23" s="25"/>
      <c r="J23" s="25">
        <f t="shared" si="3"/>
        <v>0</v>
      </c>
      <c r="K23" s="3"/>
      <c r="L23" s="11">
        <v>0</v>
      </c>
      <c r="M23" s="12">
        <f t="shared" si="0"/>
        <v>0</v>
      </c>
      <c r="N23" s="3"/>
      <c r="O23" s="11">
        <v>7.14</v>
      </c>
      <c r="P23" s="24">
        <f t="shared" si="4"/>
        <v>75898.2</v>
      </c>
      <c r="Q23" s="17">
        <f t="shared" si="5"/>
        <v>642080.53691275162</v>
      </c>
      <c r="R23" s="78">
        <f t="shared" si="1"/>
        <v>45.58935933774152</v>
      </c>
      <c r="S23" s="70"/>
    </row>
    <row r="24" spans="1:19" ht="17.100000000000001" customHeight="1" x14ac:dyDescent="0.25">
      <c r="A24" s="80"/>
      <c r="B24" s="77">
        <v>16</v>
      </c>
      <c r="C24" s="16">
        <v>5</v>
      </c>
      <c r="D24" s="16">
        <v>29</v>
      </c>
      <c r="E24" s="3">
        <v>8</v>
      </c>
      <c r="F24" s="11">
        <v>42.907938638542667</v>
      </c>
      <c r="G24" s="25">
        <f t="shared" si="2"/>
        <v>456111.38772770856</v>
      </c>
      <c r="H24" s="3"/>
      <c r="I24" s="25"/>
      <c r="J24" s="25">
        <f t="shared" si="3"/>
        <v>0</v>
      </c>
      <c r="K24" s="3"/>
      <c r="L24" s="11">
        <v>0</v>
      </c>
      <c r="M24" s="12">
        <f t="shared" si="0"/>
        <v>0</v>
      </c>
      <c r="N24" s="3"/>
      <c r="O24" s="11">
        <v>7.14</v>
      </c>
      <c r="P24" s="24">
        <f t="shared" si="4"/>
        <v>75898.2</v>
      </c>
      <c r="Q24" s="17">
        <f t="shared" si="5"/>
        <v>532009.58772770851</v>
      </c>
      <c r="R24" s="78">
        <f t="shared" si="1"/>
        <v>37.774040594128692</v>
      </c>
      <c r="S24" s="70"/>
    </row>
    <row r="25" spans="1:19" ht="17.100000000000001" customHeight="1" x14ac:dyDescent="0.25">
      <c r="A25" s="80"/>
      <c r="B25" s="77">
        <v>17</v>
      </c>
      <c r="C25" s="16">
        <v>12</v>
      </c>
      <c r="D25" s="16">
        <v>28</v>
      </c>
      <c r="E25" s="3">
        <v>8</v>
      </c>
      <c r="F25" s="11">
        <v>41.182147651006709</v>
      </c>
      <c r="G25" s="25">
        <f t="shared" si="2"/>
        <v>437766.22953020129</v>
      </c>
      <c r="H25" s="3"/>
      <c r="I25" s="25"/>
      <c r="J25" s="25">
        <f t="shared" si="3"/>
        <v>0</v>
      </c>
      <c r="K25" s="3"/>
      <c r="L25" s="11">
        <v>0</v>
      </c>
      <c r="M25" s="12">
        <f t="shared" si="0"/>
        <v>0</v>
      </c>
      <c r="N25" s="3"/>
      <c r="O25" s="11">
        <v>7.14</v>
      </c>
      <c r="P25" s="24">
        <f t="shared" si="4"/>
        <v>75898.2</v>
      </c>
      <c r="Q25" s="17">
        <f t="shared" si="5"/>
        <v>513664.42953020131</v>
      </c>
      <c r="R25" s="78">
        <f t="shared" si="1"/>
        <v>36.471487470193217</v>
      </c>
      <c r="S25" s="70"/>
    </row>
    <row r="26" spans="1:19" ht="17.100000000000001" customHeight="1" x14ac:dyDescent="0.25">
      <c r="A26" s="80"/>
      <c r="B26" s="77">
        <v>18</v>
      </c>
      <c r="C26" s="16">
        <v>17</v>
      </c>
      <c r="D26" s="16">
        <v>52</v>
      </c>
      <c r="E26" s="3">
        <v>8</v>
      </c>
      <c r="F26" s="11">
        <v>82.601131351869611</v>
      </c>
      <c r="G26" s="25">
        <f t="shared" si="2"/>
        <v>878050.02627037396</v>
      </c>
      <c r="H26" s="3"/>
      <c r="I26" s="25"/>
      <c r="J26" s="25">
        <f t="shared" si="3"/>
        <v>0</v>
      </c>
      <c r="K26" s="3"/>
      <c r="L26" s="11">
        <v>0</v>
      </c>
      <c r="M26" s="12">
        <f t="shared" si="0"/>
        <v>0</v>
      </c>
      <c r="N26" s="3"/>
      <c r="O26" s="11">
        <v>7.14</v>
      </c>
      <c r="P26" s="24">
        <f t="shared" si="4"/>
        <v>75898.2</v>
      </c>
      <c r="Q26" s="17">
        <f t="shared" si="5"/>
        <v>953948.22627037391</v>
      </c>
      <c r="R26" s="78">
        <f t="shared" si="1"/>
        <v>67.73276244464455</v>
      </c>
      <c r="S26" s="70"/>
    </row>
    <row r="27" spans="1:19" ht="17.100000000000001" customHeight="1" x14ac:dyDescent="0.25">
      <c r="A27" s="80"/>
      <c r="B27" s="77">
        <v>19</v>
      </c>
      <c r="C27" s="16">
        <v>10</v>
      </c>
      <c r="D27" s="16">
        <v>54</v>
      </c>
      <c r="E27" s="3">
        <v>8</v>
      </c>
      <c r="F27" s="11">
        <v>86.052713326941515</v>
      </c>
      <c r="G27" s="25">
        <f t="shared" si="2"/>
        <v>914740.34266538825</v>
      </c>
      <c r="H27" s="3"/>
      <c r="I27" s="25"/>
      <c r="J27" s="25">
        <f t="shared" si="3"/>
        <v>0</v>
      </c>
      <c r="K27" s="3"/>
      <c r="L27" s="11">
        <v>0</v>
      </c>
      <c r="M27" s="12">
        <f t="shared" si="0"/>
        <v>0</v>
      </c>
      <c r="N27" s="3"/>
      <c r="O27" s="11">
        <v>7.14</v>
      </c>
      <c r="P27" s="24">
        <f t="shared" si="4"/>
        <v>75898.2</v>
      </c>
      <c r="Q27" s="17">
        <f t="shared" si="5"/>
        <v>990638.5426653882</v>
      </c>
      <c r="R27" s="78">
        <f t="shared" si="1"/>
        <v>70.337868692515499</v>
      </c>
      <c r="S27" s="70"/>
    </row>
    <row r="28" spans="1:19" ht="17.100000000000001" customHeight="1" x14ac:dyDescent="0.25">
      <c r="A28" s="80"/>
      <c r="B28" s="77">
        <v>20</v>
      </c>
      <c r="C28" s="16">
        <v>14</v>
      </c>
      <c r="D28" s="16">
        <v>48</v>
      </c>
      <c r="E28" s="3">
        <v>8</v>
      </c>
      <c r="F28" s="11">
        <v>75.697967401725791</v>
      </c>
      <c r="G28" s="25">
        <f t="shared" si="2"/>
        <v>804669.39348034514</v>
      </c>
      <c r="H28" s="3"/>
      <c r="I28" s="25"/>
      <c r="J28" s="25">
        <f t="shared" si="3"/>
        <v>0</v>
      </c>
      <c r="K28" s="3"/>
      <c r="L28" s="11">
        <v>0</v>
      </c>
      <c r="M28" s="12">
        <f t="shared" si="0"/>
        <v>0</v>
      </c>
      <c r="N28" s="3"/>
      <c r="O28" s="11">
        <v>7.14</v>
      </c>
      <c r="P28" s="24">
        <f t="shared" si="4"/>
        <v>75898.2</v>
      </c>
      <c r="Q28" s="17">
        <f t="shared" si="5"/>
        <v>880567.59348034509</v>
      </c>
      <c r="R28" s="78">
        <f t="shared" si="1"/>
        <v>62.522549948902665</v>
      </c>
      <c r="S28" s="70"/>
    </row>
    <row r="29" spans="1:19" ht="17.100000000000001" customHeight="1" x14ac:dyDescent="0.25">
      <c r="A29" s="80"/>
      <c r="B29" s="77">
        <v>21</v>
      </c>
      <c r="C29" s="16">
        <v>14</v>
      </c>
      <c r="D29" s="16">
        <v>67</v>
      </c>
      <c r="E29" s="3">
        <v>8</v>
      </c>
      <c r="F29" s="11">
        <v>108.48799616490891</v>
      </c>
      <c r="G29" s="25">
        <f t="shared" si="2"/>
        <v>1153227.3992329817</v>
      </c>
      <c r="H29" s="3"/>
      <c r="I29" s="25"/>
      <c r="J29" s="25">
        <f t="shared" si="3"/>
        <v>0</v>
      </c>
      <c r="K29" s="3"/>
      <c r="L29" s="11">
        <v>0</v>
      </c>
      <c r="M29" s="12">
        <f t="shared" si="0"/>
        <v>0</v>
      </c>
      <c r="N29" s="3"/>
      <c r="O29" s="11">
        <v>7.14</v>
      </c>
      <c r="P29" s="24">
        <f t="shared" si="4"/>
        <v>75898.2</v>
      </c>
      <c r="Q29" s="17">
        <f t="shared" si="5"/>
        <v>1229125.5992329817</v>
      </c>
      <c r="R29" s="78">
        <f t="shared" si="1"/>
        <v>87.271059303676637</v>
      </c>
      <c r="S29" s="70"/>
    </row>
    <row r="30" spans="1:19" ht="17.100000000000001" customHeight="1" x14ac:dyDescent="0.25">
      <c r="A30" s="80"/>
      <c r="B30" s="77">
        <v>22</v>
      </c>
      <c r="C30" s="16">
        <v>18</v>
      </c>
      <c r="D30" s="16">
        <v>57</v>
      </c>
      <c r="E30" s="3">
        <v>8</v>
      </c>
      <c r="F30" s="11">
        <v>91.230086289549376</v>
      </c>
      <c r="G30" s="25">
        <f t="shared" si="2"/>
        <v>969775.81725790992</v>
      </c>
      <c r="H30" s="3"/>
      <c r="I30" s="25"/>
      <c r="J30" s="25">
        <f t="shared" si="3"/>
        <v>0</v>
      </c>
      <c r="K30" s="3"/>
      <c r="L30" s="11">
        <v>0</v>
      </c>
      <c r="M30" s="12">
        <f t="shared" si="0"/>
        <v>0</v>
      </c>
      <c r="N30" s="3"/>
      <c r="O30" s="11">
        <v>7.14</v>
      </c>
      <c r="P30" s="24">
        <f t="shared" si="4"/>
        <v>75898.2</v>
      </c>
      <c r="Q30" s="17">
        <f t="shared" si="5"/>
        <v>1045674.0172579099</v>
      </c>
      <c r="R30" s="78">
        <f t="shared" si="1"/>
        <v>74.245528064321917</v>
      </c>
      <c r="S30" s="70"/>
    </row>
    <row r="31" spans="1:19" ht="17.100000000000001" customHeight="1" x14ac:dyDescent="0.25">
      <c r="A31" s="80"/>
      <c r="B31" s="77">
        <v>23</v>
      </c>
      <c r="C31" s="16">
        <v>15</v>
      </c>
      <c r="D31" s="16">
        <v>64</v>
      </c>
      <c r="E31" s="3">
        <v>8</v>
      </c>
      <c r="F31" s="11">
        <v>103.31062320230106</v>
      </c>
      <c r="G31" s="25">
        <f t="shared" si="2"/>
        <v>1098191.9246404602</v>
      </c>
      <c r="H31" s="3"/>
      <c r="I31" s="25"/>
      <c r="J31" s="25">
        <f t="shared" si="3"/>
        <v>0</v>
      </c>
      <c r="K31" s="3"/>
      <c r="L31" s="11">
        <v>0</v>
      </c>
      <c r="M31" s="12">
        <f t="shared" si="0"/>
        <v>0</v>
      </c>
      <c r="N31" s="3"/>
      <c r="O31" s="11">
        <v>7.14</v>
      </c>
      <c r="P31" s="24">
        <f t="shared" si="4"/>
        <v>75898.2</v>
      </c>
      <c r="Q31" s="17">
        <f t="shared" si="5"/>
        <v>1174090.1246404601</v>
      </c>
      <c r="R31" s="78">
        <f t="shared" si="1"/>
        <v>83.363399931870219</v>
      </c>
      <c r="S31" s="70"/>
    </row>
    <row r="32" spans="1:19" ht="17.100000000000001" customHeight="1" x14ac:dyDescent="0.25">
      <c r="A32" s="80"/>
      <c r="B32" s="77">
        <v>24</v>
      </c>
      <c r="C32" s="16">
        <v>6</v>
      </c>
      <c r="D32" s="16">
        <v>41</v>
      </c>
      <c r="E32" s="3">
        <v>8</v>
      </c>
      <c r="F32" s="11">
        <v>63.617430488974108</v>
      </c>
      <c r="G32" s="25">
        <f t="shared" si="2"/>
        <v>676253.28609779477</v>
      </c>
      <c r="H32" s="3"/>
      <c r="I32" s="25"/>
      <c r="J32" s="25">
        <f t="shared" si="3"/>
        <v>0</v>
      </c>
      <c r="K32" s="3"/>
      <c r="L32" s="11">
        <v>0</v>
      </c>
      <c r="M32" s="12">
        <f t="shared" si="0"/>
        <v>0</v>
      </c>
      <c r="N32" s="3"/>
      <c r="O32" s="11">
        <v>7.14</v>
      </c>
      <c r="P32" s="24">
        <f t="shared" si="4"/>
        <v>75898.2</v>
      </c>
      <c r="Q32" s="17">
        <f t="shared" si="5"/>
        <v>752151.48609779472</v>
      </c>
      <c r="R32" s="78">
        <f t="shared" si="1"/>
        <v>53.404678081354355</v>
      </c>
      <c r="S32" s="70"/>
    </row>
    <row r="33" spans="1:21" ht="17.100000000000001" customHeight="1" x14ac:dyDescent="0.25">
      <c r="A33" s="80"/>
      <c r="B33" s="77">
        <v>25</v>
      </c>
      <c r="C33" s="16">
        <v>4</v>
      </c>
      <c r="D33" s="16">
        <v>33</v>
      </c>
      <c r="E33" s="3">
        <v>8</v>
      </c>
      <c r="F33" s="11">
        <v>49.811102588686474</v>
      </c>
      <c r="G33" s="25">
        <f t="shared" si="2"/>
        <v>529492.02051773726</v>
      </c>
      <c r="H33" s="3"/>
      <c r="I33" s="25"/>
      <c r="J33" s="25">
        <f t="shared" si="3"/>
        <v>0</v>
      </c>
      <c r="K33" s="3"/>
      <c r="L33" s="11">
        <v>0</v>
      </c>
      <c r="M33" s="12">
        <f t="shared" si="0"/>
        <v>0</v>
      </c>
      <c r="N33" s="3"/>
      <c r="O33" s="11">
        <v>7.14</v>
      </c>
      <c r="P33" s="24">
        <f t="shared" si="4"/>
        <v>75898.2</v>
      </c>
      <c r="Q33" s="17">
        <f t="shared" si="5"/>
        <v>605390.22051773721</v>
      </c>
      <c r="R33" s="78">
        <f t="shared" si="1"/>
        <v>42.984253089870577</v>
      </c>
      <c r="S33" s="70"/>
    </row>
    <row r="34" spans="1:21" ht="17.100000000000001" customHeight="1" x14ac:dyDescent="0.25">
      <c r="A34" s="80"/>
      <c r="B34" s="77">
        <v>26</v>
      </c>
      <c r="C34" s="16">
        <v>6</v>
      </c>
      <c r="D34" s="16">
        <v>19</v>
      </c>
      <c r="E34" s="3">
        <v>8</v>
      </c>
      <c r="F34" s="11">
        <v>25.650028763183123</v>
      </c>
      <c r="G34" s="25">
        <f t="shared" si="2"/>
        <v>272659.80575263657</v>
      </c>
      <c r="H34" s="3"/>
      <c r="I34" s="25"/>
      <c r="J34" s="25">
        <f t="shared" si="3"/>
        <v>0</v>
      </c>
      <c r="K34" s="3"/>
      <c r="L34" s="11">
        <v>0</v>
      </c>
      <c r="M34" s="12">
        <f t="shared" si="0"/>
        <v>0</v>
      </c>
      <c r="N34" s="3"/>
      <c r="O34" s="11">
        <v>7.14</v>
      </c>
      <c r="P34" s="24">
        <f t="shared" si="4"/>
        <v>75898.2</v>
      </c>
      <c r="Q34" s="17">
        <f t="shared" si="5"/>
        <v>348558.00575263659</v>
      </c>
      <c r="R34" s="78">
        <f t="shared" si="1"/>
        <v>24.748509354773969</v>
      </c>
      <c r="S34" s="70"/>
    </row>
    <row r="35" spans="1:21" ht="17.100000000000001" customHeight="1" x14ac:dyDescent="0.25">
      <c r="A35" s="80"/>
      <c r="B35" s="77">
        <v>27</v>
      </c>
      <c r="C35" s="16">
        <v>6</v>
      </c>
      <c r="D35" s="16">
        <v>32</v>
      </c>
      <c r="E35" s="3">
        <v>8</v>
      </c>
      <c r="F35" s="11">
        <v>48.085311601150529</v>
      </c>
      <c r="G35" s="25">
        <f t="shared" si="2"/>
        <v>511146.86232023011</v>
      </c>
      <c r="H35" s="3"/>
      <c r="I35" s="25"/>
      <c r="J35" s="25">
        <f t="shared" si="3"/>
        <v>0</v>
      </c>
      <c r="K35" s="3"/>
      <c r="L35" s="11">
        <v>0</v>
      </c>
      <c r="M35" s="12">
        <f t="shared" si="0"/>
        <v>0</v>
      </c>
      <c r="N35" s="3"/>
      <c r="O35" s="11">
        <v>7.14</v>
      </c>
      <c r="P35" s="24">
        <f t="shared" si="4"/>
        <v>75898.2</v>
      </c>
      <c r="Q35" s="17">
        <f t="shared" si="5"/>
        <v>587045.06232023006</v>
      </c>
      <c r="R35" s="78">
        <f t="shared" si="1"/>
        <v>41.68169996593511</v>
      </c>
      <c r="S35" s="70"/>
    </row>
    <row r="36" spans="1:21" ht="17.100000000000001" customHeight="1" x14ac:dyDescent="0.25">
      <c r="A36" s="80"/>
      <c r="B36" s="77">
        <v>28</v>
      </c>
      <c r="C36" s="16">
        <v>7</v>
      </c>
      <c r="D36" s="16">
        <v>41</v>
      </c>
      <c r="E36" s="3">
        <v>8</v>
      </c>
      <c r="F36" s="11">
        <v>63.617430488974108</v>
      </c>
      <c r="G36" s="25">
        <f t="shared" si="2"/>
        <v>676253.28609779477</v>
      </c>
      <c r="H36" s="3"/>
      <c r="I36" s="25"/>
      <c r="J36" s="25">
        <f t="shared" si="3"/>
        <v>0</v>
      </c>
      <c r="K36" s="3"/>
      <c r="L36" s="11">
        <v>0</v>
      </c>
      <c r="M36" s="12">
        <f t="shared" si="0"/>
        <v>0</v>
      </c>
      <c r="N36" s="3"/>
      <c r="O36" s="11">
        <v>7.14</v>
      </c>
      <c r="P36" s="24">
        <f t="shared" si="4"/>
        <v>75898.2</v>
      </c>
      <c r="Q36" s="17">
        <f t="shared" si="5"/>
        <v>752151.48609779472</v>
      </c>
      <c r="R36" s="78">
        <f t="shared" si="1"/>
        <v>53.404678081354355</v>
      </c>
      <c r="S36" s="70"/>
    </row>
    <row r="37" spans="1:21" ht="17.100000000000001" customHeight="1" x14ac:dyDescent="0.25">
      <c r="A37" s="80"/>
      <c r="B37" s="77">
        <v>29</v>
      </c>
      <c r="C37" s="16">
        <v>7</v>
      </c>
      <c r="D37" s="16">
        <v>48</v>
      </c>
      <c r="E37" s="3">
        <v>8</v>
      </c>
      <c r="F37" s="11">
        <v>75.697967401725791</v>
      </c>
      <c r="G37" s="25">
        <f t="shared" si="2"/>
        <v>804669.39348034514</v>
      </c>
      <c r="H37" s="3"/>
      <c r="I37" s="25"/>
      <c r="J37" s="25">
        <f t="shared" si="3"/>
        <v>0</v>
      </c>
      <c r="K37" s="3"/>
      <c r="L37" s="11">
        <v>0</v>
      </c>
      <c r="M37" s="12">
        <f t="shared" si="0"/>
        <v>0</v>
      </c>
      <c r="N37" s="3"/>
      <c r="O37" s="11">
        <v>7.14</v>
      </c>
      <c r="P37" s="24">
        <f t="shared" si="4"/>
        <v>75898.2</v>
      </c>
      <c r="Q37" s="17">
        <f t="shared" si="5"/>
        <v>880567.59348034509</v>
      </c>
      <c r="R37" s="78">
        <f t="shared" si="1"/>
        <v>62.522549948902665</v>
      </c>
      <c r="S37" s="70"/>
    </row>
    <row r="38" spans="1:21" ht="17.100000000000001" customHeight="1" x14ac:dyDescent="0.25">
      <c r="A38" s="80"/>
      <c r="B38" s="77">
        <v>30</v>
      </c>
      <c r="C38" s="16">
        <v>7</v>
      </c>
      <c r="D38" s="16">
        <v>37</v>
      </c>
      <c r="E38" s="3">
        <v>8</v>
      </c>
      <c r="F38" s="11">
        <v>56.714266538830294</v>
      </c>
      <c r="G38" s="25">
        <f t="shared" si="2"/>
        <v>602872.65330776607</v>
      </c>
      <c r="H38" s="3"/>
      <c r="I38" s="25"/>
      <c r="J38" s="25">
        <f t="shared" si="3"/>
        <v>0</v>
      </c>
      <c r="K38" s="3"/>
      <c r="L38" s="11">
        <v>0</v>
      </c>
      <c r="M38" s="12">
        <f t="shared" si="0"/>
        <v>0</v>
      </c>
      <c r="N38" s="3"/>
      <c r="O38" s="11">
        <v>7.14</v>
      </c>
      <c r="P38" s="24">
        <f t="shared" si="4"/>
        <v>75898.2</v>
      </c>
      <c r="Q38" s="17">
        <f t="shared" si="5"/>
        <v>678770.85330776602</v>
      </c>
      <c r="R38" s="78">
        <f t="shared" si="1"/>
        <v>48.19446558561247</v>
      </c>
      <c r="S38" s="70"/>
    </row>
    <row r="39" spans="1:21" ht="15" x14ac:dyDescent="0.25">
      <c r="B39" s="77"/>
      <c r="C39" s="16"/>
      <c r="D39" s="16"/>
      <c r="E39" s="3"/>
      <c r="F39" s="11"/>
      <c r="G39" s="25"/>
      <c r="H39" s="3"/>
      <c r="I39" s="25"/>
      <c r="J39" s="25"/>
      <c r="K39" s="25"/>
      <c r="L39" s="25"/>
      <c r="M39" s="25"/>
      <c r="N39" s="3"/>
      <c r="O39" s="11"/>
      <c r="P39" s="24"/>
      <c r="Q39" s="17"/>
      <c r="R39" s="78"/>
    </row>
    <row r="40" spans="1:21" s="1" customFormat="1" ht="15.75" x14ac:dyDescent="0.25">
      <c r="C40" s="49">
        <f>SUM(C9:C39)</f>
        <v>228</v>
      </c>
      <c r="D40" s="49">
        <f>SUM(D9:D39)</f>
        <v>1043</v>
      </c>
      <c r="E40" s="19"/>
      <c r="F40" s="19">
        <f>SUM(F9:F39)</f>
        <v>1585.8</v>
      </c>
      <c r="G40" s="10"/>
      <c r="H40" s="10"/>
      <c r="I40" s="19"/>
      <c r="J40" s="10"/>
      <c r="K40" s="10"/>
      <c r="L40" s="19"/>
      <c r="M40" s="10"/>
      <c r="N40" s="9"/>
      <c r="O40" s="19">
        <f>SUM(O9:O39)</f>
        <v>214.19999999999982</v>
      </c>
      <c r="P40" s="10"/>
      <c r="Q40" s="41">
        <f>F40+O40</f>
        <v>1799.9999999999998</v>
      </c>
      <c r="R40" s="52">
        <f>SUM(R9:R39)</f>
        <v>1358.5629082646976</v>
      </c>
      <c r="U40" s="40" t="e">
        <f>#REF!+#REF!+#REF!+#REF!+#REF!+#REF!+#REF!+#REF!+#REF!+#REF!+R40+#REF!</f>
        <v>#REF!</v>
      </c>
    </row>
    <row r="41" spans="1:21" x14ac:dyDescent="0.2">
      <c r="E41" s="30"/>
      <c r="F41" s="31"/>
      <c r="G41" s="27"/>
      <c r="H41" s="27"/>
      <c r="I41" s="27"/>
      <c r="J41" s="27"/>
      <c r="K41" s="27"/>
      <c r="L41" s="27"/>
      <c r="M41" s="27"/>
      <c r="N41" s="9"/>
      <c r="O41" s="31"/>
      <c r="P41" s="32"/>
      <c r="Q41" s="19"/>
      <c r="R41" s="27"/>
      <c r="U41" s="38"/>
    </row>
    <row r="42" spans="1:21" x14ac:dyDescent="0.2">
      <c r="B42" s="50" t="s">
        <v>40</v>
      </c>
      <c r="E42" s="9"/>
      <c r="F42" s="10"/>
      <c r="G42" s="10"/>
      <c r="H42" s="10"/>
      <c r="I42" s="10"/>
      <c r="J42" s="10"/>
      <c r="K42" s="10"/>
      <c r="L42" s="10"/>
      <c r="M42" s="27"/>
      <c r="N42" s="9"/>
      <c r="O42" s="10"/>
      <c r="P42" s="10"/>
      <c r="Q42" s="18"/>
      <c r="R42" s="43"/>
    </row>
    <row r="43" spans="1:21" x14ac:dyDescent="0.2">
      <c r="E43" s="33"/>
      <c r="F43" s="33"/>
      <c r="G43" s="33"/>
      <c r="H43" s="33"/>
      <c r="I43" s="33"/>
      <c r="J43" s="33"/>
      <c r="K43" s="33"/>
      <c r="L43" s="33"/>
      <c r="M43" s="35"/>
      <c r="N43" s="33"/>
      <c r="O43" s="33"/>
      <c r="P43" s="33"/>
      <c r="R43" s="44"/>
    </row>
    <row r="44" spans="1:21" x14ac:dyDescent="0.2">
      <c r="R44" s="44"/>
    </row>
  </sheetData>
  <mergeCells count="20">
    <mergeCell ref="B4:R4"/>
    <mergeCell ref="B1:R1"/>
    <mergeCell ref="B2:R2"/>
    <mergeCell ref="Q5:R7"/>
    <mergeCell ref="E6:G6"/>
    <mergeCell ref="H6:J6"/>
    <mergeCell ref="B5:B8"/>
    <mergeCell ref="C5:C8"/>
    <mergeCell ref="D5:D8"/>
    <mergeCell ref="E5:P5"/>
    <mergeCell ref="K6:M6"/>
    <mergeCell ref="N6:P6"/>
    <mergeCell ref="H7:H8"/>
    <mergeCell ref="F7:F8"/>
    <mergeCell ref="I7:I8"/>
    <mergeCell ref="E7:E8"/>
    <mergeCell ref="K7:K8"/>
    <mergeCell ref="L7:L8"/>
    <mergeCell ref="N7:N8"/>
    <mergeCell ref="O7:O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pane xSplit="2" ySplit="8" topLeftCell="C21" activePane="bottomRight" state="frozen"/>
      <selection pane="topRight" activeCell="C1" sqref="C1"/>
      <selection pane="bottomLeft" activeCell="A9" sqref="A9"/>
      <selection pane="bottomRight" activeCell="I39" sqref="I39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customWidth="1"/>
    <col min="4" max="4" width="8.42578125" style="7" customWidth="1"/>
    <col min="5" max="5" width="9.85546875" style="7" customWidth="1"/>
    <col min="6" max="6" width="8" style="29" bestFit="1" customWidth="1"/>
    <col min="7" max="7" width="13.28515625" style="29" bestFit="1" customWidth="1"/>
    <col min="8" max="8" width="16.28515625" style="2" customWidth="1"/>
    <col min="9" max="9" width="2.5703125" style="1" customWidth="1"/>
    <col min="11" max="11" width="21.5703125" customWidth="1"/>
  </cols>
  <sheetData>
    <row r="1" spans="1:9" ht="15.75" x14ac:dyDescent="0.25">
      <c r="B1" s="88" t="s">
        <v>36</v>
      </c>
      <c r="C1" s="88"/>
      <c r="D1" s="88"/>
      <c r="E1" s="88"/>
      <c r="F1" s="88"/>
      <c r="G1" s="88"/>
      <c r="H1" s="88"/>
    </row>
    <row r="2" spans="1:9" ht="15.75" x14ac:dyDescent="0.25">
      <c r="B2" s="88" t="s">
        <v>2</v>
      </c>
      <c r="C2" s="88"/>
      <c r="D2" s="88"/>
      <c r="E2" s="88"/>
      <c r="F2" s="88"/>
      <c r="G2" s="88"/>
      <c r="H2" s="88"/>
    </row>
    <row r="3" spans="1:9" x14ac:dyDescent="0.2">
      <c r="B3" s="6"/>
      <c r="C3" s="23"/>
      <c r="D3" s="21"/>
      <c r="E3" s="21"/>
      <c r="F3" s="22"/>
      <c r="G3" s="22"/>
      <c r="H3" s="23"/>
    </row>
    <row r="4" spans="1:9" x14ac:dyDescent="0.2">
      <c r="A4" s="71"/>
      <c r="B4" s="91" t="s">
        <v>57</v>
      </c>
      <c r="C4" s="91"/>
      <c r="D4" s="91"/>
      <c r="E4" s="91"/>
      <c r="F4" s="91"/>
      <c r="G4" s="91"/>
      <c r="H4" s="91"/>
      <c r="I4" s="8"/>
    </row>
    <row r="5" spans="1:9" ht="12.75" customHeight="1" x14ac:dyDescent="0.2">
      <c r="A5" s="72"/>
      <c r="B5" s="87" t="s">
        <v>1</v>
      </c>
      <c r="C5" s="87" t="s">
        <v>38</v>
      </c>
      <c r="D5" s="87" t="s">
        <v>39</v>
      </c>
      <c r="E5" s="87" t="s">
        <v>18</v>
      </c>
      <c r="F5" s="87"/>
      <c r="G5" s="87"/>
      <c r="H5" s="87" t="s">
        <v>9</v>
      </c>
      <c r="I5" s="69"/>
    </row>
    <row r="6" spans="1:9" x14ac:dyDescent="0.2">
      <c r="A6" s="72"/>
      <c r="B6" s="87"/>
      <c r="C6" s="87"/>
      <c r="D6" s="87"/>
      <c r="E6" s="87"/>
      <c r="F6" s="87"/>
      <c r="G6" s="87"/>
      <c r="H6" s="87"/>
      <c r="I6" s="69"/>
    </row>
    <row r="7" spans="1:9" s="7" customFormat="1" ht="31.5" customHeight="1" x14ac:dyDescent="0.2">
      <c r="A7" s="72"/>
      <c r="B7" s="87"/>
      <c r="C7" s="87"/>
      <c r="D7" s="87"/>
      <c r="E7" s="73" t="s">
        <v>10</v>
      </c>
      <c r="F7" s="97" t="s">
        <v>25</v>
      </c>
      <c r="G7" s="74" t="s">
        <v>26</v>
      </c>
      <c r="H7" s="87"/>
      <c r="I7" s="69"/>
    </row>
    <row r="8" spans="1:9" s="7" customFormat="1" x14ac:dyDescent="0.2">
      <c r="A8" s="72"/>
      <c r="B8" s="87"/>
      <c r="C8" s="87"/>
      <c r="D8" s="87"/>
      <c r="E8" s="75"/>
      <c r="F8" s="97"/>
      <c r="G8" s="74">
        <v>10700</v>
      </c>
      <c r="H8" s="87"/>
      <c r="I8" s="69"/>
    </row>
    <row r="9" spans="1:9" ht="17.100000000000001" customHeight="1" x14ac:dyDescent="0.25">
      <c r="A9" s="76"/>
      <c r="B9" s="77">
        <v>1</v>
      </c>
      <c r="C9" s="37">
        <v>8</v>
      </c>
      <c r="D9" s="37">
        <v>70</v>
      </c>
      <c r="E9" s="15"/>
      <c r="F9" s="28">
        <v>0</v>
      </c>
      <c r="G9" s="28">
        <f t="shared" ref="G9:G39" si="0">F9*$G$8</f>
        <v>0</v>
      </c>
      <c r="H9" s="78">
        <f>G9/14084</f>
        <v>0</v>
      </c>
      <c r="I9" s="70"/>
    </row>
    <row r="10" spans="1:9" ht="17.100000000000001" customHeight="1" x14ac:dyDescent="0.25">
      <c r="A10" s="76"/>
      <c r="B10" s="77">
        <v>2</v>
      </c>
      <c r="C10" s="37">
        <v>5</v>
      </c>
      <c r="D10" s="37">
        <v>26</v>
      </c>
      <c r="E10" s="15"/>
      <c r="F10" s="28">
        <v>48</v>
      </c>
      <c r="G10" s="28">
        <f>F10*$G$8</f>
        <v>513600</v>
      </c>
      <c r="H10" s="78">
        <f t="shared" ref="H10:H39" si="1">G10/14084</f>
        <v>36.466912808861117</v>
      </c>
      <c r="I10" s="70"/>
    </row>
    <row r="11" spans="1:9" ht="17.100000000000001" customHeight="1" x14ac:dyDescent="0.25">
      <c r="A11" s="76"/>
      <c r="B11" s="77">
        <v>3</v>
      </c>
      <c r="C11" s="37">
        <v>3</v>
      </c>
      <c r="D11" s="37">
        <v>14</v>
      </c>
      <c r="E11" s="15"/>
      <c r="F11" s="28">
        <v>0</v>
      </c>
      <c r="G11" s="28">
        <f t="shared" si="0"/>
        <v>0</v>
      </c>
      <c r="H11" s="78">
        <f t="shared" si="1"/>
        <v>0</v>
      </c>
      <c r="I11" s="70"/>
    </row>
    <row r="12" spans="1:9" ht="17.100000000000001" customHeight="1" x14ac:dyDescent="0.25">
      <c r="A12" s="76"/>
      <c r="B12" s="77">
        <v>4</v>
      </c>
      <c r="C12" s="37">
        <v>4</v>
      </c>
      <c r="D12" s="37">
        <v>18</v>
      </c>
      <c r="E12" s="15"/>
      <c r="F12" s="28">
        <v>0</v>
      </c>
      <c r="G12" s="28">
        <f t="shared" si="0"/>
        <v>0</v>
      </c>
      <c r="H12" s="78">
        <f t="shared" si="1"/>
        <v>0</v>
      </c>
      <c r="I12" s="70"/>
    </row>
    <row r="13" spans="1:9" ht="17.100000000000001" customHeight="1" x14ac:dyDescent="0.25">
      <c r="A13" s="76"/>
      <c r="B13" s="77">
        <v>5</v>
      </c>
      <c r="C13" s="37">
        <v>4</v>
      </c>
      <c r="D13" s="37">
        <v>24</v>
      </c>
      <c r="E13" s="15"/>
      <c r="F13" s="28">
        <v>0</v>
      </c>
      <c r="G13" s="28">
        <f t="shared" si="0"/>
        <v>0</v>
      </c>
      <c r="H13" s="78">
        <f t="shared" si="1"/>
        <v>0</v>
      </c>
      <c r="I13" s="70"/>
    </row>
    <row r="14" spans="1:9" ht="17.100000000000001" customHeight="1" x14ac:dyDescent="0.25">
      <c r="A14" s="76"/>
      <c r="B14" s="77">
        <v>6</v>
      </c>
      <c r="C14" s="37">
        <v>2</v>
      </c>
      <c r="D14" s="37">
        <v>16</v>
      </c>
      <c r="E14" s="15"/>
      <c r="F14" s="28">
        <v>74</v>
      </c>
      <c r="G14" s="28">
        <f t="shared" si="0"/>
        <v>791800</v>
      </c>
      <c r="H14" s="78">
        <f t="shared" si="1"/>
        <v>56.219823913660889</v>
      </c>
      <c r="I14" s="70"/>
    </row>
    <row r="15" spans="1:9" ht="17.100000000000001" customHeight="1" x14ac:dyDescent="0.25">
      <c r="A15" s="76"/>
      <c r="B15" s="77">
        <v>7</v>
      </c>
      <c r="C15" s="37">
        <v>4</v>
      </c>
      <c r="D15" s="37">
        <v>14</v>
      </c>
      <c r="E15" s="15"/>
      <c r="F15" s="28">
        <v>0</v>
      </c>
      <c r="G15" s="28">
        <f t="shared" si="0"/>
        <v>0</v>
      </c>
      <c r="H15" s="78">
        <f t="shared" si="1"/>
        <v>0</v>
      </c>
      <c r="I15" s="70"/>
    </row>
    <row r="16" spans="1:9" ht="17.100000000000001" customHeight="1" x14ac:dyDescent="0.25">
      <c r="A16" s="76"/>
      <c r="B16" s="77">
        <v>8</v>
      </c>
      <c r="C16" s="37">
        <v>6</v>
      </c>
      <c r="D16" s="37">
        <v>30</v>
      </c>
      <c r="E16" s="15"/>
      <c r="F16" s="28">
        <v>0</v>
      </c>
      <c r="G16" s="28">
        <f t="shared" si="0"/>
        <v>0</v>
      </c>
      <c r="H16" s="78">
        <f t="shared" si="1"/>
        <v>0</v>
      </c>
      <c r="I16" s="70"/>
    </row>
    <row r="17" spans="1:9" ht="17.100000000000001" customHeight="1" x14ac:dyDescent="0.25">
      <c r="A17" s="76"/>
      <c r="B17" s="77">
        <v>9</v>
      </c>
      <c r="C17" s="37">
        <v>1</v>
      </c>
      <c r="D17" s="37">
        <v>19</v>
      </c>
      <c r="E17" s="15"/>
      <c r="F17" s="28">
        <v>53</v>
      </c>
      <c r="G17" s="28">
        <f t="shared" si="0"/>
        <v>567100</v>
      </c>
      <c r="H17" s="78">
        <f t="shared" si="1"/>
        <v>40.265549559784155</v>
      </c>
      <c r="I17" s="70"/>
    </row>
    <row r="18" spans="1:9" ht="17.100000000000001" customHeight="1" x14ac:dyDescent="0.25">
      <c r="A18" s="76"/>
      <c r="B18" s="77">
        <v>10</v>
      </c>
      <c r="C18" s="37">
        <v>5</v>
      </c>
      <c r="D18" s="37">
        <v>6</v>
      </c>
      <c r="E18" s="15"/>
      <c r="F18" s="28">
        <v>0</v>
      </c>
      <c r="G18" s="28">
        <f t="shared" si="0"/>
        <v>0</v>
      </c>
      <c r="H18" s="78">
        <f t="shared" si="1"/>
        <v>0</v>
      </c>
      <c r="I18" s="70"/>
    </row>
    <row r="19" spans="1:9" ht="17.100000000000001" customHeight="1" x14ac:dyDescent="0.25">
      <c r="A19" s="76"/>
      <c r="B19" s="77">
        <v>11</v>
      </c>
      <c r="C19" s="37">
        <v>6</v>
      </c>
      <c r="D19" s="37">
        <v>18</v>
      </c>
      <c r="E19" s="15"/>
      <c r="F19" s="28">
        <v>0</v>
      </c>
      <c r="G19" s="28">
        <f t="shared" si="0"/>
        <v>0</v>
      </c>
      <c r="H19" s="78">
        <f t="shared" si="1"/>
        <v>0</v>
      </c>
      <c r="I19" s="70"/>
    </row>
    <row r="20" spans="1:9" ht="17.100000000000001" customHeight="1" x14ac:dyDescent="0.25">
      <c r="A20" s="76"/>
      <c r="B20" s="77">
        <v>12</v>
      </c>
      <c r="C20" s="37">
        <v>6</v>
      </c>
      <c r="D20" s="37">
        <v>28</v>
      </c>
      <c r="E20" s="15"/>
      <c r="F20" s="28">
        <v>0</v>
      </c>
      <c r="G20" s="28">
        <f t="shared" si="0"/>
        <v>0</v>
      </c>
      <c r="H20" s="78">
        <f t="shared" si="1"/>
        <v>0</v>
      </c>
      <c r="I20" s="70"/>
    </row>
    <row r="21" spans="1:9" ht="17.100000000000001" customHeight="1" x14ac:dyDescent="0.25">
      <c r="A21" s="76"/>
      <c r="B21" s="77">
        <v>13</v>
      </c>
      <c r="C21" s="37">
        <v>7</v>
      </c>
      <c r="D21" s="37">
        <v>23</v>
      </c>
      <c r="E21" s="15"/>
      <c r="F21" s="28">
        <v>0</v>
      </c>
      <c r="G21" s="28">
        <f t="shared" si="0"/>
        <v>0</v>
      </c>
      <c r="H21" s="78">
        <f t="shared" si="1"/>
        <v>0</v>
      </c>
      <c r="I21" s="70"/>
    </row>
    <row r="22" spans="1:9" ht="17.100000000000001" customHeight="1" x14ac:dyDescent="0.25">
      <c r="A22" s="76"/>
      <c r="B22" s="77">
        <v>14</v>
      </c>
      <c r="C22" s="37">
        <v>9</v>
      </c>
      <c r="D22" s="37">
        <v>52</v>
      </c>
      <c r="E22" s="15"/>
      <c r="F22" s="28">
        <v>0</v>
      </c>
      <c r="G22" s="28">
        <f t="shared" si="0"/>
        <v>0</v>
      </c>
      <c r="H22" s="78">
        <f t="shared" si="1"/>
        <v>0</v>
      </c>
      <c r="I22" s="70"/>
    </row>
    <row r="23" spans="1:9" ht="17.100000000000001" customHeight="1" x14ac:dyDescent="0.25">
      <c r="A23" s="76"/>
      <c r="B23" s="77">
        <v>15</v>
      </c>
      <c r="C23" s="37">
        <v>10</v>
      </c>
      <c r="D23" s="37">
        <v>35</v>
      </c>
      <c r="E23" s="15"/>
      <c r="F23" s="28">
        <v>0</v>
      </c>
      <c r="G23" s="28">
        <f t="shared" si="0"/>
        <v>0</v>
      </c>
      <c r="H23" s="78">
        <f t="shared" si="1"/>
        <v>0</v>
      </c>
      <c r="I23" s="70"/>
    </row>
    <row r="24" spans="1:9" ht="17.100000000000001" customHeight="1" x14ac:dyDescent="0.25">
      <c r="A24" s="76"/>
      <c r="B24" s="77">
        <v>16</v>
      </c>
      <c r="C24" s="37">
        <v>5</v>
      </c>
      <c r="D24" s="37">
        <v>29</v>
      </c>
      <c r="E24" s="15"/>
      <c r="F24" s="28">
        <v>52</v>
      </c>
      <c r="G24" s="28">
        <f t="shared" si="0"/>
        <v>556400</v>
      </c>
      <c r="H24" s="78">
        <f t="shared" si="1"/>
        <v>39.505822209599543</v>
      </c>
      <c r="I24" s="70"/>
    </row>
    <row r="25" spans="1:9" ht="17.100000000000001" customHeight="1" x14ac:dyDescent="0.25">
      <c r="A25" s="76"/>
      <c r="B25" s="77">
        <v>17</v>
      </c>
      <c r="C25" s="37">
        <v>12</v>
      </c>
      <c r="D25" s="37">
        <v>28</v>
      </c>
      <c r="E25" s="15"/>
      <c r="F25" s="28">
        <v>0</v>
      </c>
      <c r="G25" s="28">
        <f t="shared" si="0"/>
        <v>0</v>
      </c>
      <c r="H25" s="78">
        <f t="shared" si="1"/>
        <v>0</v>
      </c>
      <c r="I25" s="70"/>
    </row>
    <row r="26" spans="1:9" ht="17.100000000000001" customHeight="1" x14ac:dyDescent="0.25">
      <c r="A26" s="76"/>
      <c r="B26" s="77">
        <v>18</v>
      </c>
      <c r="C26" s="37">
        <v>17</v>
      </c>
      <c r="D26" s="37">
        <v>52</v>
      </c>
      <c r="E26" s="15"/>
      <c r="F26" s="28">
        <v>0</v>
      </c>
      <c r="G26" s="28">
        <f t="shared" si="0"/>
        <v>0</v>
      </c>
      <c r="H26" s="78">
        <f t="shared" si="1"/>
        <v>0</v>
      </c>
      <c r="I26" s="70"/>
    </row>
    <row r="27" spans="1:9" ht="17.100000000000001" customHeight="1" x14ac:dyDescent="0.25">
      <c r="A27" s="76"/>
      <c r="B27" s="77">
        <v>19</v>
      </c>
      <c r="C27" s="37">
        <v>10</v>
      </c>
      <c r="D27" s="37">
        <v>54</v>
      </c>
      <c r="E27" s="15"/>
      <c r="F27" s="28">
        <v>0</v>
      </c>
      <c r="G27" s="28">
        <f t="shared" si="0"/>
        <v>0</v>
      </c>
      <c r="H27" s="78">
        <f t="shared" si="1"/>
        <v>0</v>
      </c>
      <c r="I27" s="70"/>
    </row>
    <row r="28" spans="1:9" ht="17.100000000000001" customHeight="1" x14ac:dyDescent="0.25">
      <c r="A28" s="76"/>
      <c r="B28" s="77">
        <v>20</v>
      </c>
      <c r="C28" s="37">
        <v>14</v>
      </c>
      <c r="D28" s="37">
        <v>48</v>
      </c>
      <c r="E28" s="15"/>
      <c r="F28" s="28">
        <v>0</v>
      </c>
      <c r="G28" s="28">
        <f t="shared" si="0"/>
        <v>0</v>
      </c>
      <c r="H28" s="78">
        <f t="shared" si="1"/>
        <v>0</v>
      </c>
      <c r="I28" s="70"/>
    </row>
    <row r="29" spans="1:9" ht="17.100000000000001" customHeight="1" x14ac:dyDescent="0.25">
      <c r="A29" s="76"/>
      <c r="B29" s="77">
        <v>21</v>
      </c>
      <c r="C29" s="37">
        <v>14</v>
      </c>
      <c r="D29" s="37">
        <v>67</v>
      </c>
      <c r="E29" s="15"/>
      <c r="F29" s="28">
        <v>0</v>
      </c>
      <c r="G29" s="28">
        <f t="shared" si="0"/>
        <v>0</v>
      </c>
      <c r="H29" s="78">
        <f>G29/14084</f>
        <v>0</v>
      </c>
      <c r="I29" s="70"/>
    </row>
    <row r="30" spans="1:9" ht="17.100000000000001" customHeight="1" x14ac:dyDescent="0.25">
      <c r="A30" s="76"/>
      <c r="B30" s="77">
        <v>22</v>
      </c>
      <c r="C30" s="37">
        <v>18</v>
      </c>
      <c r="D30" s="37">
        <v>57</v>
      </c>
      <c r="E30" s="15"/>
      <c r="F30" s="28">
        <v>0</v>
      </c>
      <c r="G30" s="28">
        <f t="shared" si="0"/>
        <v>0</v>
      </c>
      <c r="H30" s="78">
        <f t="shared" si="1"/>
        <v>0</v>
      </c>
      <c r="I30" s="70"/>
    </row>
    <row r="31" spans="1:9" ht="17.100000000000001" customHeight="1" x14ac:dyDescent="0.25">
      <c r="A31" s="76"/>
      <c r="B31" s="77">
        <v>23</v>
      </c>
      <c r="C31" s="37">
        <v>15</v>
      </c>
      <c r="D31" s="37">
        <v>64</v>
      </c>
      <c r="E31" s="15"/>
      <c r="F31" s="28">
        <v>49</v>
      </c>
      <c r="G31" s="28">
        <f t="shared" si="0"/>
        <v>524300</v>
      </c>
      <c r="H31" s="78">
        <f t="shared" si="1"/>
        <v>37.226640159045722</v>
      </c>
      <c r="I31" s="70"/>
    </row>
    <row r="32" spans="1:9" ht="17.100000000000001" customHeight="1" x14ac:dyDescent="0.25">
      <c r="A32" s="76"/>
      <c r="B32" s="77">
        <v>24</v>
      </c>
      <c r="C32" s="37">
        <v>6</v>
      </c>
      <c r="D32" s="37">
        <v>41</v>
      </c>
      <c r="E32" s="15"/>
      <c r="F32" s="28">
        <v>0</v>
      </c>
      <c r="G32" s="28">
        <f t="shared" si="0"/>
        <v>0</v>
      </c>
      <c r="H32" s="78">
        <f t="shared" si="1"/>
        <v>0</v>
      </c>
      <c r="I32" s="70"/>
    </row>
    <row r="33" spans="1:11" ht="17.100000000000001" customHeight="1" x14ac:dyDescent="0.25">
      <c r="A33" s="76"/>
      <c r="B33" s="77">
        <v>25</v>
      </c>
      <c r="C33" s="37">
        <v>4</v>
      </c>
      <c r="D33" s="37">
        <v>33</v>
      </c>
      <c r="E33" s="15"/>
      <c r="F33" s="28">
        <v>0</v>
      </c>
      <c r="G33" s="28">
        <f t="shared" si="0"/>
        <v>0</v>
      </c>
      <c r="H33" s="78">
        <f t="shared" si="1"/>
        <v>0</v>
      </c>
      <c r="I33" s="70"/>
    </row>
    <row r="34" spans="1:11" ht="17.100000000000001" customHeight="1" x14ac:dyDescent="0.25">
      <c r="A34" s="76"/>
      <c r="B34" s="77">
        <v>26</v>
      </c>
      <c r="C34" s="37">
        <v>6</v>
      </c>
      <c r="D34" s="37">
        <v>19</v>
      </c>
      <c r="E34" s="15"/>
      <c r="F34" s="28">
        <v>0</v>
      </c>
      <c r="G34" s="28">
        <f t="shared" si="0"/>
        <v>0</v>
      </c>
      <c r="H34" s="78">
        <f t="shared" si="1"/>
        <v>0</v>
      </c>
      <c r="I34" s="70"/>
    </row>
    <row r="35" spans="1:11" ht="17.100000000000001" customHeight="1" x14ac:dyDescent="0.25">
      <c r="A35" s="76"/>
      <c r="B35" s="77">
        <v>27</v>
      </c>
      <c r="C35" s="37">
        <v>6</v>
      </c>
      <c r="D35" s="37">
        <v>32</v>
      </c>
      <c r="E35" s="15"/>
      <c r="F35" s="28">
        <v>0</v>
      </c>
      <c r="G35" s="28">
        <f t="shared" si="0"/>
        <v>0</v>
      </c>
      <c r="H35" s="78">
        <f t="shared" si="1"/>
        <v>0</v>
      </c>
      <c r="I35" s="70"/>
    </row>
    <row r="36" spans="1:11" ht="17.100000000000001" customHeight="1" x14ac:dyDescent="0.25">
      <c r="A36" s="76"/>
      <c r="B36" s="77">
        <v>28</v>
      </c>
      <c r="C36" s="37">
        <v>7</v>
      </c>
      <c r="D36" s="37">
        <v>41</v>
      </c>
      <c r="E36" s="15"/>
      <c r="F36" s="28">
        <v>0</v>
      </c>
      <c r="G36" s="28">
        <f t="shared" si="0"/>
        <v>0</v>
      </c>
      <c r="H36" s="78">
        <f t="shared" si="1"/>
        <v>0</v>
      </c>
      <c r="I36" s="70"/>
    </row>
    <row r="37" spans="1:11" ht="17.100000000000001" customHeight="1" x14ac:dyDescent="0.25">
      <c r="A37" s="76"/>
      <c r="B37" s="77">
        <v>29</v>
      </c>
      <c r="C37" s="37">
        <v>7</v>
      </c>
      <c r="D37" s="37">
        <v>48</v>
      </c>
      <c r="E37" s="15"/>
      <c r="F37" s="28">
        <v>0</v>
      </c>
      <c r="G37" s="28">
        <f t="shared" si="0"/>
        <v>0</v>
      </c>
      <c r="H37" s="78">
        <f t="shared" si="1"/>
        <v>0</v>
      </c>
      <c r="I37" s="70"/>
    </row>
    <row r="38" spans="1:11" ht="17.100000000000001" customHeight="1" x14ac:dyDescent="0.25">
      <c r="A38" s="76"/>
      <c r="B38" s="77">
        <v>30</v>
      </c>
      <c r="C38" s="37">
        <v>7</v>
      </c>
      <c r="D38" s="37">
        <v>37</v>
      </c>
      <c r="E38" s="15"/>
      <c r="F38" s="28">
        <v>49</v>
      </c>
      <c r="G38" s="28">
        <f t="shared" si="0"/>
        <v>524300</v>
      </c>
      <c r="H38" s="78">
        <f t="shared" si="1"/>
        <v>37.226640159045722</v>
      </c>
      <c r="I38" s="70"/>
    </row>
    <row r="39" spans="1:11" ht="15" x14ac:dyDescent="0.25">
      <c r="A39" s="76"/>
      <c r="B39" s="77"/>
      <c r="C39" s="37"/>
      <c r="D39" s="37"/>
      <c r="E39" s="15"/>
      <c r="F39" s="28"/>
      <c r="G39" s="28"/>
      <c r="H39" s="78"/>
    </row>
    <row r="40" spans="1:11" s="1" customFormat="1" ht="21.6" customHeight="1" x14ac:dyDescent="0.2">
      <c r="C40" s="19">
        <f>SUM(C9:C39)</f>
        <v>228</v>
      </c>
      <c r="D40" s="19">
        <f>SUM(D9:D39)</f>
        <v>1043</v>
      </c>
      <c r="E40" s="19"/>
      <c r="F40" s="19">
        <f>SUM(F9:F39)</f>
        <v>325</v>
      </c>
      <c r="G40" s="19"/>
      <c r="H40" s="48">
        <f>SUM(H9:H39)</f>
        <v>246.91138880999716</v>
      </c>
      <c r="K40" s="40"/>
    </row>
    <row r="41" spans="1:11" x14ac:dyDescent="0.2">
      <c r="E41" s="19"/>
      <c r="F41" s="26"/>
      <c r="G41" s="26"/>
      <c r="H41" s="27"/>
    </row>
    <row r="42" spans="1:11" x14ac:dyDescent="0.2">
      <c r="C42" t="s">
        <v>40</v>
      </c>
      <c r="E42" s="33"/>
      <c r="F42" s="34"/>
      <c r="G42" s="34"/>
    </row>
    <row r="43" spans="1:11" x14ac:dyDescent="0.2">
      <c r="E43" s="33"/>
      <c r="F43" s="34"/>
      <c r="G43" s="34"/>
    </row>
  </sheetData>
  <mergeCells count="9">
    <mergeCell ref="B5:B8"/>
    <mergeCell ref="C5:C8"/>
    <mergeCell ref="B1:H1"/>
    <mergeCell ref="B2:H2"/>
    <mergeCell ref="B4:H4"/>
    <mergeCell ref="D5:D8"/>
    <mergeCell ref="F7:F8"/>
    <mergeCell ref="H5:H8"/>
    <mergeCell ref="E5:G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43"/>
  <sheetViews>
    <sheetView zoomScaleNormal="100" workbookViewId="0">
      <selection activeCell="L13" sqref="L13"/>
    </sheetView>
  </sheetViews>
  <sheetFormatPr defaultRowHeight="12.75" x14ac:dyDescent="0.2"/>
  <cols>
    <col min="1" max="1" width="2.5703125" style="1" customWidth="1"/>
    <col min="2" max="2" width="4.7109375" customWidth="1"/>
    <col min="3" max="3" width="6.42578125" customWidth="1"/>
    <col min="4" max="4" width="6.42578125" style="7" customWidth="1"/>
    <col min="5" max="5" width="9.42578125" style="2" customWidth="1"/>
    <col min="6" max="6" width="16.5703125" style="2" customWidth="1"/>
    <col min="7" max="7" width="10.28515625" style="2" customWidth="1"/>
    <col min="8" max="8" width="16.7109375" style="2" customWidth="1"/>
    <col min="9" max="9" width="10.28515625" style="2" customWidth="1"/>
    <col min="10" max="10" width="16.7109375" style="2" customWidth="1"/>
    <col min="11" max="11" width="16.28515625" style="2" customWidth="1"/>
    <col min="12" max="12" width="19.7109375" customWidth="1"/>
    <col min="13" max="13" width="2.5703125" style="1" customWidth="1"/>
    <col min="15" max="15" width="20.5703125" customWidth="1"/>
  </cols>
  <sheetData>
    <row r="2" spans="1:13" ht="15.75" x14ac:dyDescent="0.25">
      <c r="B2" s="88" t="s">
        <v>16</v>
      </c>
      <c r="C2" s="88"/>
      <c r="D2" s="88"/>
      <c r="E2" s="88"/>
      <c r="F2" s="88"/>
      <c r="G2" s="88"/>
      <c r="H2" s="88"/>
      <c r="I2" s="88"/>
      <c r="J2" s="88"/>
      <c r="K2" s="88"/>
      <c r="L2" s="88"/>
    </row>
    <row r="3" spans="1:13" ht="15.75" x14ac:dyDescent="0.25">
      <c r="B3" s="88" t="s">
        <v>2</v>
      </c>
      <c r="C3" s="88"/>
      <c r="D3" s="88"/>
      <c r="E3" s="88"/>
      <c r="F3" s="88"/>
      <c r="G3" s="88"/>
      <c r="H3" s="88"/>
      <c r="I3" s="88"/>
      <c r="J3" s="88"/>
      <c r="K3" s="88"/>
      <c r="L3" s="88"/>
    </row>
    <row r="4" spans="1:13" x14ac:dyDescent="0.2">
      <c r="B4" s="6"/>
      <c r="C4" s="5"/>
      <c r="D4" s="14"/>
      <c r="E4" s="5"/>
      <c r="F4" s="5"/>
      <c r="G4" s="5"/>
      <c r="H4" s="5"/>
      <c r="I4" s="5"/>
      <c r="J4" s="5"/>
      <c r="K4" s="5"/>
    </row>
    <row r="5" spans="1:13" x14ac:dyDescent="0.2">
      <c r="A5" s="8"/>
      <c r="B5" s="90" t="s">
        <v>57</v>
      </c>
      <c r="C5" s="98"/>
      <c r="D5" s="98"/>
      <c r="E5" s="98"/>
      <c r="F5" s="98"/>
      <c r="G5" s="98"/>
      <c r="H5" s="98"/>
      <c r="I5" s="98"/>
      <c r="J5" s="98"/>
      <c r="K5" s="98"/>
      <c r="L5" s="98"/>
      <c r="M5" s="8"/>
    </row>
    <row r="6" spans="1:13" ht="23.25" customHeight="1" x14ac:dyDescent="0.2">
      <c r="A6" s="79"/>
      <c r="B6" s="87" t="s">
        <v>1</v>
      </c>
      <c r="C6" s="87" t="s">
        <v>5</v>
      </c>
      <c r="D6" s="87" t="s">
        <v>39</v>
      </c>
      <c r="E6" s="93" t="s">
        <v>32</v>
      </c>
      <c r="F6" s="93"/>
      <c r="G6" s="94" t="s">
        <v>33</v>
      </c>
      <c r="H6" s="94"/>
      <c r="I6" s="94"/>
      <c r="J6" s="94"/>
      <c r="K6" s="87" t="s">
        <v>15</v>
      </c>
      <c r="L6" s="87" t="s">
        <v>31</v>
      </c>
      <c r="M6" s="69"/>
    </row>
    <row r="7" spans="1:13" s="7" customFormat="1" ht="48" customHeight="1" x14ac:dyDescent="0.2">
      <c r="A7" s="79"/>
      <c r="B7" s="87"/>
      <c r="C7" s="87"/>
      <c r="D7" s="87"/>
      <c r="E7" s="87" t="s">
        <v>0</v>
      </c>
      <c r="F7" s="87" t="s">
        <v>13</v>
      </c>
      <c r="G7" s="87" t="s">
        <v>0</v>
      </c>
      <c r="H7" s="87" t="s">
        <v>12</v>
      </c>
      <c r="I7" s="87" t="s">
        <v>0</v>
      </c>
      <c r="J7" s="87" t="s">
        <v>14</v>
      </c>
      <c r="K7" s="87"/>
      <c r="L7" s="87"/>
      <c r="M7" s="69"/>
    </row>
    <row r="8" spans="1:13" ht="15.75" customHeight="1" x14ac:dyDescent="0.2">
      <c r="A8" s="80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70"/>
    </row>
    <row r="9" spans="1:13" ht="15.75" customHeight="1" x14ac:dyDescent="0.25">
      <c r="A9" s="80"/>
      <c r="B9" s="77">
        <v>1</v>
      </c>
      <c r="C9" s="37">
        <v>8</v>
      </c>
      <c r="D9" s="37">
        <v>70</v>
      </c>
      <c r="E9" s="11">
        <v>0</v>
      </c>
      <c r="F9" s="4">
        <f>E9*13582</f>
        <v>0</v>
      </c>
      <c r="G9" s="11">
        <v>0</v>
      </c>
      <c r="H9" s="4">
        <f>G9*4000</f>
        <v>0</v>
      </c>
      <c r="I9" s="11">
        <v>116</v>
      </c>
      <c r="J9" s="4">
        <f>I9*4000</f>
        <v>464000</v>
      </c>
      <c r="K9" s="11">
        <f t="shared" ref="K9:K39" si="0">F9+H9+J9</f>
        <v>464000</v>
      </c>
      <c r="L9" s="81">
        <f>K9/14084</f>
        <v>32.945186026696959</v>
      </c>
      <c r="M9" s="70"/>
    </row>
    <row r="10" spans="1:13" ht="17.100000000000001" customHeight="1" x14ac:dyDescent="0.25">
      <c r="A10" s="80"/>
      <c r="B10" s="77">
        <v>2</v>
      </c>
      <c r="C10" s="37">
        <v>5</v>
      </c>
      <c r="D10" s="37">
        <v>26</v>
      </c>
      <c r="E10" s="11">
        <v>0</v>
      </c>
      <c r="F10" s="4">
        <f>E10*13582</f>
        <v>0</v>
      </c>
      <c r="G10" s="11">
        <v>0</v>
      </c>
      <c r="H10" s="4">
        <f>G10*4000</f>
        <v>0</v>
      </c>
      <c r="I10" s="11">
        <v>134</v>
      </c>
      <c r="J10" s="4">
        <f>I10*4000</f>
        <v>536000</v>
      </c>
      <c r="K10" s="11">
        <f t="shared" si="0"/>
        <v>536000</v>
      </c>
      <c r="L10" s="81">
        <f t="shared" ref="L10:L39" si="1">K10/14084</f>
        <v>38.057370065322353</v>
      </c>
      <c r="M10" s="70"/>
    </row>
    <row r="11" spans="1:13" ht="17.100000000000001" customHeight="1" x14ac:dyDescent="0.25">
      <c r="A11" s="80"/>
      <c r="B11" s="77">
        <v>3</v>
      </c>
      <c r="C11" s="37">
        <v>3</v>
      </c>
      <c r="D11" s="37">
        <v>14</v>
      </c>
      <c r="E11" s="11">
        <v>0</v>
      </c>
      <c r="F11" s="4">
        <f t="shared" ref="F11:F39" si="2">E11*13582</f>
        <v>0</v>
      </c>
      <c r="G11" s="11">
        <v>0</v>
      </c>
      <c r="H11" s="4">
        <f t="shared" ref="H11:H39" si="3">G11*4000</f>
        <v>0</v>
      </c>
      <c r="I11" s="11">
        <v>116</v>
      </c>
      <c r="J11" s="4">
        <f t="shared" ref="J11:J38" si="4">I11*4000</f>
        <v>464000</v>
      </c>
      <c r="K11" s="11">
        <f t="shared" si="0"/>
        <v>464000</v>
      </c>
      <c r="L11" s="81">
        <f t="shared" si="1"/>
        <v>32.945186026696959</v>
      </c>
      <c r="M11" s="70"/>
    </row>
    <row r="12" spans="1:13" ht="17.100000000000001" customHeight="1" x14ac:dyDescent="0.25">
      <c r="A12" s="80"/>
      <c r="B12" s="77">
        <v>4</v>
      </c>
      <c r="C12" s="37">
        <v>4</v>
      </c>
      <c r="D12" s="37">
        <v>18</v>
      </c>
      <c r="E12" s="11">
        <v>0</v>
      </c>
      <c r="F12" s="4">
        <f t="shared" si="2"/>
        <v>0</v>
      </c>
      <c r="G12" s="11">
        <v>0</v>
      </c>
      <c r="H12" s="4">
        <f t="shared" si="3"/>
        <v>0</v>
      </c>
      <c r="I12" s="11">
        <v>133</v>
      </c>
      <c r="J12" s="4">
        <f t="shared" si="4"/>
        <v>532000</v>
      </c>
      <c r="K12" s="11">
        <f t="shared" si="0"/>
        <v>532000</v>
      </c>
      <c r="L12" s="81">
        <f t="shared" si="1"/>
        <v>37.773359840954278</v>
      </c>
      <c r="M12" s="70"/>
    </row>
    <row r="13" spans="1:13" ht="17.100000000000001" customHeight="1" x14ac:dyDescent="0.25">
      <c r="A13" s="80"/>
      <c r="B13" s="77">
        <v>5</v>
      </c>
      <c r="C13" s="37">
        <v>4</v>
      </c>
      <c r="D13" s="37">
        <v>24</v>
      </c>
      <c r="E13" s="11">
        <v>0</v>
      </c>
      <c r="F13" s="4">
        <f t="shared" si="2"/>
        <v>0</v>
      </c>
      <c r="G13" s="11">
        <v>0</v>
      </c>
      <c r="H13" s="4">
        <f t="shared" si="3"/>
        <v>0</v>
      </c>
      <c r="I13" s="11">
        <v>111</v>
      </c>
      <c r="J13" s="4">
        <f t="shared" si="4"/>
        <v>444000</v>
      </c>
      <c r="K13" s="11">
        <f t="shared" si="0"/>
        <v>444000</v>
      </c>
      <c r="L13" s="81">
        <f t="shared" si="1"/>
        <v>31.525134904856575</v>
      </c>
      <c r="M13" s="70"/>
    </row>
    <row r="14" spans="1:13" ht="17.100000000000001" customHeight="1" x14ac:dyDescent="0.25">
      <c r="A14" s="80"/>
      <c r="B14" s="77">
        <v>6</v>
      </c>
      <c r="C14" s="37">
        <v>2</v>
      </c>
      <c r="D14" s="37">
        <v>16</v>
      </c>
      <c r="E14" s="11">
        <v>0</v>
      </c>
      <c r="F14" s="4">
        <f t="shared" si="2"/>
        <v>0</v>
      </c>
      <c r="G14" s="11">
        <v>0</v>
      </c>
      <c r="H14" s="4">
        <f t="shared" si="3"/>
        <v>0</v>
      </c>
      <c r="I14" s="11">
        <v>126</v>
      </c>
      <c r="J14" s="4">
        <f t="shared" si="4"/>
        <v>504000</v>
      </c>
      <c r="K14" s="11">
        <f t="shared" si="0"/>
        <v>504000</v>
      </c>
      <c r="L14" s="81">
        <f t="shared" si="1"/>
        <v>35.785288270377734</v>
      </c>
      <c r="M14" s="70"/>
    </row>
    <row r="15" spans="1:13" ht="17.100000000000001" customHeight="1" x14ac:dyDescent="0.25">
      <c r="A15" s="80"/>
      <c r="B15" s="77">
        <v>7</v>
      </c>
      <c r="C15" s="37">
        <v>4</v>
      </c>
      <c r="D15" s="37">
        <v>14</v>
      </c>
      <c r="E15" s="11">
        <v>0</v>
      </c>
      <c r="F15" s="4">
        <f t="shared" si="2"/>
        <v>0</v>
      </c>
      <c r="G15" s="11">
        <v>0</v>
      </c>
      <c r="H15" s="4">
        <f t="shared" si="3"/>
        <v>0</v>
      </c>
      <c r="I15" s="11">
        <v>132</v>
      </c>
      <c r="J15" s="4">
        <f t="shared" si="4"/>
        <v>528000</v>
      </c>
      <c r="K15" s="11">
        <f t="shared" si="0"/>
        <v>528000</v>
      </c>
      <c r="L15" s="81">
        <f t="shared" si="1"/>
        <v>37.489349616586196</v>
      </c>
      <c r="M15" s="70"/>
    </row>
    <row r="16" spans="1:13" ht="17.100000000000001" customHeight="1" x14ac:dyDescent="0.25">
      <c r="A16" s="80"/>
      <c r="B16" s="77">
        <v>8</v>
      </c>
      <c r="C16" s="37">
        <v>6</v>
      </c>
      <c r="D16" s="37">
        <v>30</v>
      </c>
      <c r="E16" s="11">
        <v>0</v>
      </c>
      <c r="F16" s="4">
        <f t="shared" si="2"/>
        <v>0</v>
      </c>
      <c r="G16" s="11">
        <v>0</v>
      </c>
      <c r="H16" s="4">
        <f t="shared" si="3"/>
        <v>0</v>
      </c>
      <c r="I16" s="11">
        <v>146</v>
      </c>
      <c r="J16" s="4">
        <f t="shared" si="4"/>
        <v>584000</v>
      </c>
      <c r="K16" s="11">
        <f t="shared" si="0"/>
        <v>584000</v>
      </c>
      <c r="L16" s="81">
        <f t="shared" si="1"/>
        <v>41.465492757739277</v>
      </c>
      <c r="M16" s="70"/>
    </row>
    <row r="17" spans="1:13" ht="17.100000000000001" customHeight="1" x14ac:dyDescent="0.25">
      <c r="A17" s="80"/>
      <c r="B17" s="77">
        <v>9</v>
      </c>
      <c r="C17" s="37">
        <v>1</v>
      </c>
      <c r="D17" s="37">
        <v>19</v>
      </c>
      <c r="E17" s="11">
        <v>0</v>
      </c>
      <c r="F17" s="4">
        <f t="shared" si="2"/>
        <v>0</v>
      </c>
      <c r="G17" s="11">
        <v>0</v>
      </c>
      <c r="H17" s="4">
        <f t="shared" si="3"/>
        <v>0</v>
      </c>
      <c r="I17" s="11">
        <v>160</v>
      </c>
      <c r="J17" s="4">
        <f t="shared" si="4"/>
        <v>640000</v>
      </c>
      <c r="K17" s="11">
        <f t="shared" si="0"/>
        <v>640000</v>
      </c>
      <c r="L17" s="81">
        <f t="shared" si="1"/>
        <v>45.441635898892358</v>
      </c>
      <c r="M17" s="70"/>
    </row>
    <row r="18" spans="1:13" ht="17.100000000000001" customHeight="1" x14ac:dyDescent="0.25">
      <c r="A18" s="80"/>
      <c r="B18" s="77">
        <v>10</v>
      </c>
      <c r="C18" s="37">
        <v>5</v>
      </c>
      <c r="D18" s="37">
        <v>6</v>
      </c>
      <c r="E18" s="11">
        <v>0</v>
      </c>
      <c r="F18" s="4">
        <f t="shared" si="2"/>
        <v>0</v>
      </c>
      <c r="G18" s="11">
        <v>0</v>
      </c>
      <c r="H18" s="4">
        <f t="shared" si="3"/>
        <v>0</v>
      </c>
      <c r="I18" s="11">
        <v>180</v>
      </c>
      <c r="J18" s="4">
        <f t="shared" si="4"/>
        <v>720000</v>
      </c>
      <c r="K18" s="11">
        <f t="shared" si="0"/>
        <v>720000</v>
      </c>
      <c r="L18" s="81">
        <f t="shared" si="1"/>
        <v>51.121840386253908</v>
      </c>
      <c r="M18" s="70"/>
    </row>
    <row r="19" spans="1:13" ht="17.100000000000001" customHeight="1" x14ac:dyDescent="0.25">
      <c r="A19" s="80"/>
      <c r="B19" s="77">
        <v>11</v>
      </c>
      <c r="C19" s="37">
        <v>6</v>
      </c>
      <c r="D19" s="37">
        <v>18</v>
      </c>
      <c r="E19" s="11">
        <v>0</v>
      </c>
      <c r="F19" s="4">
        <f t="shared" si="2"/>
        <v>0</v>
      </c>
      <c r="G19" s="11">
        <v>0</v>
      </c>
      <c r="H19" s="4">
        <f t="shared" si="3"/>
        <v>0</v>
      </c>
      <c r="I19" s="11">
        <v>207</v>
      </c>
      <c r="J19" s="4">
        <f t="shared" si="4"/>
        <v>828000</v>
      </c>
      <c r="K19" s="11">
        <f t="shared" si="0"/>
        <v>828000</v>
      </c>
      <c r="L19" s="81">
        <f t="shared" si="1"/>
        <v>58.790116444191987</v>
      </c>
      <c r="M19" s="70"/>
    </row>
    <row r="20" spans="1:13" ht="17.100000000000001" customHeight="1" x14ac:dyDescent="0.25">
      <c r="A20" s="80"/>
      <c r="B20" s="77">
        <v>12</v>
      </c>
      <c r="C20" s="37">
        <v>6</v>
      </c>
      <c r="D20" s="37">
        <v>28</v>
      </c>
      <c r="E20" s="11">
        <v>0</v>
      </c>
      <c r="F20" s="4">
        <f t="shared" si="2"/>
        <v>0</v>
      </c>
      <c r="G20" s="11">
        <v>0</v>
      </c>
      <c r="H20" s="4">
        <f t="shared" si="3"/>
        <v>0</v>
      </c>
      <c r="I20" s="11">
        <v>223</v>
      </c>
      <c r="J20" s="4">
        <f t="shared" si="4"/>
        <v>892000</v>
      </c>
      <c r="K20" s="11">
        <f t="shared" si="0"/>
        <v>892000</v>
      </c>
      <c r="L20" s="81">
        <f t="shared" si="1"/>
        <v>63.334280034081225</v>
      </c>
      <c r="M20" s="70"/>
    </row>
    <row r="21" spans="1:13" ht="17.100000000000001" customHeight="1" x14ac:dyDescent="0.25">
      <c r="A21" s="80"/>
      <c r="B21" s="77">
        <v>13</v>
      </c>
      <c r="C21" s="37">
        <v>7</v>
      </c>
      <c r="D21" s="37">
        <v>23</v>
      </c>
      <c r="E21" s="11">
        <v>0</v>
      </c>
      <c r="F21" s="4">
        <f t="shared" si="2"/>
        <v>0</v>
      </c>
      <c r="G21" s="11">
        <v>0</v>
      </c>
      <c r="H21" s="4">
        <f t="shared" si="3"/>
        <v>0</v>
      </c>
      <c r="I21" s="11">
        <v>181</v>
      </c>
      <c r="J21" s="4">
        <f t="shared" si="4"/>
        <v>724000</v>
      </c>
      <c r="K21" s="11">
        <f t="shared" si="0"/>
        <v>724000</v>
      </c>
      <c r="L21" s="81">
        <f t="shared" si="1"/>
        <v>51.405850610621982</v>
      </c>
      <c r="M21" s="70"/>
    </row>
    <row r="22" spans="1:13" ht="17.100000000000001" customHeight="1" x14ac:dyDescent="0.25">
      <c r="A22" s="80"/>
      <c r="B22" s="77">
        <v>14</v>
      </c>
      <c r="C22" s="37">
        <v>9</v>
      </c>
      <c r="D22" s="37">
        <v>52</v>
      </c>
      <c r="E22" s="11">
        <v>0</v>
      </c>
      <c r="F22" s="4">
        <f t="shared" si="2"/>
        <v>0</v>
      </c>
      <c r="G22" s="11">
        <v>0</v>
      </c>
      <c r="H22" s="4">
        <f t="shared" si="3"/>
        <v>0</v>
      </c>
      <c r="I22" s="11">
        <v>164</v>
      </c>
      <c r="J22" s="4">
        <f t="shared" si="4"/>
        <v>656000</v>
      </c>
      <c r="K22" s="11">
        <f t="shared" si="0"/>
        <v>656000</v>
      </c>
      <c r="L22" s="81">
        <f t="shared" si="1"/>
        <v>46.577676796364671</v>
      </c>
      <c r="M22" s="70"/>
    </row>
    <row r="23" spans="1:13" ht="17.100000000000001" customHeight="1" x14ac:dyDescent="0.25">
      <c r="A23" s="80"/>
      <c r="B23" s="77">
        <v>15</v>
      </c>
      <c r="C23" s="37">
        <v>10</v>
      </c>
      <c r="D23" s="37">
        <v>35</v>
      </c>
      <c r="E23" s="11">
        <v>0</v>
      </c>
      <c r="F23" s="4">
        <f t="shared" si="2"/>
        <v>0</v>
      </c>
      <c r="G23" s="11">
        <v>0</v>
      </c>
      <c r="H23" s="4">
        <f t="shared" si="3"/>
        <v>0</v>
      </c>
      <c r="I23" s="11">
        <v>196</v>
      </c>
      <c r="J23" s="4">
        <f t="shared" si="4"/>
        <v>784000</v>
      </c>
      <c r="K23" s="11">
        <f t="shared" si="0"/>
        <v>784000</v>
      </c>
      <c r="L23" s="81">
        <f t="shared" si="1"/>
        <v>55.666003976143138</v>
      </c>
      <c r="M23" s="70"/>
    </row>
    <row r="24" spans="1:13" ht="17.100000000000001" customHeight="1" x14ac:dyDescent="0.25">
      <c r="A24" s="80"/>
      <c r="B24" s="77">
        <v>16</v>
      </c>
      <c r="C24" s="37">
        <v>5</v>
      </c>
      <c r="D24" s="37">
        <v>29</v>
      </c>
      <c r="E24" s="11">
        <v>0</v>
      </c>
      <c r="F24" s="4">
        <f t="shared" si="2"/>
        <v>0</v>
      </c>
      <c r="G24" s="11">
        <v>0</v>
      </c>
      <c r="H24" s="4">
        <f t="shared" si="3"/>
        <v>0</v>
      </c>
      <c r="I24" s="11">
        <v>202</v>
      </c>
      <c r="J24" s="4">
        <f t="shared" si="4"/>
        <v>808000</v>
      </c>
      <c r="K24" s="11">
        <f t="shared" si="0"/>
        <v>808000</v>
      </c>
      <c r="L24" s="81">
        <f t="shared" si="1"/>
        <v>57.370065322351607</v>
      </c>
      <c r="M24" s="70"/>
    </row>
    <row r="25" spans="1:13" ht="17.100000000000001" customHeight="1" x14ac:dyDescent="0.25">
      <c r="A25" s="80"/>
      <c r="B25" s="77">
        <v>17</v>
      </c>
      <c r="C25" s="37">
        <v>12</v>
      </c>
      <c r="D25" s="37">
        <v>28</v>
      </c>
      <c r="E25" s="11">
        <v>0</v>
      </c>
      <c r="F25" s="4">
        <f t="shared" si="2"/>
        <v>0</v>
      </c>
      <c r="G25" s="11">
        <v>0</v>
      </c>
      <c r="H25" s="4">
        <f t="shared" si="3"/>
        <v>0</v>
      </c>
      <c r="I25" s="11">
        <v>196</v>
      </c>
      <c r="J25" s="4">
        <f t="shared" si="4"/>
        <v>784000</v>
      </c>
      <c r="K25" s="11">
        <f t="shared" si="0"/>
        <v>784000</v>
      </c>
      <c r="L25" s="81">
        <f t="shared" si="1"/>
        <v>55.666003976143138</v>
      </c>
      <c r="M25" s="70"/>
    </row>
    <row r="26" spans="1:13" ht="17.100000000000001" customHeight="1" x14ac:dyDescent="0.25">
      <c r="A26" s="80"/>
      <c r="B26" s="77">
        <v>18</v>
      </c>
      <c r="C26" s="37">
        <v>17</v>
      </c>
      <c r="D26" s="37">
        <v>52</v>
      </c>
      <c r="E26" s="11">
        <v>0</v>
      </c>
      <c r="F26" s="4">
        <f t="shared" si="2"/>
        <v>0</v>
      </c>
      <c r="G26" s="11">
        <v>0</v>
      </c>
      <c r="H26" s="4">
        <f t="shared" si="3"/>
        <v>0</v>
      </c>
      <c r="I26" s="11">
        <v>186</v>
      </c>
      <c r="J26" s="4">
        <f t="shared" si="4"/>
        <v>744000</v>
      </c>
      <c r="K26" s="11">
        <f t="shared" si="0"/>
        <v>744000</v>
      </c>
      <c r="L26" s="81">
        <f t="shared" si="1"/>
        <v>52.82590173246237</v>
      </c>
      <c r="M26" s="70"/>
    </row>
    <row r="27" spans="1:13" ht="17.100000000000001" customHeight="1" x14ac:dyDescent="0.25">
      <c r="A27" s="80"/>
      <c r="B27" s="77">
        <v>19</v>
      </c>
      <c r="C27" s="37">
        <v>10</v>
      </c>
      <c r="D27" s="37">
        <v>54</v>
      </c>
      <c r="E27" s="11">
        <v>0</v>
      </c>
      <c r="F27" s="4">
        <f t="shared" si="2"/>
        <v>0</v>
      </c>
      <c r="G27" s="11">
        <v>0</v>
      </c>
      <c r="H27" s="4">
        <f t="shared" si="3"/>
        <v>0</v>
      </c>
      <c r="I27" s="11">
        <v>184</v>
      </c>
      <c r="J27" s="4">
        <f t="shared" si="4"/>
        <v>736000</v>
      </c>
      <c r="K27" s="11">
        <f t="shared" si="0"/>
        <v>736000</v>
      </c>
      <c r="L27" s="81">
        <f t="shared" si="1"/>
        <v>52.257881283726213</v>
      </c>
      <c r="M27" s="70"/>
    </row>
    <row r="28" spans="1:13" ht="17.100000000000001" customHeight="1" x14ac:dyDescent="0.25">
      <c r="A28" s="80"/>
      <c r="B28" s="77">
        <v>20</v>
      </c>
      <c r="C28" s="37">
        <v>14</v>
      </c>
      <c r="D28" s="37">
        <v>48</v>
      </c>
      <c r="E28" s="11">
        <v>0</v>
      </c>
      <c r="F28" s="4">
        <f t="shared" si="2"/>
        <v>0</v>
      </c>
      <c r="G28" s="11">
        <v>0</v>
      </c>
      <c r="H28" s="4">
        <f t="shared" si="3"/>
        <v>0</v>
      </c>
      <c r="I28" s="11">
        <v>193</v>
      </c>
      <c r="J28" s="4">
        <f t="shared" si="4"/>
        <v>772000</v>
      </c>
      <c r="K28" s="11">
        <f t="shared" si="0"/>
        <v>772000</v>
      </c>
      <c r="L28" s="81">
        <f t="shared" si="1"/>
        <v>54.813973303038907</v>
      </c>
      <c r="M28" s="70"/>
    </row>
    <row r="29" spans="1:13" ht="17.100000000000001" customHeight="1" x14ac:dyDescent="0.25">
      <c r="A29" s="80"/>
      <c r="B29" s="77">
        <v>21</v>
      </c>
      <c r="C29" s="37">
        <v>14</v>
      </c>
      <c r="D29" s="37">
        <v>67</v>
      </c>
      <c r="E29" s="11">
        <v>0</v>
      </c>
      <c r="F29" s="4">
        <f t="shared" si="2"/>
        <v>0</v>
      </c>
      <c r="G29" s="11">
        <v>0</v>
      </c>
      <c r="H29" s="4">
        <f t="shared" si="3"/>
        <v>0</v>
      </c>
      <c r="I29" s="11">
        <v>209</v>
      </c>
      <c r="J29" s="4">
        <f t="shared" si="4"/>
        <v>836000</v>
      </c>
      <c r="K29" s="11">
        <f t="shared" si="0"/>
        <v>836000</v>
      </c>
      <c r="L29" s="81">
        <f t="shared" si="1"/>
        <v>59.358136892928144</v>
      </c>
      <c r="M29" s="70"/>
    </row>
    <row r="30" spans="1:13" ht="17.100000000000001" customHeight="1" x14ac:dyDescent="0.25">
      <c r="A30" s="80"/>
      <c r="B30" s="77">
        <v>22</v>
      </c>
      <c r="C30" s="37">
        <v>18</v>
      </c>
      <c r="D30" s="37">
        <v>57</v>
      </c>
      <c r="E30" s="11">
        <v>0</v>
      </c>
      <c r="F30" s="4">
        <f t="shared" si="2"/>
        <v>0</v>
      </c>
      <c r="G30" s="11">
        <v>0</v>
      </c>
      <c r="H30" s="4">
        <f t="shared" si="3"/>
        <v>0</v>
      </c>
      <c r="I30" s="11">
        <v>216</v>
      </c>
      <c r="J30" s="4">
        <f t="shared" si="4"/>
        <v>864000</v>
      </c>
      <c r="K30" s="11">
        <f t="shared" si="0"/>
        <v>864000</v>
      </c>
      <c r="L30" s="81">
        <f t="shared" si="1"/>
        <v>61.346208463504688</v>
      </c>
      <c r="M30" s="70"/>
    </row>
    <row r="31" spans="1:13" ht="17.100000000000001" customHeight="1" x14ac:dyDescent="0.25">
      <c r="A31" s="80"/>
      <c r="B31" s="77">
        <v>23</v>
      </c>
      <c r="C31" s="37">
        <v>15</v>
      </c>
      <c r="D31" s="37">
        <v>64</v>
      </c>
      <c r="E31" s="11">
        <v>0</v>
      </c>
      <c r="F31" s="4">
        <f t="shared" si="2"/>
        <v>0</v>
      </c>
      <c r="G31" s="11">
        <v>0</v>
      </c>
      <c r="H31" s="4">
        <f t="shared" si="3"/>
        <v>0</v>
      </c>
      <c r="I31" s="11">
        <v>215</v>
      </c>
      <c r="J31" s="4">
        <f t="shared" si="4"/>
        <v>860000</v>
      </c>
      <c r="K31" s="11">
        <f t="shared" si="0"/>
        <v>860000</v>
      </c>
      <c r="L31" s="81">
        <f t="shared" si="1"/>
        <v>61.062198239136606</v>
      </c>
      <c r="M31" s="70"/>
    </row>
    <row r="32" spans="1:13" ht="17.100000000000001" customHeight="1" x14ac:dyDescent="0.25">
      <c r="A32" s="80"/>
      <c r="B32" s="77">
        <v>24</v>
      </c>
      <c r="C32" s="37">
        <v>6</v>
      </c>
      <c r="D32" s="37">
        <v>41</v>
      </c>
      <c r="E32" s="11">
        <v>0</v>
      </c>
      <c r="F32" s="4">
        <f t="shared" si="2"/>
        <v>0</v>
      </c>
      <c r="G32" s="11">
        <v>0</v>
      </c>
      <c r="H32" s="4">
        <f t="shared" si="3"/>
        <v>0</v>
      </c>
      <c r="I32" s="11">
        <v>196</v>
      </c>
      <c r="J32" s="4">
        <f t="shared" si="4"/>
        <v>784000</v>
      </c>
      <c r="K32" s="11">
        <f t="shared" si="0"/>
        <v>784000</v>
      </c>
      <c r="L32" s="81">
        <f t="shared" si="1"/>
        <v>55.666003976143138</v>
      </c>
      <c r="M32" s="70"/>
    </row>
    <row r="33" spans="1:15" ht="17.100000000000001" customHeight="1" x14ac:dyDescent="0.25">
      <c r="A33" s="80"/>
      <c r="B33" s="77">
        <v>25</v>
      </c>
      <c r="C33" s="37">
        <v>4</v>
      </c>
      <c r="D33" s="37">
        <v>33</v>
      </c>
      <c r="E33" s="11">
        <v>0</v>
      </c>
      <c r="F33" s="4">
        <f t="shared" si="2"/>
        <v>0</v>
      </c>
      <c r="G33" s="11">
        <v>0</v>
      </c>
      <c r="H33" s="4">
        <f t="shared" si="3"/>
        <v>0</v>
      </c>
      <c r="I33" s="11">
        <v>206</v>
      </c>
      <c r="J33" s="4">
        <f t="shared" si="4"/>
        <v>824000</v>
      </c>
      <c r="K33" s="11">
        <f t="shared" si="0"/>
        <v>824000</v>
      </c>
      <c r="L33" s="81">
        <f t="shared" si="1"/>
        <v>58.506106219823913</v>
      </c>
      <c r="M33" s="70"/>
    </row>
    <row r="34" spans="1:15" ht="17.100000000000001" customHeight="1" x14ac:dyDescent="0.25">
      <c r="A34" s="80"/>
      <c r="B34" s="77">
        <v>26</v>
      </c>
      <c r="C34" s="37">
        <v>6</v>
      </c>
      <c r="D34" s="37">
        <v>19</v>
      </c>
      <c r="E34" s="11">
        <v>0</v>
      </c>
      <c r="F34" s="4">
        <f t="shared" si="2"/>
        <v>0</v>
      </c>
      <c r="G34" s="11">
        <v>0</v>
      </c>
      <c r="H34" s="4">
        <f t="shared" si="3"/>
        <v>0</v>
      </c>
      <c r="I34" s="11">
        <v>201</v>
      </c>
      <c r="J34" s="4">
        <f t="shared" si="4"/>
        <v>804000</v>
      </c>
      <c r="K34" s="11">
        <f t="shared" si="0"/>
        <v>804000</v>
      </c>
      <c r="L34" s="81">
        <f t="shared" si="1"/>
        <v>57.086055097983525</v>
      </c>
      <c r="M34" s="70"/>
    </row>
    <row r="35" spans="1:15" ht="17.100000000000001" customHeight="1" x14ac:dyDescent="0.25">
      <c r="A35" s="80"/>
      <c r="B35" s="77">
        <v>27</v>
      </c>
      <c r="C35" s="37">
        <v>6</v>
      </c>
      <c r="D35" s="37">
        <v>32</v>
      </c>
      <c r="E35" s="11">
        <v>0</v>
      </c>
      <c r="F35" s="4">
        <f t="shared" si="2"/>
        <v>0</v>
      </c>
      <c r="G35" s="11">
        <v>0</v>
      </c>
      <c r="H35" s="4">
        <f t="shared" si="3"/>
        <v>0</v>
      </c>
      <c r="I35" s="11">
        <v>202</v>
      </c>
      <c r="J35" s="4">
        <f t="shared" si="4"/>
        <v>808000</v>
      </c>
      <c r="K35" s="11">
        <f t="shared" si="0"/>
        <v>808000</v>
      </c>
      <c r="L35" s="81">
        <f t="shared" si="1"/>
        <v>57.370065322351607</v>
      </c>
      <c r="M35" s="70"/>
    </row>
    <row r="36" spans="1:15" ht="17.100000000000001" customHeight="1" x14ac:dyDescent="0.25">
      <c r="A36" s="80"/>
      <c r="B36" s="77">
        <v>28</v>
      </c>
      <c r="C36" s="37">
        <v>7</v>
      </c>
      <c r="D36" s="37">
        <v>41</v>
      </c>
      <c r="E36" s="11">
        <v>0</v>
      </c>
      <c r="F36" s="4">
        <f t="shared" si="2"/>
        <v>0</v>
      </c>
      <c r="G36" s="11">
        <v>0</v>
      </c>
      <c r="H36" s="4">
        <f t="shared" si="3"/>
        <v>0</v>
      </c>
      <c r="I36" s="11">
        <v>157</v>
      </c>
      <c r="J36" s="4">
        <f t="shared" si="4"/>
        <v>628000</v>
      </c>
      <c r="K36" s="11">
        <f t="shared" si="0"/>
        <v>628000</v>
      </c>
      <c r="L36" s="81">
        <f t="shared" si="1"/>
        <v>44.589605225788127</v>
      </c>
      <c r="M36" s="70"/>
    </row>
    <row r="37" spans="1:15" ht="17.100000000000001" customHeight="1" x14ac:dyDescent="0.25">
      <c r="A37" s="80"/>
      <c r="B37" s="77">
        <v>29</v>
      </c>
      <c r="C37" s="37">
        <v>7</v>
      </c>
      <c r="D37" s="37">
        <v>48</v>
      </c>
      <c r="E37" s="11">
        <v>0</v>
      </c>
      <c r="F37" s="4">
        <f t="shared" si="2"/>
        <v>0</v>
      </c>
      <c r="G37" s="11">
        <v>0</v>
      </c>
      <c r="H37" s="4">
        <f t="shared" si="3"/>
        <v>0</v>
      </c>
      <c r="I37" s="11">
        <v>177</v>
      </c>
      <c r="J37" s="4">
        <f t="shared" si="4"/>
        <v>708000</v>
      </c>
      <c r="K37" s="11">
        <f t="shared" si="0"/>
        <v>708000</v>
      </c>
      <c r="L37" s="81">
        <f t="shared" si="1"/>
        <v>50.269809713149677</v>
      </c>
      <c r="M37" s="70"/>
    </row>
    <row r="38" spans="1:15" ht="17.100000000000001" customHeight="1" x14ac:dyDescent="0.25">
      <c r="A38" s="80"/>
      <c r="B38" s="77">
        <v>30</v>
      </c>
      <c r="C38" s="37">
        <v>7</v>
      </c>
      <c r="D38" s="37">
        <v>37</v>
      </c>
      <c r="E38" s="11">
        <v>0</v>
      </c>
      <c r="F38" s="4">
        <f t="shared" si="2"/>
        <v>0</v>
      </c>
      <c r="G38" s="11">
        <v>0</v>
      </c>
      <c r="H38" s="4">
        <f t="shared" si="3"/>
        <v>0</v>
      </c>
      <c r="I38" s="11">
        <v>189</v>
      </c>
      <c r="J38" s="4">
        <f t="shared" si="4"/>
        <v>756000</v>
      </c>
      <c r="K38" s="11">
        <f t="shared" si="0"/>
        <v>756000</v>
      </c>
      <c r="L38" s="81">
        <f t="shared" si="1"/>
        <v>53.677932405566601</v>
      </c>
      <c r="M38" s="70"/>
    </row>
    <row r="39" spans="1:15" ht="17.100000000000001" customHeight="1" x14ac:dyDescent="0.25">
      <c r="A39" s="80"/>
      <c r="B39" s="77"/>
      <c r="C39" s="37"/>
      <c r="D39" s="37"/>
      <c r="E39" s="11"/>
      <c r="F39" s="4"/>
      <c r="G39" s="11"/>
      <c r="H39" s="4"/>
      <c r="I39" s="11"/>
      <c r="J39" s="4"/>
      <c r="K39" s="11"/>
      <c r="L39" s="81"/>
      <c r="M39" s="70"/>
    </row>
    <row r="40" spans="1:15" ht="15.75" x14ac:dyDescent="0.25">
      <c r="C40" s="19">
        <f>SUM(C9:C39)</f>
        <v>228</v>
      </c>
      <c r="D40" s="19">
        <f>SUM(D9:D39)</f>
        <v>1043</v>
      </c>
      <c r="E40" s="19">
        <f>SUM(E9:E39)</f>
        <v>0</v>
      </c>
      <c r="G40" s="19">
        <f>SUM(G9:G39)</f>
        <v>0</v>
      </c>
      <c r="I40" s="19">
        <f>SUM(I9:I39)</f>
        <v>5254</v>
      </c>
      <c r="J40" s="39">
        <f>G40+I40</f>
        <v>5254</v>
      </c>
      <c r="K40" s="46"/>
      <c r="L40" s="51">
        <f>SUM(L9:L39)</f>
        <v>1492.1897188298781</v>
      </c>
      <c r="O40" s="40" t="e">
        <f>#REF!+#REF!+#REF!+#REF!+#REF!+#REF!+#REF!+#REF!+#REF!+#REF!+L40+#REF!</f>
        <v>#REF!</v>
      </c>
    </row>
    <row r="41" spans="1:15" x14ac:dyDescent="0.2">
      <c r="I41" s="43">
        <f>G40+I40</f>
        <v>5254</v>
      </c>
      <c r="L41" s="42"/>
    </row>
    <row r="42" spans="1:15" x14ac:dyDescent="0.2">
      <c r="E42" s="7"/>
      <c r="F42" s="7"/>
      <c r="G42" s="7"/>
      <c r="H42" s="7"/>
      <c r="I42" s="20"/>
      <c r="J42" s="20"/>
      <c r="L42" s="45"/>
    </row>
    <row r="43" spans="1:15" x14ac:dyDescent="0.2">
      <c r="E43" s="7"/>
      <c r="F43" s="7"/>
      <c r="G43" s="7"/>
      <c r="H43" s="7"/>
      <c r="I43" s="20"/>
      <c r="J43" s="20"/>
    </row>
  </sheetData>
  <mergeCells count="16">
    <mergeCell ref="B2:L2"/>
    <mergeCell ref="F7:F8"/>
    <mergeCell ref="G7:G8"/>
    <mergeCell ref="H7:H8"/>
    <mergeCell ref="I7:I8"/>
    <mergeCell ref="J7:J8"/>
    <mergeCell ref="C6:C8"/>
    <mergeCell ref="D6:D8"/>
    <mergeCell ref="K6:K8"/>
    <mergeCell ref="L6:L8"/>
    <mergeCell ref="E7:E8"/>
    <mergeCell ref="B6:B8"/>
    <mergeCell ref="G6:J6"/>
    <mergeCell ref="B5:L5"/>
    <mergeCell ref="B3:L3"/>
    <mergeCell ref="E6:F6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FSRB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Mirah Candradewi</cp:lastModifiedBy>
  <cp:lastPrinted>2020-10-01T03:34:29Z</cp:lastPrinted>
  <dcterms:created xsi:type="dcterms:W3CDTF">2009-02-11T09:03:59Z</dcterms:created>
  <dcterms:modified xsi:type="dcterms:W3CDTF">2021-02-08T09:35:08Z</dcterms:modified>
</cp:coreProperties>
</file>