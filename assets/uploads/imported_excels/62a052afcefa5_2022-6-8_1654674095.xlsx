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BA77E5E7-DF85-4263-B922-3A5235DA3043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<sst xmlns="http://schemas.openxmlformats.org/spreadsheetml/2006/main" count="66" uniqueCount="32">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</sst>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6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56</v>
          </cell>
          <cell r="H387">
            <v>52</v>
          </cell>
          <cell r="I387">
            <v>120</v>
          </cell>
          <cell r="J387">
            <v>125</v>
          </cell>
          <cell r="K387">
            <v>72</v>
          </cell>
          <cell r="L387">
            <v>60</v>
          </cell>
          <cell r="M387">
            <v>69</v>
          </cell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97</v>
          </cell>
          <cell r="H388">
            <v>92</v>
          </cell>
          <cell r="I388">
            <v>252</v>
          </cell>
          <cell r="J388">
            <v>257</v>
          </cell>
          <cell r="K388">
            <v>124</v>
          </cell>
          <cell r="L388">
            <v>96</v>
          </cell>
          <cell r="M388">
            <v>119</v>
          </cell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160.1</v>
          </cell>
          <cell r="H23">
            <v>176.1</v>
          </cell>
          <cell r="I23">
            <v>184.1</v>
          </cell>
          <cell r="J23">
            <v>191.7</v>
          </cell>
          <cell r="K23">
            <v>197.7</v>
          </cell>
          <cell r="L23">
            <v>176</v>
          </cell>
          <cell r="M23">
            <v>189.6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110</v>
          </cell>
          <cell r="H41">
            <v>144</v>
          </cell>
          <cell r="I41">
            <v>127</v>
          </cell>
          <cell r="J41">
            <v>170</v>
          </cell>
          <cell r="K41">
            <v>178</v>
          </cell>
          <cell r="L41">
            <v>123</v>
          </cell>
          <cell r="M41">
            <v>120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919.24019999999996</v>
          </cell>
          <cell r="H91">
            <v>751.44899999999996</v>
          </cell>
          <cell r="I91">
            <v>1115.367</v>
          </cell>
          <cell r="J91">
            <v>1624.5744</v>
          </cell>
          <cell r="K91">
            <v>1166.76</v>
          </cell>
          <cell r="L91">
            <v>2966.904</v>
          </cell>
          <cell r="M91">
            <v>2441.3063999999999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11492.0304</v>
          </cell>
          <cell r="H115">
            <v>11022.8262</v>
          </cell>
          <cell r="I115">
            <v>9094.3385999999991</v>
          </cell>
          <cell r="J115">
            <v>9891.6245999999992</v>
          </cell>
          <cell r="K115">
            <v>10598.3478</v>
          </cell>
          <cell r="L115">
            <v>7463.3747999999996</v>
          </cell>
          <cell r="M115">
            <v>4306.7334000000001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14526</v>
          </cell>
          <cell r="H147">
            <v>15165</v>
          </cell>
          <cell r="I147">
            <v>15306</v>
          </cell>
          <cell r="J147">
            <v>15522</v>
          </cell>
          <cell r="K147">
            <v>15515</v>
          </cell>
          <cell r="L147">
            <v>14706</v>
          </cell>
          <cell r="M147">
            <v>14460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28.5</v>
          </cell>
        </row>
        <row r="23">
          <cell r="M23">
            <v>161.64161773700295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F9" sqref="F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6</v>
      </c>
      <c r="D2" s="7">
        <v>2022</v>
      </c>
      <c r="E2" s="9">
        <f>'Otemachi Daily'!D5</f>
        <v>14526</v>
      </c>
      <c r="F2" s="34">
        <f>[1]見込!$G$3</f>
        <v>28.5</v>
      </c>
      <c r="G2" s="9">
        <f>'Otemachi Daily'!F5</f>
        <v>160.1</v>
      </c>
      <c r="H2" s="34">
        <f>[1]見込!$M$23</f>
        <v>161.64161773700295</v>
      </c>
      <c r="I2" s="9">
        <f>'Otemachi Daily'!H5</f>
        <v>11492.0304</v>
      </c>
      <c r="J2" s="34">
        <v>10.79</v>
      </c>
      <c r="K2" s="9">
        <f>'Otemachi Daily'!J5</f>
        <v>919.24019999999996</v>
      </c>
      <c r="L2" s="34">
        <v>7.22</v>
      </c>
      <c r="M2" s="9">
        <f>'Otemachi Daily'!L5</f>
        <v>110</v>
      </c>
      <c r="N2" s="34">
        <v>741</v>
      </c>
      <c r="O2" s="9">
        <f>'Otemachi Daily'!M5</f>
        <v>56</v>
      </c>
      <c r="P2" s="9">
        <f>'Otemachi Daily'!N5</f>
        <v>97</v>
      </c>
    </row>
    <row r="3" spans="1:16" ht="15">
      <c r="A3" s="6" t="s">
        <v>22</v>
      </c>
      <c r="B3" s="7">
        <f>B2+1</f>
        <v>2</v>
      </c>
      <c r="C3" s="8">
        <v>6</v>
      </c>
      <c r="D3" s="7">
        <v>2022</v>
      </c>
      <c r="E3" s="9">
        <f>'Otemachi Daily'!D6</f>
        <v>15165</v>
      </c>
      <c r="F3" s="34">
        <f>[1]見込!$G$3</f>
        <v>28.5</v>
      </c>
      <c r="G3" s="9">
        <f>'Otemachi Daily'!F6</f>
        <v>176.1</v>
      </c>
      <c r="H3" s="34">
        <f>[1]見込!$M$23</f>
        <v>161.64161773700295</v>
      </c>
      <c r="I3" s="9">
        <f>'Otemachi Daily'!H6</f>
        <v>11022.8262</v>
      </c>
      <c r="J3" s="34">
        <v>10.79</v>
      </c>
      <c r="K3" s="9">
        <f>'Otemachi Daily'!J6</f>
        <v>751.44899999999996</v>
      </c>
      <c r="L3" s="34">
        <v>7.22</v>
      </c>
      <c r="M3" s="9">
        <f>'Otemachi Daily'!L6</f>
        <v>144</v>
      </c>
      <c r="N3" s="34">
        <v>741</v>
      </c>
      <c r="O3" s="9">
        <f>'Otemachi Daily'!M6</f>
        <v>52</v>
      </c>
      <c r="P3" s="9">
        <f>'Otemachi Daily'!N6</f>
        <v>92</v>
      </c>
    </row>
    <row r="4" spans="1:16" ht="15">
      <c r="A4" s="6" t="s">
        <v>22</v>
      </c>
      <c r="B4" s="7">
        <f t="shared" ref="B4:B32" si="0">B3+1</f>
        <v>3</v>
      </c>
      <c r="C4" s="8">
        <v>6</v>
      </c>
      <c r="D4" s="7">
        <v>2022</v>
      </c>
      <c r="E4" s="9">
        <f>'Otemachi Daily'!D7</f>
        <v>15306</v>
      </c>
      <c r="F4" s="34">
        <f>[1]見込!$G$3</f>
        <v>28.5</v>
      </c>
      <c r="G4" s="9">
        <f>'Otemachi Daily'!F7</f>
        <v>184.1</v>
      </c>
      <c r="H4" s="34">
        <f>[1]見込!$M$23</f>
        <v>161.64161773700295</v>
      </c>
      <c r="I4" s="9">
        <f>'Otemachi Daily'!H7</f>
        <v>9094.3385999999991</v>
      </c>
      <c r="J4" s="34">
        <v>10.79</v>
      </c>
      <c r="K4" s="9">
        <f>'Otemachi Daily'!J7</f>
        <v>1115.367</v>
      </c>
      <c r="L4" s="34">
        <v>7.22</v>
      </c>
      <c r="M4" s="9">
        <f>'Otemachi Daily'!L7</f>
        <v>127</v>
      </c>
      <c r="N4" s="34">
        <v>741</v>
      </c>
      <c r="O4" s="9">
        <f>'Otemachi Daily'!M7</f>
        <v>120</v>
      </c>
      <c r="P4" s="9">
        <f>'Otemachi Daily'!N7</f>
        <v>252</v>
      </c>
    </row>
    <row r="5" spans="1:16" ht="15">
      <c r="A5" s="6" t="s">
        <v>22</v>
      </c>
      <c r="B5" s="7">
        <f t="shared" si="0"/>
        <v>4</v>
      </c>
      <c r="C5" s="8">
        <v>6</v>
      </c>
      <c r="D5" s="7">
        <v>2022</v>
      </c>
      <c r="E5" s="9">
        <f>'Otemachi Daily'!D8</f>
        <v>15522</v>
      </c>
      <c r="F5" s="34">
        <f>[1]見込!$G$3</f>
        <v>28.5</v>
      </c>
      <c r="G5" s="9">
        <f>'Otemachi Daily'!F8</f>
        <v>191.7</v>
      </c>
      <c r="H5" s="34">
        <f>[1]見込!$M$23</f>
        <v>161.64161773700295</v>
      </c>
      <c r="I5" s="9">
        <f>'Otemachi Daily'!H8</f>
        <v>9891.6245999999992</v>
      </c>
      <c r="J5" s="34">
        <v>10.79</v>
      </c>
      <c r="K5" s="9">
        <f>'Otemachi Daily'!J8</f>
        <v>1624.5744</v>
      </c>
      <c r="L5" s="34">
        <v>7.22</v>
      </c>
      <c r="M5" s="9">
        <f>'Otemachi Daily'!L8</f>
        <v>170</v>
      </c>
      <c r="N5" s="34">
        <v>741</v>
      </c>
      <c r="O5" s="9">
        <f>'Otemachi Daily'!M8</f>
        <v>125</v>
      </c>
      <c r="P5" s="9">
        <f>'Otemachi Daily'!N8</f>
        <v>257</v>
      </c>
    </row>
    <row r="6" spans="1:16" ht="15">
      <c r="A6" s="6" t="s">
        <v>22</v>
      </c>
      <c r="B6" s="7">
        <f t="shared" si="0"/>
        <v>5</v>
      </c>
      <c r="C6" s="8">
        <v>6</v>
      </c>
      <c r="D6" s="7">
        <v>2022</v>
      </c>
      <c r="E6" s="9">
        <f>'Otemachi Daily'!D9</f>
        <v>15515</v>
      </c>
      <c r="F6" s="34">
        <f>[1]見込!$G$3</f>
        <v>28.5</v>
      </c>
      <c r="G6" s="9">
        <f>'Otemachi Daily'!F9</f>
        <v>197.7</v>
      </c>
      <c r="H6" s="34">
        <f>[1]見込!$M$23</f>
        <v>161.64161773700295</v>
      </c>
      <c r="I6" s="9">
        <f>'Otemachi Daily'!H9</f>
        <v>10598.3478</v>
      </c>
      <c r="J6" s="34">
        <v>10.79</v>
      </c>
      <c r="K6" s="9">
        <f>'Otemachi Daily'!J9</f>
        <v>1166.76</v>
      </c>
      <c r="L6" s="34">
        <v>7.22</v>
      </c>
      <c r="M6" s="9">
        <f>'Otemachi Daily'!L9</f>
        <v>178</v>
      </c>
      <c r="N6" s="34">
        <v>741</v>
      </c>
      <c r="O6" s="9">
        <f>'Otemachi Daily'!M9</f>
        <v>72</v>
      </c>
      <c r="P6" s="9">
        <f>'Otemachi Daily'!N9</f>
        <v>124</v>
      </c>
    </row>
    <row r="7" spans="1:16" ht="15">
      <c r="A7" s="6" t="s">
        <v>22</v>
      </c>
      <c r="B7" s="7">
        <f t="shared" si="0"/>
        <v>6</v>
      </c>
      <c r="C7" s="8">
        <v>6</v>
      </c>
      <c r="D7" s="7">
        <v>2022</v>
      </c>
      <c r="E7" s="9">
        <f>'Otemachi Daily'!D10</f>
        <v>14706</v>
      </c>
      <c r="F7" s="34">
        <f>[1]見込!$G$3</f>
        <v>28.5</v>
      </c>
      <c r="G7" s="9">
        <f>'Otemachi Daily'!F10</f>
        <v>176</v>
      </c>
      <c r="H7" s="34">
        <f>[1]見込!$M$23</f>
        <v>161.64161773700295</v>
      </c>
      <c r="I7" s="9">
        <f>'Otemachi Daily'!H10</f>
        <v>7463.3747999999996</v>
      </c>
      <c r="J7" s="34">
        <v>10.79</v>
      </c>
      <c r="K7" s="9">
        <f>'Otemachi Daily'!J10</f>
        <v>2966.904</v>
      </c>
      <c r="L7" s="34">
        <v>7.22</v>
      </c>
      <c r="M7" s="9">
        <f>'Otemachi Daily'!L10</f>
        <v>123</v>
      </c>
      <c r="N7" s="34">
        <v>741</v>
      </c>
      <c r="O7" s="9">
        <f>'Otemachi Daily'!M10</f>
        <v>60</v>
      </c>
      <c r="P7" s="9">
        <f>'Otemachi Daily'!N10</f>
        <v>96</v>
      </c>
    </row>
    <row r="8" spans="1:16" ht="15">
      <c r="A8" s="6" t="s">
        <v>22</v>
      </c>
      <c r="B8" s="7">
        <f t="shared" si="0"/>
        <v>7</v>
      </c>
      <c r="C8" s="8">
        <v>6</v>
      </c>
      <c r="D8" s="7">
        <v>2022</v>
      </c>
      <c r="E8" s="9">
        <f>'Otemachi Daily'!D11</f>
        <v>14460</v>
      </c>
      <c r="F8" s="34">
        <f>[1]見込!$G$3</f>
        <v>28.5</v>
      </c>
      <c r="G8" s="9">
        <f>'Otemachi Daily'!F11</f>
        <v>189.6</v>
      </c>
      <c r="H8" s="34">
        <f>[1]見込!$M$23</f>
        <v>161.64161773700295</v>
      </c>
      <c r="I8" s="9">
        <f>'Otemachi Daily'!H11</f>
        <v>4306.7334000000001</v>
      </c>
      <c r="J8" s="34">
        <v>10.79</v>
      </c>
      <c r="K8" s="9">
        <f>'Otemachi Daily'!J11</f>
        <v>2441.3063999999999</v>
      </c>
      <c r="L8" s="34">
        <v>7.22</v>
      </c>
      <c r="M8" s="9">
        <f>'Otemachi Daily'!L11</f>
        <v>120</v>
      </c>
      <c r="N8" s="34">
        <v>741</v>
      </c>
      <c r="O8" s="9">
        <f>'Otemachi Daily'!M11</f>
        <v>69</v>
      </c>
      <c r="P8" s="9">
        <f>'Otemachi Daily'!N11</f>
        <v>119</v>
      </c>
    </row>
    <row r="9" spans="1:16" ht="15">
      <c r="A9" s="6" t="s">
        <v>22</v>
      </c>
      <c r="B9" s="7">
        <f t="shared" si="0"/>
        <v>8</v>
      </c>
      <c r="C9" s="8">
        <v>6</v>
      </c>
      <c r="D9" s="7">
        <v>2022</v>
      </c>
      <c r="E9" s="9">
        <f>'Otemachi Daily'!D12</f>
        <v>0</v>
      </c>
      <c r="F9" s="34">
        <f>[1]見込!$G$3</f>
        <v>28.5</v>
      </c>
      <c r="G9" s="9">
        <f>'Otemachi Daily'!F12</f>
        <v>0</v>
      </c>
      <c r="H9" s="34">
        <f>[1]見込!$M$23</f>
        <v>161.64161773700295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6</v>
      </c>
      <c r="D10" s="7">
        <v>2022</v>
      </c>
      <c r="E10" s="9">
        <f>'Otemachi Daily'!D13</f>
        <v>0</v>
      </c>
      <c r="F10" s="34">
        <f>[1]見込!$G$3</f>
        <v>28.5</v>
      </c>
      <c r="G10" s="9">
        <f>'Otemachi Daily'!F13</f>
        <v>0</v>
      </c>
      <c r="H10" s="34">
        <f>[1]見込!$M$23</f>
        <v>161.64161773700295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6</v>
      </c>
      <c r="D11" s="7">
        <v>2022</v>
      </c>
      <c r="E11" s="9">
        <f>'Otemachi Daily'!D14</f>
        <v>0</v>
      </c>
      <c r="F11" s="34">
        <f>[1]見込!$G$3</f>
        <v>28.5</v>
      </c>
      <c r="G11" s="9">
        <f>'Otemachi Daily'!F14</f>
        <v>0</v>
      </c>
      <c r="H11" s="34">
        <f>[1]見込!$M$23</f>
        <v>161.64161773700295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6</v>
      </c>
      <c r="D12" s="7">
        <v>2022</v>
      </c>
      <c r="E12" s="9">
        <f>'Otemachi Daily'!D15</f>
        <v>0</v>
      </c>
      <c r="F12" s="34">
        <f>[1]見込!$G$3</f>
        <v>28.5</v>
      </c>
      <c r="G12" s="9">
        <f>'Otemachi Daily'!F15</f>
        <v>0</v>
      </c>
      <c r="H12" s="34">
        <f>[1]見込!$M$23</f>
        <v>161.64161773700295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6</v>
      </c>
      <c r="D13" s="7">
        <v>2022</v>
      </c>
      <c r="E13" s="9">
        <f>'Otemachi Daily'!D16</f>
        <v>0</v>
      </c>
      <c r="F13" s="34">
        <f>[1]見込!$G$3</f>
        <v>28.5</v>
      </c>
      <c r="G13" s="9">
        <f>'Otemachi Daily'!F16</f>
        <v>0</v>
      </c>
      <c r="H13" s="34">
        <f>[1]見込!$M$23</f>
        <v>161.64161773700295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6</v>
      </c>
      <c r="D14" s="7">
        <v>2022</v>
      </c>
      <c r="E14" s="9">
        <f>'Otemachi Daily'!D17</f>
        <v>0</v>
      </c>
      <c r="F14" s="34">
        <f>[1]見込!$G$3</f>
        <v>28.5</v>
      </c>
      <c r="G14" s="9">
        <f>'Otemachi Daily'!F17</f>
        <v>0</v>
      </c>
      <c r="H14" s="34">
        <f>[1]見込!$M$23</f>
        <v>161.64161773700295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6</v>
      </c>
      <c r="D15" s="7">
        <v>2022</v>
      </c>
      <c r="E15" s="9">
        <f>'Otemachi Daily'!D18</f>
        <v>0</v>
      </c>
      <c r="F15" s="34">
        <f>[1]見込!$G$3</f>
        <v>28.5</v>
      </c>
      <c r="G15" s="9">
        <f>'Otemachi Daily'!F18</f>
        <v>0</v>
      </c>
      <c r="H15" s="34">
        <f>[1]見込!$M$23</f>
        <v>161.64161773700295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6</v>
      </c>
      <c r="D16" s="7">
        <v>2022</v>
      </c>
      <c r="E16" s="9">
        <f>'Otemachi Daily'!D19</f>
        <v>0</v>
      </c>
      <c r="F16" s="34">
        <f>[1]見込!$G$3</f>
        <v>28.5</v>
      </c>
      <c r="G16" s="9">
        <f>'Otemachi Daily'!F19</f>
        <v>0</v>
      </c>
      <c r="H16" s="34">
        <f>[1]見込!$M$23</f>
        <v>161.64161773700295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6</v>
      </c>
      <c r="D17" s="7">
        <v>2022</v>
      </c>
      <c r="E17" s="9">
        <f>'Otemachi Daily'!D20</f>
        <v>0</v>
      </c>
      <c r="F17" s="34">
        <f>[1]見込!$G$3</f>
        <v>28.5</v>
      </c>
      <c r="G17" s="9">
        <f>'Otemachi Daily'!F20</f>
        <v>0</v>
      </c>
      <c r="H17" s="34">
        <f>[1]見込!$M$23</f>
        <v>161.64161773700295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6</v>
      </c>
      <c r="D18" s="7">
        <v>2022</v>
      </c>
      <c r="E18" s="9">
        <f>'Otemachi Daily'!D21</f>
        <v>0</v>
      </c>
      <c r="F18" s="34">
        <f>[1]見込!$G$3</f>
        <v>28.5</v>
      </c>
      <c r="G18" s="9">
        <f>'Otemachi Daily'!F21</f>
        <v>0</v>
      </c>
      <c r="H18" s="34">
        <f>[1]見込!$M$23</f>
        <v>161.64161773700295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6</v>
      </c>
      <c r="D19" s="7">
        <v>2022</v>
      </c>
      <c r="E19" s="9">
        <f>'Otemachi Daily'!D22</f>
        <v>0</v>
      </c>
      <c r="F19" s="34">
        <f>[1]見込!$G$3</f>
        <v>28.5</v>
      </c>
      <c r="G19" s="9">
        <f>'Otemachi Daily'!F22</f>
        <v>0</v>
      </c>
      <c r="H19" s="34">
        <f>[1]見込!$M$23</f>
        <v>161.64161773700295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6</v>
      </c>
      <c r="D20" s="7">
        <v>2022</v>
      </c>
      <c r="E20" s="9">
        <f>'Otemachi Daily'!D23</f>
        <v>0</v>
      </c>
      <c r="F20" s="34">
        <f>[1]見込!$G$3</f>
        <v>28.5</v>
      </c>
      <c r="G20" s="9">
        <f>'Otemachi Daily'!F23</f>
        <v>0</v>
      </c>
      <c r="H20" s="34">
        <f>[1]見込!$M$23</f>
        <v>161.64161773700295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6</v>
      </c>
      <c r="D21" s="7">
        <v>2022</v>
      </c>
      <c r="E21" s="9">
        <f>'Otemachi Daily'!D24</f>
        <v>0</v>
      </c>
      <c r="F21" s="34">
        <f>[1]見込!$G$3</f>
        <v>28.5</v>
      </c>
      <c r="G21" s="9">
        <f>'Otemachi Daily'!F24</f>
        <v>0</v>
      </c>
      <c r="H21" s="34">
        <f>[1]見込!$M$23</f>
        <v>161.64161773700295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6</v>
      </c>
      <c r="D22" s="7">
        <v>2022</v>
      </c>
      <c r="E22" s="9">
        <f>'Otemachi Daily'!D25</f>
        <v>0</v>
      </c>
      <c r="F22" s="34">
        <f>[1]見込!$G$3</f>
        <v>28.5</v>
      </c>
      <c r="G22" s="9">
        <f>'Otemachi Daily'!F25</f>
        <v>0</v>
      </c>
      <c r="H22" s="34">
        <f>[1]見込!$M$23</f>
        <v>161.64161773700295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6</v>
      </c>
      <c r="D23" s="7">
        <v>2022</v>
      </c>
      <c r="E23" s="9">
        <f>'Otemachi Daily'!D26</f>
        <v>0</v>
      </c>
      <c r="F23" s="34">
        <f>[1]見込!$G$3</f>
        <v>28.5</v>
      </c>
      <c r="G23" s="9">
        <f>'Otemachi Daily'!F26</f>
        <v>0</v>
      </c>
      <c r="H23" s="34">
        <f>[1]見込!$M$23</f>
        <v>161.64161773700295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6</v>
      </c>
      <c r="D24" s="7">
        <v>2022</v>
      </c>
      <c r="E24" s="9">
        <f>'Otemachi Daily'!D27</f>
        <v>0</v>
      </c>
      <c r="F24" s="34">
        <f>[1]見込!$G$3</f>
        <v>28.5</v>
      </c>
      <c r="G24" s="9">
        <f>'Otemachi Daily'!F27</f>
        <v>0</v>
      </c>
      <c r="H24" s="34">
        <f>[1]見込!$M$23</f>
        <v>161.64161773700295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6</v>
      </c>
      <c r="D25" s="7">
        <v>2022</v>
      </c>
      <c r="E25" s="9">
        <f>'Otemachi Daily'!D28</f>
        <v>0</v>
      </c>
      <c r="F25" s="34">
        <f>[1]見込!$G$3</f>
        <v>28.5</v>
      </c>
      <c r="G25" s="9">
        <f>'Otemachi Daily'!F28</f>
        <v>0</v>
      </c>
      <c r="H25" s="34">
        <f>[1]見込!$M$23</f>
        <v>161.64161773700295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6</v>
      </c>
      <c r="D26" s="7">
        <v>2022</v>
      </c>
      <c r="E26" s="9">
        <f>'Otemachi Daily'!D29</f>
        <v>0</v>
      </c>
      <c r="F26" s="34">
        <f>[1]見込!$G$3</f>
        <v>28.5</v>
      </c>
      <c r="G26" s="9">
        <f>'Otemachi Daily'!F29</f>
        <v>0</v>
      </c>
      <c r="H26" s="34">
        <f>[1]見込!$M$23</f>
        <v>161.64161773700295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6</v>
      </c>
      <c r="D27" s="7">
        <v>2022</v>
      </c>
      <c r="E27" s="9">
        <f>'Otemachi Daily'!D30</f>
        <v>0</v>
      </c>
      <c r="F27" s="34">
        <f>[1]見込!$G$3</f>
        <v>28.5</v>
      </c>
      <c r="G27" s="9">
        <f>'Otemachi Daily'!F30</f>
        <v>0</v>
      </c>
      <c r="H27" s="34">
        <f>[1]見込!$M$23</f>
        <v>161.64161773700295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6</v>
      </c>
      <c r="D28" s="7">
        <v>2022</v>
      </c>
      <c r="E28" s="9">
        <f>'Otemachi Daily'!D31</f>
        <v>0</v>
      </c>
      <c r="F28" s="34">
        <f>[1]見込!$G$3</f>
        <v>28.5</v>
      </c>
      <c r="G28" s="9">
        <f>'Otemachi Daily'!F31</f>
        <v>0</v>
      </c>
      <c r="H28" s="34">
        <f>[1]見込!$M$23</f>
        <v>161.64161773700295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6</v>
      </c>
      <c r="D29" s="7">
        <v>2022</v>
      </c>
      <c r="E29" s="9">
        <f>'Otemachi Daily'!D32</f>
        <v>0</v>
      </c>
      <c r="F29" s="34">
        <f>[1]見込!$G$3</f>
        <v>28.5</v>
      </c>
      <c r="G29" s="9">
        <f>'Otemachi Daily'!F32</f>
        <v>0</v>
      </c>
      <c r="H29" s="34">
        <f>[1]見込!$M$23</f>
        <v>161.64161773700295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6</v>
      </c>
      <c r="D30" s="7">
        <v>2022</v>
      </c>
      <c r="E30" s="9">
        <f>'Otemachi Daily'!D33</f>
        <v>0</v>
      </c>
      <c r="F30" s="34">
        <f>[1]見込!$G$3</f>
        <v>28.5</v>
      </c>
      <c r="G30" s="9">
        <f>'Otemachi Daily'!F33</f>
        <v>0</v>
      </c>
      <c r="H30" s="34">
        <f>[1]見込!$M$23</f>
        <v>161.64161773700295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6</v>
      </c>
      <c r="D31" s="7">
        <v>2022</v>
      </c>
      <c r="E31" s="9">
        <f>'Otemachi Daily'!D34</f>
        <v>0</v>
      </c>
      <c r="F31" s="34">
        <f>[1]見込!$G$3</f>
        <v>28.5</v>
      </c>
      <c r="G31" s="9">
        <f>'Otemachi Daily'!F34</f>
        <v>0</v>
      </c>
      <c r="H31" s="34">
        <f>[1]見込!$M$23</f>
        <v>161.64161773700295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6</v>
      </c>
      <c r="D32" s="7">
        <v>2022</v>
      </c>
      <c r="E32" s="9">
        <f>'Otemachi Daily'!D35</f>
        <v>0</v>
      </c>
      <c r="F32" s="34">
        <f>[1]見込!$G$3</f>
        <v>28.5</v>
      </c>
      <c r="G32" s="9">
        <f>'Otemachi Daily'!F35</f>
        <v>0</v>
      </c>
      <c r="H32" s="34">
        <f>[1]見込!$M$23</f>
        <v>161.64161773700295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9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44713</v>
      </c>
      <c r="B5" s="38"/>
      <c r="C5" s="35">
        <f>[1]コスト!$G$147</f>
        <v>14526</v>
      </c>
      <c r="D5" s="35">
        <f>C5</f>
        <v>14526</v>
      </c>
      <c r="E5" s="35">
        <f>[1]コスト!$G$23</f>
        <v>160.1</v>
      </c>
      <c r="F5" s="35">
        <f>E5</f>
        <v>160.1</v>
      </c>
      <c r="G5" s="35">
        <f>[1]コスト!$G$115</f>
        <v>11492.0304</v>
      </c>
      <c r="H5" s="35">
        <f>G5</f>
        <v>11492.0304</v>
      </c>
      <c r="I5" s="35">
        <f>[1]コスト!$G$91</f>
        <v>919.24019999999996</v>
      </c>
      <c r="J5" s="35">
        <f>I5</f>
        <v>919.24019999999996</v>
      </c>
      <c r="K5" s="35">
        <f>[1]コスト!$G$41</f>
        <v>110</v>
      </c>
      <c r="L5" s="35">
        <f>K5</f>
        <v>110</v>
      </c>
      <c r="M5" s="35">
        <f>[1]使用量!$G$387</f>
        <v>56</v>
      </c>
      <c r="N5" s="35">
        <f>[1]使用量!$G$388</f>
        <v>97</v>
      </c>
      <c r="O5" s="26"/>
      <c r="P5" s="37"/>
      <c r="Q5" s="37"/>
    </row>
    <row r="6" spans="1:17" ht="45" customHeight="1">
      <c r="A6" s="28">
        <v>44714</v>
      </c>
      <c r="B6" s="38"/>
      <c r="C6" s="35">
        <f>[1]コスト!$H$147</f>
        <v>15165</v>
      </c>
      <c r="D6" s="35">
        <f t="shared" ref="D6:F35" si="0">C6</f>
        <v>15165</v>
      </c>
      <c r="E6" s="35">
        <f>[1]コスト!$H$23</f>
        <v>176.1</v>
      </c>
      <c r="F6" s="35">
        <f t="shared" si="0"/>
        <v>176.1</v>
      </c>
      <c r="G6" s="35">
        <f>[1]コスト!$H$115</f>
        <v>11022.8262</v>
      </c>
      <c r="H6" s="35">
        <f t="shared" ref="H6" si="1">G6</f>
        <v>11022.8262</v>
      </c>
      <c r="I6" s="35">
        <f>[1]コスト!$H$91</f>
        <v>751.44899999999996</v>
      </c>
      <c r="J6" s="35">
        <f t="shared" ref="J6" si="2">I6</f>
        <v>751.44899999999996</v>
      </c>
      <c r="K6" s="35">
        <f>[1]コスト!$H$41</f>
        <v>144</v>
      </c>
      <c r="L6" s="35">
        <f t="shared" ref="L6" si="3">K6</f>
        <v>144</v>
      </c>
      <c r="M6" s="35">
        <f>[1]使用量!$H$387</f>
        <v>52</v>
      </c>
      <c r="N6" s="35">
        <f>[1]使用量!$H$388</f>
        <v>92</v>
      </c>
      <c r="O6" s="26"/>
      <c r="P6" s="37"/>
      <c r="Q6" s="37"/>
    </row>
    <row r="7" spans="1:17" ht="45" customHeight="1">
      <c r="A7" s="28">
        <v>44715</v>
      </c>
      <c r="B7" s="38"/>
      <c r="C7" s="35">
        <f>[1]コスト!$I$147</f>
        <v>15306</v>
      </c>
      <c r="D7" s="35">
        <f t="shared" si="0"/>
        <v>15306</v>
      </c>
      <c r="E7" s="35">
        <f>[1]コスト!$I$23</f>
        <v>184.1</v>
      </c>
      <c r="F7" s="35">
        <f t="shared" si="0"/>
        <v>184.1</v>
      </c>
      <c r="G7" s="35">
        <f>[1]コスト!$I$115</f>
        <v>9094.3385999999991</v>
      </c>
      <c r="H7" s="35">
        <f t="shared" ref="H7" si="4">G7</f>
        <v>9094.3385999999991</v>
      </c>
      <c r="I7" s="35">
        <f>[1]コスト!$I$91</f>
        <v>1115.367</v>
      </c>
      <c r="J7" s="35">
        <f t="shared" ref="J7" si="5">I7</f>
        <v>1115.367</v>
      </c>
      <c r="K7" s="35">
        <f>[1]コスト!$I$41</f>
        <v>127</v>
      </c>
      <c r="L7" s="35">
        <f t="shared" ref="L7" si="6">K7</f>
        <v>127</v>
      </c>
      <c r="M7" s="35">
        <f>[1]使用量!$I$387</f>
        <v>120</v>
      </c>
      <c r="N7" s="35">
        <f>[1]使用量!$I$388</f>
        <v>252</v>
      </c>
      <c r="P7" s="37"/>
      <c r="Q7" s="37"/>
    </row>
    <row r="8" spans="1:17" ht="45" customHeight="1">
      <c r="A8" s="28">
        <v>44716</v>
      </c>
      <c r="B8" s="38"/>
      <c r="C8" s="35">
        <f>[1]コスト!$J$147</f>
        <v>15522</v>
      </c>
      <c r="D8" s="35">
        <f t="shared" si="0"/>
        <v>15522</v>
      </c>
      <c r="E8" s="35">
        <f>[1]コスト!$J$23</f>
        <v>191.7</v>
      </c>
      <c r="F8" s="35">
        <f t="shared" si="0"/>
        <v>191.7</v>
      </c>
      <c r="G8" s="35">
        <f>[1]コスト!$J$115</f>
        <v>9891.6245999999992</v>
      </c>
      <c r="H8" s="35">
        <f t="shared" ref="H8" si="7">G8</f>
        <v>9891.6245999999992</v>
      </c>
      <c r="I8" s="35">
        <f>[1]コスト!$J$91</f>
        <v>1624.5744</v>
      </c>
      <c r="J8" s="35">
        <f t="shared" ref="J8" si="8">I8</f>
        <v>1624.5744</v>
      </c>
      <c r="K8" s="35">
        <f>[1]コスト!$J$41</f>
        <v>170</v>
      </c>
      <c r="L8" s="35">
        <f t="shared" ref="L8" si="9">K8</f>
        <v>170</v>
      </c>
      <c r="M8" s="35">
        <f>[1]使用量!$J$387</f>
        <v>125</v>
      </c>
      <c r="N8" s="35">
        <f>[1]使用量!$J$388</f>
        <v>257</v>
      </c>
      <c r="P8" s="37"/>
      <c r="Q8" s="37"/>
    </row>
    <row r="9" spans="1:17" ht="45" customHeight="1">
      <c r="A9" s="28">
        <v>44717</v>
      </c>
      <c r="B9" s="38"/>
      <c r="C9" s="35">
        <f>[1]コスト!$K$147</f>
        <v>15515</v>
      </c>
      <c r="D9" s="35">
        <f t="shared" si="0"/>
        <v>15515</v>
      </c>
      <c r="E9" s="35">
        <f>[1]コスト!$K$23</f>
        <v>197.7</v>
      </c>
      <c r="F9" s="35">
        <f t="shared" si="0"/>
        <v>197.7</v>
      </c>
      <c r="G9" s="35">
        <f>[1]コスト!$K$115</f>
        <v>10598.3478</v>
      </c>
      <c r="H9" s="35">
        <f t="shared" ref="H9" si="10">G9</f>
        <v>10598.3478</v>
      </c>
      <c r="I9" s="35">
        <f>[1]コスト!$K$91</f>
        <v>1166.76</v>
      </c>
      <c r="J9" s="35">
        <f t="shared" ref="J9" si="11">I9</f>
        <v>1166.76</v>
      </c>
      <c r="K9" s="35">
        <f>[1]コスト!$K$41</f>
        <v>178</v>
      </c>
      <c r="L9" s="35">
        <f t="shared" ref="L9" si="12">K9</f>
        <v>178</v>
      </c>
      <c r="M9" s="35">
        <f>[1]使用量!$K$387</f>
        <v>72</v>
      </c>
      <c r="N9" s="35">
        <f>[1]使用量!$K$388</f>
        <v>124</v>
      </c>
      <c r="P9" s="37"/>
      <c r="Q9" s="37"/>
    </row>
    <row r="10" spans="1:17" ht="45" customHeight="1">
      <c r="A10" s="28">
        <v>44718</v>
      </c>
      <c r="B10" s="38"/>
      <c r="C10" s="35">
        <f>[1]コスト!$L$147</f>
        <v>14706</v>
      </c>
      <c r="D10" s="35">
        <f t="shared" si="0"/>
        <v>14706</v>
      </c>
      <c r="E10" s="35">
        <f>[1]コスト!$L$23</f>
        <v>176</v>
      </c>
      <c r="F10" s="35">
        <f t="shared" si="0"/>
        <v>176</v>
      </c>
      <c r="G10" s="35">
        <f>[1]コスト!$L$115</f>
        <v>7463.3747999999996</v>
      </c>
      <c r="H10" s="35">
        <f t="shared" ref="H10" si="13">G10</f>
        <v>7463.3747999999996</v>
      </c>
      <c r="I10" s="35">
        <f>[1]コスト!$L$91</f>
        <v>2966.904</v>
      </c>
      <c r="J10" s="35">
        <f t="shared" ref="J10" si="14">I10</f>
        <v>2966.904</v>
      </c>
      <c r="K10" s="35">
        <f>[1]コスト!$L$41</f>
        <v>123</v>
      </c>
      <c r="L10" s="35">
        <f t="shared" ref="L10" si="15">K10</f>
        <v>123</v>
      </c>
      <c r="M10" s="35">
        <f>[1]使用量!$L$387</f>
        <v>60</v>
      </c>
      <c r="N10" s="35">
        <f>[1]使用量!$L$388</f>
        <v>96</v>
      </c>
      <c r="P10" s="37"/>
      <c r="Q10" s="37"/>
    </row>
    <row r="11" spans="1:17" ht="45" customHeight="1">
      <c r="A11" s="28">
        <v>44719</v>
      </c>
      <c r="B11" s="38"/>
      <c r="C11" s="35">
        <f>[1]コスト!$M$147</f>
        <v>14460</v>
      </c>
      <c r="D11" s="35">
        <f t="shared" si="0"/>
        <v>14460</v>
      </c>
      <c r="E11" s="35">
        <f>[1]コスト!$M$23</f>
        <v>189.6</v>
      </c>
      <c r="F11" s="35">
        <f t="shared" si="0"/>
        <v>189.6</v>
      </c>
      <c r="G11" s="35">
        <f>[1]コスト!$M$115</f>
        <v>4306.7334000000001</v>
      </c>
      <c r="H11" s="35">
        <f t="shared" ref="H11" si="16">G11</f>
        <v>4306.7334000000001</v>
      </c>
      <c r="I11" s="35">
        <f>[1]コスト!$M$91</f>
        <v>2441.3063999999999</v>
      </c>
      <c r="J11" s="35">
        <f t="shared" ref="J11" si="17">I11</f>
        <v>2441.3063999999999</v>
      </c>
      <c r="K11" s="35">
        <f>[1]コスト!$M$41</f>
        <v>120</v>
      </c>
      <c r="L11" s="35">
        <f t="shared" ref="L11" si="18">K11</f>
        <v>120</v>
      </c>
      <c r="M11" s="35">
        <f>[1]使用量!$M$387</f>
        <v>69</v>
      </c>
      <c r="N11" s="35">
        <f>[1]使用量!$M$388</f>
        <v>119</v>
      </c>
      <c r="P11" s="37"/>
      <c r="Q11" s="37"/>
    </row>
    <row r="12" spans="1:17" ht="45" customHeight="1">
      <c r="A12" s="28">
        <v>44720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44721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44722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44723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44724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44725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44726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44727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44728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44729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44730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44731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44732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44733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44734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44735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44736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44737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44738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44739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44740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44741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44742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44743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2022-06-08T07:41:12Z</dcterms:modified>
</cp:coreProperties>
</file>