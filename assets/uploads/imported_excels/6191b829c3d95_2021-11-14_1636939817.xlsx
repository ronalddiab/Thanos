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5" i="1" l="1"/>
  <c r="AC15" i="1"/>
  <c r="AA15" i="1"/>
  <c r="Y15" i="1"/>
  <c r="R15" i="1"/>
  <c r="S15" i="1" s="1"/>
  <c r="P15" i="1"/>
  <c r="O15" i="1"/>
  <c r="L15" i="1"/>
  <c r="M15" i="1" s="1"/>
  <c r="I15" i="1"/>
  <c r="J15" i="1" s="1"/>
  <c r="G15" i="1"/>
  <c r="F15" i="1"/>
  <c r="C15" i="1"/>
  <c r="D15" i="1" s="1"/>
  <c r="T15" i="1" l="1"/>
  <c r="U15" i="1" s="1"/>
  <c r="U15" i="2"/>
  <c r="R15" i="2"/>
  <c r="Q15" i="2"/>
  <c r="O15" i="2"/>
  <c r="M15" i="2"/>
  <c r="I15" i="2"/>
  <c r="G15" i="2"/>
  <c r="AD16" i="1" l="1"/>
  <c r="AD17" i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E12" i="1"/>
  <c r="AE13" i="1"/>
  <c r="AE11" i="1"/>
  <c r="W13" i="4" l="1"/>
  <c r="S13" i="4"/>
  <c r="Q13" i="4"/>
  <c r="O13" i="4"/>
  <c r="Z13" i="4" s="1"/>
  <c r="M13" i="4"/>
  <c r="K13" i="4"/>
  <c r="H13" i="4"/>
  <c r="F13" i="4"/>
  <c r="X13" i="4" l="1"/>
  <c r="I13" i="4"/>
  <c r="Y13" i="4" s="1"/>
  <c r="Y11" i="4"/>
  <c r="W12" i="4"/>
  <c r="AE14" i="1" l="1"/>
  <c r="AB16" i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C32" i="1" s="1"/>
  <c r="X16" i="1" l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Z16" i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K10" i="2"/>
  <c r="AE16" i="1" l="1"/>
  <c r="K4" i="4"/>
  <c r="Q16" i="1" l="1"/>
  <c r="N16" i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H17" i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E17" i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17" i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T2" i="1"/>
  <c r="U2" i="1" s="1"/>
  <c r="H11" i="3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F17" i="3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17" i="3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J2" i="3"/>
  <c r="K2" i="3" s="1"/>
  <c r="V17" i="4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R17" i="4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P17" i="4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N17" i="4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L17" i="4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J17" i="4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G17" i="4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E17" i="4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C17" i="4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T17" i="2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P6" i="2"/>
  <c r="P7" i="2" s="1"/>
  <c r="P8" i="2" s="1"/>
  <c r="P9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N17" i="2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L17" i="2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H17" i="2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17" i="2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17" i="2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17" i="2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R2" i="2"/>
  <c r="Q17" i="1" l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AE17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AE18" i="1" l="1"/>
  <c r="AC25" i="1"/>
  <c r="AE19" i="1" l="1"/>
  <c r="AC27" i="1"/>
  <c r="AC26" i="1"/>
  <c r="D18" i="4"/>
  <c r="AE20" i="1" l="1"/>
  <c r="AA30" i="1"/>
  <c r="AC28" i="1"/>
  <c r="AC4" i="1"/>
  <c r="AC5" i="1"/>
  <c r="AC6" i="1"/>
  <c r="AC7" i="1"/>
  <c r="AC8" i="1"/>
  <c r="AE21" i="1" l="1"/>
  <c r="AC29" i="1"/>
  <c r="C11" i="5"/>
  <c r="AE22" i="1" l="1"/>
  <c r="AC30" i="1"/>
  <c r="C9" i="5"/>
  <c r="O10" i="1"/>
  <c r="AE23" i="1" l="1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AE24" i="1" l="1"/>
  <c r="Y3" i="1"/>
  <c r="AA4" i="1"/>
  <c r="J3" i="2"/>
  <c r="AE25" i="1" l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AE26" i="1" l="1"/>
  <c r="E15" i="2"/>
  <c r="G25" i="2"/>
  <c r="AE27" i="1" l="1"/>
  <c r="R14" i="2"/>
  <c r="R17" i="2" s="1"/>
  <c r="R18" i="2" s="1"/>
  <c r="R21" i="2" s="1"/>
  <c r="R24" i="2" s="1"/>
  <c r="R25" i="2" s="1"/>
  <c r="R26" i="2" s="1"/>
  <c r="R27" i="2" s="1"/>
  <c r="AE28" i="1" l="1"/>
  <c r="M26" i="2"/>
  <c r="AE29" i="1" l="1"/>
  <c r="AA32" i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E30" i="1" l="1"/>
  <c r="AA33" i="1"/>
  <c r="Y33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3" i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3" i="4"/>
  <c r="AE32" i="1" l="1"/>
  <c r="AE31" i="1"/>
  <c r="D22" i="1"/>
  <c r="T22" i="1"/>
  <c r="D24" i="1"/>
  <c r="T24" i="1"/>
  <c r="D23" i="1"/>
  <c r="T23" i="1"/>
  <c r="U30" i="2"/>
  <c r="K5" i="4"/>
  <c r="K6" i="4"/>
  <c r="K7" i="4"/>
  <c r="K8" i="4"/>
  <c r="K9" i="4"/>
  <c r="K10" i="4"/>
  <c r="K11" i="4"/>
  <c r="K12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F12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AE33" i="1" l="1"/>
  <c r="Q20" i="2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U3" i="2" l="1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J8" i="3" l="1"/>
  <c r="I8" i="4"/>
  <c r="T8" i="1"/>
  <c r="U8" i="1" s="1"/>
  <c r="Z8" i="4"/>
  <c r="X8" i="4"/>
  <c r="K8" i="3"/>
  <c r="Y8" i="4" l="1"/>
  <c r="C4" i="5"/>
  <c r="U33" i="4" l="1"/>
  <c r="K8" i="2" l="1"/>
  <c r="N94" i="10"/>
  <c r="D33" i="1" l="1"/>
  <c r="C33" i="1"/>
  <c r="C32" i="5"/>
  <c r="C31" i="5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T33" i="4"/>
  <c r="S8" i="2" l="1"/>
  <c r="K9" i="11"/>
  <c r="K7" i="11"/>
  <c r="K10" i="11"/>
  <c r="K4" i="11"/>
  <c r="K31" i="2"/>
  <c r="K3" i="11"/>
  <c r="K8" i="11"/>
  <c r="K6" i="11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J31" i="3" l="1"/>
  <c r="J32" i="3"/>
  <c r="AA30" i="8"/>
  <c r="K5" i="11"/>
  <c r="AA31" i="8"/>
  <c r="I32" i="4"/>
  <c r="G31" i="9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E30" i="8"/>
  <c r="W31" i="4"/>
  <c r="X31" i="4" s="1"/>
  <c r="S31" i="2" l="1"/>
  <c r="AC30" i="8" s="1"/>
  <c r="AC31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T30" i="8"/>
  <c r="K12" i="11"/>
  <c r="K13" i="11" s="1"/>
  <c r="K14" i="11" s="1"/>
  <c r="Y31" i="8"/>
  <c r="E31" i="9" s="1"/>
  <c r="Y30" i="8"/>
  <c r="E30" i="9" s="1"/>
  <c r="X32" i="4"/>
  <c r="Y32" i="4" s="1"/>
  <c r="Z32" i="4"/>
  <c r="I33" i="1" l="1"/>
  <c r="J33" i="1"/>
  <c r="T31" i="8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E15" i="3"/>
  <c r="C15" i="3"/>
  <c r="I14" i="3"/>
  <c r="E14" i="3"/>
  <c r="C14" i="3"/>
  <c r="Q14" i="2"/>
  <c r="J14" i="3" l="1"/>
  <c r="K14" i="3" s="1"/>
  <c r="J15" i="3"/>
  <c r="K15" i="3" s="1"/>
  <c r="Z15" i="4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3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C11" i="3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E10" i="3"/>
  <c r="F9" i="8" s="1"/>
  <c r="O12" i="8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L12" i="8"/>
  <c r="E13" i="2"/>
  <c r="S16" i="4"/>
  <c r="O15" i="8" s="1"/>
  <c r="L13" i="8"/>
  <c r="M16" i="2"/>
  <c r="Q13" i="2"/>
  <c r="H14" i="8"/>
  <c r="E14" i="8"/>
  <c r="I17" i="2"/>
  <c r="I16" i="2"/>
  <c r="S10" i="8"/>
  <c r="P12" i="8"/>
  <c r="N12" i="8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I23" i="3"/>
  <c r="H22" i="8" s="1"/>
  <c r="C23" i="3"/>
  <c r="T25" i="8"/>
  <c r="I24" i="3"/>
  <c r="H23" i="8" s="1"/>
  <c r="C24" i="3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C25" i="3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C27" i="3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6" i="8"/>
  <c r="E28" i="3"/>
  <c r="F27" i="8" s="1"/>
  <c r="C30" i="3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J6" i="3" l="1"/>
  <c r="J20" i="3"/>
  <c r="J5" i="3"/>
  <c r="J29" i="3"/>
  <c r="K29" i="3" s="1"/>
  <c r="J9" i="3"/>
  <c r="J7" i="3"/>
  <c r="K7" i="3" s="1"/>
  <c r="E11" i="8"/>
  <c r="J12" i="3"/>
  <c r="K12" i="3" s="1"/>
  <c r="E25" i="8"/>
  <c r="AD25" i="8" s="1"/>
  <c r="J26" i="3"/>
  <c r="K26" i="3" s="1"/>
  <c r="E21" i="8"/>
  <c r="AD21" i="8" s="1"/>
  <c r="J22" i="3"/>
  <c r="K22" i="3" s="1"/>
  <c r="E10" i="8"/>
  <c r="J11" i="3"/>
  <c r="K11" i="3" s="1"/>
  <c r="E29" i="8"/>
  <c r="AD29" i="8" s="1"/>
  <c r="E27" i="8"/>
  <c r="AD27" i="8" s="1"/>
  <c r="J28" i="3"/>
  <c r="K28" i="3" s="1"/>
  <c r="E24" i="8"/>
  <c r="AD24" i="8" s="1"/>
  <c r="J25" i="3"/>
  <c r="K25" i="3" s="1"/>
  <c r="E23" i="8"/>
  <c r="AD23" i="8" s="1"/>
  <c r="J24" i="3"/>
  <c r="K24" i="3" s="1"/>
  <c r="E12" i="8"/>
  <c r="AD12" i="8" s="1"/>
  <c r="J13" i="3"/>
  <c r="K13" i="3" s="1"/>
  <c r="E9" i="8"/>
  <c r="AD9" i="8" s="1"/>
  <c r="AE9" i="8" s="1"/>
  <c r="J10" i="3"/>
  <c r="K10" i="3" s="1"/>
  <c r="E26" i="8"/>
  <c r="AD26" i="8" s="1"/>
  <c r="J27" i="3"/>
  <c r="K27" i="3" s="1"/>
  <c r="E22" i="8"/>
  <c r="AD22" i="8" s="1"/>
  <c r="J23" i="3"/>
  <c r="K23" i="3" s="1"/>
  <c r="E20" i="8"/>
  <c r="AD20" i="8" s="1"/>
  <c r="J21" i="3"/>
  <c r="K21" i="3" s="1"/>
  <c r="E15" i="8"/>
  <c r="AD15" i="8" s="1"/>
  <c r="J16" i="3"/>
  <c r="K16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3" i="2"/>
  <c r="Q33" i="2"/>
  <c r="U33" i="2"/>
  <c r="E33" i="2"/>
  <c r="S33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3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C17" i="3"/>
  <c r="W15" i="8"/>
  <c r="O17" i="4"/>
  <c r="M16" i="8" s="1"/>
  <c r="S17" i="4"/>
  <c r="T9" i="1"/>
  <c r="U9" i="1" s="1"/>
  <c r="O12" i="4"/>
  <c r="M11" i="8" s="1"/>
  <c r="Z4" i="8"/>
  <c r="P6" i="8"/>
  <c r="Z7" i="4"/>
  <c r="K5" i="8"/>
  <c r="X6" i="4"/>
  <c r="Y6" i="4" s="1"/>
  <c r="H4" i="8"/>
  <c r="K5" i="3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K20" i="3"/>
  <c r="G16" i="8"/>
  <c r="E18" i="3"/>
  <c r="F17" i="8" s="1"/>
  <c r="E19" i="3"/>
  <c r="E28" i="8"/>
  <c r="AD7" i="8"/>
  <c r="AE7" i="8" s="1"/>
  <c r="AD19" i="8"/>
  <c r="F10" i="8"/>
  <c r="H28" i="8"/>
  <c r="H17" i="8"/>
  <c r="AD14" i="8"/>
  <c r="H11" i="8"/>
  <c r="K9" i="3"/>
  <c r="AD6" i="8"/>
  <c r="AE6" i="8" s="1"/>
  <c r="C27" i="11"/>
  <c r="D27" i="11" s="1"/>
  <c r="D26" i="11"/>
  <c r="C16" i="11"/>
  <c r="D16" i="11" s="1"/>
  <c r="D14" i="11"/>
  <c r="J30" i="3" l="1"/>
  <c r="K30" i="3" s="1"/>
  <c r="E16" i="8"/>
  <c r="AD16" i="8" s="1"/>
  <c r="J17" i="3"/>
  <c r="K17" i="3" s="1"/>
  <c r="AD4" i="8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3" i="1"/>
  <c r="AA8" i="4"/>
  <c r="W33" i="4"/>
  <c r="Y7" i="4"/>
  <c r="F33" i="1"/>
  <c r="G33" i="3"/>
  <c r="O33" i="1"/>
  <c r="M33" i="4"/>
  <c r="Y3" i="8"/>
  <c r="E3" i="9" s="1"/>
  <c r="Q33" i="4"/>
  <c r="E33" i="3"/>
  <c r="O33" i="2"/>
  <c r="U6" i="1"/>
  <c r="K6" i="3"/>
  <c r="Y5" i="4"/>
  <c r="Y4" i="4"/>
  <c r="S12" i="8"/>
  <c r="Y16" i="4"/>
  <c r="J15" i="8"/>
  <c r="Y15" i="8" s="1"/>
  <c r="Z12" i="4"/>
  <c r="AA13" i="4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AA9" i="8"/>
  <c r="AA10" i="4"/>
  <c r="AA9" i="4"/>
  <c r="M12" i="8"/>
  <c r="AA16" i="4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3" i="2" s="1"/>
  <c r="K11" i="8"/>
  <c r="X12" i="4"/>
  <c r="C22" i="11"/>
  <c r="D22" i="11" s="1"/>
  <c r="K18" i="2"/>
  <c r="AA17" i="8" s="1"/>
  <c r="AA8" i="8"/>
  <c r="O19" i="4"/>
  <c r="M18" i="8" s="1"/>
  <c r="O18" i="4"/>
  <c r="C19" i="3"/>
  <c r="C18" i="3"/>
  <c r="J18" i="3" s="1"/>
  <c r="P28" i="8"/>
  <c r="Z29" i="4"/>
  <c r="Z9" i="8"/>
  <c r="P17" i="8"/>
  <c r="X21" i="4"/>
  <c r="L20" i="8"/>
  <c r="AA27" i="4"/>
  <c r="I11" i="8"/>
  <c r="Z11" i="4"/>
  <c r="N10" i="8"/>
  <c r="AA5" i="4"/>
  <c r="AA4" i="4"/>
  <c r="AA6" i="4"/>
  <c r="AA7" i="4"/>
  <c r="Y7" i="8"/>
  <c r="E7" i="9" s="1"/>
  <c r="G11" i="2"/>
  <c r="Y14" i="8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16" i="8" l="1"/>
  <c r="I16" i="9" s="1"/>
  <c r="E18" i="8"/>
  <c r="AD18" i="8" s="1"/>
  <c r="J19" i="3"/>
  <c r="K19" i="3" s="1"/>
  <c r="AE28" i="8"/>
  <c r="I28" i="9" s="1"/>
  <c r="I33" i="2"/>
  <c r="K33" i="4"/>
  <c r="S33" i="1"/>
  <c r="L33" i="1"/>
  <c r="P33" i="1"/>
  <c r="O33" i="4"/>
  <c r="S33" i="4"/>
  <c r="C33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E9" i="9"/>
  <c r="X18" i="4"/>
  <c r="K17" i="8"/>
  <c r="Y12" i="8"/>
  <c r="K11" i="2"/>
  <c r="E17" i="8"/>
  <c r="AD17" i="8" s="1"/>
  <c r="K19" i="2"/>
  <c r="AA18" i="8" s="1"/>
  <c r="G12" i="2"/>
  <c r="G13" i="2"/>
  <c r="Z12" i="8" s="1"/>
  <c r="AA12" i="4"/>
  <c r="K18" i="8"/>
  <c r="X19" i="4"/>
  <c r="M17" i="8"/>
  <c r="Z19" i="4"/>
  <c r="Y10" i="8"/>
  <c r="V18" i="8"/>
  <c r="V17" i="8"/>
  <c r="AE17" i="8" l="1"/>
  <c r="I17" i="9" s="1"/>
  <c r="AE18" i="8"/>
  <c r="I18" i="9" s="1"/>
  <c r="M33" i="1"/>
  <c r="G33" i="2"/>
  <c r="Z33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3" i="4"/>
  <c r="R29" i="8" l="1"/>
  <c r="AA33" i="4"/>
  <c r="T30" i="1"/>
  <c r="U30" i="1" s="1"/>
  <c r="J18" i="8"/>
  <c r="Y18" i="8" s="1"/>
  <c r="Y19" i="4"/>
  <c r="K22" i="2"/>
  <c r="AA21" i="8" s="1"/>
  <c r="K23" i="2"/>
  <c r="AA13" i="8"/>
  <c r="K13" i="2"/>
  <c r="AA22" i="8" l="1"/>
  <c r="K33" i="2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3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3" i="1" s="1"/>
  <c r="R28" i="8"/>
  <c r="U29" i="1" l="1"/>
  <c r="U33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3" i="4" l="1"/>
  <c r="I28" i="8"/>
  <c r="Y28" i="8" s="1"/>
  <c r="I29" i="4"/>
  <c r="Y29" i="4" s="1"/>
  <c r="I29" i="8" l="1"/>
  <c r="Y29" i="8" s="1"/>
  <c r="I30" i="4"/>
  <c r="Y30" i="4" s="1"/>
  <c r="Y31" i="4" l="1"/>
  <c r="Y33" i="4" s="1"/>
  <c r="I33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3" i="4" l="1"/>
  <c r="K26" i="11"/>
  <c r="C7" i="11" l="1"/>
  <c r="D7" i="11" s="1"/>
  <c r="C5" i="11"/>
  <c r="D5" i="11" s="1"/>
  <c r="C6" i="11"/>
  <c r="D6" i="11" s="1"/>
  <c r="I33" i="3"/>
  <c r="H3" i="8"/>
  <c r="J4" i="3"/>
  <c r="J33" i="3" s="1"/>
  <c r="AD3" i="8" l="1"/>
  <c r="AE3" i="8" s="1"/>
  <c r="I3" i="9" s="1"/>
  <c r="K4" i="3"/>
  <c r="K33" i="3" s="1"/>
</calcChain>
</file>

<file path=xl/sharedStrings.xml><?xml version="1.0" encoding="utf-8"?>
<sst xmlns="http://schemas.openxmlformats.org/spreadsheetml/2006/main" count="441" uniqueCount="148">
  <si>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</si>
  <si>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</si>
  <si>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</si>
  <si>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</si>
  <si>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</si>
  <si>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</si>
  <si>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</si>
  <si>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</si>
  <si>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</si>
  <si>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</si>
  <si>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</si>
  <si>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</si>
  <si>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</si>
  <si>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</si>
  <si>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</si>
  <si>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</si>
  <si>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</si>
  <si>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</si>
  <si>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</si>
  <si>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</si>
  <si>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</si>
  <si>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</si>
  <si>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</si>
  <si>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</si>
  <si>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</si>
  <si>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</si>
  <si>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</si>
  <si>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</si>
  <si>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</si>
  <si>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</si>
  <si>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</si>
  <si>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</si>
  <si>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</si>
  <si>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</si>
  <si>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</si>
  <si>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</si>
  <si>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</si>
  <si>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</si>
  <si>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</si>
  <si>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</si>
  <si>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</si>
  <si>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</si>
  <si>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</si>
  <si>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</si>
  <si>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</si>
  <si>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</si>
  <si>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</si>
  <si>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</si>
  <si>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</si>
  <si>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</si>
  <si>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</si>
  <si>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</si>
  <si>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</si>
  <si>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</si>
  <si>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</si>
  <si>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</si>
  <si>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</si>
  <si>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</si>
  <si>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</si>
  <si>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</si>
  <si>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</si>
  <si>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</si>
  <si>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</si>
  <si>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</si>
  <si>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</si>
  <si>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</si>
  <si>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</si>
  <si>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</si>
  <si>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</si>
  <si>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</si>
  <si>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</si>
  <si>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</si>
  <si>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</si>
  <si>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</si>
  <si>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</si>
  <si>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</si>
  <si>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</si>
  <si>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</si>
  <si>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</si>
  <si>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</si>
  <si>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</si>
  <si>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</si>
  <si>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</si>
  <si>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</si>
  <si>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</si>
  <si>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</si>
  <si>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</si>
  <si>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</si>
  <si>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</si>
  <si>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</si>
  <si>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</si>
  <si>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</si>
  <si>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</si>
  <si>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</si>
  <si>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</si>
  <si>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</si>
  <si>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</si>
  <si>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</si>
  <si>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</si>
  <si>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</si>
  <si>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</si>
  <si>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</si>
  <si>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</si>
  <si>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</si>
  <si>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</si>
  <si>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</si>
  <si>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</si>
  <si>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</si>
  <si>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</si>
  <si>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</si>
  <si>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</si>
  <si>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</si>
  <si>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</si>
  <si>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</si>
  <si>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</si>
  <si>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</si>
  <si>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</si>
  <si>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</si>
  <si>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</si>
  <si>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</si>
  <si>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</si>
  <si>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</si>
  <si>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</si>
  <si>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</si>
  <si>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</si>
  <si>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</si>
  <si>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</si>
  <si>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</si>
  <si>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</si>
  <si>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</si>
  <si>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</si>
  <si>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</si>
  <si>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</si>
  <si>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</si>
  <si>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</si>
  <si>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</si>
  <si>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</si>
  <si>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</si>
  <si>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</si>
  <si>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</si>
  <si>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</si>
  <si>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</si>
  <si>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</si>
  <si>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</si>
  <si>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</si>
  <si>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</si>
  <si>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Energy Monthly Statement   November 2021</t>
  </si>
  <si>
    <t>Oil Boiler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</si>
</sst>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  <font>
      <b/>
      <sz val="12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4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/>
    </xf>
    <xf numFmtId="0" fontId="34" fillId="15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0" fillId="19" borderId="2" xfId="0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P36" sqref="P36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11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55288.978692000004</v>
      </c>
      <c r="F2" s="146">
        <v>1.27</v>
      </c>
      <c r="G2" s="42">
        <f>Gas!C3*0.9147</f>
        <v>1940.9933999999998</v>
      </c>
      <c r="H2" s="147">
        <v>3.65</v>
      </c>
      <c r="I2" s="148">
        <f>Submetering!H2+Submetering!AD2+Submetering!AE2</f>
        <v>916</v>
      </c>
      <c r="J2" s="149">
        <v>10.029999999999999</v>
      </c>
      <c r="K2" s="42">
        <f>ELECT.!B3</f>
        <v>248</v>
      </c>
    </row>
    <row r="3" spans="1:14" x14ac:dyDescent="0.2">
      <c r="A3" s="53" t="s">
        <v>53</v>
      </c>
      <c r="B3" s="58">
        <f>B2+1</f>
        <v>2</v>
      </c>
      <c r="C3" s="58">
        <v>11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52258.816076000003</v>
      </c>
      <c r="F3" s="146">
        <v>1.27</v>
      </c>
      <c r="G3" s="42">
        <f>Gas!C4*0.9147</f>
        <v>2109.2981999999997</v>
      </c>
      <c r="H3" s="147">
        <v>3.65</v>
      </c>
      <c r="I3" s="149">
        <f>Submetering!H3+Submetering!AD3+Submetering!AE3</f>
        <v>906</v>
      </c>
      <c r="J3" s="149">
        <v>10.029999999999999</v>
      </c>
      <c r="K3" s="42">
        <f>ELECT.!B4</f>
        <v>283</v>
      </c>
    </row>
    <row r="4" spans="1:14" x14ac:dyDescent="0.2">
      <c r="A4" s="53" t="s">
        <v>53</v>
      </c>
      <c r="B4" s="58">
        <f t="shared" ref="B4:B31" si="0">B3+1</f>
        <v>3</v>
      </c>
      <c r="C4" s="58">
        <v>11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54400.037215999997</v>
      </c>
      <c r="F4" s="146">
        <v>1.27</v>
      </c>
      <c r="G4" s="42">
        <f>Gas!C5*0.9147</f>
        <v>1884.2819999999999</v>
      </c>
      <c r="H4" s="147">
        <v>3.65</v>
      </c>
      <c r="I4" s="149">
        <f>Submetering!H4+Submetering!AD4+Submetering!AE4</f>
        <v>866</v>
      </c>
      <c r="J4" s="149">
        <v>10.029999999999999</v>
      </c>
      <c r="K4" s="42">
        <f>ELECT.!B5</f>
        <v>305</v>
      </c>
    </row>
    <row r="5" spans="1:14" x14ac:dyDescent="0.2">
      <c r="A5" s="53" t="s">
        <v>53</v>
      </c>
      <c r="B5" s="58">
        <f t="shared" si="0"/>
        <v>4</v>
      </c>
      <c r="C5" s="58">
        <v>11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81616.530624000006</v>
      </c>
      <c r="F5" s="146">
        <v>1.27</v>
      </c>
      <c r="G5" s="42">
        <f>Gas!C6*0.9147</f>
        <v>1945.5668999999998</v>
      </c>
      <c r="H5" s="147">
        <v>3.65</v>
      </c>
      <c r="I5" s="149">
        <f>Submetering!H5+Submetering!AD5+Submetering!AE5</f>
        <v>826</v>
      </c>
      <c r="J5" s="149">
        <v>10.029999999999999</v>
      </c>
      <c r="K5" s="42">
        <f>ELECT.!B6</f>
        <v>313</v>
      </c>
    </row>
    <row r="6" spans="1:14" x14ac:dyDescent="0.2">
      <c r="A6" s="53" t="s">
        <v>53</v>
      </c>
      <c r="B6" s="58">
        <f t="shared" si="0"/>
        <v>5</v>
      </c>
      <c r="C6" s="58">
        <v>11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65503.113916000002</v>
      </c>
      <c r="F6" s="146">
        <v>1.27</v>
      </c>
      <c r="G6" s="42">
        <f>Gas!C7*0.9147</f>
        <v>2106.5540999999998</v>
      </c>
      <c r="H6" s="147">
        <v>3.65</v>
      </c>
      <c r="I6" s="149">
        <f>Submetering!H6+Submetering!AD6+Submetering!AE6</f>
        <v>826</v>
      </c>
      <c r="J6" s="149">
        <v>10.029999999999999</v>
      </c>
      <c r="K6" s="42">
        <f>ELECT.!B7</f>
        <v>204</v>
      </c>
    </row>
    <row r="7" spans="1:14" x14ac:dyDescent="0.2">
      <c r="A7" s="53" t="s">
        <v>53</v>
      </c>
      <c r="B7" s="58">
        <f t="shared" si="0"/>
        <v>6</v>
      </c>
      <c r="C7" s="58">
        <v>11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41350.655123999997</v>
      </c>
      <c r="F7" s="146">
        <v>1.27</v>
      </c>
      <c r="G7" s="42">
        <f>Gas!C8*0.9147</f>
        <v>2003.193</v>
      </c>
      <c r="H7" s="147">
        <v>3.65</v>
      </c>
      <c r="I7" s="149">
        <f>Submetering!H7+Submetering!AD7+Submetering!AE7</f>
        <v>716</v>
      </c>
      <c r="J7" s="149">
        <v>10.029999999999999</v>
      </c>
      <c r="K7" s="42">
        <f>ELECT.!B8</f>
        <v>194</v>
      </c>
    </row>
    <row r="8" spans="1:14" x14ac:dyDescent="0.2">
      <c r="A8" s="53" t="s">
        <v>53</v>
      </c>
      <c r="B8" s="58">
        <f t="shared" si="0"/>
        <v>7</v>
      </c>
      <c r="C8" s="58">
        <v>11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49295.203388000002</v>
      </c>
      <c r="F8" s="146">
        <v>1.27</v>
      </c>
      <c r="G8" s="42">
        <f>Gas!C9*0.9147</f>
        <v>2001.3635999999999</v>
      </c>
      <c r="H8" s="147">
        <v>3.65</v>
      </c>
      <c r="I8" s="149">
        <f>Submetering!H8+Submetering!AD8+Submetering!AE8</f>
        <v>806</v>
      </c>
      <c r="J8" s="149">
        <v>10.029999999999999</v>
      </c>
      <c r="K8" s="42">
        <f>ELECT.!B9</f>
        <v>203</v>
      </c>
    </row>
    <row r="9" spans="1:14" x14ac:dyDescent="0.2">
      <c r="A9" s="53" t="s">
        <v>53</v>
      </c>
      <c r="B9" s="58">
        <f t="shared" si="0"/>
        <v>8</v>
      </c>
      <c r="C9" s="58">
        <v>11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73134.381119999991</v>
      </c>
      <c r="F9" s="146">
        <v>1.27</v>
      </c>
      <c r="G9" s="42">
        <f>Gas!C10*0.9147</f>
        <v>2802.6407999999997</v>
      </c>
      <c r="H9" s="147">
        <v>3.65</v>
      </c>
      <c r="I9" s="149">
        <f>Submetering!H9+Submetering!AD9+Submetering!AE9</f>
        <v>766</v>
      </c>
      <c r="J9" s="149">
        <v>10.029999999999999</v>
      </c>
      <c r="K9" s="42">
        <f>ELECT.!B10</f>
        <v>307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11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48914.973103999997</v>
      </c>
      <c r="F10" s="146">
        <v>1.27</v>
      </c>
      <c r="G10" s="42">
        <f>Gas!C11*0.9147</f>
        <v>2166.9242999999997</v>
      </c>
      <c r="H10" s="147">
        <v>3.65</v>
      </c>
      <c r="I10" s="149">
        <f>Submetering!H10+Submetering!AD10+Submetering!AE10</f>
        <v>816</v>
      </c>
      <c r="J10" s="149">
        <v>10.029999999999999</v>
      </c>
      <c r="K10" s="42">
        <f>ELECT.!B11</f>
        <v>211</v>
      </c>
    </row>
    <row r="11" spans="1:14" x14ac:dyDescent="0.2">
      <c r="A11" s="53" t="s">
        <v>53</v>
      </c>
      <c r="B11" s="58">
        <f t="shared" si="0"/>
        <v>10</v>
      </c>
      <c r="C11" s="58">
        <v>11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64495.523516000001</v>
      </c>
      <c r="F11" s="146">
        <v>1.27</v>
      </c>
      <c r="G11" s="42">
        <f>Gas!C12*0.9147</f>
        <v>2081.8571999999999</v>
      </c>
      <c r="H11" s="147">
        <v>3.65</v>
      </c>
      <c r="I11" s="149">
        <f>Submetering!H11+Submetering!AD11+Submetering!AE11</f>
        <v>755.99999999999989</v>
      </c>
      <c r="J11" s="149">
        <v>10.029999999999999</v>
      </c>
      <c r="K11" s="42">
        <f>ELECT.!B12</f>
        <v>283</v>
      </c>
    </row>
    <row r="12" spans="1:14" x14ac:dyDescent="0.2">
      <c r="A12" s="53" t="s">
        <v>53</v>
      </c>
      <c r="B12" s="58">
        <f t="shared" si="0"/>
        <v>11</v>
      </c>
      <c r="C12" s="58">
        <v>11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45367.155635999996</v>
      </c>
      <c r="F12" s="146">
        <v>1.27</v>
      </c>
      <c r="G12" s="42">
        <f>Gas!C13*0.9147</f>
        <v>2198.9387999999999</v>
      </c>
      <c r="H12" s="147">
        <v>3.65</v>
      </c>
      <c r="I12" s="149">
        <f>Submetering!H12+Submetering!AD12+Submetering!AE12</f>
        <v>776.00000000000011</v>
      </c>
      <c r="J12" s="149">
        <v>10.029999999999999</v>
      </c>
      <c r="K12" s="42">
        <f>ELECT.!B13</f>
        <v>296</v>
      </c>
    </row>
    <row r="13" spans="1:14" x14ac:dyDescent="0.2">
      <c r="A13" s="53" t="s">
        <v>53</v>
      </c>
      <c r="B13" s="58">
        <f t="shared" si="0"/>
        <v>12</v>
      </c>
      <c r="C13" s="58">
        <v>11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65372.322776000001</v>
      </c>
      <c r="F13" s="146">
        <v>1.27</v>
      </c>
      <c r="G13" s="42">
        <f>Gas!C14*0.9147</f>
        <v>2158.692</v>
      </c>
      <c r="H13" s="147">
        <v>3.65</v>
      </c>
      <c r="I13" s="149">
        <f>Submetering!H13+Submetering!AD13+Submetering!AE13</f>
        <v>656</v>
      </c>
      <c r="J13" s="149">
        <v>10.029999999999999</v>
      </c>
      <c r="K13" s="42">
        <f>ELECT.!B14</f>
        <v>297</v>
      </c>
    </row>
    <row r="14" spans="1:14" x14ac:dyDescent="0.2">
      <c r="A14" s="53" t="s">
        <v>53</v>
      </c>
      <c r="B14" s="58">
        <f t="shared" si="0"/>
        <v>13</v>
      </c>
      <c r="C14" s="58">
        <v>11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40529.916432000005</v>
      </c>
      <c r="F14" s="146">
        <v>1.27</v>
      </c>
      <c r="G14" s="42">
        <f>Gas!C15*0.9147</f>
        <v>2133.0803999999998</v>
      </c>
      <c r="H14" s="147">
        <v>3.65</v>
      </c>
      <c r="I14" s="149">
        <f>Submetering!H14+Submetering!AD14+Submetering!AE14</f>
        <v>745.99999999999989</v>
      </c>
      <c r="J14" s="149">
        <v>10.029999999999999</v>
      </c>
      <c r="K14" s="42">
        <f>ELECT.!B15</f>
        <v>275</v>
      </c>
    </row>
    <row r="15" spans="1:14" x14ac:dyDescent="0.2">
      <c r="A15" s="53" t="s">
        <v>53</v>
      </c>
      <c r="B15" s="58">
        <f t="shared" si="0"/>
        <v>14</v>
      </c>
      <c r="C15" s="58">
        <v>11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65230.875459999996</v>
      </c>
      <c r="F15" s="146">
        <v>1.27</v>
      </c>
      <c r="G15" s="42">
        <f>Gas!C16*0.9147</f>
        <v>2022.4016999999999</v>
      </c>
      <c r="H15" s="147">
        <v>3.65</v>
      </c>
      <c r="I15" s="149">
        <f>Submetering!H15+Submetering!AD15+Submetering!AE15</f>
        <v>726</v>
      </c>
      <c r="J15" s="149">
        <v>10.029999999999999</v>
      </c>
      <c r="K15" s="42">
        <f>ELECT.!B16</f>
        <v>261</v>
      </c>
    </row>
    <row r="16" spans="1:14" x14ac:dyDescent="0.2">
      <c r="A16" s="53" t="s">
        <v>53</v>
      </c>
      <c r="B16" s="58">
        <f t="shared" si="0"/>
        <v>15</v>
      </c>
      <c r="C16" s="58">
        <v>11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6">
        <v>1.27</v>
      </c>
      <c r="G16" s="42">
        <f>Gas!C17*0.9147</f>
        <v>0</v>
      </c>
      <c r="H16" s="147">
        <v>3.65</v>
      </c>
      <c r="I16" s="149">
        <f>Submetering!H16+Submetering!AD16+Submetering!AE16</f>
        <v>-194</v>
      </c>
      <c r="J16" s="149">
        <v>10.029999999999999</v>
      </c>
      <c r="K16" s="42">
        <f>ELECT.!B17</f>
        <v>0</v>
      </c>
    </row>
    <row r="17" spans="1:13" x14ac:dyDescent="0.2">
      <c r="A17" s="53" t="s">
        <v>53</v>
      </c>
      <c r="B17" s="58">
        <f t="shared" si="0"/>
        <v>16</v>
      </c>
      <c r="C17" s="58">
        <v>11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6">
        <v>1.27</v>
      </c>
      <c r="G17" s="42">
        <f>Gas!C18*0.9147</f>
        <v>0</v>
      </c>
      <c r="H17" s="147">
        <v>3.65</v>
      </c>
      <c r="I17" s="149">
        <f>Submetering!H17+Submetering!AD17+Submetering!AE17</f>
        <v>-194</v>
      </c>
      <c r="J17" s="149">
        <v>10.029999999999999</v>
      </c>
      <c r="K17" s="42">
        <f>ELECT.!B18</f>
        <v>0</v>
      </c>
    </row>
    <row r="18" spans="1:13" x14ac:dyDescent="0.2">
      <c r="A18" s="53" t="s">
        <v>53</v>
      </c>
      <c r="B18" s="58">
        <f t="shared" si="0"/>
        <v>17</v>
      </c>
      <c r="C18" s="58">
        <v>11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6">
        <v>1.27</v>
      </c>
      <c r="G18" s="42">
        <f>Gas!C19*0.9147</f>
        <v>0</v>
      </c>
      <c r="H18" s="147">
        <v>3.65</v>
      </c>
      <c r="I18" s="149">
        <f>Submetering!H18+Submetering!AD18+Submetering!AE18</f>
        <v>-194</v>
      </c>
      <c r="J18" s="149">
        <v>10.029999999999999</v>
      </c>
      <c r="K18" s="42">
        <f>ELECT.!B19</f>
        <v>0</v>
      </c>
    </row>
    <row r="19" spans="1:13" x14ac:dyDescent="0.2">
      <c r="A19" s="53" t="s">
        <v>53</v>
      </c>
      <c r="B19" s="58">
        <f t="shared" si="0"/>
        <v>18</v>
      </c>
      <c r="C19" s="58">
        <v>11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6">
        <v>1.27</v>
      </c>
      <c r="G19" s="42">
        <f>Gas!C20*0.9147</f>
        <v>0</v>
      </c>
      <c r="H19" s="147">
        <v>3.65</v>
      </c>
      <c r="I19" s="149">
        <f>Submetering!H19+Submetering!AD19+Submetering!AE19</f>
        <v>-194</v>
      </c>
      <c r="J19" s="149">
        <v>10.029999999999999</v>
      </c>
      <c r="K19" s="42">
        <f>ELECT.!B20</f>
        <v>0</v>
      </c>
    </row>
    <row r="20" spans="1:13" x14ac:dyDescent="0.2">
      <c r="A20" s="53" t="s">
        <v>53</v>
      </c>
      <c r="B20" s="58">
        <f t="shared" si="0"/>
        <v>19</v>
      </c>
      <c r="C20" s="58">
        <v>11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6">
        <v>1.27</v>
      </c>
      <c r="G20" s="42">
        <f>Gas!C21*0.9147</f>
        <v>0</v>
      </c>
      <c r="H20" s="147">
        <v>3.65</v>
      </c>
      <c r="I20" s="149">
        <f>Submetering!H20+Submetering!AD20+Submetering!AE20</f>
        <v>-194</v>
      </c>
      <c r="J20" s="149">
        <v>10.029999999999999</v>
      </c>
      <c r="K20" s="42">
        <f>ELECT.!B21</f>
        <v>0</v>
      </c>
    </row>
    <row r="21" spans="1:13" x14ac:dyDescent="0.2">
      <c r="A21" s="53" t="s">
        <v>53</v>
      </c>
      <c r="B21" s="58">
        <f t="shared" si="0"/>
        <v>20</v>
      </c>
      <c r="C21" s="58">
        <v>11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6">
        <v>1.27</v>
      </c>
      <c r="G21" s="42">
        <f>Gas!C22*0.9147</f>
        <v>0</v>
      </c>
      <c r="H21" s="147">
        <v>3.65</v>
      </c>
      <c r="I21" s="149">
        <f>Submetering!H21+Submetering!AD21+Submetering!AE21</f>
        <v>-194</v>
      </c>
      <c r="J21" s="149">
        <v>10.029999999999999</v>
      </c>
      <c r="K21" s="42">
        <f>ELECT.!B22</f>
        <v>0</v>
      </c>
    </row>
    <row r="22" spans="1:13" x14ac:dyDescent="0.2">
      <c r="A22" s="53" t="s">
        <v>53</v>
      </c>
      <c r="B22" s="58">
        <f t="shared" si="0"/>
        <v>21</v>
      </c>
      <c r="C22" s="58">
        <v>11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6">
        <v>1.27</v>
      </c>
      <c r="G22" s="42">
        <f>Gas!C23*0.9147</f>
        <v>0</v>
      </c>
      <c r="H22" s="147">
        <v>3.65</v>
      </c>
      <c r="I22" s="149">
        <f>Submetering!H22+Submetering!AD22+Submetering!AE22</f>
        <v>-194</v>
      </c>
      <c r="J22" s="149">
        <v>10.029999999999999</v>
      </c>
      <c r="K22" s="42">
        <f>ELECT.!B23</f>
        <v>0</v>
      </c>
    </row>
    <row r="23" spans="1:13" x14ac:dyDescent="0.2">
      <c r="A23" s="53" t="s">
        <v>53</v>
      </c>
      <c r="B23" s="58">
        <f t="shared" si="0"/>
        <v>22</v>
      </c>
      <c r="C23" s="58">
        <v>11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11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11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11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11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11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11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11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11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E32" s="42"/>
      <c r="F32" s="146"/>
      <c r="G32" s="42"/>
      <c r="H32" s="147"/>
      <c r="I32" s="149"/>
      <c r="J32" s="149"/>
      <c r="K32" s="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D23" sqref="D23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11</v>
      </c>
      <c r="D2" s="58">
        <v>2021</v>
      </c>
      <c r="E2" s="42">
        <f>Water!C3</f>
        <v>1110</v>
      </c>
      <c r="F2" s="42">
        <f>Water!E3</f>
        <v>0</v>
      </c>
      <c r="G2" s="42">
        <f>Water!G3</f>
        <v>494.1</v>
      </c>
      <c r="H2" s="42">
        <f>Water!I3</f>
        <v>5.4809999999999999</v>
      </c>
      <c r="I2" s="42">
        <f>ELECT.!F3</f>
        <v>17484</v>
      </c>
      <c r="J2" s="42">
        <f>ELECT.!H3</f>
        <v>40634</v>
      </c>
      <c r="K2" s="42">
        <f>ELECT.!K3</f>
        <v>5513</v>
      </c>
      <c r="L2" s="42">
        <f>ELECT.!M3</f>
        <v>4657</v>
      </c>
      <c r="M2" s="42">
        <f>ELECT.!O3</f>
        <v>12690</v>
      </c>
      <c r="N2" s="42">
        <f>ELECT.!Q3</f>
        <v>3491</v>
      </c>
      <c r="O2" s="42">
        <f>ELECT.!S3</f>
        <v>9357</v>
      </c>
      <c r="P2" s="42">
        <f>ELECT.!W3*2</f>
        <v>21306</v>
      </c>
      <c r="Q2" s="42">
        <f>ELECT.!D3</f>
        <v>640</v>
      </c>
      <c r="R2" s="43">
        <f>BTU!C3</f>
        <v>7.0039999999971769</v>
      </c>
      <c r="S2" s="43">
        <f>BTU!F3</f>
        <v>2.3719999999998436</v>
      </c>
      <c r="T2" s="43">
        <f>BTU!I3</f>
        <v>5</v>
      </c>
      <c r="U2" s="43">
        <f>BTU!O3</f>
        <v>1.5160000000000764</v>
      </c>
      <c r="V2" s="43">
        <f>BTU!L3</f>
        <v>1.5799999999999272</v>
      </c>
      <c r="W2" s="43">
        <f>BTU!R3</f>
        <v>2.5</v>
      </c>
      <c r="X2" s="40">
        <f>ELECT.!B3</f>
        <v>248</v>
      </c>
      <c r="Y2" s="40">
        <f>I2+J2-(K2+L2+M2+N2+O2+P2)</f>
        <v>1104</v>
      </c>
      <c r="Z2">
        <f>'Mall, Citadel, Rotana'!C3+'Mall, Citadel, Rotana'!E3+'Mall, Citadel, Rotana'!G3+'Mall, Citadel, Rotana'!I3</f>
        <v>1434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0</v>
      </c>
      <c r="AD2" s="40">
        <f>(E2-H2-194)*0.1318</f>
        <v>120.00640420000001</v>
      </c>
      <c r="AE2" s="40">
        <f>E2-H2-AD2-194</f>
        <v>790.51259579999999</v>
      </c>
    </row>
    <row r="3" spans="1:31" x14ac:dyDescent="0.2">
      <c r="A3" s="53" t="s">
        <v>53</v>
      </c>
      <c r="B3" s="58">
        <f>B2+1</f>
        <v>2</v>
      </c>
      <c r="C3" s="58">
        <v>11</v>
      </c>
      <c r="D3" s="58">
        <v>2021</v>
      </c>
      <c r="E3" s="42">
        <f>Water!C4</f>
        <v>1100</v>
      </c>
      <c r="F3" s="42">
        <f>Water!E4</f>
        <v>0</v>
      </c>
      <c r="G3" s="42">
        <f>Water!G4</f>
        <v>499.5</v>
      </c>
      <c r="H3" s="42">
        <f>Water!I4</f>
        <v>5.2919999999999998</v>
      </c>
      <c r="I3" s="42">
        <f>ELECT.!F4</f>
        <v>16282</v>
      </c>
      <c r="J3" s="42">
        <f>ELECT.!H4</f>
        <v>39044</v>
      </c>
      <c r="K3" s="42">
        <f>ELECT.!K4</f>
        <v>5152</v>
      </c>
      <c r="L3" s="42">
        <f>ELECT.!M4</f>
        <v>4375</v>
      </c>
      <c r="M3" s="42">
        <f>ELECT.!O4</f>
        <v>11710</v>
      </c>
      <c r="N3" s="42">
        <f>ELECT.!Q4</f>
        <v>3361</v>
      </c>
      <c r="O3" s="42">
        <f>ELECT.!S4</f>
        <v>9125</v>
      </c>
      <c r="P3" s="42">
        <f>ELECT.!W4*2</f>
        <v>20364</v>
      </c>
      <c r="Q3" s="42">
        <f>ELECT.!D4</f>
        <v>640</v>
      </c>
      <c r="R3" s="43">
        <f>BTU!C4</f>
        <v>6.5270000000018626</v>
      </c>
      <c r="S3" s="43">
        <f>BTU!F4</f>
        <v>2.7020000000002256</v>
      </c>
      <c r="T3" s="43">
        <f>BTU!I4</f>
        <v>5</v>
      </c>
      <c r="U3" s="43">
        <f>BTU!O4</f>
        <v>1.7100000000000364</v>
      </c>
      <c r="V3" s="43">
        <f>BTU!L4</f>
        <v>1.6900000000005093</v>
      </c>
      <c r="W3" s="43">
        <f>BTU!R4</f>
        <v>3.5100000000002183</v>
      </c>
      <c r="X3" s="40">
        <f>ELECT.!B4</f>
        <v>283</v>
      </c>
      <c r="Y3" s="40">
        <f t="shared" ref="Y3:Y31" si="0">I3+J3-(K3+L3+M3+N3+O3+P3)</f>
        <v>1239</v>
      </c>
      <c r="Z3">
        <f>'Mall, Citadel, Rotana'!C4+'Mall, Citadel, Rotana'!E4+'Mall, Citadel, Rotana'!G4+'Mall, Citadel, Rotana'!I4</f>
        <v>1559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156</v>
      </c>
      <c r="AD3" s="40">
        <f t="shared" ref="AD3:AD31" si="1">(E3-H3-194)*0.1318</f>
        <v>118.71331440000002</v>
      </c>
      <c r="AE3" s="40">
        <f t="shared" ref="AE3:AE31" si="2">E3-H3-AD3-194</f>
        <v>781.99468560000003</v>
      </c>
    </row>
    <row r="4" spans="1:31" x14ac:dyDescent="0.2">
      <c r="A4" s="53" t="s">
        <v>53</v>
      </c>
      <c r="B4" s="58">
        <f t="shared" ref="B4:B31" si="3">B3+1</f>
        <v>3</v>
      </c>
      <c r="C4" s="58">
        <v>11</v>
      </c>
      <c r="D4" s="58">
        <v>2021</v>
      </c>
      <c r="E4" s="42">
        <f>Water!C5</f>
        <v>1060</v>
      </c>
      <c r="F4" s="42">
        <f>Water!E5</f>
        <v>0</v>
      </c>
      <c r="G4" s="42">
        <f>Water!G5</f>
        <v>569.70000000000005</v>
      </c>
      <c r="H4" s="42">
        <f>Water!I5</f>
        <v>5.5889999999999995</v>
      </c>
      <c r="I4" s="42">
        <f>ELECT.!F5</f>
        <v>18977</v>
      </c>
      <c r="J4" s="42">
        <f>ELECT.!H5</f>
        <v>38040</v>
      </c>
      <c r="K4" s="42">
        <f>ELECT.!K5</f>
        <v>4879</v>
      </c>
      <c r="L4" s="42">
        <f>ELECT.!M5</f>
        <v>5240</v>
      </c>
      <c r="M4" s="42">
        <f>ELECT.!O5</f>
        <v>13568</v>
      </c>
      <c r="N4" s="42">
        <f>ELECT.!Q5</f>
        <v>3247</v>
      </c>
      <c r="O4" s="42">
        <f>ELECT.!S5</f>
        <v>8858</v>
      </c>
      <c r="P4" s="42">
        <f>ELECT.!W5*2</f>
        <v>20166</v>
      </c>
      <c r="Q4" s="42">
        <f>ELECT.!D5</f>
        <v>640</v>
      </c>
      <c r="R4" s="43">
        <f>BTU!C5</f>
        <v>5.4120000000002619</v>
      </c>
      <c r="S4" s="43">
        <f>BTU!F5</f>
        <v>1.9289999999996326</v>
      </c>
      <c r="T4" s="43">
        <f>BTU!I5</f>
        <v>5</v>
      </c>
      <c r="U4" s="43">
        <f>BTU!O5</f>
        <v>1.3550000000000182</v>
      </c>
      <c r="V4" s="43">
        <f>BTU!L5</f>
        <v>1.3799999999991996</v>
      </c>
      <c r="W4" s="43">
        <f>BTU!R5</f>
        <v>2.0799999999999272</v>
      </c>
      <c r="X4" s="40">
        <f>ELECT.!B5</f>
        <v>305</v>
      </c>
      <c r="Y4" s="40">
        <f t="shared" si="0"/>
        <v>1059</v>
      </c>
      <c r="Z4">
        <f>'Mall, Citadel, Rotana'!C5+'Mall, Citadel, Rotana'!E5+'Mall, Citadel, Rotana'!G5+'Mall, Citadel, Rotana'!I5</f>
        <v>1107</v>
      </c>
      <c r="AA4">
        <f>'Mall, Citadel, Rotana'!K5+'Mall, Citadel, Rotana'!M5</f>
        <v>640</v>
      </c>
      <c r="AB4">
        <f>'Mall, Citadel, Rotana'!O5</f>
        <v>3</v>
      </c>
      <c r="AC4">
        <f>'Mall, Citadel, Rotana'!Q5+'Mall, Citadel, Rotana'!S5</f>
        <v>110</v>
      </c>
      <c r="AD4" s="40">
        <f t="shared" si="1"/>
        <v>113.40216980000001</v>
      </c>
      <c r="AE4" s="40">
        <f t="shared" si="2"/>
        <v>747.00883020000003</v>
      </c>
    </row>
    <row r="5" spans="1:31" x14ac:dyDescent="0.2">
      <c r="A5" s="53" t="s">
        <v>53</v>
      </c>
      <c r="B5" s="58">
        <f t="shared" si="3"/>
        <v>4</v>
      </c>
      <c r="C5" s="58">
        <v>11</v>
      </c>
      <c r="D5" s="58">
        <v>2021</v>
      </c>
      <c r="E5" s="42">
        <f>Water!C6</f>
        <v>1020</v>
      </c>
      <c r="F5" s="42">
        <f>Water!E6</f>
        <v>0</v>
      </c>
      <c r="G5" s="42">
        <f>Water!G6</f>
        <v>553.5</v>
      </c>
      <c r="H5" s="42">
        <f>Water!I6</f>
        <v>4.9409999999999998</v>
      </c>
      <c r="I5" s="42">
        <f>ELECT.!F6</f>
        <v>32495</v>
      </c>
      <c r="J5" s="42">
        <f>ELECT.!H6</f>
        <v>52240</v>
      </c>
      <c r="K5" s="42">
        <f>ELECT.!K6</f>
        <v>6582</v>
      </c>
      <c r="L5" s="42">
        <f>ELECT.!M6</f>
        <v>8994</v>
      </c>
      <c r="M5" s="42">
        <f>ELECT.!O6</f>
        <v>23266</v>
      </c>
      <c r="N5" s="42">
        <f>ELECT.!Q6</f>
        <v>4493</v>
      </c>
      <c r="O5" s="42">
        <f>ELECT.!S6</f>
        <v>12344</v>
      </c>
      <c r="P5" s="42">
        <f>ELECT.!W6*2</f>
        <v>27492</v>
      </c>
      <c r="Q5" s="42">
        <f>ELECT.!D6</f>
        <v>640</v>
      </c>
      <c r="R5" s="43" t="str">
        <f>BTU!C6</f>
        <v>0</v>
      </c>
      <c r="S5" s="43">
        <f>BTU!F6</f>
        <v>2.4120000000002619</v>
      </c>
      <c r="T5" s="43">
        <f>BTU!I6</f>
        <v>5</v>
      </c>
      <c r="U5" s="43">
        <f>BTU!O6</f>
        <v>1.5209999999997308</v>
      </c>
      <c r="V5" s="43">
        <f>BTU!L6</f>
        <v>2.1399999999994179</v>
      </c>
      <c r="W5" s="43">
        <f>BTU!R6</f>
        <v>1.9899999999997817</v>
      </c>
      <c r="X5" s="40">
        <f>ELECT.!B6</f>
        <v>313</v>
      </c>
      <c r="Y5" s="40">
        <f t="shared" si="0"/>
        <v>1564</v>
      </c>
      <c r="Z5">
        <f>'Mall, Citadel, Rotana'!C6+'Mall, Citadel, Rotana'!E6+'Mall, Citadel, Rotana'!G6+'Mall, Citadel, Rotana'!I6</f>
        <v>1402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108.2155762</v>
      </c>
      <c r="AE5" s="40">
        <f t="shared" si="2"/>
        <v>712.84342379999998</v>
      </c>
    </row>
    <row r="6" spans="1:31" x14ac:dyDescent="0.2">
      <c r="A6" s="53" t="s">
        <v>53</v>
      </c>
      <c r="B6" s="58">
        <f t="shared" si="3"/>
        <v>5</v>
      </c>
      <c r="C6" s="58">
        <v>11</v>
      </c>
      <c r="D6" s="58">
        <v>2021</v>
      </c>
      <c r="E6" s="42">
        <f>Water!C7</f>
        <v>1020</v>
      </c>
      <c r="F6" s="42">
        <f>Water!E7</f>
        <v>0</v>
      </c>
      <c r="G6" s="42">
        <f>Water!G7</f>
        <v>561.6</v>
      </c>
      <c r="H6" s="42">
        <f>Water!I7</f>
        <v>3.3210000000000002</v>
      </c>
      <c r="I6" s="42">
        <f>ELECT.!F7</f>
        <v>25114</v>
      </c>
      <c r="J6" s="42">
        <f>ELECT.!H7</f>
        <v>43428</v>
      </c>
      <c r="K6" s="42">
        <f>ELECT.!K7</f>
        <v>5185</v>
      </c>
      <c r="L6" s="42">
        <f>ELECT.!M7</f>
        <v>7212</v>
      </c>
      <c r="M6" s="42">
        <f>ELECT.!O7</f>
        <v>17612</v>
      </c>
      <c r="N6" s="42">
        <f>ELECT.!Q7</f>
        <v>3415</v>
      </c>
      <c r="O6" s="42">
        <f>ELECT.!S7</f>
        <v>10409</v>
      </c>
      <c r="P6" s="42">
        <f>ELECT.!W7*2</f>
        <v>23140</v>
      </c>
      <c r="Q6" s="42">
        <f>ELECT.!D7</f>
        <v>480</v>
      </c>
      <c r="R6" s="43">
        <f>BTU!C7</f>
        <v>5.7710000000006403</v>
      </c>
      <c r="S6" s="43">
        <f>BTU!F7</f>
        <v>1.0679999999997563</v>
      </c>
      <c r="T6" s="43">
        <f>BTU!I7</f>
        <v>4</v>
      </c>
      <c r="U6" s="43">
        <f>BTU!O7</f>
        <v>1.3030000000003383</v>
      </c>
      <c r="V6" s="43">
        <f>BTU!L7</f>
        <v>1.1599999999998545</v>
      </c>
      <c r="W6" s="43">
        <f>BTU!R7</f>
        <v>1.6900000000005093</v>
      </c>
      <c r="X6" s="40">
        <f>ELECT.!B7</f>
        <v>204</v>
      </c>
      <c r="Y6" s="40">
        <f t="shared" si="0"/>
        <v>1569</v>
      </c>
      <c r="Z6">
        <f>'Mall, Citadel, Rotana'!C7+'Mall, Citadel, Rotana'!E7+'Mall, Citadel, Rotana'!G7+'Mall, Citadel, Rotana'!I7</f>
        <v>1579</v>
      </c>
      <c r="AA6">
        <f>'Mall, Citadel, Rotana'!K7+'Mall, Citadel, Rotana'!M7</f>
        <v>480</v>
      </c>
      <c r="AB6">
        <f>'Mall, Citadel, Rotana'!O7</f>
        <v>2</v>
      </c>
      <c r="AC6">
        <f>'Mall, Citadel, Rotana'!Q7+'Mall, Citadel, Rotana'!S7</f>
        <v>0</v>
      </c>
      <c r="AD6" s="40">
        <f t="shared" si="1"/>
        <v>108.4290922</v>
      </c>
      <c r="AE6" s="40">
        <f t="shared" si="2"/>
        <v>714.24990779999996</v>
      </c>
    </row>
    <row r="7" spans="1:31" x14ac:dyDescent="0.2">
      <c r="A7" s="53" t="s">
        <v>53</v>
      </c>
      <c r="B7" s="58">
        <f t="shared" si="3"/>
        <v>6</v>
      </c>
      <c r="C7" s="58">
        <v>11</v>
      </c>
      <c r="D7" s="58">
        <v>2021</v>
      </c>
      <c r="E7" s="42">
        <f>Water!C8</f>
        <v>910</v>
      </c>
      <c r="F7" s="42">
        <f>Water!E8</f>
        <v>0</v>
      </c>
      <c r="G7" s="42">
        <f>Water!G8</f>
        <v>480.6</v>
      </c>
      <c r="H7" s="42">
        <f>Water!I8</f>
        <v>4.4820000000000002</v>
      </c>
      <c r="I7" s="42">
        <f>ELECT.!F8</f>
        <v>12328</v>
      </c>
      <c r="J7" s="42">
        <f>ELECT.!H8</f>
        <v>31775</v>
      </c>
      <c r="K7" s="42">
        <f>ELECT.!K8</f>
        <v>3892</v>
      </c>
      <c r="L7" s="42">
        <f>ELECT.!M8</f>
        <v>3731</v>
      </c>
      <c r="M7" s="42">
        <f>ELECT.!O8</f>
        <v>8410</v>
      </c>
      <c r="N7" s="42">
        <f>ELECT.!Q8</f>
        <v>2189</v>
      </c>
      <c r="O7" s="42">
        <f>ELECT.!S8</f>
        <v>7691</v>
      </c>
      <c r="P7" s="42">
        <f>ELECT.!W8*2</f>
        <v>17320</v>
      </c>
      <c r="Q7" s="42">
        <f>ELECT.!D8</f>
        <v>480</v>
      </c>
      <c r="R7" s="43">
        <f>BTU!C8</f>
        <v>87.644000000000233</v>
      </c>
      <c r="S7" s="43">
        <f>BTU!F8</f>
        <v>1.4180000000001201</v>
      </c>
      <c r="T7" s="43">
        <f>BTU!I8</f>
        <v>6</v>
      </c>
      <c r="U7" s="43">
        <f>BTU!O8</f>
        <v>1.8229999999998654</v>
      </c>
      <c r="V7" s="43">
        <f>BTU!L8</f>
        <v>2.7000000000007276</v>
      </c>
      <c r="W7" s="43">
        <f>BTU!R8</f>
        <v>2.1099999999996726</v>
      </c>
      <c r="X7" s="40">
        <f>ELECT.!B8</f>
        <v>194</v>
      </c>
      <c r="Y7" s="40">
        <f t="shared" si="0"/>
        <v>870</v>
      </c>
      <c r="Z7">
        <f>'Mall, Citadel, Rotana'!C8+'Mall, Citadel, Rotana'!E8+'Mall, Citadel, Rotana'!G8+'Mall, Citadel, Rotana'!I8</f>
        <v>1738</v>
      </c>
      <c r="AA7">
        <f>'Mall, Citadel, Rotana'!K8+'Mall, Citadel, Rotana'!M8</f>
        <v>480</v>
      </c>
      <c r="AB7">
        <f>'Mall, Citadel, Rotana'!O8</f>
        <v>2</v>
      </c>
      <c r="AC7">
        <f>'Mall, Citadel, Rotana'!Q8+'Mall, Citadel, Rotana'!S8</f>
        <v>0</v>
      </c>
      <c r="AD7" s="40">
        <f t="shared" si="1"/>
        <v>93.778072399999999</v>
      </c>
      <c r="AE7" s="40">
        <f t="shared" si="2"/>
        <v>617.73992759999999</v>
      </c>
    </row>
    <row r="8" spans="1:31" x14ac:dyDescent="0.2">
      <c r="A8" s="53" t="s">
        <v>53</v>
      </c>
      <c r="B8" s="58">
        <f t="shared" si="3"/>
        <v>7</v>
      </c>
      <c r="C8" s="58">
        <v>11</v>
      </c>
      <c r="D8" s="58">
        <v>2021</v>
      </c>
      <c r="E8" s="42">
        <f>Water!C9</f>
        <v>1000</v>
      </c>
      <c r="F8" s="42">
        <f>Water!E9</f>
        <v>0</v>
      </c>
      <c r="G8" s="42">
        <f>Water!G9</f>
        <v>540</v>
      </c>
      <c r="H8" s="42">
        <f>Water!I9</f>
        <v>3.9420000000000002</v>
      </c>
      <c r="I8" s="42">
        <f>ELECT.!F9</f>
        <v>13981</v>
      </c>
      <c r="J8" s="42">
        <f>ELECT.!H9</f>
        <v>37423</v>
      </c>
      <c r="K8" s="42">
        <f>ELECT.!K9</f>
        <v>4642</v>
      </c>
      <c r="L8" s="42">
        <f>ELECT.!M9</f>
        <v>4211</v>
      </c>
      <c r="M8" s="42">
        <f>ELECT.!O9</f>
        <v>9714</v>
      </c>
      <c r="N8" s="42">
        <f>ELECT.!Q9</f>
        <v>2674</v>
      </c>
      <c r="O8" s="42">
        <f>ELECT.!S9</f>
        <v>9091</v>
      </c>
      <c r="P8" s="42">
        <f>ELECT.!W9*2</f>
        <v>20066</v>
      </c>
      <c r="Q8" s="42">
        <f>ELECT.!D9</f>
        <v>960</v>
      </c>
      <c r="R8" s="43">
        <f>BTU!C9</f>
        <v>5.4969999999993888</v>
      </c>
      <c r="S8" s="43">
        <f>BTU!F9</f>
        <v>1.8420000000000982</v>
      </c>
      <c r="T8" s="43">
        <f>BTU!I9</f>
        <v>5</v>
      </c>
      <c r="U8" s="43">
        <f>BTU!O9</f>
        <v>1.3559999999997672</v>
      </c>
      <c r="V8" s="43">
        <f>BTU!L9</f>
        <v>1.8500000000003638</v>
      </c>
      <c r="W8" s="43">
        <f>BTU!R9</f>
        <v>1.6500000000005457</v>
      </c>
      <c r="X8" s="40">
        <f>ELECT.!B9</f>
        <v>203</v>
      </c>
      <c r="Y8" s="40">
        <f t="shared" si="0"/>
        <v>1006</v>
      </c>
      <c r="Z8">
        <f>'Mall, Citadel, Rotana'!C9+'Mall, Citadel, Rotana'!E9+'Mall, Citadel, Rotana'!G9+'Mall, Citadel, Rotana'!I9</f>
        <v>1062</v>
      </c>
      <c r="AA8">
        <f>'Mall, Citadel, Rotana'!K9+'Mall, Citadel, Rotana'!M9</f>
        <v>480</v>
      </c>
      <c r="AB8">
        <f>'Mall, Citadel, Rotana'!O9</f>
        <v>5</v>
      </c>
      <c r="AC8">
        <f>'Mall, Citadel, Rotana'!Q9+'Mall, Citadel, Rotana'!S9</f>
        <v>0</v>
      </c>
      <c r="AD8" s="40">
        <f t="shared" si="1"/>
        <v>105.7112444</v>
      </c>
      <c r="AE8" s="40">
        <f t="shared" si="2"/>
        <v>696.34675560000005</v>
      </c>
    </row>
    <row r="9" spans="1:31" x14ac:dyDescent="0.2">
      <c r="A9" s="53" t="s">
        <v>53</v>
      </c>
      <c r="B9" s="58">
        <f t="shared" si="3"/>
        <v>8</v>
      </c>
      <c r="C9" s="58">
        <v>11</v>
      </c>
      <c r="D9" s="58">
        <v>2021</v>
      </c>
      <c r="E9" s="42">
        <f>Water!C10</f>
        <v>960</v>
      </c>
      <c r="F9" s="42">
        <f>Water!E10</f>
        <v>0</v>
      </c>
      <c r="G9" s="42">
        <f>Water!G10</f>
        <v>534.6</v>
      </c>
      <c r="H9" s="42">
        <f>Water!I10</f>
        <v>0</v>
      </c>
      <c r="I9" s="42">
        <f>ELECT.!F10</f>
        <v>23205</v>
      </c>
      <c r="J9" s="42">
        <f>ELECT.!H10</f>
        <v>53478</v>
      </c>
      <c r="K9" s="42">
        <f>ELECT.!K10</f>
        <v>6739</v>
      </c>
      <c r="L9" s="42">
        <f>ELECT.!M10</f>
        <v>5777</v>
      </c>
      <c r="M9" s="42">
        <f>ELECT.!O10</f>
        <v>17204</v>
      </c>
      <c r="N9" s="42">
        <f>ELECT.!Q10</f>
        <v>4550</v>
      </c>
      <c r="O9" s="42">
        <f>ELECT.!S10</f>
        <v>12580</v>
      </c>
      <c r="P9" s="42">
        <f>ELECT.!W10*2</f>
        <v>28200</v>
      </c>
      <c r="Q9" s="42">
        <f>ELECT.!D10</f>
        <v>480</v>
      </c>
      <c r="R9" s="43">
        <f>BTU!C10</f>
        <v>6.0879999999997381</v>
      </c>
      <c r="S9" s="43">
        <f>BTU!F10</f>
        <v>2.2179999999998472</v>
      </c>
      <c r="T9" s="43">
        <f>BTU!I10</f>
        <v>5</v>
      </c>
      <c r="U9" s="43">
        <f>BTU!O10</f>
        <v>1.3160000000002583</v>
      </c>
      <c r="V9" s="43">
        <f>BTU!L10</f>
        <v>1.8299999999999272</v>
      </c>
      <c r="W9" s="43">
        <f>BTU!R10</f>
        <v>0.75</v>
      </c>
      <c r="X9" s="40">
        <f>ELECT.!B10</f>
        <v>307</v>
      </c>
      <c r="Y9" s="40">
        <f t="shared" si="0"/>
        <v>1633</v>
      </c>
      <c r="Z9">
        <f>'Mall, Citadel, Rotana'!C10+'Mall, Citadel, Rotana'!E10+'Mall, Citadel, Rotana'!G10+'Mall, Citadel, Rotana'!I10</f>
        <v>1412</v>
      </c>
      <c r="AA9">
        <f>'Mall, Citadel, Rotana'!K10+'Mall, Citadel, Rotana'!M10</f>
        <v>480</v>
      </c>
      <c r="AB9">
        <f>'Mall, Citadel, Rotana'!O10</f>
        <v>2</v>
      </c>
      <c r="AC9">
        <f>'Mall, Citadel, Rotana'!Q10+'Mall, Citadel, Rotana'!S10</f>
        <v>586</v>
      </c>
      <c r="AD9" s="40">
        <f t="shared" si="1"/>
        <v>100.9588</v>
      </c>
      <c r="AE9" s="40">
        <f t="shared" si="2"/>
        <v>665.0412</v>
      </c>
    </row>
    <row r="10" spans="1:31" x14ac:dyDescent="0.2">
      <c r="A10" s="53" t="s">
        <v>53</v>
      </c>
      <c r="B10" s="58">
        <f t="shared" si="3"/>
        <v>9</v>
      </c>
      <c r="C10" s="58">
        <v>11</v>
      </c>
      <c r="D10" s="58">
        <v>2021</v>
      </c>
      <c r="E10" s="42">
        <f>Water!C11</f>
        <v>1010</v>
      </c>
      <c r="F10" s="42">
        <f>Water!E11</f>
        <v>0</v>
      </c>
      <c r="G10" s="42">
        <f>Water!G11</f>
        <v>515.70000000000005</v>
      </c>
      <c r="H10" s="42">
        <f>Water!I11</f>
        <v>0</v>
      </c>
      <c r="I10" s="42">
        <f>ELECT.!F11</f>
        <v>10810</v>
      </c>
      <c r="J10" s="42">
        <f>ELECT.!H11</f>
        <v>40638</v>
      </c>
      <c r="K10" s="42">
        <f>ELECT.!K11</f>
        <v>4601</v>
      </c>
      <c r="L10" s="42">
        <f>ELECT.!M11</f>
        <v>3715</v>
      </c>
      <c r="M10" s="42">
        <f>ELECT.!O11</f>
        <v>6942</v>
      </c>
      <c r="N10" s="42">
        <f>ELECT.!Q11</f>
        <v>7091</v>
      </c>
      <c r="O10" s="42">
        <f>ELECT.!S11</f>
        <v>18930</v>
      </c>
      <c r="P10" s="42">
        <f>ELECT.!W11*2</f>
        <v>19026</v>
      </c>
      <c r="Q10" s="42">
        <f>ELECT.!D11</f>
        <v>640</v>
      </c>
      <c r="R10" s="43">
        <f>BTU!C11</f>
        <v>7.6500000000014552</v>
      </c>
      <c r="S10" s="43">
        <f>BTU!F11</f>
        <v>2.3800000000001091</v>
      </c>
      <c r="T10" s="43">
        <f>BTU!I11</f>
        <v>5</v>
      </c>
      <c r="U10" s="43">
        <f>BTU!O11</f>
        <v>1.5340000000001055</v>
      </c>
      <c r="V10" s="43">
        <f>BTU!L11</f>
        <v>1.7999999999992724</v>
      </c>
      <c r="W10" s="43">
        <f>BTU!R11</f>
        <v>2.0199999999995271</v>
      </c>
      <c r="X10" s="40">
        <f>ELECT.!B11</f>
        <v>211</v>
      </c>
      <c r="Y10" s="40">
        <f t="shared" si="0"/>
        <v>-8857</v>
      </c>
      <c r="Z10">
        <f>'Mall, Citadel, Rotana'!C11+'Mall, Citadel, Rotana'!E11+'Mall, Citadel, Rotana'!G11+'Mall, Citadel, Rotana'!I11</f>
        <v>1188</v>
      </c>
      <c r="AA10">
        <f>'Mall, Citadel, Rotana'!K11+'Mall, Citadel, Rotana'!M11</f>
        <v>800</v>
      </c>
      <c r="AB10">
        <f>'Mall, Citadel, Rotana'!O11</f>
        <v>4</v>
      </c>
      <c r="AC10">
        <f>'Mall, Citadel, Rotana'!Q11+'Mall, Citadel, Rotana'!S11</f>
        <v>126</v>
      </c>
      <c r="AD10" s="40">
        <f t="shared" si="1"/>
        <v>107.5488</v>
      </c>
      <c r="AE10" s="40">
        <f t="shared" si="2"/>
        <v>708.45119999999997</v>
      </c>
    </row>
    <row r="11" spans="1:31" x14ac:dyDescent="0.2">
      <c r="A11" s="53" t="s">
        <v>53</v>
      </c>
      <c r="B11" s="58">
        <f t="shared" si="3"/>
        <v>10</v>
      </c>
      <c r="C11" s="58">
        <v>11</v>
      </c>
      <c r="D11" s="58">
        <v>2021</v>
      </c>
      <c r="E11" s="42">
        <f>Water!C12</f>
        <v>950</v>
      </c>
      <c r="F11" s="42">
        <f>Water!E12</f>
        <v>0</v>
      </c>
      <c r="G11" s="42">
        <f>Water!G12</f>
        <v>488.7</v>
      </c>
      <c r="H11" s="42">
        <f>Water!I12</f>
        <v>2.9699999999999998</v>
      </c>
      <c r="I11" s="42">
        <f>ELECT.!F12</f>
        <v>12861</v>
      </c>
      <c r="J11" s="42">
        <f>ELECT.!H12</f>
        <v>54787</v>
      </c>
      <c r="K11" s="42">
        <f>ELECT.!K12</f>
        <v>5779</v>
      </c>
      <c r="L11" s="42">
        <f>ELECT.!M12</f>
        <v>4788</v>
      </c>
      <c r="M11" s="42">
        <f>ELECT.!O12</f>
        <v>7890</v>
      </c>
      <c r="N11" s="42">
        <f>ELECT.!Q12</f>
        <v>11285</v>
      </c>
      <c r="O11" s="42">
        <f>ELECT.!S12</f>
        <v>1801</v>
      </c>
      <c r="P11" s="42">
        <f>ELECT.!W12*2</f>
        <v>24948</v>
      </c>
      <c r="Q11" s="42">
        <f>ELECT.!D12</f>
        <v>800</v>
      </c>
      <c r="R11" s="43">
        <f>BTU!C12</f>
        <v>4.7749999999978172</v>
      </c>
      <c r="S11" s="43">
        <f>BTU!F12</f>
        <v>1.4229999999997744</v>
      </c>
      <c r="T11" s="43">
        <f>BTU!I12</f>
        <v>3</v>
      </c>
      <c r="U11" s="43">
        <f>BTU!O12</f>
        <v>1.0309999999999491</v>
      </c>
      <c r="V11" s="43">
        <f>BTU!L12</f>
        <v>0.78000000000065484</v>
      </c>
      <c r="W11" s="43">
        <f>BTU!R12</f>
        <v>4.5700000000006185</v>
      </c>
      <c r="X11" s="40">
        <f>ELECT.!B12</f>
        <v>283</v>
      </c>
      <c r="Y11" s="40">
        <f t="shared" si="0"/>
        <v>11157</v>
      </c>
      <c r="Z11">
        <f>'Mall, Citadel, Rotana'!C12+'Mall, Citadel, Rotana'!E12+'Mall, Citadel, Rotana'!G12+'Mall, Citadel, Rotana'!I12</f>
        <v>1571</v>
      </c>
      <c r="AA11">
        <f>'Mall, Citadel, Rotana'!K12+'Mall, Citadel, Rotana'!M12</f>
        <v>320</v>
      </c>
      <c r="AB11">
        <f>'Mall, Citadel, Rotana'!O12</f>
        <v>3</v>
      </c>
      <c r="AC11">
        <f>'Mall, Citadel, Rotana'!Q12+'Mall, Citadel, Rotana'!S12</f>
        <v>132</v>
      </c>
      <c r="AD11" s="40">
        <f t="shared" si="1"/>
        <v>99.249353999999997</v>
      </c>
      <c r="AE11" s="40">
        <f t="shared" si="2"/>
        <v>653.78064599999993</v>
      </c>
    </row>
    <row r="12" spans="1:31" x14ac:dyDescent="0.2">
      <c r="A12" s="53" t="s">
        <v>53</v>
      </c>
      <c r="B12" s="58">
        <f t="shared" si="3"/>
        <v>11</v>
      </c>
      <c r="C12" s="58">
        <v>11</v>
      </c>
      <c r="D12" s="58">
        <v>2021</v>
      </c>
      <c r="E12" s="42">
        <f>Water!C13</f>
        <v>970</v>
      </c>
      <c r="F12" s="42">
        <f>Water!E13</f>
        <v>0</v>
      </c>
      <c r="G12" s="42">
        <f>Water!G13</f>
        <v>480.6</v>
      </c>
      <c r="H12" s="42">
        <f>Water!I13</f>
        <v>5.2649999999999997</v>
      </c>
      <c r="I12" s="42">
        <f>ELECT.!F13</f>
        <v>10233</v>
      </c>
      <c r="J12" s="42">
        <f>ELECT.!H13</f>
        <v>37890</v>
      </c>
      <c r="K12" s="42">
        <f>ELECT.!K13</f>
        <v>3607</v>
      </c>
      <c r="L12" s="42">
        <f>ELECT.!M13</f>
        <v>3700</v>
      </c>
      <c r="M12" s="42">
        <f>ELECT.!O13</f>
        <v>6436</v>
      </c>
      <c r="N12" s="42">
        <f>ELECT.!Q13</f>
        <v>5958</v>
      </c>
      <c r="O12" s="42">
        <f>ELECT.!S13</f>
        <v>8127</v>
      </c>
      <c r="P12" s="42">
        <f>ELECT.!W13*2</f>
        <v>19052</v>
      </c>
      <c r="Q12" s="42">
        <f>ELECT.!D13</f>
        <v>640</v>
      </c>
      <c r="R12" s="43">
        <f>BTU!C13</f>
        <v>5.8209999999999127</v>
      </c>
      <c r="S12" s="43">
        <f>BTU!F13</f>
        <v>1.8900000000003274</v>
      </c>
      <c r="T12" s="43">
        <f>BTU!I13</f>
        <v>5</v>
      </c>
      <c r="U12" s="43">
        <f>BTU!O13</f>
        <v>1.3600000000001273</v>
      </c>
      <c r="V12" s="43">
        <f>BTU!L13</f>
        <v>1.1999999999989086</v>
      </c>
      <c r="W12" s="43">
        <f>BTU!R13</f>
        <v>2.3299999999999272</v>
      </c>
      <c r="X12" s="40">
        <f>ELECT.!B13</f>
        <v>296</v>
      </c>
      <c r="Y12" s="40">
        <f t="shared" si="0"/>
        <v>1243</v>
      </c>
      <c r="Z12">
        <f>'Mall, Citadel, Rotana'!C13+'Mall, Citadel, Rotana'!E13+'Mall, Citadel, Rotana'!G13+'Mall, Citadel, Rotana'!I13</f>
        <v>1386</v>
      </c>
      <c r="AA12">
        <f>'Mall, Citadel, Rotana'!K13+'Mall, Citadel, Rotana'!M13</f>
        <v>640</v>
      </c>
      <c r="AB12">
        <f>'Mall, Citadel, Rotana'!O13</f>
        <v>3</v>
      </c>
      <c r="AC12">
        <f>'Mall, Citadel, Rotana'!Q13+'Mall, Citadel, Rotana'!S13</f>
        <v>127</v>
      </c>
      <c r="AD12" s="40">
        <f t="shared" si="1"/>
        <v>101.58287300000001</v>
      </c>
      <c r="AE12" s="40">
        <f t="shared" si="2"/>
        <v>669.15212700000006</v>
      </c>
    </row>
    <row r="13" spans="1:31" x14ac:dyDescent="0.2">
      <c r="A13" s="53" t="s">
        <v>53</v>
      </c>
      <c r="B13" s="58">
        <f t="shared" si="3"/>
        <v>12</v>
      </c>
      <c r="C13" s="58">
        <v>11</v>
      </c>
      <c r="D13" s="58">
        <v>2021</v>
      </c>
      <c r="E13" s="42">
        <f>Water!C14</f>
        <v>850</v>
      </c>
      <c r="F13" s="42">
        <f>Water!E14</f>
        <v>0</v>
      </c>
      <c r="G13" s="42">
        <f>Water!G14</f>
        <v>423.9</v>
      </c>
      <c r="H13" s="42">
        <f>Water!I14</f>
        <v>3.645</v>
      </c>
      <c r="I13" s="42">
        <f>ELECT.!F14</f>
        <v>12397</v>
      </c>
      <c r="J13" s="42">
        <f>ELECT.!H14</f>
        <v>55761</v>
      </c>
      <c r="K13" s="42">
        <f>ELECT.!K14</f>
        <v>4539</v>
      </c>
      <c r="L13" s="42">
        <f>ELECT.!M14</f>
        <v>5197</v>
      </c>
      <c r="M13" s="42">
        <f>ELECT.!O14</f>
        <v>7034</v>
      </c>
      <c r="N13" s="42">
        <f>ELECT.!Q14</f>
        <v>10581</v>
      </c>
      <c r="O13" s="42">
        <f>ELECT.!S14</f>
        <v>12362</v>
      </c>
      <c r="P13" s="42">
        <f>ELECT.!W14*2</f>
        <v>26952</v>
      </c>
      <c r="Q13" s="42">
        <f>ELECT.!D14</f>
        <v>640</v>
      </c>
      <c r="R13" s="43">
        <f>BTU!C14</f>
        <v>5.1180000000022119</v>
      </c>
      <c r="S13" s="43">
        <f>BTU!F14</f>
        <v>0.90599999999994907</v>
      </c>
      <c r="T13" s="43">
        <f>BTU!I14</f>
        <v>4</v>
      </c>
      <c r="U13" s="43">
        <f>BTU!O14</f>
        <v>1.3449999999997999</v>
      </c>
      <c r="V13" s="43">
        <f>BTU!L14</f>
        <v>1.1100000000005821</v>
      </c>
      <c r="W13" s="43">
        <f>BTU!R14</f>
        <v>1.2100000000000364</v>
      </c>
      <c r="X13" s="40">
        <f>ELECT.!B14</f>
        <v>297</v>
      </c>
      <c r="Y13" s="40">
        <f t="shared" si="0"/>
        <v>1493</v>
      </c>
      <c r="Z13">
        <f>'Mall, Citadel, Rotana'!C14+'Mall, Citadel, Rotana'!E14+'Mall, Citadel, Rotana'!G14+'Mall, Citadel, Rotana'!I14</f>
        <v>1450</v>
      </c>
      <c r="AA13">
        <f>'Mall, Citadel, Rotana'!K14+'Mall, Citadel, Rotana'!M14</f>
        <v>320</v>
      </c>
      <c r="AB13">
        <f>'Mall, Citadel, Rotana'!O14</f>
        <v>3</v>
      </c>
      <c r="AC13">
        <f>'Mall, Citadel, Rotana'!Q14+'Mall, Citadel, Rotana'!S14</f>
        <v>123</v>
      </c>
      <c r="AD13" s="40">
        <f t="shared" si="1"/>
        <v>85.980389000000002</v>
      </c>
      <c r="AE13" s="40">
        <f t="shared" si="2"/>
        <v>566.37461099999996</v>
      </c>
    </row>
    <row r="14" spans="1:31" x14ac:dyDescent="0.2">
      <c r="A14" s="53" t="s">
        <v>53</v>
      </c>
      <c r="B14" s="58">
        <f t="shared" si="3"/>
        <v>13</v>
      </c>
      <c r="C14" s="58">
        <v>11</v>
      </c>
      <c r="D14" s="58">
        <v>2021</v>
      </c>
      <c r="E14" s="42">
        <f>Water!C15</f>
        <v>940</v>
      </c>
      <c r="F14" s="42">
        <f>Water!E15</f>
        <v>0</v>
      </c>
      <c r="G14" s="42">
        <f>Water!G15</f>
        <v>429.3</v>
      </c>
      <c r="H14" s="42">
        <f>Water!I15</f>
        <v>5.2379999999999995</v>
      </c>
      <c r="I14" s="42">
        <f>ELECT.!F15</f>
        <v>9450</v>
      </c>
      <c r="J14" s="42">
        <f>ELECT.!H15</f>
        <v>33255</v>
      </c>
      <c r="K14" s="42">
        <f>ELECT.!K15</f>
        <v>2964</v>
      </c>
      <c r="L14" s="42">
        <f>ELECT.!M15</f>
        <v>4164</v>
      </c>
      <c r="M14" s="42">
        <f>ELECT.!O15</f>
        <v>5162</v>
      </c>
      <c r="N14" s="42">
        <f>ELECT.!Q15</f>
        <v>6739</v>
      </c>
      <c r="O14" s="42">
        <f>ELECT.!S15</f>
        <v>7202</v>
      </c>
      <c r="P14" s="42">
        <f>ELECT.!W15*2</f>
        <v>15646</v>
      </c>
      <c r="Q14" s="42">
        <f>ELECT.!D15</f>
        <v>640</v>
      </c>
      <c r="R14" s="43">
        <f>BTU!C15</f>
        <v>0</v>
      </c>
      <c r="S14" s="43">
        <f>BTU!F15</f>
        <v>0</v>
      </c>
      <c r="T14" s="43">
        <f>BTU!I15</f>
        <v>0</v>
      </c>
      <c r="U14" s="43">
        <f>BTU!O15</f>
        <v>0</v>
      </c>
      <c r="V14" s="43">
        <f>BTU!L15</f>
        <v>0</v>
      </c>
      <c r="W14" s="43">
        <f>BTU!R15</f>
        <v>0</v>
      </c>
      <c r="X14" s="40">
        <f>ELECT.!B15</f>
        <v>275</v>
      </c>
      <c r="Y14" s="40">
        <f t="shared" si="0"/>
        <v>828</v>
      </c>
      <c r="Z14">
        <f>'Mall, Citadel, Rotana'!C15+'Mall, Citadel, Rotana'!E15+'Mall, Citadel, Rotana'!G15+'Mall, Citadel, Rotana'!I15</f>
        <v>1195</v>
      </c>
      <c r="AA14">
        <f>'Mall, Citadel, Rotana'!K15+'Mall, Citadel, Rotana'!M15</f>
        <v>320</v>
      </c>
      <c r="AB14">
        <f>'Mall, Citadel, Rotana'!O15</f>
        <v>3</v>
      </c>
      <c r="AC14">
        <f>'Mall, Citadel, Rotana'!Q15+'Mall, Citadel, Rotana'!S15</f>
        <v>126</v>
      </c>
      <c r="AD14" s="40">
        <f t="shared" si="1"/>
        <v>97.63243159999999</v>
      </c>
      <c r="AE14" s="40">
        <f t="shared" si="2"/>
        <v>643.12956839999993</v>
      </c>
    </row>
    <row r="15" spans="1:31" x14ac:dyDescent="0.2">
      <c r="A15" s="53" t="s">
        <v>53</v>
      </c>
      <c r="B15" s="58">
        <f t="shared" si="3"/>
        <v>14</v>
      </c>
      <c r="C15" s="58">
        <v>11</v>
      </c>
      <c r="D15" s="58">
        <v>2021</v>
      </c>
      <c r="E15" s="42">
        <f>Water!C16</f>
        <v>920</v>
      </c>
      <c r="F15" s="42">
        <f>Water!E16</f>
        <v>0</v>
      </c>
      <c r="G15" s="42">
        <f>Water!G16</f>
        <v>469.8</v>
      </c>
      <c r="H15" s="42">
        <f>Water!I16</f>
        <v>5.157</v>
      </c>
      <c r="I15" s="42">
        <f>ELECT.!F16</f>
        <v>13190</v>
      </c>
      <c r="J15" s="42">
        <f>ELECT.!H16</f>
        <v>55049</v>
      </c>
      <c r="K15" s="42">
        <f>ELECT.!K16</f>
        <v>4990</v>
      </c>
      <c r="L15" s="42">
        <f>ELECT.!M16</f>
        <v>8001</v>
      </c>
      <c r="M15" s="42">
        <f>ELECT.!O16</f>
        <v>5014</v>
      </c>
      <c r="N15" s="42">
        <f>ELECT.!Q16</f>
        <v>14633</v>
      </c>
      <c r="O15" s="42">
        <f>ELECT.!S16</f>
        <v>10635</v>
      </c>
      <c r="P15" s="42">
        <f>ELECT.!W16*2</f>
        <v>23580</v>
      </c>
      <c r="Q15" s="42">
        <f>ELECT.!D16</f>
        <v>640</v>
      </c>
      <c r="R15" s="43">
        <f>BTU!C16</f>
        <v>9.4569999999985157</v>
      </c>
      <c r="S15" s="43">
        <f>BTU!F16</f>
        <v>2.5579999999999927</v>
      </c>
      <c r="T15" s="43">
        <f>BTU!I16</f>
        <v>9</v>
      </c>
      <c r="U15" s="43">
        <f>BTU!O16</f>
        <v>0</v>
      </c>
      <c r="V15" s="43">
        <f>BTU!L16</f>
        <v>1.0900000000001455</v>
      </c>
      <c r="W15" s="43">
        <f>BTU!R16</f>
        <v>0</v>
      </c>
      <c r="X15" s="40">
        <f>ELECT.!B16</f>
        <v>261</v>
      </c>
      <c r="Y15" s="40">
        <f t="shared" si="0"/>
        <v>1386</v>
      </c>
      <c r="Z15">
        <f>'Mall, Citadel, Rotana'!C16+'Mall, Citadel, Rotana'!E16+'Mall, Citadel, Rotana'!G16+'Mall, Citadel, Rotana'!I16</f>
        <v>1400</v>
      </c>
      <c r="AA15">
        <f>'Mall, Citadel, Rotana'!K16+'Mall, Citadel, Rotana'!M16</f>
        <v>640</v>
      </c>
      <c r="AB15">
        <f>'Mall, Citadel, Rotana'!O16</f>
        <v>3</v>
      </c>
      <c r="AC15">
        <f>'Mall, Citadel, Rotana'!Q16+'Mall, Citadel, Rotana'!S16</f>
        <v>57</v>
      </c>
      <c r="AD15" s="40">
        <f t="shared" si="1"/>
        <v>95.007107399999995</v>
      </c>
      <c r="AE15" s="40">
        <f t="shared" si="2"/>
        <v>625.83589259999997</v>
      </c>
    </row>
    <row r="16" spans="1:31" x14ac:dyDescent="0.2">
      <c r="A16" s="53" t="s">
        <v>53</v>
      </c>
      <c r="B16" s="58">
        <f t="shared" si="3"/>
        <v>15</v>
      </c>
      <c r="C16" s="58">
        <v>11</v>
      </c>
      <c r="D16" s="58">
        <v>2021</v>
      </c>
      <c r="E16" s="42">
        <f>Water!C17</f>
        <v>0</v>
      </c>
      <c r="F16" s="42">
        <f>Water!E17</f>
        <v>0</v>
      </c>
      <c r="G16" s="42">
        <f>Water!G17</f>
        <v>0</v>
      </c>
      <c r="H16" s="42">
        <f>Water!I17</f>
        <v>0</v>
      </c>
      <c r="I16" s="42">
        <f>ELECT.!F17</f>
        <v>0</v>
      </c>
      <c r="J16" s="42">
        <f>ELECT.!H17</f>
        <v>0</v>
      </c>
      <c r="K16" s="42">
        <f>ELECT.!K17</f>
        <v>0</v>
      </c>
      <c r="L16" s="42">
        <f>ELECT.!M17</f>
        <v>0</v>
      </c>
      <c r="M16" s="42">
        <f>ELECT.!O17</f>
        <v>0</v>
      </c>
      <c r="N16" s="42">
        <f>ELECT.!Q17</f>
        <v>0</v>
      </c>
      <c r="O16" s="42">
        <f>ELECT.!S17</f>
        <v>0</v>
      </c>
      <c r="P16" s="42">
        <f>ELECT.!W17*2</f>
        <v>0</v>
      </c>
      <c r="Q16" s="42">
        <f>ELECT.!D17</f>
        <v>0</v>
      </c>
      <c r="R16" s="43">
        <f>BTU!C17</f>
        <v>0</v>
      </c>
      <c r="S16" s="43">
        <f>BTU!F17</f>
        <v>0</v>
      </c>
      <c r="T16" s="43">
        <f>BTU!I17</f>
        <v>0</v>
      </c>
      <c r="U16" s="43">
        <f>BTU!O17</f>
        <v>0</v>
      </c>
      <c r="V16" s="43">
        <f>BTU!L17</f>
        <v>0</v>
      </c>
      <c r="W16" s="43">
        <f>BTU!R17</f>
        <v>0</v>
      </c>
      <c r="X16" s="40">
        <f>ELECT.!B17</f>
        <v>0</v>
      </c>
      <c r="Y16" s="40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0">
        <f t="shared" si="1"/>
        <v>-25.569199999999999</v>
      </c>
      <c r="AE16" s="40">
        <f t="shared" si="2"/>
        <v>-168.4308</v>
      </c>
    </row>
    <row r="17" spans="1:31" x14ac:dyDescent="0.2">
      <c r="A17" s="53" t="s">
        <v>53</v>
      </c>
      <c r="B17" s="58">
        <f t="shared" si="3"/>
        <v>16</v>
      </c>
      <c r="C17" s="58">
        <v>11</v>
      </c>
      <c r="D17" s="58">
        <v>2021</v>
      </c>
      <c r="E17" s="42">
        <f>Water!C18</f>
        <v>0</v>
      </c>
      <c r="F17" s="42">
        <f>Water!E18</f>
        <v>0</v>
      </c>
      <c r="G17" s="42">
        <f>Water!G18</f>
        <v>0</v>
      </c>
      <c r="H17" s="42">
        <f>Water!I18</f>
        <v>0</v>
      </c>
      <c r="I17" s="42">
        <f>ELECT.!F18</f>
        <v>0</v>
      </c>
      <c r="J17" s="42">
        <f>ELECT.!H18</f>
        <v>0</v>
      </c>
      <c r="K17" s="42">
        <f>ELECT.!K18</f>
        <v>0</v>
      </c>
      <c r="L17" s="42">
        <f>ELECT.!M18</f>
        <v>0</v>
      </c>
      <c r="M17" s="42">
        <f>ELECT.!O18</f>
        <v>0</v>
      </c>
      <c r="N17" s="42">
        <f>ELECT.!Q18</f>
        <v>0</v>
      </c>
      <c r="O17" s="42">
        <f>ELECT.!S18</f>
        <v>0</v>
      </c>
      <c r="P17" s="42">
        <f>ELECT.!W18*2</f>
        <v>0</v>
      </c>
      <c r="Q17" s="42">
        <f>ELECT.!D18</f>
        <v>0</v>
      </c>
      <c r="R17" s="43">
        <f>BTU!C18</f>
        <v>0</v>
      </c>
      <c r="S17" s="43">
        <f>BTU!F18</f>
        <v>0</v>
      </c>
      <c r="T17" s="43">
        <f>BTU!I18</f>
        <v>0</v>
      </c>
      <c r="U17" s="43">
        <f>BTU!O18</f>
        <v>0</v>
      </c>
      <c r="V17" s="43">
        <f>BTU!L18</f>
        <v>0</v>
      </c>
      <c r="W17" s="43">
        <f>BTU!R18</f>
        <v>0</v>
      </c>
      <c r="X17" s="40">
        <f>ELECT.!B18</f>
        <v>0</v>
      </c>
      <c r="Y17" s="40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0">
        <f t="shared" si="1"/>
        <v>-25.569199999999999</v>
      </c>
      <c r="AE17" s="40">
        <f t="shared" si="2"/>
        <v>-168.4308</v>
      </c>
    </row>
    <row r="18" spans="1:31" x14ac:dyDescent="0.2">
      <c r="A18" s="53" t="s">
        <v>53</v>
      </c>
      <c r="B18" s="58">
        <f t="shared" si="3"/>
        <v>17</v>
      </c>
      <c r="C18" s="58">
        <v>11</v>
      </c>
      <c r="D18" s="58">
        <v>2021</v>
      </c>
      <c r="E18" s="42">
        <f>Water!C19</f>
        <v>0</v>
      </c>
      <c r="F18" s="42">
        <f>Water!E19</f>
        <v>0</v>
      </c>
      <c r="G18" s="42">
        <f>Water!G19</f>
        <v>0</v>
      </c>
      <c r="H18" s="42">
        <f>Water!I19</f>
        <v>0</v>
      </c>
      <c r="I18" s="42">
        <f>ELECT.!F19</f>
        <v>0</v>
      </c>
      <c r="J18" s="42">
        <f>ELECT.!H19</f>
        <v>0</v>
      </c>
      <c r="K18" s="42">
        <f>ELECT.!K19</f>
        <v>0</v>
      </c>
      <c r="L18" s="42">
        <f>ELECT.!M19</f>
        <v>0</v>
      </c>
      <c r="M18" s="42">
        <f>ELECT.!O19</f>
        <v>0</v>
      </c>
      <c r="N18" s="42">
        <f>ELECT.!Q19</f>
        <v>0</v>
      </c>
      <c r="O18" s="42">
        <f>ELECT.!S19</f>
        <v>0</v>
      </c>
      <c r="P18" s="42">
        <f>ELECT.!W19*2</f>
        <v>0</v>
      </c>
      <c r="Q18" s="42">
        <f>ELECT.!D19</f>
        <v>0</v>
      </c>
      <c r="R18" s="43">
        <f>BTU!C19</f>
        <v>0</v>
      </c>
      <c r="S18" s="43">
        <f>BTU!F19</f>
        <v>0</v>
      </c>
      <c r="T18" s="43">
        <f>BTU!I19</f>
        <v>0</v>
      </c>
      <c r="U18" s="43">
        <f>BTU!O19</f>
        <v>0</v>
      </c>
      <c r="V18" s="43">
        <f>BTU!L19</f>
        <v>0</v>
      </c>
      <c r="W18" s="43">
        <f>BTU!R19</f>
        <v>0</v>
      </c>
      <c r="X18" s="40">
        <f>ELECT.!B19</f>
        <v>0</v>
      </c>
      <c r="Y18" s="40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0">
        <f t="shared" si="1"/>
        <v>-25.569199999999999</v>
      </c>
      <c r="AE18" s="40">
        <f t="shared" si="2"/>
        <v>-168.4308</v>
      </c>
    </row>
    <row r="19" spans="1:31" x14ac:dyDescent="0.2">
      <c r="A19" s="53" t="s">
        <v>53</v>
      </c>
      <c r="B19" s="58">
        <f t="shared" si="3"/>
        <v>18</v>
      </c>
      <c r="C19" s="58">
        <v>11</v>
      </c>
      <c r="D19" s="58">
        <v>2021</v>
      </c>
      <c r="E19" s="42">
        <f>Water!C20</f>
        <v>0</v>
      </c>
      <c r="F19" s="42">
        <f>Water!E20</f>
        <v>0</v>
      </c>
      <c r="G19" s="42">
        <f>Water!G20</f>
        <v>0</v>
      </c>
      <c r="H19" s="42">
        <f>Water!I20</f>
        <v>0</v>
      </c>
      <c r="I19" s="42">
        <f>ELECT.!F20</f>
        <v>0</v>
      </c>
      <c r="J19" s="42">
        <f>ELECT.!H20</f>
        <v>0</v>
      </c>
      <c r="K19" s="42">
        <f>ELECT.!K20</f>
        <v>0</v>
      </c>
      <c r="L19" s="42">
        <f>ELECT.!M20</f>
        <v>0</v>
      </c>
      <c r="M19" s="42">
        <f>ELECT.!O20</f>
        <v>0</v>
      </c>
      <c r="N19" s="42">
        <f>ELECT.!Q20</f>
        <v>0</v>
      </c>
      <c r="O19" s="42">
        <f>ELECT.!S20</f>
        <v>0</v>
      </c>
      <c r="P19" s="42">
        <f>ELECT.!W20*2</f>
        <v>0</v>
      </c>
      <c r="Q19" s="42">
        <f>ELECT.!D20</f>
        <v>0</v>
      </c>
      <c r="R19" s="43">
        <f>BTU!C20</f>
        <v>0</v>
      </c>
      <c r="S19" s="43">
        <f>BTU!F20</f>
        <v>0</v>
      </c>
      <c r="T19" s="43">
        <f>BTU!I20</f>
        <v>0</v>
      </c>
      <c r="U19" s="43">
        <f>BTU!O20</f>
        <v>0</v>
      </c>
      <c r="V19" s="43">
        <f>BTU!L20</f>
        <v>0</v>
      </c>
      <c r="W19" s="43">
        <f>BTU!R20</f>
        <v>0</v>
      </c>
      <c r="X19" s="40">
        <f>ELECT.!B20</f>
        <v>0</v>
      </c>
      <c r="Y19" s="40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0">
        <f t="shared" si="1"/>
        <v>-25.569199999999999</v>
      </c>
      <c r="AE19" s="40">
        <f t="shared" si="2"/>
        <v>-168.4308</v>
      </c>
    </row>
    <row r="20" spans="1:31" x14ac:dyDescent="0.2">
      <c r="A20" s="53" t="s">
        <v>53</v>
      </c>
      <c r="B20" s="58">
        <f t="shared" si="3"/>
        <v>19</v>
      </c>
      <c r="C20" s="58">
        <v>11</v>
      </c>
      <c r="D20" s="58">
        <v>2021</v>
      </c>
      <c r="E20" s="42">
        <f>Water!C21</f>
        <v>0</v>
      </c>
      <c r="F20" s="42">
        <f>Water!E21</f>
        <v>0</v>
      </c>
      <c r="G20" s="42">
        <f>Water!G21</f>
        <v>0</v>
      </c>
      <c r="H20" s="42">
        <f>Water!I21</f>
        <v>0</v>
      </c>
      <c r="I20" s="42">
        <f>ELECT.!F21</f>
        <v>0</v>
      </c>
      <c r="J20" s="42">
        <f>ELECT.!H21</f>
        <v>0</v>
      </c>
      <c r="K20" s="42">
        <f>ELECT.!K21</f>
        <v>0</v>
      </c>
      <c r="L20" s="42">
        <f>ELECT.!M21</f>
        <v>0</v>
      </c>
      <c r="M20" s="42">
        <f>ELECT.!O21</f>
        <v>0</v>
      </c>
      <c r="N20" s="42">
        <f>ELECT.!Q21</f>
        <v>0</v>
      </c>
      <c r="O20" s="42">
        <f>ELECT.!S21</f>
        <v>0</v>
      </c>
      <c r="P20" s="42">
        <f>ELECT.!W21*2</f>
        <v>0</v>
      </c>
      <c r="Q20" s="42">
        <f>ELECT.!D21</f>
        <v>0</v>
      </c>
      <c r="R20" s="43">
        <f>BTU!C21</f>
        <v>0</v>
      </c>
      <c r="S20" s="43">
        <f>BTU!F21</f>
        <v>0</v>
      </c>
      <c r="T20" s="43">
        <f>BTU!I21</f>
        <v>0</v>
      </c>
      <c r="U20" s="43">
        <f>BTU!O21</f>
        <v>0</v>
      </c>
      <c r="V20" s="43">
        <f>BTU!L21</f>
        <v>0</v>
      </c>
      <c r="W20" s="43">
        <f>BTU!R21</f>
        <v>0</v>
      </c>
      <c r="X20" s="40">
        <f>ELECT.!B21</f>
        <v>0</v>
      </c>
      <c r="Y20" s="40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0">
        <f t="shared" si="1"/>
        <v>-25.569199999999999</v>
      </c>
      <c r="AE20" s="40">
        <f t="shared" si="2"/>
        <v>-168.4308</v>
      </c>
    </row>
    <row r="21" spans="1:31" x14ac:dyDescent="0.2">
      <c r="A21" s="53" t="s">
        <v>53</v>
      </c>
      <c r="B21" s="58">
        <f t="shared" si="3"/>
        <v>20</v>
      </c>
      <c r="C21" s="58">
        <v>11</v>
      </c>
      <c r="D21" s="58">
        <v>2021</v>
      </c>
      <c r="E21" s="42">
        <f>Water!C22</f>
        <v>0</v>
      </c>
      <c r="F21" s="42">
        <f>Water!E22</f>
        <v>0</v>
      </c>
      <c r="G21" s="42">
        <f>Water!G22</f>
        <v>0</v>
      </c>
      <c r="H21" s="42">
        <f>Water!I22</f>
        <v>0</v>
      </c>
      <c r="I21" s="42">
        <f>ELECT.!F22</f>
        <v>0</v>
      </c>
      <c r="J21" s="42">
        <f>ELECT.!H22</f>
        <v>0</v>
      </c>
      <c r="K21" s="42">
        <f>ELECT.!K22</f>
        <v>0</v>
      </c>
      <c r="L21" s="42">
        <f>ELECT.!M22</f>
        <v>0</v>
      </c>
      <c r="M21" s="42">
        <f>ELECT.!O22</f>
        <v>0</v>
      </c>
      <c r="N21" s="42">
        <f>ELECT.!Q22</f>
        <v>0</v>
      </c>
      <c r="O21" s="42">
        <f>ELECT.!S22</f>
        <v>0</v>
      </c>
      <c r="P21" s="42">
        <f>ELECT.!W22*2</f>
        <v>0</v>
      </c>
      <c r="Q21" s="42">
        <f>ELECT.!D22</f>
        <v>0</v>
      </c>
      <c r="R21" s="43">
        <f>BTU!C22</f>
        <v>0</v>
      </c>
      <c r="S21" s="43">
        <f>BTU!F22</f>
        <v>0</v>
      </c>
      <c r="T21" s="43">
        <f>BTU!I22</f>
        <v>0</v>
      </c>
      <c r="U21" s="43">
        <f>BTU!O22</f>
        <v>0</v>
      </c>
      <c r="V21" s="43">
        <f>BTU!L22</f>
        <v>0</v>
      </c>
      <c r="W21" s="43">
        <f>BTU!R22</f>
        <v>0</v>
      </c>
      <c r="X21" s="40">
        <f>ELECT.!B22</f>
        <v>0</v>
      </c>
      <c r="Y21" s="40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0">
        <f t="shared" si="1"/>
        <v>-25.569199999999999</v>
      </c>
      <c r="AE21" s="40">
        <f t="shared" si="2"/>
        <v>-168.4308</v>
      </c>
    </row>
    <row r="22" spans="1:31" x14ac:dyDescent="0.2">
      <c r="A22" s="53" t="s">
        <v>53</v>
      </c>
      <c r="B22" s="58">
        <f t="shared" si="3"/>
        <v>21</v>
      </c>
      <c r="C22" s="58">
        <v>11</v>
      </c>
      <c r="D22" s="58">
        <v>2021</v>
      </c>
      <c r="E22" s="42">
        <f>Water!C23</f>
        <v>0</v>
      </c>
      <c r="F22" s="42">
        <f>Water!E23</f>
        <v>0</v>
      </c>
      <c r="G22" s="42">
        <f>Water!G23</f>
        <v>0</v>
      </c>
      <c r="H22" s="42">
        <f>Water!I23</f>
        <v>0</v>
      </c>
      <c r="I22" s="42">
        <f>ELECT.!F23</f>
        <v>0</v>
      </c>
      <c r="J22" s="42">
        <f>ELECT.!H23</f>
        <v>0</v>
      </c>
      <c r="K22" s="42">
        <f>ELECT.!K23</f>
        <v>0</v>
      </c>
      <c r="L22" s="42">
        <f>ELECT.!M23</f>
        <v>0</v>
      </c>
      <c r="M22" s="42">
        <f>ELECT.!O23</f>
        <v>0</v>
      </c>
      <c r="N22" s="42">
        <f>ELECT.!Q23</f>
        <v>0</v>
      </c>
      <c r="O22" s="42">
        <f>ELECT.!S23</f>
        <v>0</v>
      </c>
      <c r="P22" s="42">
        <f>ELECT.!W23*2</f>
        <v>0</v>
      </c>
      <c r="Q22" s="42">
        <f>ELECT.!D23</f>
        <v>0</v>
      </c>
      <c r="R22" s="43">
        <f>BTU!C23</f>
        <v>0</v>
      </c>
      <c r="S22" s="43">
        <f>BTU!F23</f>
        <v>0</v>
      </c>
      <c r="T22" s="43">
        <f>BTU!I23</f>
        <v>0</v>
      </c>
      <c r="U22" s="43">
        <f>BTU!O23</f>
        <v>0</v>
      </c>
      <c r="V22" s="43">
        <f>BTU!L23</f>
        <v>0</v>
      </c>
      <c r="W22" s="43">
        <f>BTU!R23</f>
        <v>0</v>
      </c>
      <c r="X22" s="40">
        <f>ELECT.!B23</f>
        <v>0</v>
      </c>
      <c r="Y22" s="40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0">
        <f t="shared" si="1"/>
        <v>-25.569199999999999</v>
      </c>
      <c r="AE22" s="40">
        <f t="shared" si="2"/>
        <v>-168.4308</v>
      </c>
    </row>
    <row r="23" spans="1:31" x14ac:dyDescent="0.2">
      <c r="A23" s="53" t="s">
        <v>53</v>
      </c>
      <c r="B23" s="58">
        <f t="shared" si="3"/>
        <v>22</v>
      </c>
      <c r="C23" s="58">
        <v>11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>
        <f>ELECT.!F24</f>
        <v>0</v>
      </c>
      <c r="J23" s="42">
        <f>ELECT.!H24</f>
        <v>0</v>
      </c>
      <c r="K23" s="42">
        <f>ELECT.!K24</f>
        <v>0</v>
      </c>
      <c r="L23" s="42">
        <f>ELECT.!M24</f>
        <v>0</v>
      </c>
      <c r="M23" s="42">
        <f>ELECT.!O24</f>
        <v>0</v>
      </c>
      <c r="N23" s="42">
        <f>ELECT.!Q24</f>
        <v>0</v>
      </c>
      <c r="O23" s="42">
        <f>ELECT.!S24</f>
        <v>0</v>
      </c>
      <c r="P23" s="42">
        <f>ELECT.!W24*2</f>
        <v>0</v>
      </c>
      <c r="Q23" s="42">
        <f>ELECT.!D24</f>
        <v>0</v>
      </c>
      <c r="R23" s="43">
        <f>BTU!C24</f>
        <v>0</v>
      </c>
      <c r="S23" s="43">
        <f>BTU!F24</f>
        <v>0</v>
      </c>
      <c r="T23" s="43">
        <f>BTU!I24</f>
        <v>0</v>
      </c>
      <c r="U23" s="43">
        <f>BTU!O24</f>
        <v>0</v>
      </c>
      <c r="V23" s="43">
        <f>BTU!L24</f>
        <v>0</v>
      </c>
      <c r="W23" s="43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11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11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11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11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11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11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11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11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D32" s="40"/>
      <c r="AE32" s="40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2" activePane="bottomLeft" state="frozen"/>
      <selection pane="bottomLeft" activeCell="A16" sqref="A16:XFD16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44500</v>
      </c>
      <c r="B2" s="37">
        <v>46133</v>
      </c>
      <c r="C2" s="16">
        <v>0</v>
      </c>
      <c r="D2" s="37">
        <v>39989</v>
      </c>
      <c r="E2" s="16">
        <v>0</v>
      </c>
      <c r="F2" s="37">
        <v>20950</v>
      </c>
      <c r="G2" s="16">
        <v>0</v>
      </c>
      <c r="H2" s="37">
        <v>250931</v>
      </c>
      <c r="I2" s="16">
        <v>0</v>
      </c>
      <c r="J2" s="37">
        <v>303517</v>
      </c>
      <c r="K2" s="16">
        <v>0</v>
      </c>
      <c r="L2" s="37">
        <v>25539</v>
      </c>
      <c r="M2" s="16">
        <v>0</v>
      </c>
      <c r="N2" s="37">
        <v>216028</v>
      </c>
      <c r="O2" s="16">
        <v>0</v>
      </c>
      <c r="P2" s="37">
        <v>129007</v>
      </c>
      <c r="Q2" s="16">
        <v>0</v>
      </c>
      <c r="R2" s="1" t="str">
        <f t="shared" ref="R2" si="0">R1</f>
        <v>CIB. E</v>
      </c>
      <c r="S2" s="16">
        <v>0</v>
      </c>
      <c r="T2" s="37">
        <v>3820</v>
      </c>
      <c r="U2" s="16">
        <v>0</v>
      </c>
    </row>
    <row r="3" spans="1:24" ht="13.5" thickBot="1" x14ac:dyDescent="0.25">
      <c r="A3" s="10">
        <v>44501</v>
      </c>
      <c r="B3" s="37">
        <v>46138</v>
      </c>
      <c r="C3" s="16">
        <f>(B3-B2)*800/5</f>
        <v>800</v>
      </c>
      <c r="D3" s="37">
        <v>39992</v>
      </c>
      <c r="E3" s="16">
        <f>(D3-D2)*800/5</f>
        <v>480</v>
      </c>
      <c r="F3" s="37">
        <v>20954</v>
      </c>
      <c r="G3" s="16">
        <f>(F3-F2)*100/5</f>
        <v>80</v>
      </c>
      <c r="H3" s="37">
        <v>251005</v>
      </c>
      <c r="I3" s="16">
        <f>(H3-H2)</f>
        <v>74</v>
      </c>
      <c r="J3" s="37">
        <f>J2</f>
        <v>303517</v>
      </c>
      <c r="K3" s="16">
        <f>(J3-J2)*800/5</f>
        <v>0</v>
      </c>
      <c r="L3" s="37">
        <v>25543</v>
      </c>
      <c r="M3" s="16">
        <f>(L3-L2)*800/5</f>
        <v>640</v>
      </c>
      <c r="N3" s="37">
        <v>216031</v>
      </c>
      <c r="O3" s="16">
        <f>N3-N2</f>
        <v>3</v>
      </c>
      <c r="P3" s="37">
        <v>129135</v>
      </c>
      <c r="Q3" s="16">
        <v>0</v>
      </c>
      <c r="R3" s="1">
        <v>55047</v>
      </c>
      <c r="S3" s="16">
        <v>0</v>
      </c>
      <c r="T3" s="37">
        <v>3821</v>
      </c>
      <c r="U3" s="16">
        <f>(T3-T2)*800/5</f>
        <v>160</v>
      </c>
    </row>
    <row r="4" spans="1:24" ht="13.5" thickBot="1" x14ac:dyDescent="0.25">
      <c r="A4" s="10">
        <v>44502</v>
      </c>
      <c r="B4" s="37">
        <v>46143</v>
      </c>
      <c r="C4" s="16">
        <f t="shared" ref="C4:C32" si="1">(B4-B3)*800/5</f>
        <v>800</v>
      </c>
      <c r="D4" s="37">
        <v>39996</v>
      </c>
      <c r="E4" s="16">
        <f t="shared" ref="E4:E32" si="2">(D4-D3)*800/5</f>
        <v>640</v>
      </c>
      <c r="F4" s="37">
        <v>20957</v>
      </c>
      <c r="G4" s="16">
        <f t="shared" ref="G4:G32" si="3">(F4-F3)*100/5</f>
        <v>60</v>
      </c>
      <c r="H4" s="37">
        <v>251064</v>
      </c>
      <c r="I4" s="16">
        <f t="shared" ref="I4:I32" si="4">(H4-H3)</f>
        <v>59</v>
      </c>
      <c r="J4" s="37">
        <v>303517</v>
      </c>
      <c r="K4" s="16">
        <f t="shared" ref="K4:K32" si="5">(J4-J3)*800/5</f>
        <v>0</v>
      </c>
      <c r="L4" s="37">
        <v>25547</v>
      </c>
      <c r="M4" s="16">
        <f t="shared" ref="M4:M32" si="6">(L4-L3)*800/5</f>
        <v>640</v>
      </c>
      <c r="N4" s="37">
        <v>216034</v>
      </c>
      <c r="O4" s="16">
        <f t="shared" ref="O4:O32" si="7">N4-N3</f>
        <v>3</v>
      </c>
      <c r="P4" s="37">
        <v>129291</v>
      </c>
      <c r="Q4" s="16">
        <f t="shared" ref="Q4:Q32" si="8">P4-P3</f>
        <v>156</v>
      </c>
      <c r="R4" s="1">
        <v>55047</v>
      </c>
      <c r="S4" s="16">
        <f t="shared" ref="S4:S31" si="9">R4-R3</f>
        <v>0</v>
      </c>
      <c r="T4" s="37">
        <v>3822</v>
      </c>
      <c r="U4" s="16">
        <f t="shared" ref="U4:U32" si="10">(T4-T3)*800/5</f>
        <v>160</v>
      </c>
    </row>
    <row r="5" spans="1:24" ht="13.5" thickBot="1" x14ac:dyDescent="0.25">
      <c r="A5" s="10">
        <v>44503</v>
      </c>
      <c r="B5" s="37">
        <v>46147</v>
      </c>
      <c r="C5" s="16">
        <f t="shared" si="1"/>
        <v>640</v>
      </c>
      <c r="D5" s="37">
        <v>39998</v>
      </c>
      <c r="E5" s="16">
        <f t="shared" si="2"/>
        <v>320</v>
      </c>
      <c r="F5" s="37">
        <v>20961</v>
      </c>
      <c r="G5" s="16">
        <f t="shared" si="3"/>
        <v>80</v>
      </c>
      <c r="H5" s="37">
        <v>251131</v>
      </c>
      <c r="I5" s="16">
        <f t="shared" si="4"/>
        <v>67</v>
      </c>
      <c r="J5" s="37">
        <v>303517</v>
      </c>
      <c r="K5" s="16">
        <f t="shared" si="5"/>
        <v>0</v>
      </c>
      <c r="L5" s="37">
        <v>25551</v>
      </c>
      <c r="M5" s="16">
        <f t="shared" si="6"/>
        <v>640</v>
      </c>
      <c r="N5" s="37">
        <v>216037</v>
      </c>
      <c r="O5" s="16">
        <f t="shared" si="7"/>
        <v>3</v>
      </c>
      <c r="P5" s="37">
        <v>129401</v>
      </c>
      <c r="Q5" s="16">
        <f t="shared" si="8"/>
        <v>110</v>
      </c>
      <c r="R5" s="1">
        <v>55047</v>
      </c>
      <c r="S5" s="16">
        <f t="shared" si="9"/>
        <v>0</v>
      </c>
      <c r="T5" s="37">
        <v>3822</v>
      </c>
      <c r="U5" s="16">
        <f t="shared" si="10"/>
        <v>0</v>
      </c>
    </row>
    <row r="6" spans="1:24" ht="13.5" thickBot="1" x14ac:dyDescent="0.25">
      <c r="A6" s="10">
        <v>44504</v>
      </c>
      <c r="B6" s="37">
        <v>46151</v>
      </c>
      <c r="C6" s="16">
        <f t="shared" si="1"/>
        <v>640</v>
      </c>
      <c r="D6" s="37">
        <v>40002</v>
      </c>
      <c r="E6" s="16">
        <f t="shared" si="2"/>
        <v>640</v>
      </c>
      <c r="F6" s="37">
        <v>20964</v>
      </c>
      <c r="G6" s="16">
        <f t="shared" si="3"/>
        <v>60</v>
      </c>
      <c r="H6" s="37">
        <v>251193</v>
      </c>
      <c r="I6" s="16">
        <f t="shared" si="4"/>
        <v>62</v>
      </c>
      <c r="J6" s="37">
        <v>303517</v>
      </c>
      <c r="K6" s="16">
        <f t="shared" si="5"/>
        <v>0</v>
      </c>
      <c r="L6" s="37">
        <v>25554</v>
      </c>
      <c r="M6" s="16">
        <f t="shared" si="6"/>
        <v>480</v>
      </c>
      <c r="N6" s="37">
        <v>216040</v>
      </c>
      <c r="O6" s="16">
        <f t="shared" si="7"/>
        <v>3</v>
      </c>
      <c r="P6" s="37">
        <f t="shared" ref="P6:P32" si="11">P5</f>
        <v>129401</v>
      </c>
      <c r="Q6" s="16">
        <f t="shared" si="8"/>
        <v>0</v>
      </c>
      <c r="R6" s="1">
        <v>55047</v>
      </c>
      <c r="S6" s="16">
        <v>0</v>
      </c>
      <c r="T6" s="37">
        <v>3825</v>
      </c>
      <c r="U6" s="16">
        <f t="shared" si="10"/>
        <v>480</v>
      </c>
    </row>
    <row r="7" spans="1:24" ht="13.5" thickBot="1" x14ac:dyDescent="0.25">
      <c r="A7" s="10">
        <v>44505</v>
      </c>
      <c r="B7" s="37">
        <v>46157</v>
      </c>
      <c r="C7" s="16">
        <f t="shared" si="1"/>
        <v>960</v>
      </c>
      <c r="D7" s="37">
        <v>40005</v>
      </c>
      <c r="E7" s="16">
        <f t="shared" si="2"/>
        <v>480</v>
      </c>
      <c r="F7" s="37">
        <v>20968</v>
      </c>
      <c r="G7" s="16">
        <f t="shared" si="3"/>
        <v>80</v>
      </c>
      <c r="H7" s="37">
        <v>251252</v>
      </c>
      <c r="I7" s="16">
        <f t="shared" si="4"/>
        <v>59</v>
      </c>
      <c r="J7" s="37">
        <v>303517</v>
      </c>
      <c r="K7" s="16">
        <f t="shared" si="5"/>
        <v>0</v>
      </c>
      <c r="L7" s="37">
        <v>25557</v>
      </c>
      <c r="M7" s="16">
        <f t="shared" si="6"/>
        <v>480</v>
      </c>
      <c r="N7" s="37">
        <v>216042</v>
      </c>
      <c r="O7" s="16">
        <f t="shared" si="7"/>
        <v>2</v>
      </c>
      <c r="P7" s="37">
        <f t="shared" si="11"/>
        <v>129401</v>
      </c>
      <c r="Q7" s="16">
        <v>0</v>
      </c>
      <c r="R7" s="1">
        <v>55047</v>
      </c>
      <c r="S7" s="16">
        <v>0</v>
      </c>
      <c r="T7" s="37">
        <v>3826</v>
      </c>
      <c r="U7" s="16">
        <f t="shared" si="10"/>
        <v>160</v>
      </c>
    </row>
    <row r="8" spans="1:24" ht="13.5" thickBot="1" x14ac:dyDescent="0.25">
      <c r="A8" s="10">
        <v>44506</v>
      </c>
      <c r="B8" s="37">
        <v>46164</v>
      </c>
      <c r="C8" s="16">
        <f t="shared" si="1"/>
        <v>1120</v>
      </c>
      <c r="D8" s="37">
        <v>40008</v>
      </c>
      <c r="E8" s="16">
        <f t="shared" si="2"/>
        <v>480</v>
      </c>
      <c r="F8" s="37">
        <v>20972</v>
      </c>
      <c r="G8" s="16">
        <f t="shared" si="3"/>
        <v>80</v>
      </c>
      <c r="H8" s="37">
        <v>251310</v>
      </c>
      <c r="I8" s="16">
        <f t="shared" si="4"/>
        <v>58</v>
      </c>
      <c r="J8" s="37">
        <v>303517</v>
      </c>
      <c r="K8" s="16">
        <f t="shared" si="5"/>
        <v>0</v>
      </c>
      <c r="L8" s="37">
        <v>25560</v>
      </c>
      <c r="M8" s="16">
        <f t="shared" si="6"/>
        <v>480</v>
      </c>
      <c r="N8" s="37">
        <v>216044</v>
      </c>
      <c r="O8" s="16">
        <f t="shared" si="7"/>
        <v>2</v>
      </c>
      <c r="P8" s="37">
        <f t="shared" si="11"/>
        <v>129401</v>
      </c>
      <c r="Q8" s="16">
        <f t="shared" si="8"/>
        <v>0</v>
      </c>
      <c r="R8" s="1">
        <v>55047</v>
      </c>
      <c r="S8" s="16">
        <f>R8-R7</f>
        <v>0</v>
      </c>
      <c r="T8" s="37">
        <v>3827</v>
      </c>
      <c r="U8" s="16">
        <f t="shared" si="10"/>
        <v>160</v>
      </c>
    </row>
    <row r="9" spans="1:24" ht="13.5" thickBot="1" x14ac:dyDescent="0.25">
      <c r="A9" s="10">
        <v>44507</v>
      </c>
      <c r="B9" s="37">
        <v>46167</v>
      </c>
      <c r="C9" s="16">
        <f t="shared" si="1"/>
        <v>480</v>
      </c>
      <c r="D9" s="37">
        <v>40011</v>
      </c>
      <c r="E9" s="16">
        <f t="shared" si="2"/>
        <v>480</v>
      </c>
      <c r="F9" s="37">
        <v>20975</v>
      </c>
      <c r="G9" s="16">
        <f t="shared" si="3"/>
        <v>60</v>
      </c>
      <c r="H9" s="37">
        <v>251352</v>
      </c>
      <c r="I9" s="16">
        <f t="shared" si="4"/>
        <v>42</v>
      </c>
      <c r="J9" s="37">
        <v>303517</v>
      </c>
      <c r="K9" s="16">
        <f t="shared" si="5"/>
        <v>0</v>
      </c>
      <c r="L9" s="37">
        <v>25563</v>
      </c>
      <c r="M9" s="16">
        <f t="shared" si="6"/>
        <v>480</v>
      </c>
      <c r="N9" s="37">
        <v>216049</v>
      </c>
      <c r="O9" s="16">
        <f t="shared" si="7"/>
        <v>5</v>
      </c>
      <c r="P9" s="37">
        <f t="shared" si="11"/>
        <v>129401</v>
      </c>
      <c r="Q9" s="16">
        <f>P9-P8</f>
        <v>0</v>
      </c>
      <c r="R9" s="1">
        <v>55047</v>
      </c>
      <c r="S9" s="16">
        <f>R9-R8</f>
        <v>0</v>
      </c>
      <c r="T9" s="37">
        <v>3828</v>
      </c>
      <c r="U9" s="16">
        <f t="shared" si="10"/>
        <v>160</v>
      </c>
    </row>
    <row r="10" spans="1:24" ht="13.5" thickBot="1" x14ac:dyDescent="0.25">
      <c r="A10" s="10">
        <v>44508</v>
      </c>
      <c r="B10" s="37">
        <v>46170</v>
      </c>
      <c r="C10" s="16">
        <f t="shared" si="1"/>
        <v>480</v>
      </c>
      <c r="D10" s="37">
        <v>40016</v>
      </c>
      <c r="E10" s="16">
        <f t="shared" si="2"/>
        <v>800</v>
      </c>
      <c r="F10" s="37">
        <v>20979</v>
      </c>
      <c r="G10" s="16">
        <f t="shared" si="3"/>
        <v>80</v>
      </c>
      <c r="H10" s="37">
        <v>251404</v>
      </c>
      <c r="I10" s="16">
        <f t="shared" si="4"/>
        <v>52</v>
      </c>
      <c r="J10" s="37">
        <v>303517</v>
      </c>
      <c r="K10" s="16">
        <f t="shared" si="5"/>
        <v>0</v>
      </c>
      <c r="L10" s="37">
        <v>25566</v>
      </c>
      <c r="M10" s="16">
        <f t="shared" si="6"/>
        <v>480</v>
      </c>
      <c r="N10" s="37">
        <v>216051</v>
      </c>
      <c r="O10" s="16">
        <f t="shared" si="7"/>
        <v>2</v>
      </c>
      <c r="P10" s="37">
        <v>129987</v>
      </c>
      <c r="Q10" s="16">
        <f>P10-P9</f>
        <v>586</v>
      </c>
      <c r="R10" s="1">
        <v>55047</v>
      </c>
      <c r="S10" s="16">
        <f>R10-R9</f>
        <v>0</v>
      </c>
      <c r="T10" s="37">
        <v>3829</v>
      </c>
      <c r="U10" s="16">
        <f t="shared" si="10"/>
        <v>160</v>
      </c>
    </row>
    <row r="11" spans="1:24" ht="13.5" thickBot="1" x14ac:dyDescent="0.25">
      <c r="A11" s="10">
        <v>44509</v>
      </c>
      <c r="B11" s="37">
        <v>46176</v>
      </c>
      <c r="C11" s="16">
        <f t="shared" si="1"/>
        <v>960</v>
      </c>
      <c r="D11" s="37">
        <v>40017</v>
      </c>
      <c r="E11" s="16">
        <f t="shared" si="2"/>
        <v>160</v>
      </c>
      <c r="F11" s="37">
        <v>20981</v>
      </c>
      <c r="G11" s="16">
        <f t="shared" si="3"/>
        <v>40</v>
      </c>
      <c r="H11" s="37">
        <v>251432</v>
      </c>
      <c r="I11" s="16">
        <f t="shared" si="4"/>
        <v>28</v>
      </c>
      <c r="J11" s="37">
        <v>303517</v>
      </c>
      <c r="K11" s="16">
        <f t="shared" si="5"/>
        <v>0</v>
      </c>
      <c r="L11" s="37">
        <v>25571</v>
      </c>
      <c r="M11" s="16">
        <f t="shared" si="6"/>
        <v>800</v>
      </c>
      <c r="N11" s="37">
        <v>216055</v>
      </c>
      <c r="O11" s="16">
        <f t="shared" si="7"/>
        <v>4</v>
      </c>
      <c r="P11" s="37">
        <v>130113</v>
      </c>
      <c r="Q11" s="16">
        <f t="shared" si="8"/>
        <v>126</v>
      </c>
      <c r="R11" s="1">
        <v>55047</v>
      </c>
      <c r="S11" s="16">
        <f t="shared" si="9"/>
        <v>0</v>
      </c>
      <c r="T11" s="37">
        <v>3831</v>
      </c>
      <c r="U11" s="16">
        <f t="shared" si="10"/>
        <v>320</v>
      </c>
    </row>
    <row r="12" spans="1:24" ht="13.5" thickBot="1" x14ac:dyDescent="0.25">
      <c r="A12" s="10">
        <v>44510</v>
      </c>
      <c r="B12" s="37">
        <v>46181</v>
      </c>
      <c r="C12" s="16">
        <f t="shared" si="1"/>
        <v>800</v>
      </c>
      <c r="D12" s="37">
        <v>40021</v>
      </c>
      <c r="E12" s="16">
        <f t="shared" si="2"/>
        <v>640</v>
      </c>
      <c r="F12" s="37">
        <v>20985</v>
      </c>
      <c r="G12" s="16">
        <f t="shared" si="3"/>
        <v>80</v>
      </c>
      <c r="H12" s="37">
        <v>251483</v>
      </c>
      <c r="I12" s="16">
        <f t="shared" si="4"/>
        <v>51</v>
      </c>
      <c r="J12" s="37">
        <v>303517</v>
      </c>
      <c r="K12" s="16">
        <f t="shared" si="5"/>
        <v>0</v>
      </c>
      <c r="L12" s="37">
        <v>25573</v>
      </c>
      <c r="M12" s="16">
        <f t="shared" si="6"/>
        <v>320</v>
      </c>
      <c r="N12" s="37">
        <v>216058</v>
      </c>
      <c r="O12" s="16">
        <f t="shared" si="7"/>
        <v>3</v>
      </c>
      <c r="P12" s="37">
        <v>130245</v>
      </c>
      <c r="Q12" s="16">
        <f t="shared" si="8"/>
        <v>132</v>
      </c>
      <c r="R12" s="1">
        <v>55047</v>
      </c>
      <c r="S12" s="16">
        <f t="shared" si="9"/>
        <v>0</v>
      </c>
      <c r="T12" s="37">
        <v>3832</v>
      </c>
      <c r="U12" s="16">
        <f t="shared" si="10"/>
        <v>160</v>
      </c>
    </row>
    <row r="13" spans="1:24" ht="13.5" thickBot="1" x14ac:dyDescent="0.25">
      <c r="A13" s="10">
        <v>44511</v>
      </c>
      <c r="B13" s="37">
        <v>46186</v>
      </c>
      <c r="C13" s="16">
        <f t="shared" si="1"/>
        <v>800</v>
      </c>
      <c r="D13" s="37">
        <v>40024</v>
      </c>
      <c r="E13" s="16">
        <f t="shared" si="2"/>
        <v>480</v>
      </c>
      <c r="F13" s="37">
        <v>20988</v>
      </c>
      <c r="G13" s="16">
        <f t="shared" si="3"/>
        <v>60</v>
      </c>
      <c r="H13" s="37">
        <v>251529</v>
      </c>
      <c r="I13" s="16">
        <f t="shared" si="4"/>
        <v>46</v>
      </c>
      <c r="J13" s="37">
        <v>303517</v>
      </c>
      <c r="K13" s="16">
        <f t="shared" si="5"/>
        <v>0</v>
      </c>
      <c r="L13" s="37">
        <v>25577</v>
      </c>
      <c r="M13" s="16">
        <f t="shared" si="6"/>
        <v>640</v>
      </c>
      <c r="N13" s="37">
        <v>216061</v>
      </c>
      <c r="O13" s="16">
        <f t="shared" si="7"/>
        <v>3</v>
      </c>
      <c r="P13" s="37">
        <v>130372</v>
      </c>
      <c r="Q13" s="16">
        <f t="shared" si="8"/>
        <v>127</v>
      </c>
      <c r="R13" s="1">
        <v>55047</v>
      </c>
      <c r="S13" s="16">
        <f t="shared" si="9"/>
        <v>0</v>
      </c>
      <c r="T13" s="37">
        <v>3833</v>
      </c>
      <c r="U13" s="16">
        <f t="shared" si="10"/>
        <v>160</v>
      </c>
    </row>
    <row r="14" spans="1:24" ht="13.5" thickBot="1" x14ac:dyDescent="0.25">
      <c r="A14" s="10">
        <v>44512</v>
      </c>
      <c r="B14" s="37">
        <v>46191</v>
      </c>
      <c r="C14" s="16">
        <f t="shared" si="1"/>
        <v>800</v>
      </c>
      <c r="D14" s="37">
        <v>40027</v>
      </c>
      <c r="E14" s="16">
        <f t="shared" si="2"/>
        <v>480</v>
      </c>
      <c r="F14" s="37">
        <v>20993</v>
      </c>
      <c r="G14" s="16">
        <f t="shared" si="3"/>
        <v>100</v>
      </c>
      <c r="H14" s="37">
        <v>251599</v>
      </c>
      <c r="I14" s="16">
        <f t="shared" si="4"/>
        <v>70</v>
      </c>
      <c r="J14" s="37">
        <v>303517</v>
      </c>
      <c r="K14" s="16">
        <v>0</v>
      </c>
      <c r="L14" s="37">
        <v>25579</v>
      </c>
      <c r="M14" s="16">
        <f t="shared" si="6"/>
        <v>320</v>
      </c>
      <c r="N14" s="37">
        <v>216064</v>
      </c>
      <c r="O14" s="16">
        <f t="shared" si="7"/>
        <v>3</v>
      </c>
      <c r="P14" s="37">
        <v>130495</v>
      </c>
      <c r="Q14" s="16">
        <f t="shared" si="8"/>
        <v>123</v>
      </c>
      <c r="R14" s="1">
        <f t="shared" ref="R14:R27" si="12">R13</f>
        <v>55047</v>
      </c>
      <c r="S14" s="16">
        <v>0</v>
      </c>
      <c r="T14" s="37">
        <v>3834</v>
      </c>
      <c r="U14" s="16">
        <f t="shared" si="10"/>
        <v>160</v>
      </c>
    </row>
    <row r="15" spans="1:24" ht="13.5" thickBot="1" x14ac:dyDescent="0.25">
      <c r="A15" s="10">
        <v>44513</v>
      </c>
      <c r="B15" s="37">
        <v>46195</v>
      </c>
      <c r="C15" s="16">
        <f t="shared" si="1"/>
        <v>640</v>
      </c>
      <c r="D15" s="37">
        <v>40030</v>
      </c>
      <c r="E15" s="16">
        <f t="shared" si="2"/>
        <v>480</v>
      </c>
      <c r="F15" s="37">
        <v>20995</v>
      </c>
      <c r="G15" s="16">
        <f t="shared" ref="G15" si="13">(F15-F14)*100/5</f>
        <v>40</v>
      </c>
      <c r="H15" s="37">
        <v>251634</v>
      </c>
      <c r="I15" s="16">
        <f t="shared" ref="I15" si="14">(H15-H14)</f>
        <v>35</v>
      </c>
      <c r="J15" s="37">
        <v>303517</v>
      </c>
      <c r="K15" s="16">
        <v>0</v>
      </c>
      <c r="L15" s="37">
        <v>25581</v>
      </c>
      <c r="M15" s="16">
        <f t="shared" ref="M15" si="15">(L15-L14)*800/5</f>
        <v>320</v>
      </c>
      <c r="N15" s="37">
        <v>216067</v>
      </c>
      <c r="O15" s="16">
        <f t="shared" ref="O15" si="16">N15-N14</f>
        <v>3</v>
      </c>
      <c r="P15" s="37">
        <v>130621</v>
      </c>
      <c r="Q15" s="16">
        <f t="shared" ref="Q15" si="17">P15-P14</f>
        <v>126</v>
      </c>
      <c r="R15" s="1">
        <f t="shared" si="12"/>
        <v>55047</v>
      </c>
      <c r="S15" s="16">
        <v>0</v>
      </c>
      <c r="T15" s="37">
        <v>3835</v>
      </c>
      <c r="U15" s="16">
        <f t="shared" ref="U15" si="18">(T15-T14)*800/5</f>
        <v>160</v>
      </c>
      <c r="X15" t="s">
        <v>12</v>
      </c>
    </row>
    <row r="16" spans="1:24" ht="13.5" thickBot="1" x14ac:dyDescent="0.25">
      <c r="A16" s="10">
        <v>44514</v>
      </c>
      <c r="B16" s="37">
        <v>46200</v>
      </c>
      <c r="C16" s="16">
        <f t="shared" si="1"/>
        <v>800</v>
      </c>
      <c r="D16" s="37">
        <v>40033</v>
      </c>
      <c r="E16" s="16">
        <f t="shared" si="2"/>
        <v>480</v>
      </c>
      <c r="F16" s="37">
        <v>20999</v>
      </c>
      <c r="G16" s="16">
        <f t="shared" si="3"/>
        <v>80</v>
      </c>
      <c r="H16" s="37">
        <v>251674</v>
      </c>
      <c r="I16" s="16">
        <f t="shared" si="4"/>
        <v>40</v>
      </c>
      <c r="J16" s="37">
        <v>303517</v>
      </c>
      <c r="K16" s="16">
        <f t="shared" si="5"/>
        <v>0</v>
      </c>
      <c r="L16" s="37">
        <v>25585</v>
      </c>
      <c r="M16" s="16">
        <f t="shared" si="6"/>
        <v>640</v>
      </c>
      <c r="N16" s="37">
        <v>216070</v>
      </c>
      <c r="O16" s="16">
        <f t="shared" si="7"/>
        <v>3</v>
      </c>
      <c r="P16" s="37">
        <v>130678</v>
      </c>
      <c r="Q16" s="16">
        <f t="shared" si="8"/>
        <v>57</v>
      </c>
      <c r="R16" s="1">
        <v>55047</v>
      </c>
      <c r="S16" s="16">
        <f t="shared" si="9"/>
        <v>0</v>
      </c>
      <c r="T16" s="37">
        <v>3836</v>
      </c>
      <c r="U16" s="16">
        <f t="shared" si="10"/>
        <v>160</v>
      </c>
      <c r="W16" t="s">
        <v>12</v>
      </c>
    </row>
    <row r="17" spans="1:23" ht="13.5" thickBot="1" x14ac:dyDescent="0.25">
      <c r="A17" s="10">
        <v>44515</v>
      </c>
      <c r="B17" s="37">
        <f t="shared" ref="B16:B32" si="19">B16</f>
        <v>46200</v>
      </c>
      <c r="C17" s="16">
        <f t="shared" si="1"/>
        <v>0</v>
      </c>
      <c r="D17" s="37">
        <f t="shared" ref="D16:D32" si="20">D16</f>
        <v>40033</v>
      </c>
      <c r="E17" s="16">
        <f t="shared" si="2"/>
        <v>0</v>
      </c>
      <c r="F17" s="37">
        <f t="shared" ref="F16:F32" si="21">F16</f>
        <v>20999</v>
      </c>
      <c r="G17" s="16">
        <f t="shared" si="3"/>
        <v>0</v>
      </c>
      <c r="H17" s="37">
        <f t="shared" ref="H16:H32" si="22">H16</f>
        <v>251674</v>
      </c>
      <c r="I17" s="16">
        <f t="shared" si="4"/>
        <v>0</v>
      </c>
      <c r="J17" s="37">
        <v>303517</v>
      </c>
      <c r="K17" s="16">
        <f t="shared" si="5"/>
        <v>0</v>
      </c>
      <c r="L17" s="37">
        <f t="shared" ref="L16:L32" si="23">L16</f>
        <v>25585</v>
      </c>
      <c r="M17" s="16">
        <f t="shared" si="6"/>
        <v>0</v>
      </c>
      <c r="N17" s="37">
        <f t="shared" ref="N16:N32" si="24">N16</f>
        <v>216070</v>
      </c>
      <c r="O17" s="16">
        <f t="shared" si="7"/>
        <v>0</v>
      </c>
      <c r="P17" s="37">
        <f t="shared" si="11"/>
        <v>130678</v>
      </c>
      <c r="Q17" s="16">
        <f t="shared" si="8"/>
        <v>0</v>
      </c>
      <c r="R17" s="1">
        <f t="shared" si="12"/>
        <v>55047</v>
      </c>
      <c r="S17" s="16">
        <f>S16</f>
        <v>0</v>
      </c>
      <c r="T17" s="37">
        <f t="shared" ref="T16:T32" si="25">T16</f>
        <v>3836</v>
      </c>
      <c r="U17" s="16">
        <f t="shared" si="10"/>
        <v>0</v>
      </c>
    </row>
    <row r="18" spans="1:23" ht="13.5" thickBot="1" x14ac:dyDescent="0.25">
      <c r="A18" s="10">
        <v>44516</v>
      </c>
      <c r="B18" s="37">
        <f t="shared" si="19"/>
        <v>46200</v>
      </c>
      <c r="C18" s="16">
        <f t="shared" si="1"/>
        <v>0</v>
      </c>
      <c r="D18" s="37">
        <f t="shared" si="20"/>
        <v>40033</v>
      </c>
      <c r="E18" s="16">
        <f t="shared" si="2"/>
        <v>0</v>
      </c>
      <c r="F18" s="37">
        <f t="shared" si="21"/>
        <v>20999</v>
      </c>
      <c r="G18" s="16">
        <f t="shared" si="3"/>
        <v>0</v>
      </c>
      <c r="H18" s="37">
        <f t="shared" si="22"/>
        <v>251674</v>
      </c>
      <c r="I18" s="16">
        <f t="shared" si="4"/>
        <v>0</v>
      </c>
      <c r="J18" s="37">
        <v>303517</v>
      </c>
      <c r="K18" s="16">
        <f t="shared" si="5"/>
        <v>0</v>
      </c>
      <c r="L18" s="37">
        <f t="shared" si="23"/>
        <v>25585</v>
      </c>
      <c r="M18" s="16">
        <f t="shared" si="6"/>
        <v>0</v>
      </c>
      <c r="N18" s="37">
        <f t="shared" si="24"/>
        <v>216070</v>
      </c>
      <c r="O18" s="16">
        <f t="shared" si="7"/>
        <v>0</v>
      </c>
      <c r="P18" s="37">
        <f t="shared" si="11"/>
        <v>130678</v>
      </c>
      <c r="Q18" s="16">
        <f t="shared" si="8"/>
        <v>0</v>
      </c>
      <c r="R18" s="1">
        <f t="shared" si="12"/>
        <v>55047</v>
      </c>
      <c r="S18" s="16">
        <f t="shared" si="9"/>
        <v>0</v>
      </c>
      <c r="T18" s="37">
        <f t="shared" si="25"/>
        <v>3836</v>
      </c>
      <c r="U18" s="16">
        <f t="shared" si="10"/>
        <v>0</v>
      </c>
    </row>
    <row r="19" spans="1:23" ht="13.5" thickBot="1" x14ac:dyDescent="0.25">
      <c r="A19" s="10">
        <v>44517</v>
      </c>
      <c r="B19" s="37">
        <f t="shared" si="19"/>
        <v>46200</v>
      </c>
      <c r="C19" s="16">
        <f t="shared" si="1"/>
        <v>0</v>
      </c>
      <c r="D19" s="37">
        <f t="shared" si="20"/>
        <v>40033</v>
      </c>
      <c r="E19" s="16">
        <f t="shared" si="2"/>
        <v>0</v>
      </c>
      <c r="F19" s="37">
        <f t="shared" si="21"/>
        <v>20999</v>
      </c>
      <c r="G19" s="16">
        <f t="shared" si="3"/>
        <v>0</v>
      </c>
      <c r="H19" s="37">
        <f t="shared" si="22"/>
        <v>251674</v>
      </c>
      <c r="I19" s="16">
        <f t="shared" si="4"/>
        <v>0</v>
      </c>
      <c r="J19" s="37">
        <v>303517</v>
      </c>
      <c r="K19" s="16">
        <f t="shared" si="5"/>
        <v>0</v>
      </c>
      <c r="L19" s="37">
        <f t="shared" si="23"/>
        <v>25585</v>
      </c>
      <c r="M19" s="16">
        <f t="shared" si="6"/>
        <v>0</v>
      </c>
      <c r="N19" s="37">
        <f t="shared" si="24"/>
        <v>216070</v>
      </c>
      <c r="O19" s="16">
        <f t="shared" si="7"/>
        <v>0</v>
      </c>
      <c r="P19" s="37">
        <f t="shared" si="11"/>
        <v>130678</v>
      </c>
      <c r="Q19" s="16">
        <f t="shared" si="8"/>
        <v>0</v>
      </c>
      <c r="R19" s="1">
        <v>55047</v>
      </c>
      <c r="S19" s="16">
        <f t="shared" si="9"/>
        <v>0</v>
      </c>
      <c r="T19" s="37">
        <f t="shared" si="25"/>
        <v>3836</v>
      </c>
      <c r="U19" s="16">
        <f t="shared" si="10"/>
        <v>0</v>
      </c>
      <c r="W19" t="s">
        <v>12</v>
      </c>
    </row>
    <row r="20" spans="1:23" ht="13.5" thickBot="1" x14ac:dyDescent="0.25">
      <c r="A20" s="10">
        <v>44518</v>
      </c>
      <c r="B20" s="37">
        <f t="shared" si="19"/>
        <v>46200</v>
      </c>
      <c r="C20" s="16">
        <f t="shared" si="1"/>
        <v>0</v>
      </c>
      <c r="D20" s="37">
        <f t="shared" si="20"/>
        <v>40033</v>
      </c>
      <c r="E20" s="16">
        <f t="shared" si="2"/>
        <v>0</v>
      </c>
      <c r="F20" s="37">
        <f t="shared" si="21"/>
        <v>20999</v>
      </c>
      <c r="G20" s="16">
        <f t="shared" si="3"/>
        <v>0</v>
      </c>
      <c r="H20" s="37">
        <f t="shared" si="22"/>
        <v>251674</v>
      </c>
      <c r="I20" s="16">
        <f t="shared" si="4"/>
        <v>0</v>
      </c>
      <c r="J20" s="37">
        <v>303517</v>
      </c>
      <c r="K20" s="16">
        <v>0</v>
      </c>
      <c r="L20" s="37">
        <f t="shared" si="23"/>
        <v>25585</v>
      </c>
      <c r="M20" s="16">
        <f t="shared" si="6"/>
        <v>0</v>
      </c>
      <c r="N20" s="37">
        <f t="shared" si="24"/>
        <v>216070</v>
      </c>
      <c r="O20" s="16">
        <f t="shared" si="7"/>
        <v>0</v>
      </c>
      <c r="P20" s="37">
        <f t="shared" si="11"/>
        <v>130678</v>
      </c>
      <c r="Q20" s="16">
        <f>P20-P19</f>
        <v>0</v>
      </c>
      <c r="R20" s="1">
        <v>55047</v>
      </c>
      <c r="S20" s="16">
        <f t="shared" si="9"/>
        <v>0</v>
      </c>
      <c r="T20" s="37">
        <f t="shared" si="25"/>
        <v>3836</v>
      </c>
      <c r="U20" s="16">
        <f t="shared" si="10"/>
        <v>0</v>
      </c>
    </row>
    <row r="21" spans="1:23" ht="13.5" thickBot="1" x14ac:dyDescent="0.25">
      <c r="A21" s="10">
        <v>44519</v>
      </c>
      <c r="B21" s="37">
        <f t="shared" si="19"/>
        <v>46200</v>
      </c>
      <c r="C21" s="16">
        <f t="shared" si="1"/>
        <v>0</v>
      </c>
      <c r="D21" s="37">
        <f t="shared" si="20"/>
        <v>40033</v>
      </c>
      <c r="E21" s="16">
        <f t="shared" si="2"/>
        <v>0</v>
      </c>
      <c r="F21" s="37">
        <f t="shared" si="21"/>
        <v>20999</v>
      </c>
      <c r="G21" s="16">
        <f t="shared" si="3"/>
        <v>0</v>
      </c>
      <c r="H21" s="37">
        <f t="shared" si="22"/>
        <v>251674</v>
      </c>
      <c r="I21" s="16">
        <f t="shared" si="4"/>
        <v>0</v>
      </c>
      <c r="J21" s="37">
        <v>303517</v>
      </c>
      <c r="K21" s="16">
        <f t="shared" si="5"/>
        <v>0</v>
      </c>
      <c r="L21" s="37">
        <f t="shared" si="23"/>
        <v>25585</v>
      </c>
      <c r="M21" s="16">
        <f t="shared" si="6"/>
        <v>0</v>
      </c>
      <c r="N21" s="37">
        <f t="shared" si="24"/>
        <v>216070</v>
      </c>
      <c r="O21" s="16">
        <f t="shared" si="7"/>
        <v>0</v>
      </c>
      <c r="P21" s="37">
        <f t="shared" si="11"/>
        <v>130678</v>
      </c>
      <c r="Q21" s="16">
        <f t="shared" si="8"/>
        <v>0</v>
      </c>
      <c r="R21" s="1">
        <f t="shared" si="12"/>
        <v>55047</v>
      </c>
      <c r="S21" s="16">
        <f t="shared" si="9"/>
        <v>0</v>
      </c>
      <c r="T21" s="37">
        <f t="shared" si="25"/>
        <v>3836</v>
      </c>
      <c r="U21" s="16">
        <f t="shared" si="10"/>
        <v>0</v>
      </c>
    </row>
    <row r="22" spans="1:23" ht="13.5" thickBot="1" x14ac:dyDescent="0.25">
      <c r="A22" s="10">
        <v>44520</v>
      </c>
      <c r="B22" s="37">
        <f t="shared" si="19"/>
        <v>46200</v>
      </c>
      <c r="C22" s="16">
        <f t="shared" si="1"/>
        <v>0</v>
      </c>
      <c r="D22" s="37">
        <f t="shared" si="20"/>
        <v>40033</v>
      </c>
      <c r="E22" s="16">
        <f t="shared" si="2"/>
        <v>0</v>
      </c>
      <c r="F22" s="37">
        <f t="shared" si="21"/>
        <v>20999</v>
      </c>
      <c r="G22" s="16">
        <f t="shared" si="3"/>
        <v>0</v>
      </c>
      <c r="H22" s="37">
        <f t="shared" si="22"/>
        <v>251674</v>
      </c>
      <c r="I22" s="16">
        <f t="shared" si="4"/>
        <v>0</v>
      </c>
      <c r="J22" s="37">
        <v>303517</v>
      </c>
      <c r="K22" s="16">
        <f t="shared" si="5"/>
        <v>0</v>
      </c>
      <c r="L22" s="37">
        <f t="shared" si="23"/>
        <v>25585</v>
      </c>
      <c r="M22" s="16">
        <f t="shared" si="6"/>
        <v>0</v>
      </c>
      <c r="N22" s="37">
        <f t="shared" si="24"/>
        <v>216070</v>
      </c>
      <c r="O22" s="16">
        <f t="shared" si="7"/>
        <v>0</v>
      </c>
      <c r="P22" s="37">
        <f t="shared" si="11"/>
        <v>130678</v>
      </c>
      <c r="Q22" s="16">
        <f>P22-P21</f>
        <v>0</v>
      </c>
      <c r="R22" s="1">
        <v>55047</v>
      </c>
      <c r="S22" s="16">
        <f t="shared" si="9"/>
        <v>0</v>
      </c>
      <c r="T22" s="37">
        <f t="shared" si="25"/>
        <v>3836</v>
      </c>
      <c r="U22" s="16">
        <f t="shared" si="10"/>
        <v>0</v>
      </c>
    </row>
    <row r="23" spans="1:23" ht="13.5" thickBot="1" x14ac:dyDescent="0.25">
      <c r="A23" s="10">
        <v>44521</v>
      </c>
      <c r="B23" s="37">
        <f t="shared" si="19"/>
        <v>46200</v>
      </c>
      <c r="C23" s="16">
        <f t="shared" si="1"/>
        <v>0</v>
      </c>
      <c r="D23" s="37">
        <f t="shared" si="20"/>
        <v>40033</v>
      </c>
      <c r="E23" s="16">
        <f t="shared" si="2"/>
        <v>0</v>
      </c>
      <c r="F23" s="37">
        <f t="shared" si="21"/>
        <v>20999</v>
      </c>
      <c r="G23" s="16">
        <f t="shared" si="3"/>
        <v>0</v>
      </c>
      <c r="H23" s="37">
        <f t="shared" si="22"/>
        <v>251674</v>
      </c>
      <c r="I23" s="16">
        <f t="shared" si="4"/>
        <v>0</v>
      </c>
      <c r="J23" s="37">
        <v>303517</v>
      </c>
      <c r="K23" s="16">
        <f t="shared" si="5"/>
        <v>0</v>
      </c>
      <c r="L23" s="37">
        <f t="shared" si="23"/>
        <v>25585</v>
      </c>
      <c r="M23" s="16">
        <f t="shared" si="6"/>
        <v>0</v>
      </c>
      <c r="N23" s="37">
        <f t="shared" si="24"/>
        <v>216070</v>
      </c>
      <c r="O23" s="16">
        <f t="shared" si="7"/>
        <v>0</v>
      </c>
      <c r="P23" s="37">
        <f t="shared" si="11"/>
        <v>130678</v>
      </c>
      <c r="Q23" s="16">
        <f t="shared" si="8"/>
        <v>0</v>
      </c>
      <c r="R23" s="1">
        <v>55047</v>
      </c>
      <c r="S23" s="16">
        <f t="shared" si="9"/>
        <v>0</v>
      </c>
      <c r="T23" s="37">
        <f t="shared" si="25"/>
        <v>3836</v>
      </c>
      <c r="U23" s="16">
        <f t="shared" si="10"/>
        <v>0</v>
      </c>
    </row>
    <row r="24" spans="1:23" s="138" customFormat="1" ht="13.5" thickBot="1" x14ac:dyDescent="0.25">
      <c r="A24" s="10">
        <v>44522</v>
      </c>
      <c r="B24" s="37">
        <f t="shared" si="19"/>
        <v>46200</v>
      </c>
      <c r="C24" s="16">
        <f t="shared" si="1"/>
        <v>0</v>
      </c>
      <c r="D24" s="37">
        <f t="shared" si="20"/>
        <v>40033</v>
      </c>
      <c r="E24" s="16">
        <f t="shared" si="2"/>
        <v>0</v>
      </c>
      <c r="F24" s="37">
        <f t="shared" si="21"/>
        <v>20999</v>
      </c>
      <c r="G24" s="16">
        <f t="shared" si="3"/>
        <v>0</v>
      </c>
      <c r="H24" s="37">
        <f t="shared" si="22"/>
        <v>251674</v>
      </c>
      <c r="I24" s="16">
        <f t="shared" si="4"/>
        <v>0</v>
      </c>
      <c r="J24" s="37">
        <v>303517</v>
      </c>
      <c r="K24" s="16">
        <f t="shared" si="5"/>
        <v>0</v>
      </c>
      <c r="L24" s="37">
        <f t="shared" si="23"/>
        <v>25585</v>
      </c>
      <c r="M24" s="16">
        <f t="shared" si="6"/>
        <v>0</v>
      </c>
      <c r="N24" s="37">
        <f t="shared" si="24"/>
        <v>216070</v>
      </c>
      <c r="O24" s="16">
        <f t="shared" si="7"/>
        <v>0</v>
      </c>
      <c r="P24" s="37">
        <f t="shared" si="11"/>
        <v>130678</v>
      </c>
      <c r="Q24" s="16">
        <f t="shared" si="8"/>
        <v>0</v>
      </c>
      <c r="R24" s="1">
        <f t="shared" si="12"/>
        <v>55047</v>
      </c>
      <c r="S24" s="16">
        <f t="shared" si="9"/>
        <v>0</v>
      </c>
      <c r="T24" s="37">
        <f t="shared" si="25"/>
        <v>3836</v>
      </c>
      <c r="U24" s="16">
        <f t="shared" si="10"/>
        <v>0</v>
      </c>
    </row>
    <row r="25" spans="1:23" ht="13.5" thickBot="1" x14ac:dyDescent="0.25">
      <c r="A25" s="10">
        <v>44523</v>
      </c>
      <c r="B25" s="37">
        <f t="shared" si="19"/>
        <v>46200</v>
      </c>
      <c r="C25" s="16">
        <f t="shared" si="1"/>
        <v>0</v>
      </c>
      <c r="D25" s="37">
        <f t="shared" si="20"/>
        <v>40033</v>
      </c>
      <c r="E25" s="16">
        <f t="shared" si="2"/>
        <v>0</v>
      </c>
      <c r="F25" s="37">
        <f t="shared" si="21"/>
        <v>20999</v>
      </c>
      <c r="G25" s="16">
        <f t="shared" si="3"/>
        <v>0</v>
      </c>
      <c r="H25" s="37">
        <f t="shared" si="22"/>
        <v>251674</v>
      </c>
      <c r="I25" s="16">
        <f t="shared" si="4"/>
        <v>0</v>
      </c>
      <c r="J25" s="37">
        <v>303517</v>
      </c>
      <c r="K25" s="16">
        <f t="shared" si="5"/>
        <v>0</v>
      </c>
      <c r="L25" s="37">
        <f t="shared" si="23"/>
        <v>25585</v>
      </c>
      <c r="M25" s="16">
        <f t="shared" si="6"/>
        <v>0</v>
      </c>
      <c r="N25" s="37">
        <f t="shared" si="24"/>
        <v>216070</v>
      </c>
      <c r="O25" s="16">
        <f t="shared" si="7"/>
        <v>0</v>
      </c>
      <c r="P25" s="37">
        <f t="shared" si="11"/>
        <v>130678</v>
      </c>
      <c r="Q25" s="16">
        <f t="shared" si="8"/>
        <v>0</v>
      </c>
      <c r="R25" s="1">
        <f t="shared" si="12"/>
        <v>55047</v>
      </c>
      <c r="S25" s="16">
        <f t="shared" si="9"/>
        <v>0</v>
      </c>
      <c r="T25" s="37">
        <f t="shared" si="25"/>
        <v>3836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44524</v>
      </c>
      <c r="B26" s="37">
        <f t="shared" si="19"/>
        <v>46200</v>
      </c>
      <c r="C26" s="16">
        <f t="shared" si="1"/>
        <v>0</v>
      </c>
      <c r="D26" s="37">
        <f t="shared" si="20"/>
        <v>40033</v>
      </c>
      <c r="E26" s="16">
        <f t="shared" si="2"/>
        <v>0</v>
      </c>
      <c r="F26" s="37">
        <f t="shared" si="21"/>
        <v>20999</v>
      </c>
      <c r="G26" s="16">
        <f t="shared" si="3"/>
        <v>0</v>
      </c>
      <c r="H26" s="37">
        <f t="shared" si="22"/>
        <v>251674</v>
      </c>
      <c r="I26" s="16">
        <f t="shared" si="4"/>
        <v>0</v>
      </c>
      <c r="J26" s="37">
        <v>303517</v>
      </c>
      <c r="K26" s="16">
        <f t="shared" si="5"/>
        <v>0</v>
      </c>
      <c r="L26" s="37">
        <f t="shared" si="23"/>
        <v>25585</v>
      </c>
      <c r="M26" s="16">
        <f t="shared" si="6"/>
        <v>0</v>
      </c>
      <c r="N26" s="37">
        <f t="shared" si="24"/>
        <v>216070</v>
      </c>
      <c r="O26" s="16">
        <f t="shared" si="7"/>
        <v>0</v>
      </c>
      <c r="P26" s="37">
        <f t="shared" si="11"/>
        <v>130678</v>
      </c>
      <c r="Q26" s="16">
        <f t="shared" si="8"/>
        <v>0</v>
      </c>
      <c r="R26" s="1">
        <f t="shared" si="12"/>
        <v>55047</v>
      </c>
      <c r="S26" s="16">
        <f t="shared" si="9"/>
        <v>0</v>
      </c>
      <c r="T26" s="37">
        <f t="shared" si="25"/>
        <v>3836</v>
      </c>
      <c r="U26" s="16">
        <f t="shared" si="10"/>
        <v>0</v>
      </c>
      <c r="W26" t="s">
        <v>12</v>
      </c>
    </row>
    <row r="27" spans="1:23" ht="13.5" thickBot="1" x14ac:dyDescent="0.25">
      <c r="A27" s="10">
        <v>44525</v>
      </c>
      <c r="B27" s="37">
        <f t="shared" si="19"/>
        <v>46200</v>
      </c>
      <c r="C27" s="16">
        <f t="shared" si="1"/>
        <v>0</v>
      </c>
      <c r="D27" s="37">
        <f t="shared" si="20"/>
        <v>40033</v>
      </c>
      <c r="E27" s="16">
        <f t="shared" si="2"/>
        <v>0</v>
      </c>
      <c r="F27" s="37">
        <f t="shared" si="21"/>
        <v>20999</v>
      </c>
      <c r="G27" s="16">
        <f t="shared" si="3"/>
        <v>0</v>
      </c>
      <c r="H27" s="37">
        <f t="shared" si="22"/>
        <v>251674</v>
      </c>
      <c r="I27" s="16">
        <f t="shared" si="4"/>
        <v>0</v>
      </c>
      <c r="J27" s="37">
        <v>303517</v>
      </c>
      <c r="K27" s="16">
        <f t="shared" si="5"/>
        <v>0</v>
      </c>
      <c r="L27" s="37">
        <f t="shared" si="23"/>
        <v>25585</v>
      </c>
      <c r="M27" s="16">
        <f t="shared" si="6"/>
        <v>0</v>
      </c>
      <c r="N27" s="37">
        <f t="shared" si="24"/>
        <v>216070</v>
      </c>
      <c r="O27" s="16">
        <f t="shared" si="7"/>
        <v>0</v>
      </c>
      <c r="P27" s="37">
        <f t="shared" si="11"/>
        <v>130678</v>
      </c>
      <c r="Q27" s="16">
        <f t="shared" si="8"/>
        <v>0</v>
      </c>
      <c r="R27" s="1">
        <f t="shared" si="12"/>
        <v>55047</v>
      </c>
      <c r="S27" s="16">
        <f t="shared" si="9"/>
        <v>0</v>
      </c>
      <c r="T27" s="37">
        <f t="shared" si="25"/>
        <v>3836</v>
      </c>
      <c r="U27" s="16">
        <f t="shared" si="10"/>
        <v>0</v>
      </c>
    </row>
    <row r="28" spans="1:23" ht="13.5" thickBot="1" x14ac:dyDescent="0.25">
      <c r="A28" s="10">
        <v>44526</v>
      </c>
      <c r="B28" s="37">
        <f t="shared" si="19"/>
        <v>46200</v>
      </c>
      <c r="C28" s="16">
        <f t="shared" si="1"/>
        <v>0</v>
      </c>
      <c r="D28" s="37">
        <f t="shared" si="20"/>
        <v>40033</v>
      </c>
      <c r="E28" s="16">
        <f t="shared" si="2"/>
        <v>0</v>
      </c>
      <c r="F28" s="37">
        <f t="shared" si="21"/>
        <v>20999</v>
      </c>
      <c r="G28" s="16">
        <f t="shared" si="3"/>
        <v>0</v>
      </c>
      <c r="H28" s="37">
        <f t="shared" si="22"/>
        <v>251674</v>
      </c>
      <c r="I28" s="16">
        <f t="shared" si="4"/>
        <v>0</v>
      </c>
      <c r="J28" s="37">
        <v>303517</v>
      </c>
      <c r="K28" s="16">
        <f t="shared" si="5"/>
        <v>0</v>
      </c>
      <c r="L28" s="37">
        <f t="shared" si="23"/>
        <v>25585</v>
      </c>
      <c r="M28" s="16">
        <f t="shared" si="6"/>
        <v>0</v>
      </c>
      <c r="N28" s="37">
        <f t="shared" si="24"/>
        <v>216070</v>
      </c>
      <c r="O28" s="16">
        <f t="shared" si="7"/>
        <v>0</v>
      </c>
      <c r="P28" s="37">
        <f t="shared" si="11"/>
        <v>130678</v>
      </c>
      <c r="Q28" s="17">
        <f t="shared" si="8"/>
        <v>0</v>
      </c>
      <c r="R28" s="1">
        <v>55047</v>
      </c>
      <c r="S28" s="17">
        <f t="shared" si="9"/>
        <v>0</v>
      </c>
      <c r="T28" s="37">
        <f t="shared" si="25"/>
        <v>3836</v>
      </c>
      <c r="U28" s="16">
        <f t="shared" si="10"/>
        <v>0</v>
      </c>
    </row>
    <row r="29" spans="1:23" ht="13.5" thickBot="1" x14ac:dyDescent="0.25">
      <c r="A29" s="10">
        <v>44527</v>
      </c>
      <c r="B29" s="37">
        <f t="shared" si="19"/>
        <v>46200</v>
      </c>
      <c r="C29" s="16">
        <f t="shared" si="1"/>
        <v>0</v>
      </c>
      <c r="D29" s="37">
        <f t="shared" si="20"/>
        <v>40033</v>
      </c>
      <c r="E29" s="16">
        <f t="shared" si="2"/>
        <v>0</v>
      </c>
      <c r="F29" s="37">
        <f t="shared" si="21"/>
        <v>20999</v>
      </c>
      <c r="G29" s="16">
        <f t="shared" si="3"/>
        <v>0</v>
      </c>
      <c r="H29" s="37">
        <f t="shared" si="22"/>
        <v>251674</v>
      </c>
      <c r="I29" s="16">
        <f t="shared" si="4"/>
        <v>0</v>
      </c>
      <c r="J29" s="37">
        <v>303517</v>
      </c>
      <c r="K29" s="16">
        <f t="shared" si="5"/>
        <v>0</v>
      </c>
      <c r="L29" s="37">
        <f t="shared" si="23"/>
        <v>25585</v>
      </c>
      <c r="M29" s="16">
        <f t="shared" si="6"/>
        <v>0</v>
      </c>
      <c r="N29" s="37">
        <f t="shared" si="24"/>
        <v>216070</v>
      </c>
      <c r="O29" s="16">
        <f t="shared" si="7"/>
        <v>0</v>
      </c>
      <c r="P29" s="37">
        <f t="shared" si="11"/>
        <v>130678</v>
      </c>
      <c r="Q29" s="16">
        <f t="shared" si="8"/>
        <v>0</v>
      </c>
      <c r="R29" s="1">
        <v>55047</v>
      </c>
      <c r="S29" s="16">
        <f t="shared" si="9"/>
        <v>0</v>
      </c>
      <c r="T29" s="37">
        <f t="shared" si="25"/>
        <v>3836</v>
      </c>
      <c r="U29" s="16">
        <f t="shared" si="10"/>
        <v>0</v>
      </c>
    </row>
    <row r="30" spans="1:23" ht="13.5" thickBot="1" x14ac:dyDescent="0.25">
      <c r="A30" s="10">
        <v>44528</v>
      </c>
      <c r="B30" s="37">
        <f t="shared" si="19"/>
        <v>46200</v>
      </c>
      <c r="C30" s="16">
        <f t="shared" si="1"/>
        <v>0</v>
      </c>
      <c r="D30" s="37">
        <f t="shared" si="20"/>
        <v>40033</v>
      </c>
      <c r="E30" s="16">
        <f t="shared" si="2"/>
        <v>0</v>
      </c>
      <c r="F30" s="37">
        <f t="shared" si="21"/>
        <v>20999</v>
      </c>
      <c r="G30" s="16">
        <f t="shared" si="3"/>
        <v>0</v>
      </c>
      <c r="H30" s="37">
        <f t="shared" si="22"/>
        <v>251674</v>
      </c>
      <c r="I30" s="16">
        <f t="shared" si="4"/>
        <v>0</v>
      </c>
      <c r="J30" s="37">
        <v>303517</v>
      </c>
      <c r="K30" s="16">
        <f t="shared" si="5"/>
        <v>0</v>
      </c>
      <c r="L30" s="37">
        <f t="shared" si="23"/>
        <v>25585</v>
      </c>
      <c r="M30" s="16">
        <f t="shared" si="6"/>
        <v>0</v>
      </c>
      <c r="N30" s="37">
        <f t="shared" si="24"/>
        <v>216070</v>
      </c>
      <c r="O30" s="16">
        <f t="shared" si="7"/>
        <v>0</v>
      </c>
      <c r="P30" s="37">
        <f t="shared" si="11"/>
        <v>130678</v>
      </c>
      <c r="Q30" s="16">
        <f t="shared" si="8"/>
        <v>0</v>
      </c>
      <c r="R30" s="1">
        <v>55047</v>
      </c>
      <c r="S30" s="16">
        <f t="shared" si="9"/>
        <v>0</v>
      </c>
      <c r="T30" s="37">
        <f t="shared" si="25"/>
        <v>3836</v>
      </c>
      <c r="U30" s="16">
        <f t="shared" si="10"/>
        <v>0</v>
      </c>
    </row>
    <row r="31" spans="1:23" ht="13.5" thickBot="1" x14ac:dyDescent="0.25">
      <c r="A31" s="10">
        <v>44529</v>
      </c>
      <c r="B31" s="37">
        <f t="shared" si="19"/>
        <v>46200</v>
      </c>
      <c r="C31" s="16">
        <f t="shared" si="1"/>
        <v>0</v>
      </c>
      <c r="D31" s="37">
        <f t="shared" si="20"/>
        <v>40033</v>
      </c>
      <c r="E31" s="16">
        <f t="shared" si="2"/>
        <v>0</v>
      </c>
      <c r="F31" s="37">
        <f t="shared" si="21"/>
        <v>20999</v>
      </c>
      <c r="G31" s="16">
        <f t="shared" si="3"/>
        <v>0</v>
      </c>
      <c r="H31" s="37">
        <f t="shared" si="22"/>
        <v>251674</v>
      </c>
      <c r="I31" s="16">
        <f t="shared" si="4"/>
        <v>0</v>
      </c>
      <c r="J31" s="37">
        <v>303517</v>
      </c>
      <c r="K31" s="16">
        <f t="shared" si="5"/>
        <v>0</v>
      </c>
      <c r="L31" s="37">
        <f t="shared" si="23"/>
        <v>25585</v>
      </c>
      <c r="M31" s="16">
        <f t="shared" si="6"/>
        <v>0</v>
      </c>
      <c r="N31" s="37">
        <f t="shared" si="24"/>
        <v>216070</v>
      </c>
      <c r="O31" s="16">
        <f t="shared" si="7"/>
        <v>0</v>
      </c>
      <c r="P31" s="37">
        <f t="shared" si="11"/>
        <v>130678</v>
      </c>
      <c r="Q31" s="16">
        <f t="shared" si="8"/>
        <v>0</v>
      </c>
      <c r="R31" s="1">
        <v>55047</v>
      </c>
      <c r="S31" s="16">
        <f t="shared" si="9"/>
        <v>0</v>
      </c>
      <c r="T31" s="37">
        <f t="shared" si="25"/>
        <v>3836</v>
      </c>
      <c r="U31" s="16">
        <f t="shared" si="10"/>
        <v>0</v>
      </c>
    </row>
    <row r="32" spans="1:23" ht="15" customHeight="1" thickBot="1" x14ac:dyDescent="0.25">
      <c r="A32" s="10">
        <v>44530</v>
      </c>
      <c r="B32" s="37">
        <f t="shared" si="19"/>
        <v>46200</v>
      </c>
      <c r="C32" s="16">
        <f t="shared" si="1"/>
        <v>0</v>
      </c>
      <c r="D32" s="37">
        <f t="shared" si="20"/>
        <v>40033</v>
      </c>
      <c r="E32" s="16">
        <f t="shared" si="2"/>
        <v>0</v>
      </c>
      <c r="F32" s="37">
        <f t="shared" si="21"/>
        <v>20999</v>
      </c>
      <c r="G32" s="16">
        <f t="shared" si="3"/>
        <v>0</v>
      </c>
      <c r="H32" s="37">
        <f t="shared" si="22"/>
        <v>251674</v>
      </c>
      <c r="I32" s="16">
        <f t="shared" si="4"/>
        <v>0</v>
      </c>
      <c r="J32" s="37">
        <v>303517</v>
      </c>
      <c r="K32" s="16">
        <f t="shared" si="5"/>
        <v>0</v>
      </c>
      <c r="L32" s="37">
        <f t="shared" si="23"/>
        <v>25585</v>
      </c>
      <c r="M32" s="16">
        <f t="shared" si="6"/>
        <v>0</v>
      </c>
      <c r="N32" s="37">
        <f t="shared" si="24"/>
        <v>216070</v>
      </c>
      <c r="O32" s="16">
        <f t="shared" si="7"/>
        <v>0</v>
      </c>
      <c r="P32" s="37">
        <f t="shared" si="11"/>
        <v>130678</v>
      </c>
      <c r="Q32" s="16">
        <f t="shared" si="8"/>
        <v>0</v>
      </c>
      <c r="R32" s="1">
        <v>55047</v>
      </c>
      <c r="S32" s="16">
        <v>0</v>
      </c>
      <c r="T32" s="37">
        <f t="shared" si="25"/>
        <v>3836</v>
      </c>
      <c r="U32" s="16">
        <f t="shared" si="10"/>
        <v>0</v>
      </c>
      <c r="V32" t="s">
        <v>12</v>
      </c>
    </row>
    <row r="33" spans="1:21" ht="16.5" thickBot="1" x14ac:dyDescent="0.3">
      <c r="A33" s="10" t="s">
        <v>23</v>
      </c>
      <c r="B33" s="1"/>
      <c r="C33" s="11">
        <f>SUM(C3:C32)</f>
        <v>10720</v>
      </c>
      <c r="D33" s="13"/>
      <c r="E33" s="11">
        <f>SUM(E3:E32)</f>
        <v>7040</v>
      </c>
      <c r="F33" s="13"/>
      <c r="G33" s="11">
        <f>SUM(G3:G32)</f>
        <v>980</v>
      </c>
      <c r="H33" s="13"/>
      <c r="I33" s="11">
        <f>SUM(I3:I32)</f>
        <v>743</v>
      </c>
      <c r="J33" s="13"/>
      <c r="K33" s="11">
        <f>SUM(K3:K32)</f>
        <v>0</v>
      </c>
      <c r="L33" s="13"/>
      <c r="M33" s="11">
        <f>SUM(M3:M32)</f>
        <v>7360</v>
      </c>
      <c r="N33" s="38"/>
      <c r="O33" s="11">
        <f>SUM(O3:O32)</f>
        <v>42</v>
      </c>
      <c r="P33" s="13"/>
      <c r="Q33" s="11">
        <f>SUM(Q3:Q32)</f>
        <v>1543</v>
      </c>
      <c r="R33" s="1"/>
      <c r="S33" s="11">
        <f>SUM(S3:S32)</f>
        <v>0</v>
      </c>
      <c r="T33" s="1"/>
      <c r="U33" s="11">
        <f>SUM(U3:U32)</f>
        <v>2560</v>
      </c>
    </row>
    <row r="34" spans="1:21" ht="15.75" x14ac:dyDescent="0.25">
      <c r="B34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A16" sqref="A16:XFD16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71">
        <v>44500</v>
      </c>
      <c r="B2" s="172">
        <v>0</v>
      </c>
      <c r="C2" s="173">
        <v>19066</v>
      </c>
      <c r="D2" s="172">
        <v>0</v>
      </c>
      <c r="E2" s="3">
        <v>28607675</v>
      </c>
      <c r="F2" s="172">
        <v>0</v>
      </c>
      <c r="G2" s="3">
        <v>90758905</v>
      </c>
      <c r="H2" s="172">
        <v>0</v>
      </c>
      <c r="I2" s="174">
        <v>0</v>
      </c>
      <c r="J2" s="3">
        <v>8949694</v>
      </c>
      <c r="K2" s="172">
        <v>0</v>
      </c>
      <c r="L2" s="3">
        <v>8875418</v>
      </c>
      <c r="M2" s="172">
        <v>0</v>
      </c>
      <c r="N2" s="3">
        <v>6026763</v>
      </c>
      <c r="O2" s="172">
        <v>0</v>
      </c>
      <c r="P2" s="3">
        <v>5373608</v>
      </c>
      <c r="Q2" s="172">
        <v>0</v>
      </c>
      <c r="R2" s="3">
        <v>19149295</v>
      </c>
      <c r="S2" s="172">
        <v>0</v>
      </c>
      <c r="T2" s="3">
        <v>0</v>
      </c>
      <c r="U2" s="175"/>
      <c r="V2" s="3">
        <v>6980730</v>
      </c>
      <c r="W2" s="172">
        <v>0</v>
      </c>
      <c r="X2" s="174">
        <v>0</v>
      </c>
      <c r="Y2" s="176">
        <v>15933</v>
      </c>
      <c r="Z2" s="3">
        <v>9793.7547969999996</v>
      </c>
      <c r="AA2" s="3">
        <v>33014.765489999998</v>
      </c>
    </row>
    <row r="3" spans="1:27" ht="16.5" thickBot="1" x14ac:dyDescent="0.3">
      <c r="A3" s="10">
        <v>44501</v>
      </c>
      <c r="B3" s="44">
        <v>248</v>
      </c>
      <c r="C3" s="152">
        <v>19070</v>
      </c>
      <c r="D3" s="44">
        <f>IF((C3-C2)&lt;0,"0",(C3-C2))*160</f>
        <v>640</v>
      </c>
      <c r="E3" s="153">
        <v>28625159</v>
      </c>
      <c r="F3" s="44">
        <f>IF((E3-E2)&lt;0,"0",(E3-E2))</f>
        <v>17484</v>
      </c>
      <c r="G3" s="154">
        <v>90799539</v>
      </c>
      <c r="H3" s="44">
        <f>IF((G3-G2)&lt;0,"0",(G3-G2))</f>
        <v>40634</v>
      </c>
      <c r="I3" s="22">
        <f>F3+H3</f>
        <v>58118</v>
      </c>
      <c r="J3" s="153">
        <v>8955207</v>
      </c>
      <c r="K3" s="44">
        <v>5513</v>
      </c>
      <c r="L3" s="156">
        <v>8880075</v>
      </c>
      <c r="M3" s="44">
        <f>IF((L3-L2)&lt;0,"0",(L3-L2))</f>
        <v>4657</v>
      </c>
      <c r="N3" s="153">
        <v>6033108</v>
      </c>
      <c r="O3" s="44">
        <f>(IF((N3-N2)&lt;P91,"0",(N3-N2)))*2</f>
        <v>12690</v>
      </c>
      <c r="P3" s="156">
        <v>5377099</v>
      </c>
      <c r="Q3" s="44">
        <f>IF((P3-P2)&lt;0,"0",(P3-P2))</f>
        <v>3491</v>
      </c>
      <c r="R3" s="153">
        <v>19158652</v>
      </c>
      <c r="S3" s="44">
        <f>IF((R3-R2)&lt;0,"0",(R3-R2))</f>
        <v>9357</v>
      </c>
      <c r="T3" s="153">
        <v>0</v>
      </c>
      <c r="U3" s="157"/>
      <c r="V3" s="153">
        <v>6991383</v>
      </c>
      <c r="W3" s="44">
        <f>IF((V3-V2)&lt;0,"0",(V3-V2))</f>
        <v>10653</v>
      </c>
      <c r="X3" s="22">
        <f>K3+M3+O3+Q3+S3+U3+W3</f>
        <v>46361</v>
      </c>
      <c r="Y3" s="158">
        <f>I3-X3</f>
        <v>11757</v>
      </c>
      <c r="Z3" s="3">
        <f>(0.93352*(W3+S3)+0.5568*(Q3+O3))*0.26</f>
        <v>7199.2221600000003</v>
      </c>
      <c r="AA3" s="3">
        <f>SUM(Z1:Z3)</f>
        <v>16992.976956999999</v>
      </c>
    </row>
    <row r="4" spans="1:27" ht="16.5" thickBot="1" x14ac:dyDescent="0.3">
      <c r="A4" s="10">
        <v>44502</v>
      </c>
      <c r="B4" s="44">
        <v>283</v>
      </c>
      <c r="C4" s="152">
        <v>19074</v>
      </c>
      <c r="D4" s="44">
        <f t="shared" ref="D4:D32" si="0">IF((C4-C3)&lt;0,"0",(C4-C3))*160</f>
        <v>640</v>
      </c>
      <c r="E4" s="153">
        <v>28641441</v>
      </c>
      <c r="F4" s="44">
        <f t="shared" ref="F4:F32" si="1">IF((E4-E3)&lt;0,"0",(E4-E3))</f>
        <v>16282</v>
      </c>
      <c r="G4" s="154">
        <v>90838583</v>
      </c>
      <c r="H4" s="44">
        <f t="shared" ref="H4:H32" si="2">IF((G4-G3)&lt;0,"0",(G4-G3))</f>
        <v>39044</v>
      </c>
      <c r="I4" s="155">
        <f t="shared" ref="I4:I31" si="3">F4+H4</f>
        <v>55326</v>
      </c>
      <c r="J4" s="153">
        <v>8960359</v>
      </c>
      <c r="K4" s="44">
        <f t="shared" ref="K4:K32" si="4">IF((J4-J3)&lt;0,"0",(J4-J3))</f>
        <v>5152</v>
      </c>
      <c r="L4" s="156">
        <v>8884450</v>
      </c>
      <c r="M4" s="44">
        <f t="shared" ref="M4:M32" si="5">IF((L4-L3)&lt;0,"0",(L4-L3))</f>
        <v>4375</v>
      </c>
      <c r="N4" s="153">
        <v>6038963</v>
      </c>
      <c r="O4" s="44">
        <f>(IF((N4-N3)&lt;P93,"0",(N4-N3)))*2</f>
        <v>11710</v>
      </c>
      <c r="P4" s="156">
        <v>5380460</v>
      </c>
      <c r="Q4" s="44">
        <f t="shared" ref="Q4:Q32" si="6">IF((P4-P3)&lt;0,"0",(P4-P3))</f>
        <v>3361</v>
      </c>
      <c r="R4" s="153">
        <v>19167777</v>
      </c>
      <c r="S4" s="44">
        <f t="shared" ref="S4:S32" si="7">IF((R4-R3)&lt;0,"0",(R4-R3))</f>
        <v>9125</v>
      </c>
      <c r="T4" s="153">
        <v>0</v>
      </c>
      <c r="U4" s="157"/>
      <c r="V4" s="153">
        <v>7001565</v>
      </c>
      <c r="W4" s="44">
        <f t="shared" ref="W4:W32" si="8">IF((V4-V3)&lt;0,"0",(V4-V3))</f>
        <v>10182</v>
      </c>
      <c r="X4" s="22">
        <f t="shared" ref="X4:X32" si="9">K4+M4+O4+Q4+S4+U4+W4</f>
        <v>43905</v>
      </c>
      <c r="Y4" s="158">
        <f t="shared" ref="Y4:Y32" si="10">I4-X4</f>
        <v>11421</v>
      </c>
      <c r="Z4" s="3">
        <f t="shared" ref="Z4:Z32" si="11">(0.93352*(W4+S4)+0.5568*(Q4+O4))*0.26</f>
        <v>6867.9008944000007</v>
      </c>
      <c r="AA4" s="3">
        <f>SUM(Z2:Z4)</f>
        <v>23860.877851400001</v>
      </c>
    </row>
    <row r="5" spans="1:27" ht="16.5" thickBot="1" x14ac:dyDescent="0.3">
      <c r="A5" s="10">
        <v>44503</v>
      </c>
      <c r="B5" s="44">
        <v>305</v>
      </c>
      <c r="C5" s="152">
        <v>19078</v>
      </c>
      <c r="D5" s="44">
        <f t="shared" si="0"/>
        <v>640</v>
      </c>
      <c r="E5" s="153">
        <v>28660418</v>
      </c>
      <c r="F5" s="44">
        <f t="shared" si="1"/>
        <v>18977</v>
      </c>
      <c r="G5" s="154">
        <v>90876623</v>
      </c>
      <c r="H5" s="44">
        <f t="shared" si="2"/>
        <v>38040</v>
      </c>
      <c r="I5" s="155">
        <f t="shared" si="3"/>
        <v>57017</v>
      </c>
      <c r="J5" s="153">
        <v>8965238</v>
      </c>
      <c r="K5" s="44">
        <f t="shared" si="4"/>
        <v>4879</v>
      </c>
      <c r="L5" s="156">
        <v>8889690</v>
      </c>
      <c r="M5" s="44">
        <f t="shared" si="5"/>
        <v>5240</v>
      </c>
      <c r="N5" s="153">
        <v>6045747</v>
      </c>
      <c r="O5" s="44">
        <f t="shared" ref="O5:O32" si="12">(IF((N5-N4)&lt;0,"0",(N5-N4)))*2</f>
        <v>13568</v>
      </c>
      <c r="P5" s="156">
        <v>5383707</v>
      </c>
      <c r="Q5" s="44">
        <f t="shared" si="6"/>
        <v>3247</v>
      </c>
      <c r="R5" s="153">
        <v>19176635</v>
      </c>
      <c r="S5" s="44">
        <f t="shared" si="7"/>
        <v>8858</v>
      </c>
      <c r="T5" s="153">
        <v>0</v>
      </c>
      <c r="U5" s="157"/>
      <c r="V5" s="153">
        <v>7011648</v>
      </c>
      <c r="W5" s="44">
        <f t="shared" si="8"/>
        <v>10083</v>
      </c>
      <c r="X5" s="22">
        <f t="shared" si="9"/>
        <v>45875</v>
      </c>
      <c r="Y5" s="158">
        <f t="shared" si="10"/>
        <v>11142</v>
      </c>
      <c r="Z5" s="3">
        <f t="shared" si="11"/>
        <v>7031.5425231999998</v>
      </c>
      <c r="AA5" s="3">
        <f>SUM(Z3:Z5)</f>
        <v>21098.665577600001</v>
      </c>
    </row>
    <row r="6" spans="1:27" ht="16.5" thickBot="1" x14ac:dyDescent="0.3">
      <c r="A6" s="10">
        <v>44504</v>
      </c>
      <c r="B6" s="44">
        <v>313</v>
      </c>
      <c r="C6" s="152">
        <v>19082</v>
      </c>
      <c r="D6" s="44">
        <f t="shared" si="0"/>
        <v>640</v>
      </c>
      <c r="E6" s="153">
        <v>28692913</v>
      </c>
      <c r="F6" s="44">
        <f t="shared" si="1"/>
        <v>32495</v>
      </c>
      <c r="G6" s="154">
        <v>90928863</v>
      </c>
      <c r="H6" s="44">
        <f t="shared" si="2"/>
        <v>52240</v>
      </c>
      <c r="I6" s="155">
        <f t="shared" si="3"/>
        <v>84735</v>
      </c>
      <c r="J6" s="153">
        <v>8971820</v>
      </c>
      <c r="K6" s="44">
        <f t="shared" si="4"/>
        <v>6582</v>
      </c>
      <c r="L6" s="156">
        <v>8898684</v>
      </c>
      <c r="M6" s="44">
        <f t="shared" si="5"/>
        <v>8994</v>
      </c>
      <c r="N6" s="153">
        <v>6057380</v>
      </c>
      <c r="O6" s="44">
        <f t="shared" si="12"/>
        <v>23266</v>
      </c>
      <c r="P6" s="156">
        <v>5388200</v>
      </c>
      <c r="Q6" s="44">
        <f t="shared" si="6"/>
        <v>4493</v>
      </c>
      <c r="R6" s="153">
        <v>19188979</v>
      </c>
      <c r="S6" s="44">
        <f t="shared" si="7"/>
        <v>12344</v>
      </c>
      <c r="T6" s="153">
        <v>0</v>
      </c>
      <c r="U6" s="157"/>
      <c r="V6" s="153">
        <v>7025394</v>
      </c>
      <c r="W6" s="44">
        <f t="shared" si="8"/>
        <v>13746</v>
      </c>
      <c r="X6" s="22">
        <f t="shared" si="9"/>
        <v>69425</v>
      </c>
      <c r="Y6" s="158">
        <f t="shared" si="10"/>
        <v>15310</v>
      </c>
      <c r="Z6" s="3">
        <f t="shared" si="11"/>
        <v>10351.054480000001</v>
      </c>
      <c r="AA6" s="3">
        <f>SUM(Z4:Z6)</f>
        <v>24250.497897599998</v>
      </c>
    </row>
    <row r="7" spans="1:27" ht="16.5" thickBot="1" x14ac:dyDescent="0.3">
      <c r="A7" s="10">
        <v>44505</v>
      </c>
      <c r="B7" s="44">
        <v>204</v>
      </c>
      <c r="C7" s="152">
        <v>19085</v>
      </c>
      <c r="D7" s="44">
        <f t="shared" si="0"/>
        <v>480</v>
      </c>
      <c r="E7" s="153">
        <v>28718027</v>
      </c>
      <c r="F7" s="44">
        <f t="shared" si="1"/>
        <v>25114</v>
      </c>
      <c r="G7" s="154">
        <v>90972291</v>
      </c>
      <c r="H7" s="44">
        <f t="shared" si="2"/>
        <v>43428</v>
      </c>
      <c r="I7" s="155">
        <f t="shared" si="3"/>
        <v>68542</v>
      </c>
      <c r="J7" s="153">
        <v>8977005</v>
      </c>
      <c r="K7" s="44">
        <f t="shared" si="4"/>
        <v>5185</v>
      </c>
      <c r="L7" s="156">
        <v>8905896</v>
      </c>
      <c r="M7" s="44">
        <f t="shared" si="5"/>
        <v>7212</v>
      </c>
      <c r="N7" s="153">
        <v>6066186</v>
      </c>
      <c r="O7" s="44">
        <f t="shared" si="12"/>
        <v>17612</v>
      </c>
      <c r="P7" s="156">
        <v>5391615</v>
      </c>
      <c r="Q7" s="44">
        <f t="shared" si="6"/>
        <v>3415</v>
      </c>
      <c r="R7" s="153">
        <v>19199388</v>
      </c>
      <c r="S7" s="44">
        <f t="shared" si="7"/>
        <v>10409</v>
      </c>
      <c r="T7" s="153">
        <v>0</v>
      </c>
      <c r="U7" s="157"/>
      <c r="V7" s="153">
        <v>7036964</v>
      </c>
      <c r="W7" s="44">
        <f t="shared" si="8"/>
        <v>11570</v>
      </c>
      <c r="X7" s="22">
        <f t="shared" si="9"/>
        <v>55403</v>
      </c>
      <c r="Y7" s="158">
        <f t="shared" si="10"/>
        <v>13139</v>
      </c>
      <c r="Z7" s="3">
        <f t="shared" si="11"/>
        <v>8378.6741168000008</v>
      </c>
      <c r="AA7" s="3">
        <f t="shared" ref="AA7:AA32" si="13">SUM(Z4:Z7)</f>
        <v>32629.172014399999</v>
      </c>
    </row>
    <row r="8" spans="1:27" ht="16.5" thickBot="1" x14ac:dyDescent="0.3">
      <c r="A8" s="10">
        <v>44506</v>
      </c>
      <c r="B8" s="44">
        <v>194</v>
      </c>
      <c r="C8" s="152">
        <v>19088</v>
      </c>
      <c r="D8" s="44">
        <f t="shared" si="0"/>
        <v>480</v>
      </c>
      <c r="E8" s="153">
        <v>28730355</v>
      </c>
      <c r="F8" s="44">
        <f t="shared" si="1"/>
        <v>12328</v>
      </c>
      <c r="G8" s="154">
        <v>91004066</v>
      </c>
      <c r="H8" s="44">
        <f t="shared" si="2"/>
        <v>31775</v>
      </c>
      <c r="I8" s="155">
        <f t="shared" si="3"/>
        <v>44103</v>
      </c>
      <c r="J8" s="153">
        <v>8980897</v>
      </c>
      <c r="K8" s="44">
        <f t="shared" si="4"/>
        <v>3892</v>
      </c>
      <c r="L8" s="156">
        <v>8909627</v>
      </c>
      <c r="M8" s="44">
        <f t="shared" si="5"/>
        <v>3731</v>
      </c>
      <c r="N8" s="153">
        <v>6070391</v>
      </c>
      <c r="O8" s="44">
        <f t="shared" si="12"/>
        <v>8410</v>
      </c>
      <c r="P8" s="156">
        <v>5393804</v>
      </c>
      <c r="Q8" s="44">
        <f t="shared" si="6"/>
        <v>2189</v>
      </c>
      <c r="R8" s="153">
        <v>19207079</v>
      </c>
      <c r="S8" s="44">
        <f t="shared" si="7"/>
        <v>7691</v>
      </c>
      <c r="T8" s="153">
        <v>0</v>
      </c>
      <c r="U8" s="157"/>
      <c r="V8" s="153">
        <v>7045624</v>
      </c>
      <c r="W8" s="44">
        <f t="shared" si="8"/>
        <v>8660</v>
      </c>
      <c r="X8" s="22">
        <f t="shared" si="9"/>
        <v>34573</v>
      </c>
      <c r="Y8" s="158">
        <f t="shared" si="10"/>
        <v>9530</v>
      </c>
      <c r="Z8" s="3">
        <f t="shared" si="11"/>
        <v>5503.0322671999993</v>
      </c>
      <c r="AA8" s="3">
        <f t="shared" si="13"/>
        <v>31264.303387200001</v>
      </c>
    </row>
    <row r="9" spans="1:27" ht="16.5" thickBot="1" x14ac:dyDescent="0.3">
      <c r="A9" s="10">
        <v>44507</v>
      </c>
      <c r="B9" s="44">
        <v>203</v>
      </c>
      <c r="C9" s="152">
        <v>19094</v>
      </c>
      <c r="D9" s="44">
        <f t="shared" si="0"/>
        <v>960</v>
      </c>
      <c r="E9" s="153">
        <v>28744336</v>
      </c>
      <c r="F9" s="44">
        <f t="shared" si="1"/>
        <v>13981</v>
      </c>
      <c r="G9" s="154">
        <v>91041489</v>
      </c>
      <c r="H9" s="44">
        <f t="shared" si="2"/>
        <v>37423</v>
      </c>
      <c r="I9" s="155">
        <f t="shared" si="3"/>
        <v>51404</v>
      </c>
      <c r="J9" s="153">
        <v>8985539</v>
      </c>
      <c r="K9" s="44">
        <f t="shared" si="4"/>
        <v>4642</v>
      </c>
      <c r="L9" s="156">
        <v>8913838</v>
      </c>
      <c r="M9" s="44">
        <f t="shared" si="5"/>
        <v>4211</v>
      </c>
      <c r="N9" s="153">
        <v>6075248</v>
      </c>
      <c r="O9" s="44">
        <f t="shared" si="12"/>
        <v>9714</v>
      </c>
      <c r="P9" s="156">
        <v>5396478</v>
      </c>
      <c r="Q9" s="44">
        <f t="shared" si="6"/>
        <v>2674</v>
      </c>
      <c r="R9" s="153">
        <v>19216170</v>
      </c>
      <c r="S9" s="44">
        <f t="shared" si="7"/>
        <v>9091</v>
      </c>
      <c r="T9" s="153">
        <v>0</v>
      </c>
      <c r="U9" s="157"/>
      <c r="V9" s="153">
        <v>7055657</v>
      </c>
      <c r="W9" s="44">
        <f t="shared" si="8"/>
        <v>10033</v>
      </c>
      <c r="X9" s="22">
        <f t="shared" si="9"/>
        <v>40365</v>
      </c>
      <c r="Y9" s="158">
        <f t="shared" si="10"/>
        <v>11039</v>
      </c>
      <c r="Z9" s="3">
        <f t="shared" si="11"/>
        <v>6435.0714688000007</v>
      </c>
      <c r="AA9" s="3">
        <f t="shared" si="13"/>
        <v>30667.832332800001</v>
      </c>
    </row>
    <row r="10" spans="1:27" ht="16.5" thickBot="1" x14ac:dyDescent="0.3">
      <c r="A10" s="10">
        <v>44508</v>
      </c>
      <c r="B10" s="44">
        <v>307</v>
      </c>
      <c r="C10" s="152">
        <v>19097</v>
      </c>
      <c r="D10" s="44">
        <f t="shared" si="0"/>
        <v>480</v>
      </c>
      <c r="E10" s="153">
        <v>28767541</v>
      </c>
      <c r="F10" s="44">
        <f t="shared" si="1"/>
        <v>23205</v>
      </c>
      <c r="G10" s="154">
        <v>91094967</v>
      </c>
      <c r="H10" s="44">
        <f t="shared" si="2"/>
        <v>53478</v>
      </c>
      <c r="I10" s="155">
        <f t="shared" si="3"/>
        <v>76683</v>
      </c>
      <c r="J10" s="153">
        <v>8992278</v>
      </c>
      <c r="K10" s="44">
        <f t="shared" si="4"/>
        <v>6739</v>
      </c>
      <c r="L10" s="156">
        <v>8919615</v>
      </c>
      <c r="M10" s="44">
        <f t="shared" si="5"/>
        <v>5777</v>
      </c>
      <c r="N10" s="153">
        <v>6083850</v>
      </c>
      <c r="O10" s="44">
        <f t="shared" si="12"/>
        <v>17204</v>
      </c>
      <c r="P10" s="156">
        <v>5401028</v>
      </c>
      <c r="Q10" s="44">
        <f t="shared" si="6"/>
        <v>4550</v>
      </c>
      <c r="R10" s="153">
        <v>19228750</v>
      </c>
      <c r="S10" s="44">
        <f t="shared" si="7"/>
        <v>12580</v>
      </c>
      <c r="T10" s="153">
        <v>0</v>
      </c>
      <c r="U10" s="157"/>
      <c r="V10" s="153">
        <v>7069757</v>
      </c>
      <c r="W10" s="44">
        <f t="shared" si="8"/>
        <v>14100</v>
      </c>
      <c r="X10" s="22">
        <f t="shared" si="9"/>
        <v>60950</v>
      </c>
      <c r="Y10" s="158">
        <f t="shared" si="10"/>
        <v>15733</v>
      </c>
      <c r="Z10" s="3">
        <f t="shared" si="11"/>
        <v>9624.9246079999994</v>
      </c>
      <c r="AA10" s="3">
        <f t="shared" si="13"/>
        <v>29941.702460799999</v>
      </c>
    </row>
    <row r="11" spans="1:27" ht="15.75" customHeight="1" thickBot="1" x14ac:dyDescent="0.3">
      <c r="A11" s="10">
        <v>44509</v>
      </c>
      <c r="B11" s="44">
        <v>211</v>
      </c>
      <c r="C11" s="152">
        <v>19101</v>
      </c>
      <c r="D11" s="44">
        <f t="shared" si="0"/>
        <v>640</v>
      </c>
      <c r="E11" s="153">
        <v>28778351</v>
      </c>
      <c r="F11" s="44">
        <f t="shared" si="1"/>
        <v>10810</v>
      </c>
      <c r="G11" s="154">
        <v>91135605</v>
      </c>
      <c r="H11" s="44">
        <f t="shared" si="2"/>
        <v>40638</v>
      </c>
      <c r="I11" s="155">
        <v>8996879</v>
      </c>
      <c r="J11" s="153">
        <v>8996879</v>
      </c>
      <c r="K11" s="44">
        <f t="shared" si="4"/>
        <v>4601</v>
      </c>
      <c r="L11" s="156">
        <v>8923330</v>
      </c>
      <c r="M11" s="44">
        <f t="shared" si="5"/>
        <v>3715</v>
      </c>
      <c r="N11" s="153">
        <v>6087321</v>
      </c>
      <c r="O11" s="44">
        <f t="shared" si="12"/>
        <v>6942</v>
      </c>
      <c r="P11" s="156">
        <v>5408119</v>
      </c>
      <c r="Q11" s="44">
        <f t="shared" si="6"/>
        <v>7091</v>
      </c>
      <c r="R11" s="153">
        <v>19247680</v>
      </c>
      <c r="S11" s="44">
        <f t="shared" si="7"/>
        <v>18930</v>
      </c>
      <c r="T11" s="153">
        <v>0</v>
      </c>
      <c r="U11" s="157"/>
      <c r="V11" s="153">
        <v>7079270</v>
      </c>
      <c r="W11" s="44">
        <f t="shared" si="8"/>
        <v>9513</v>
      </c>
      <c r="X11" s="22">
        <f t="shared" si="9"/>
        <v>50792</v>
      </c>
      <c r="Y11" s="158">
        <f t="shared" si="10"/>
        <v>8946087</v>
      </c>
      <c r="Z11" s="3">
        <f t="shared" si="11"/>
        <v>8935.0777775999995</v>
      </c>
      <c r="AA11" s="3">
        <f t="shared" si="13"/>
        <v>30498.106121599998</v>
      </c>
    </row>
    <row r="12" spans="1:27" ht="16.5" thickBot="1" x14ac:dyDescent="0.3">
      <c r="A12" s="10">
        <v>44510</v>
      </c>
      <c r="B12" s="44">
        <v>283</v>
      </c>
      <c r="C12" s="152">
        <v>19106</v>
      </c>
      <c r="D12" s="44">
        <f t="shared" si="0"/>
        <v>800</v>
      </c>
      <c r="E12" s="153">
        <v>28791212</v>
      </c>
      <c r="F12" s="44">
        <f t="shared" si="1"/>
        <v>12861</v>
      </c>
      <c r="G12" s="154">
        <v>91190392</v>
      </c>
      <c r="H12" s="44">
        <f t="shared" si="2"/>
        <v>54787</v>
      </c>
      <c r="I12" s="155">
        <f t="shared" si="3"/>
        <v>67648</v>
      </c>
      <c r="J12" s="153">
        <v>9002658</v>
      </c>
      <c r="K12" s="44">
        <f t="shared" si="4"/>
        <v>5779</v>
      </c>
      <c r="L12" s="156">
        <v>8928118</v>
      </c>
      <c r="M12" s="44">
        <f t="shared" si="5"/>
        <v>4788</v>
      </c>
      <c r="N12" s="153">
        <v>6091266</v>
      </c>
      <c r="O12" s="44">
        <f t="shared" si="12"/>
        <v>7890</v>
      </c>
      <c r="P12" s="156">
        <v>5419404</v>
      </c>
      <c r="Q12" s="44">
        <f t="shared" si="6"/>
        <v>11285</v>
      </c>
      <c r="R12" s="153">
        <v>19249481</v>
      </c>
      <c r="S12" s="44">
        <f t="shared" si="7"/>
        <v>1801</v>
      </c>
      <c r="T12" s="153">
        <v>0</v>
      </c>
      <c r="U12" s="157"/>
      <c r="V12" s="153">
        <v>7091744</v>
      </c>
      <c r="W12" s="44">
        <f t="shared" si="8"/>
        <v>12474</v>
      </c>
      <c r="X12" s="22">
        <f t="shared" si="9"/>
        <v>44017</v>
      </c>
      <c r="Y12" s="158">
        <f t="shared" si="10"/>
        <v>23631</v>
      </c>
      <c r="Z12" s="3">
        <f t="shared" si="11"/>
        <v>6240.68588</v>
      </c>
      <c r="AA12" s="3">
        <f t="shared" si="13"/>
        <v>31235.759734399999</v>
      </c>
    </row>
    <row r="13" spans="1:27" ht="16.5" thickBot="1" x14ac:dyDescent="0.3">
      <c r="A13" s="10">
        <v>44511</v>
      </c>
      <c r="B13" s="44">
        <v>296</v>
      </c>
      <c r="C13" s="152">
        <v>19110</v>
      </c>
      <c r="D13" s="44">
        <f t="shared" si="0"/>
        <v>640</v>
      </c>
      <c r="E13" s="153">
        <v>28801445</v>
      </c>
      <c r="F13" s="44">
        <f t="shared" ref="F13" si="14">IF((E13-E12)&lt;0,"0",(E13-E12))</f>
        <v>10233</v>
      </c>
      <c r="G13" s="154">
        <v>91228282</v>
      </c>
      <c r="H13" s="44">
        <f t="shared" ref="H13" si="15">IF((G13-G12)&lt;0,"0",(G13-G12))</f>
        <v>37890</v>
      </c>
      <c r="I13" s="155">
        <f t="shared" ref="I13" si="16">F13+H13</f>
        <v>48123</v>
      </c>
      <c r="J13" s="153">
        <v>9006265</v>
      </c>
      <c r="K13" s="44">
        <f t="shared" ref="K13" si="17">IF((J13-J12)&lt;0,"0",(J13-J12))</f>
        <v>3607</v>
      </c>
      <c r="L13" s="156">
        <v>8931818</v>
      </c>
      <c r="M13" s="44">
        <f t="shared" ref="M13" si="18">IF((L13-L12)&lt;0,"0",(L13-L12))</f>
        <v>3700</v>
      </c>
      <c r="N13" s="153">
        <v>6094484</v>
      </c>
      <c r="O13" s="44">
        <f t="shared" ref="O13" si="19">(IF((N13-N12)&lt;0,"0",(N13-N12)))*2</f>
        <v>6436</v>
      </c>
      <c r="P13" s="156">
        <v>5425362</v>
      </c>
      <c r="Q13" s="44">
        <f t="shared" ref="Q13" si="20">IF((P13-P12)&lt;0,"0",(P13-P12))</f>
        <v>5958</v>
      </c>
      <c r="R13" s="153">
        <v>19257608</v>
      </c>
      <c r="S13" s="44">
        <f t="shared" ref="S13" si="21">IF((R13-R12)&lt;0,"0",(R13-R12))</f>
        <v>8127</v>
      </c>
      <c r="T13" s="153">
        <v>0</v>
      </c>
      <c r="U13" s="157"/>
      <c r="V13" s="153">
        <v>7101270</v>
      </c>
      <c r="W13" s="44">
        <f t="shared" ref="W13" si="22">IF((V13-V12)&lt;0,"0",(V13-V12))</f>
        <v>9526</v>
      </c>
      <c r="X13" s="22">
        <f t="shared" ref="X13" si="23">K13+M13+O13+Q13+S13+U13+W13</f>
        <v>37354</v>
      </c>
      <c r="Y13" s="158">
        <f t="shared" ref="Y13" si="24">I13-X13</f>
        <v>10769</v>
      </c>
      <c r="Z13" s="3">
        <f t="shared" ref="Z13" si="25">(0.93352*(W13+S13)+0.5568*(Q13+O13))*0.26</f>
        <v>6078.9060176000003</v>
      </c>
      <c r="AA13" s="3">
        <f t="shared" ref="AA13" si="26">SUM(Z10:Z13)</f>
        <v>30879.5942832</v>
      </c>
    </row>
    <row r="14" spans="1:27" ht="16.5" thickBot="1" x14ac:dyDescent="0.3">
      <c r="A14" s="10">
        <v>44512</v>
      </c>
      <c r="B14" s="44">
        <v>297</v>
      </c>
      <c r="C14" s="152">
        <v>19114</v>
      </c>
      <c r="D14" s="44">
        <f t="shared" si="0"/>
        <v>640</v>
      </c>
      <c r="E14" s="153">
        <v>28813842</v>
      </c>
      <c r="F14" s="44">
        <f t="shared" si="1"/>
        <v>12397</v>
      </c>
      <c r="G14" s="154">
        <v>91284043</v>
      </c>
      <c r="H14" s="44">
        <f t="shared" si="2"/>
        <v>55761</v>
      </c>
      <c r="I14" s="155">
        <f t="shared" si="3"/>
        <v>68158</v>
      </c>
      <c r="J14" s="153">
        <v>9010804</v>
      </c>
      <c r="K14" s="44">
        <f t="shared" si="4"/>
        <v>4539</v>
      </c>
      <c r="L14" s="156">
        <v>8937015</v>
      </c>
      <c r="M14" s="44">
        <f t="shared" si="5"/>
        <v>5197</v>
      </c>
      <c r="N14" s="153">
        <v>6098001</v>
      </c>
      <c r="O14" s="44">
        <f t="shared" si="12"/>
        <v>7034</v>
      </c>
      <c r="P14" s="156">
        <v>5435943</v>
      </c>
      <c r="Q14" s="44">
        <f t="shared" si="6"/>
        <v>10581</v>
      </c>
      <c r="R14" s="153">
        <v>19269970</v>
      </c>
      <c r="S14" s="44">
        <f>IF((R14-R13)&lt;0,"0",(R14-R13))</f>
        <v>12362</v>
      </c>
      <c r="T14" s="153">
        <v>0</v>
      </c>
      <c r="U14" s="157"/>
      <c r="V14" s="153">
        <v>7114746</v>
      </c>
      <c r="W14" s="44">
        <f t="shared" si="8"/>
        <v>13476</v>
      </c>
      <c r="X14" s="22">
        <f t="shared" si="9"/>
        <v>53189</v>
      </c>
      <c r="Y14" s="158">
        <f t="shared" si="10"/>
        <v>14969</v>
      </c>
      <c r="Z14" s="3">
        <f t="shared" si="11"/>
        <v>8821.3636576000008</v>
      </c>
      <c r="AA14" s="3">
        <f t="shared" si="13"/>
        <v>30076.033332799998</v>
      </c>
    </row>
    <row r="15" spans="1:27" ht="16.5" thickBot="1" x14ac:dyDescent="0.3">
      <c r="A15" s="10">
        <v>44513</v>
      </c>
      <c r="B15" s="44">
        <v>275</v>
      </c>
      <c r="C15" s="152">
        <v>19118</v>
      </c>
      <c r="D15" s="44">
        <f t="shared" si="0"/>
        <v>640</v>
      </c>
      <c r="E15" s="153">
        <v>28823292</v>
      </c>
      <c r="F15" s="44">
        <f t="shared" si="1"/>
        <v>9450</v>
      </c>
      <c r="G15" s="154">
        <v>91317298</v>
      </c>
      <c r="H15" s="44">
        <f t="shared" si="2"/>
        <v>33255</v>
      </c>
      <c r="I15" s="155">
        <f t="shared" si="3"/>
        <v>42705</v>
      </c>
      <c r="J15" s="153">
        <v>9013768</v>
      </c>
      <c r="K15" s="44">
        <f t="shared" si="4"/>
        <v>2964</v>
      </c>
      <c r="L15" s="156">
        <v>8941179</v>
      </c>
      <c r="M15" s="44">
        <f t="shared" si="5"/>
        <v>4164</v>
      </c>
      <c r="N15" s="153">
        <v>6100582</v>
      </c>
      <c r="O15" s="44">
        <f t="shared" si="12"/>
        <v>5162</v>
      </c>
      <c r="P15" s="156">
        <v>5442682</v>
      </c>
      <c r="Q15" s="44">
        <f t="shared" si="6"/>
        <v>6739</v>
      </c>
      <c r="R15" s="153">
        <v>19277172</v>
      </c>
      <c r="S15" s="44">
        <f>IF((R15-R14)&lt;0,"0",(R15-R14))</f>
        <v>7202</v>
      </c>
      <c r="T15" s="153">
        <v>0</v>
      </c>
      <c r="U15" s="157"/>
      <c r="V15" s="153">
        <v>7122569</v>
      </c>
      <c r="W15" s="44">
        <f t="shared" si="8"/>
        <v>7823</v>
      </c>
      <c r="X15" s="22">
        <f t="shared" si="9"/>
        <v>34054</v>
      </c>
      <c r="Y15" s="158">
        <f t="shared" si="10"/>
        <v>8651</v>
      </c>
      <c r="Z15" s="3">
        <f t="shared" si="11"/>
        <v>5369.6798479999998</v>
      </c>
      <c r="AA15" s="3">
        <f t="shared" si="13"/>
        <v>26510.635403200002</v>
      </c>
    </row>
    <row r="16" spans="1:27" ht="16.5" thickBot="1" x14ac:dyDescent="0.3">
      <c r="A16" s="10">
        <v>44514</v>
      </c>
      <c r="B16" s="44">
        <v>261</v>
      </c>
      <c r="C16" s="152">
        <v>19122</v>
      </c>
      <c r="D16" s="44">
        <f t="shared" si="0"/>
        <v>640</v>
      </c>
      <c r="E16" s="153">
        <v>28836482</v>
      </c>
      <c r="F16" s="44">
        <f t="shared" si="1"/>
        <v>13190</v>
      </c>
      <c r="G16" s="154">
        <v>91372347</v>
      </c>
      <c r="H16" s="44">
        <f t="shared" si="2"/>
        <v>55049</v>
      </c>
      <c r="I16" s="155">
        <f t="shared" si="3"/>
        <v>68239</v>
      </c>
      <c r="J16" s="153">
        <v>9018758</v>
      </c>
      <c r="K16" s="44">
        <f t="shared" si="4"/>
        <v>4990</v>
      </c>
      <c r="L16" s="156">
        <v>8949180</v>
      </c>
      <c r="M16" s="44">
        <f t="shared" si="5"/>
        <v>8001</v>
      </c>
      <c r="N16" s="153">
        <v>6103089</v>
      </c>
      <c r="O16" s="44">
        <f t="shared" si="12"/>
        <v>5014</v>
      </c>
      <c r="P16" s="156">
        <v>5457315</v>
      </c>
      <c r="Q16" s="44">
        <f t="shared" si="6"/>
        <v>14633</v>
      </c>
      <c r="R16" s="153">
        <v>19287807</v>
      </c>
      <c r="S16" s="44">
        <f t="shared" si="7"/>
        <v>10635</v>
      </c>
      <c r="T16" s="153">
        <v>0</v>
      </c>
      <c r="U16" s="157"/>
      <c r="V16" s="153">
        <v>7134359</v>
      </c>
      <c r="W16" s="44">
        <f t="shared" si="8"/>
        <v>11790</v>
      </c>
      <c r="X16" s="22">
        <f t="shared" si="9"/>
        <v>55063</v>
      </c>
      <c r="Y16" s="158">
        <f t="shared" si="10"/>
        <v>13176</v>
      </c>
      <c r="Z16" s="3">
        <f t="shared" si="11"/>
        <v>8287.1452559999998</v>
      </c>
      <c r="AA16" s="3">
        <f t="shared" si="13"/>
        <v>28557.094779200001</v>
      </c>
    </row>
    <row r="17" spans="1:27" s="136" customFormat="1" ht="16.5" thickBot="1" x14ac:dyDescent="0.3">
      <c r="A17" s="10">
        <v>44515</v>
      </c>
      <c r="B17" s="44">
        <v>0</v>
      </c>
      <c r="C17" s="152">
        <f t="shared" ref="C16:C32" si="27">C16</f>
        <v>19122</v>
      </c>
      <c r="D17" s="44">
        <f t="shared" si="0"/>
        <v>0</v>
      </c>
      <c r="E17" s="153">
        <f t="shared" ref="E16:E32" si="28">E16</f>
        <v>28836482</v>
      </c>
      <c r="F17" s="44">
        <f t="shared" si="1"/>
        <v>0</v>
      </c>
      <c r="G17" s="154">
        <f t="shared" ref="G16:G32" si="29">G16</f>
        <v>91372347</v>
      </c>
      <c r="H17" s="44">
        <f t="shared" si="2"/>
        <v>0</v>
      </c>
      <c r="I17" s="159">
        <f t="shared" si="3"/>
        <v>0</v>
      </c>
      <c r="J17" s="153">
        <f t="shared" ref="J16:J32" si="30">J16</f>
        <v>9018758</v>
      </c>
      <c r="K17" s="44">
        <f t="shared" si="4"/>
        <v>0</v>
      </c>
      <c r="L17" s="156">
        <f t="shared" ref="L16:L32" si="31">L16</f>
        <v>8949180</v>
      </c>
      <c r="M17" s="135">
        <f t="shared" si="5"/>
        <v>0</v>
      </c>
      <c r="N17" s="153">
        <f t="shared" ref="N16:N32" si="32">N16</f>
        <v>6103089</v>
      </c>
      <c r="O17" s="135">
        <f t="shared" si="12"/>
        <v>0</v>
      </c>
      <c r="P17" s="156">
        <f t="shared" ref="P16:P32" si="33">P16</f>
        <v>5457315</v>
      </c>
      <c r="Q17" s="135">
        <f t="shared" si="6"/>
        <v>0</v>
      </c>
      <c r="R17" s="153">
        <f t="shared" ref="R16:R32" si="34">R16</f>
        <v>19287807</v>
      </c>
      <c r="S17" s="135">
        <f t="shared" si="7"/>
        <v>0</v>
      </c>
      <c r="T17" s="160">
        <v>0</v>
      </c>
      <c r="U17" s="157"/>
      <c r="V17" s="153">
        <f t="shared" ref="V16:V32" si="35">V16</f>
        <v>7134359</v>
      </c>
      <c r="W17" s="135">
        <f t="shared" si="8"/>
        <v>0</v>
      </c>
      <c r="X17" s="22">
        <f t="shared" si="9"/>
        <v>0</v>
      </c>
      <c r="Y17" s="161">
        <f t="shared" si="10"/>
        <v>0</v>
      </c>
      <c r="Z17" s="162">
        <f t="shared" si="11"/>
        <v>0</v>
      </c>
      <c r="AA17" s="162">
        <f t="shared" si="13"/>
        <v>22478.188761600002</v>
      </c>
    </row>
    <row r="18" spans="1:27" s="136" customFormat="1" ht="16.5" thickBot="1" x14ac:dyDescent="0.3">
      <c r="A18" s="10">
        <v>44516</v>
      </c>
      <c r="B18" s="44">
        <v>0</v>
      </c>
      <c r="C18" s="152">
        <f t="shared" si="27"/>
        <v>19122</v>
      </c>
      <c r="D18" s="44">
        <f t="shared" si="0"/>
        <v>0</v>
      </c>
      <c r="E18" s="153">
        <f t="shared" si="28"/>
        <v>28836482</v>
      </c>
      <c r="F18" s="44">
        <f t="shared" si="1"/>
        <v>0</v>
      </c>
      <c r="G18" s="154">
        <f t="shared" si="29"/>
        <v>91372347</v>
      </c>
      <c r="H18" s="44">
        <f t="shared" si="2"/>
        <v>0</v>
      </c>
      <c r="I18" s="159">
        <f t="shared" si="3"/>
        <v>0</v>
      </c>
      <c r="J18" s="153">
        <f t="shared" si="30"/>
        <v>9018758</v>
      </c>
      <c r="K18" s="44">
        <f t="shared" si="4"/>
        <v>0</v>
      </c>
      <c r="L18" s="156">
        <f t="shared" si="31"/>
        <v>8949180</v>
      </c>
      <c r="M18" s="135">
        <f t="shared" si="5"/>
        <v>0</v>
      </c>
      <c r="N18" s="153">
        <f t="shared" si="32"/>
        <v>6103089</v>
      </c>
      <c r="O18" s="135">
        <f t="shared" si="12"/>
        <v>0</v>
      </c>
      <c r="P18" s="156">
        <f t="shared" si="33"/>
        <v>5457315</v>
      </c>
      <c r="Q18" s="135">
        <f t="shared" si="6"/>
        <v>0</v>
      </c>
      <c r="R18" s="153">
        <f t="shared" si="34"/>
        <v>19287807</v>
      </c>
      <c r="S18" s="135">
        <f t="shared" si="7"/>
        <v>0</v>
      </c>
      <c r="T18" s="160">
        <v>0</v>
      </c>
      <c r="U18" s="157"/>
      <c r="V18" s="153">
        <f t="shared" si="35"/>
        <v>7134359</v>
      </c>
      <c r="W18" s="135">
        <f t="shared" si="8"/>
        <v>0</v>
      </c>
      <c r="X18" s="22">
        <f t="shared" si="9"/>
        <v>0</v>
      </c>
      <c r="Y18" s="161">
        <f t="shared" si="10"/>
        <v>0</v>
      </c>
      <c r="Z18" s="162">
        <f t="shared" si="11"/>
        <v>0</v>
      </c>
      <c r="AA18" s="162">
        <f t="shared" si="13"/>
        <v>13656.825104</v>
      </c>
    </row>
    <row r="19" spans="1:27" s="136" customFormat="1" ht="16.5" thickBot="1" x14ac:dyDescent="0.3">
      <c r="A19" s="10">
        <v>44517</v>
      </c>
      <c r="B19" s="44">
        <v>0</v>
      </c>
      <c r="C19" s="152">
        <f t="shared" si="27"/>
        <v>19122</v>
      </c>
      <c r="D19" s="44">
        <f t="shared" si="0"/>
        <v>0</v>
      </c>
      <c r="E19" s="153">
        <f t="shared" si="28"/>
        <v>28836482</v>
      </c>
      <c r="F19" s="44">
        <f t="shared" si="1"/>
        <v>0</v>
      </c>
      <c r="G19" s="154">
        <f t="shared" si="29"/>
        <v>91372347</v>
      </c>
      <c r="H19" s="44">
        <f t="shared" si="2"/>
        <v>0</v>
      </c>
      <c r="I19" s="159">
        <f t="shared" si="3"/>
        <v>0</v>
      </c>
      <c r="J19" s="153">
        <f t="shared" si="30"/>
        <v>9018758</v>
      </c>
      <c r="K19" s="44">
        <f t="shared" si="4"/>
        <v>0</v>
      </c>
      <c r="L19" s="156">
        <f t="shared" si="31"/>
        <v>8949180</v>
      </c>
      <c r="M19" s="135">
        <f t="shared" si="5"/>
        <v>0</v>
      </c>
      <c r="N19" s="153">
        <f t="shared" si="32"/>
        <v>6103089</v>
      </c>
      <c r="O19" s="135">
        <f t="shared" si="12"/>
        <v>0</v>
      </c>
      <c r="P19" s="156">
        <f t="shared" si="33"/>
        <v>5457315</v>
      </c>
      <c r="Q19" s="135">
        <f t="shared" si="6"/>
        <v>0</v>
      </c>
      <c r="R19" s="153">
        <f t="shared" si="34"/>
        <v>19287807</v>
      </c>
      <c r="S19" s="135">
        <f t="shared" si="7"/>
        <v>0</v>
      </c>
      <c r="T19" s="160">
        <v>0</v>
      </c>
      <c r="U19" s="157"/>
      <c r="V19" s="153">
        <f t="shared" si="35"/>
        <v>7134359</v>
      </c>
      <c r="W19" s="135">
        <f t="shared" si="8"/>
        <v>0</v>
      </c>
      <c r="X19" s="22">
        <f t="shared" si="9"/>
        <v>0</v>
      </c>
      <c r="Y19" s="161">
        <f t="shared" si="10"/>
        <v>0</v>
      </c>
      <c r="Z19" s="162">
        <f t="shared" si="11"/>
        <v>0</v>
      </c>
      <c r="AA19" s="162">
        <f t="shared" si="13"/>
        <v>8287.1452559999998</v>
      </c>
    </row>
    <row r="20" spans="1:27" s="136" customFormat="1" ht="16.5" thickBot="1" x14ac:dyDescent="0.3">
      <c r="A20" s="10">
        <v>44518</v>
      </c>
      <c r="B20" s="44">
        <v>0</v>
      </c>
      <c r="C20" s="152">
        <f t="shared" si="27"/>
        <v>19122</v>
      </c>
      <c r="D20" s="44">
        <f t="shared" si="0"/>
        <v>0</v>
      </c>
      <c r="E20" s="153">
        <f t="shared" si="28"/>
        <v>28836482</v>
      </c>
      <c r="F20" s="44">
        <f t="shared" si="1"/>
        <v>0</v>
      </c>
      <c r="G20" s="154">
        <f t="shared" si="29"/>
        <v>91372347</v>
      </c>
      <c r="H20" s="44">
        <f t="shared" si="2"/>
        <v>0</v>
      </c>
      <c r="I20" s="159">
        <f t="shared" si="3"/>
        <v>0</v>
      </c>
      <c r="J20" s="153">
        <f t="shared" si="30"/>
        <v>9018758</v>
      </c>
      <c r="K20" s="44">
        <f t="shared" si="4"/>
        <v>0</v>
      </c>
      <c r="L20" s="156">
        <f t="shared" si="31"/>
        <v>8949180</v>
      </c>
      <c r="M20" s="135">
        <f t="shared" si="5"/>
        <v>0</v>
      </c>
      <c r="N20" s="153">
        <f t="shared" si="32"/>
        <v>6103089</v>
      </c>
      <c r="O20" s="135">
        <f t="shared" si="12"/>
        <v>0</v>
      </c>
      <c r="P20" s="156">
        <f t="shared" si="33"/>
        <v>5457315</v>
      </c>
      <c r="Q20" s="135">
        <f t="shared" si="6"/>
        <v>0</v>
      </c>
      <c r="R20" s="153">
        <f t="shared" si="34"/>
        <v>19287807</v>
      </c>
      <c r="S20" s="135">
        <f t="shared" si="7"/>
        <v>0</v>
      </c>
      <c r="T20" s="160">
        <v>0</v>
      </c>
      <c r="U20" s="157"/>
      <c r="V20" s="153">
        <f t="shared" si="35"/>
        <v>7134359</v>
      </c>
      <c r="W20" s="135">
        <f t="shared" si="8"/>
        <v>0</v>
      </c>
      <c r="X20" s="22">
        <f t="shared" si="9"/>
        <v>0</v>
      </c>
      <c r="Y20" s="161">
        <f t="shared" si="10"/>
        <v>0</v>
      </c>
      <c r="Z20" s="162">
        <f t="shared" si="11"/>
        <v>0</v>
      </c>
      <c r="AA20" s="162">
        <f t="shared" si="13"/>
        <v>0</v>
      </c>
    </row>
    <row r="21" spans="1:27" s="136" customFormat="1" ht="16.5" thickBot="1" x14ac:dyDescent="0.3">
      <c r="A21" s="10">
        <v>44519</v>
      </c>
      <c r="B21" s="44">
        <v>0</v>
      </c>
      <c r="C21" s="152">
        <f t="shared" si="27"/>
        <v>19122</v>
      </c>
      <c r="D21" s="44">
        <f t="shared" si="0"/>
        <v>0</v>
      </c>
      <c r="E21" s="153">
        <f t="shared" si="28"/>
        <v>28836482</v>
      </c>
      <c r="F21" s="44">
        <f t="shared" si="1"/>
        <v>0</v>
      </c>
      <c r="G21" s="154">
        <f t="shared" si="29"/>
        <v>91372347</v>
      </c>
      <c r="H21" s="44">
        <f t="shared" si="2"/>
        <v>0</v>
      </c>
      <c r="I21" s="159">
        <f t="shared" si="3"/>
        <v>0</v>
      </c>
      <c r="J21" s="153">
        <f t="shared" si="30"/>
        <v>9018758</v>
      </c>
      <c r="K21" s="44">
        <f t="shared" si="4"/>
        <v>0</v>
      </c>
      <c r="L21" s="156">
        <f t="shared" si="31"/>
        <v>8949180</v>
      </c>
      <c r="M21" s="135">
        <f t="shared" si="5"/>
        <v>0</v>
      </c>
      <c r="N21" s="153">
        <f t="shared" si="32"/>
        <v>6103089</v>
      </c>
      <c r="O21" s="135">
        <f t="shared" si="12"/>
        <v>0</v>
      </c>
      <c r="P21" s="156">
        <f t="shared" si="33"/>
        <v>5457315</v>
      </c>
      <c r="Q21" s="135">
        <f t="shared" si="6"/>
        <v>0</v>
      </c>
      <c r="R21" s="153">
        <f t="shared" si="34"/>
        <v>19287807</v>
      </c>
      <c r="S21" s="135">
        <f t="shared" si="7"/>
        <v>0</v>
      </c>
      <c r="T21" s="160">
        <v>0</v>
      </c>
      <c r="U21" s="157"/>
      <c r="V21" s="153">
        <f t="shared" si="35"/>
        <v>7134359</v>
      </c>
      <c r="W21" s="135">
        <f t="shared" si="8"/>
        <v>0</v>
      </c>
      <c r="X21" s="22">
        <f t="shared" si="9"/>
        <v>0</v>
      </c>
      <c r="Y21" s="161">
        <f t="shared" si="10"/>
        <v>0</v>
      </c>
      <c r="Z21" s="162">
        <f t="shared" si="11"/>
        <v>0</v>
      </c>
      <c r="AA21" s="162">
        <f t="shared" si="13"/>
        <v>0</v>
      </c>
    </row>
    <row r="22" spans="1:27" ht="16.5" thickBot="1" x14ac:dyDescent="0.3">
      <c r="A22" s="10">
        <v>44520</v>
      </c>
      <c r="B22" s="44">
        <v>0</v>
      </c>
      <c r="C22" s="152">
        <f t="shared" si="27"/>
        <v>19122</v>
      </c>
      <c r="D22" s="44">
        <f t="shared" si="0"/>
        <v>0</v>
      </c>
      <c r="E22" s="153">
        <f t="shared" si="28"/>
        <v>28836482</v>
      </c>
      <c r="F22" s="44">
        <f t="shared" si="1"/>
        <v>0</v>
      </c>
      <c r="G22" s="154">
        <f t="shared" si="29"/>
        <v>91372347</v>
      </c>
      <c r="H22" s="44">
        <f t="shared" si="2"/>
        <v>0</v>
      </c>
      <c r="I22" s="155">
        <f t="shared" si="3"/>
        <v>0</v>
      </c>
      <c r="J22" s="153">
        <f t="shared" si="30"/>
        <v>9018758</v>
      </c>
      <c r="K22" s="44">
        <f t="shared" si="4"/>
        <v>0</v>
      </c>
      <c r="L22" s="156">
        <f t="shared" si="31"/>
        <v>8949180</v>
      </c>
      <c r="M22" s="44">
        <f t="shared" si="5"/>
        <v>0</v>
      </c>
      <c r="N22" s="153">
        <f t="shared" si="32"/>
        <v>6103089</v>
      </c>
      <c r="O22" s="44">
        <f t="shared" si="12"/>
        <v>0</v>
      </c>
      <c r="P22" s="156">
        <f t="shared" si="33"/>
        <v>5457315</v>
      </c>
      <c r="Q22" s="44">
        <f t="shared" si="6"/>
        <v>0</v>
      </c>
      <c r="R22" s="153">
        <f t="shared" si="34"/>
        <v>19287807</v>
      </c>
      <c r="S22" s="44">
        <f t="shared" si="7"/>
        <v>0</v>
      </c>
      <c r="T22" s="153">
        <v>0</v>
      </c>
      <c r="U22" s="157"/>
      <c r="V22" s="153">
        <f t="shared" si="35"/>
        <v>7134359</v>
      </c>
      <c r="W22" s="44">
        <f t="shared" si="8"/>
        <v>0</v>
      </c>
      <c r="X22" s="22">
        <f t="shared" si="9"/>
        <v>0</v>
      </c>
      <c r="Y22" s="158">
        <f t="shared" si="10"/>
        <v>0</v>
      </c>
      <c r="Z22" s="3">
        <f t="shared" si="11"/>
        <v>0</v>
      </c>
      <c r="AA22" s="3">
        <f t="shared" si="13"/>
        <v>0</v>
      </c>
    </row>
    <row r="23" spans="1:27" ht="16.5" thickBot="1" x14ac:dyDescent="0.3">
      <c r="A23" s="10">
        <v>44521</v>
      </c>
      <c r="B23" s="44">
        <v>0</v>
      </c>
      <c r="C23" s="152">
        <f t="shared" si="27"/>
        <v>19122</v>
      </c>
      <c r="D23" s="44">
        <f t="shared" si="0"/>
        <v>0</v>
      </c>
      <c r="E23" s="153">
        <f t="shared" si="28"/>
        <v>28836482</v>
      </c>
      <c r="F23" s="44">
        <f t="shared" si="1"/>
        <v>0</v>
      </c>
      <c r="G23" s="154">
        <f t="shared" si="29"/>
        <v>91372347</v>
      </c>
      <c r="H23" s="44">
        <f t="shared" si="2"/>
        <v>0</v>
      </c>
      <c r="I23" s="155">
        <f t="shared" si="3"/>
        <v>0</v>
      </c>
      <c r="J23" s="153">
        <f t="shared" si="30"/>
        <v>9018758</v>
      </c>
      <c r="K23" s="44">
        <f t="shared" si="4"/>
        <v>0</v>
      </c>
      <c r="L23" s="156">
        <f t="shared" si="31"/>
        <v>8949180</v>
      </c>
      <c r="M23" s="44">
        <f t="shared" si="5"/>
        <v>0</v>
      </c>
      <c r="N23" s="153">
        <f t="shared" si="32"/>
        <v>6103089</v>
      </c>
      <c r="O23" s="44">
        <f t="shared" si="12"/>
        <v>0</v>
      </c>
      <c r="P23" s="156">
        <f t="shared" si="33"/>
        <v>5457315</v>
      </c>
      <c r="Q23" s="44">
        <f t="shared" si="6"/>
        <v>0</v>
      </c>
      <c r="R23" s="153">
        <f t="shared" si="34"/>
        <v>19287807</v>
      </c>
      <c r="S23" s="44">
        <f t="shared" si="7"/>
        <v>0</v>
      </c>
      <c r="T23" s="153">
        <v>0</v>
      </c>
      <c r="U23" s="157"/>
      <c r="V23" s="153">
        <f t="shared" si="35"/>
        <v>7134359</v>
      </c>
      <c r="W23" s="44">
        <f t="shared" si="8"/>
        <v>0</v>
      </c>
      <c r="X23" s="22">
        <f t="shared" si="9"/>
        <v>0</v>
      </c>
      <c r="Y23" s="158">
        <f t="shared" si="10"/>
        <v>0</v>
      </c>
      <c r="Z23" s="3">
        <f t="shared" si="11"/>
        <v>0</v>
      </c>
      <c r="AA23" s="3">
        <f t="shared" si="13"/>
        <v>0</v>
      </c>
    </row>
    <row r="24" spans="1:27" ht="16.5" thickBot="1" x14ac:dyDescent="0.3">
      <c r="A24" s="10">
        <v>44522</v>
      </c>
      <c r="B24" s="44">
        <v>0</v>
      </c>
      <c r="C24" s="152">
        <f t="shared" si="27"/>
        <v>19122</v>
      </c>
      <c r="D24" s="44">
        <f t="shared" si="0"/>
        <v>0</v>
      </c>
      <c r="E24" s="153">
        <f t="shared" si="28"/>
        <v>28836482</v>
      </c>
      <c r="F24" s="44">
        <f t="shared" si="1"/>
        <v>0</v>
      </c>
      <c r="G24" s="154">
        <f t="shared" si="29"/>
        <v>91372347</v>
      </c>
      <c r="H24" s="44">
        <f t="shared" si="2"/>
        <v>0</v>
      </c>
      <c r="I24" s="155">
        <f t="shared" si="3"/>
        <v>0</v>
      </c>
      <c r="J24" s="153">
        <f t="shared" si="30"/>
        <v>9018758</v>
      </c>
      <c r="K24" s="44">
        <f t="shared" si="4"/>
        <v>0</v>
      </c>
      <c r="L24" s="156">
        <f t="shared" si="31"/>
        <v>8949180</v>
      </c>
      <c r="M24" s="44">
        <f t="shared" si="5"/>
        <v>0</v>
      </c>
      <c r="N24" s="153">
        <f t="shared" si="32"/>
        <v>6103089</v>
      </c>
      <c r="O24" s="44">
        <f t="shared" si="12"/>
        <v>0</v>
      </c>
      <c r="P24" s="156">
        <f t="shared" si="33"/>
        <v>5457315</v>
      </c>
      <c r="Q24" s="44">
        <f t="shared" si="6"/>
        <v>0</v>
      </c>
      <c r="R24" s="153">
        <f t="shared" si="34"/>
        <v>19287807</v>
      </c>
      <c r="S24" s="44">
        <f t="shared" si="7"/>
        <v>0</v>
      </c>
      <c r="T24" s="153">
        <v>0</v>
      </c>
      <c r="U24" s="157"/>
      <c r="V24" s="153">
        <f t="shared" si="35"/>
        <v>7134359</v>
      </c>
      <c r="W24" s="44">
        <f t="shared" si="8"/>
        <v>0</v>
      </c>
      <c r="X24" s="22">
        <f t="shared" si="9"/>
        <v>0</v>
      </c>
      <c r="Y24" s="158">
        <f t="shared" si="10"/>
        <v>0</v>
      </c>
      <c r="Z24" s="3">
        <f t="shared" si="11"/>
        <v>0</v>
      </c>
      <c r="AA24" s="3">
        <f t="shared" si="13"/>
        <v>0</v>
      </c>
    </row>
    <row r="25" spans="1:27" ht="16.5" thickBot="1" x14ac:dyDescent="0.3">
      <c r="A25" s="10">
        <v>44523</v>
      </c>
      <c r="B25" s="44">
        <v>0</v>
      </c>
      <c r="C25" s="152">
        <f t="shared" si="27"/>
        <v>19122</v>
      </c>
      <c r="D25" s="44">
        <f t="shared" si="0"/>
        <v>0</v>
      </c>
      <c r="E25" s="153">
        <f t="shared" si="28"/>
        <v>28836482</v>
      </c>
      <c r="F25" s="44">
        <f t="shared" si="1"/>
        <v>0</v>
      </c>
      <c r="G25" s="154">
        <f t="shared" si="29"/>
        <v>91372347</v>
      </c>
      <c r="H25" s="44">
        <f t="shared" si="2"/>
        <v>0</v>
      </c>
      <c r="I25" s="155">
        <f t="shared" si="3"/>
        <v>0</v>
      </c>
      <c r="J25" s="153">
        <f t="shared" si="30"/>
        <v>9018758</v>
      </c>
      <c r="K25" s="44">
        <f t="shared" si="4"/>
        <v>0</v>
      </c>
      <c r="L25" s="156">
        <f t="shared" si="31"/>
        <v>8949180</v>
      </c>
      <c r="M25" s="44">
        <f t="shared" si="5"/>
        <v>0</v>
      </c>
      <c r="N25" s="153">
        <f t="shared" si="32"/>
        <v>6103089</v>
      </c>
      <c r="O25" s="44">
        <f t="shared" si="12"/>
        <v>0</v>
      </c>
      <c r="P25" s="156">
        <f t="shared" si="33"/>
        <v>5457315</v>
      </c>
      <c r="Q25" s="44">
        <f t="shared" si="6"/>
        <v>0</v>
      </c>
      <c r="R25" s="153">
        <f t="shared" si="34"/>
        <v>19287807</v>
      </c>
      <c r="S25" s="44">
        <f t="shared" si="7"/>
        <v>0</v>
      </c>
      <c r="T25" s="153">
        <v>0</v>
      </c>
      <c r="U25" s="157"/>
      <c r="V25" s="153">
        <f t="shared" si="35"/>
        <v>7134359</v>
      </c>
      <c r="W25" s="44">
        <f t="shared" si="8"/>
        <v>0</v>
      </c>
      <c r="X25" s="22">
        <f t="shared" si="9"/>
        <v>0</v>
      </c>
      <c r="Y25" s="158">
        <f t="shared" si="10"/>
        <v>0</v>
      </c>
      <c r="Z25" s="3">
        <f t="shared" si="11"/>
        <v>0</v>
      </c>
      <c r="AA25" s="3">
        <f t="shared" si="13"/>
        <v>0</v>
      </c>
    </row>
    <row r="26" spans="1:27" ht="16.5" thickBot="1" x14ac:dyDescent="0.3">
      <c r="A26" s="10">
        <v>44524</v>
      </c>
      <c r="B26" s="44">
        <v>0</v>
      </c>
      <c r="C26" s="152">
        <f t="shared" si="27"/>
        <v>19122</v>
      </c>
      <c r="D26" s="44">
        <f t="shared" si="0"/>
        <v>0</v>
      </c>
      <c r="E26" s="153">
        <f t="shared" si="28"/>
        <v>28836482</v>
      </c>
      <c r="F26" s="44">
        <f t="shared" si="1"/>
        <v>0</v>
      </c>
      <c r="G26" s="154">
        <f t="shared" si="29"/>
        <v>91372347</v>
      </c>
      <c r="H26" s="44">
        <f t="shared" si="2"/>
        <v>0</v>
      </c>
      <c r="I26" s="155">
        <f t="shared" si="3"/>
        <v>0</v>
      </c>
      <c r="J26" s="153">
        <f t="shared" si="30"/>
        <v>9018758</v>
      </c>
      <c r="K26" s="44">
        <f t="shared" si="4"/>
        <v>0</v>
      </c>
      <c r="L26" s="156">
        <f t="shared" si="31"/>
        <v>8949180</v>
      </c>
      <c r="M26" s="44">
        <f t="shared" si="5"/>
        <v>0</v>
      </c>
      <c r="N26" s="153">
        <f t="shared" si="32"/>
        <v>6103089</v>
      </c>
      <c r="O26" s="44">
        <f t="shared" si="12"/>
        <v>0</v>
      </c>
      <c r="P26" s="156">
        <f t="shared" si="33"/>
        <v>5457315</v>
      </c>
      <c r="Q26" s="44">
        <f t="shared" si="6"/>
        <v>0</v>
      </c>
      <c r="R26" s="153">
        <f t="shared" si="34"/>
        <v>19287807</v>
      </c>
      <c r="S26" s="44">
        <f t="shared" si="7"/>
        <v>0</v>
      </c>
      <c r="T26" s="153">
        <v>0</v>
      </c>
      <c r="U26" s="157"/>
      <c r="V26" s="153">
        <f t="shared" si="35"/>
        <v>7134359</v>
      </c>
      <c r="W26" s="44">
        <f t="shared" si="8"/>
        <v>0</v>
      </c>
      <c r="X26" s="22">
        <f t="shared" si="9"/>
        <v>0</v>
      </c>
      <c r="Y26" s="158">
        <f t="shared" si="10"/>
        <v>0</v>
      </c>
      <c r="Z26" s="3">
        <f t="shared" si="11"/>
        <v>0</v>
      </c>
      <c r="AA26" s="3">
        <f t="shared" si="13"/>
        <v>0</v>
      </c>
    </row>
    <row r="27" spans="1:27" ht="16.5" thickBot="1" x14ac:dyDescent="0.3">
      <c r="A27" s="10">
        <v>44525</v>
      </c>
      <c r="B27" s="44">
        <v>0</v>
      </c>
      <c r="C27" s="152">
        <f t="shared" si="27"/>
        <v>19122</v>
      </c>
      <c r="D27" s="44">
        <f t="shared" si="0"/>
        <v>0</v>
      </c>
      <c r="E27" s="153">
        <f t="shared" si="28"/>
        <v>28836482</v>
      </c>
      <c r="F27" s="44">
        <f t="shared" si="1"/>
        <v>0</v>
      </c>
      <c r="G27" s="154">
        <f t="shared" si="29"/>
        <v>91372347</v>
      </c>
      <c r="H27" s="44">
        <f t="shared" si="2"/>
        <v>0</v>
      </c>
      <c r="I27" s="155">
        <f t="shared" si="3"/>
        <v>0</v>
      </c>
      <c r="J27" s="153">
        <f t="shared" si="30"/>
        <v>9018758</v>
      </c>
      <c r="K27" s="44">
        <f t="shared" si="4"/>
        <v>0</v>
      </c>
      <c r="L27" s="156">
        <f t="shared" si="31"/>
        <v>8949180</v>
      </c>
      <c r="M27" s="44">
        <f t="shared" si="5"/>
        <v>0</v>
      </c>
      <c r="N27" s="153">
        <f t="shared" si="32"/>
        <v>6103089</v>
      </c>
      <c r="O27" s="44">
        <f t="shared" si="12"/>
        <v>0</v>
      </c>
      <c r="P27" s="156">
        <f t="shared" si="33"/>
        <v>5457315</v>
      </c>
      <c r="Q27" s="44">
        <f t="shared" si="6"/>
        <v>0</v>
      </c>
      <c r="R27" s="153">
        <f t="shared" si="34"/>
        <v>19287807</v>
      </c>
      <c r="S27" s="44">
        <f t="shared" si="7"/>
        <v>0</v>
      </c>
      <c r="T27" s="153">
        <v>0</v>
      </c>
      <c r="U27" s="157"/>
      <c r="V27" s="153">
        <f t="shared" si="35"/>
        <v>7134359</v>
      </c>
      <c r="W27" s="44">
        <f t="shared" si="8"/>
        <v>0</v>
      </c>
      <c r="X27" s="22">
        <f t="shared" si="9"/>
        <v>0</v>
      </c>
      <c r="Y27" s="158">
        <f t="shared" si="10"/>
        <v>0</v>
      </c>
      <c r="Z27" s="3">
        <f t="shared" si="11"/>
        <v>0</v>
      </c>
      <c r="AA27" s="3">
        <f t="shared" si="13"/>
        <v>0</v>
      </c>
    </row>
    <row r="28" spans="1:27" ht="16.5" thickBot="1" x14ac:dyDescent="0.3">
      <c r="A28" s="10">
        <v>44526</v>
      </c>
      <c r="B28" s="44">
        <v>0</v>
      </c>
      <c r="C28" s="152">
        <f t="shared" si="27"/>
        <v>19122</v>
      </c>
      <c r="D28" s="44">
        <f t="shared" si="0"/>
        <v>0</v>
      </c>
      <c r="E28" s="153">
        <f t="shared" si="28"/>
        <v>28836482</v>
      </c>
      <c r="F28" s="44">
        <f t="shared" si="1"/>
        <v>0</v>
      </c>
      <c r="G28" s="154">
        <f t="shared" si="29"/>
        <v>91372347</v>
      </c>
      <c r="H28" s="44">
        <f t="shared" si="2"/>
        <v>0</v>
      </c>
      <c r="I28" s="155">
        <f t="shared" si="3"/>
        <v>0</v>
      </c>
      <c r="J28" s="153">
        <f t="shared" si="30"/>
        <v>9018758</v>
      </c>
      <c r="K28" s="44">
        <f t="shared" si="4"/>
        <v>0</v>
      </c>
      <c r="L28" s="156">
        <f t="shared" si="31"/>
        <v>8949180</v>
      </c>
      <c r="M28" s="44">
        <f t="shared" si="5"/>
        <v>0</v>
      </c>
      <c r="N28" s="153">
        <f t="shared" si="32"/>
        <v>6103089</v>
      </c>
      <c r="O28" s="44">
        <f t="shared" si="12"/>
        <v>0</v>
      </c>
      <c r="P28" s="156">
        <f t="shared" si="33"/>
        <v>5457315</v>
      </c>
      <c r="Q28" s="44">
        <f t="shared" si="6"/>
        <v>0</v>
      </c>
      <c r="R28" s="153">
        <f t="shared" si="34"/>
        <v>19287807</v>
      </c>
      <c r="S28" s="44">
        <f t="shared" si="7"/>
        <v>0</v>
      </c>
      <c r="T28" s="153">
        <v>0</v>
      </c>
      <c r="U28" s="157"/>
      <c r="V28" s="153">
        <f t="shared" si="35"/>
        <v>7134359</v>
      </c>
      <c r="W28" s="44">
        <f t="shared" si="8"/>
        <v>0</v>
      </c>
      <c r="X28" s="22">
        <f t="shared" si="9"/>
        <v>0</v>
      </c>
      <c r="Y28" s="158">
        <f t="shared" si="10"/>
        <v>0</v>
      </c>
      <c r="Z28" s="3">
        <f t="shared" si="11"/>
        <v>0</v>
      </c>
      <c r="AA28" s="3">
        <f t="shared" si="13"/>
        <v>0</v>
      </c>
    </row>
    <row r="29" spans="1:27" ht="16.5" thickBot="1" x14ac:dyDescent="0.3">
      <c r="A29" s="10">
        <v>44527</v>
      </c>
      <c r="B29" s="44">
        <v>0</v>
      </c>
      <c r="C29" s="152">
        <f t="shared" si="27"/>
        <v>19122</v>
      </c>
      <c r="D29" s="44">
        <f t="shared" si="0"/>
        <v>0</v>
      </c>
      <c r="E29" s="153">
        <f t="shared" si="28"/>
        <v>28836482</v>
      </c>
      <c r="F29" s="44">
        <f t="shared" si="1"/>
        <v>0</v>
      </c>
      <c r="G29" s="154">
        <f t="shared" si="29"/>
        <v>91372347</v>
      </c>
      <c r="H29" s="44">
        <f t="shared" si="2"/>
        <v>0</v>
      </c>
      <c r="I29" s="155">
        <f t="shared" si="3"/>
        <v>0</v>
      </c>
      <c r="J29" s="153">
        <f t="shared" si="30"/>
        <v>9018758</v>
      </c>
      <c r="K29" s="44">
        <f t="shared" si="4"/>
        <v>0</v>
      </c>
      <c r="L29" s="156">
        <f t="shared" si="31"/>
        <v>8949180</v>
      </c>
      <c r="M29" s="44">
        <f t="shared" si="5"/>
        <v>0</v>
      </c>
      <c r="N29" s="153">
        <f t="shared" si="32"/>
        <v>6103089</v>
      </c>
      <c r="O29" s="44">
        <f t="shared" si="12"/>
        <v>0</v>
      </c>
      <c r="P29" s="156">
        <f t="shared" si="33"/>
        <v>5457315</v>
      </c>
      <c r="Q29" s="44">
        <f t="shared" si="6"/>
        <v>0</v>
      </c>
      <c r="R29" s="153">
        <f t="shared" si="34"/>
        <v>19287807</v>
      </c>
      <c r="S29" s="44">
        <f t="shared" si="7"/>
        <v>0</v>
      </c>
      <c r="T29" s="153">
        <v>0</v>
      </c>
      <c r="U29" s="157"/>
      <c r="V29" s="153">
        <f t="shared" si="35"/>
        <v>7134359</v>
      </c>
      <c r="W29" s="44">
        <f t="shared" si="8"/>
        <v>0</v>
      </c>
      <c r="X29" s="22">
        <f t="shared" si="9"/>
        <v>0</v>
      </c>
      <c r="Y29" s="158">
        <f t="shared" si="10"/>
        <v>0</v>
      </c>
      <c r="Z29" s="3">
        <f t="shared" si="11"/>
        <v>0</v>
      </c>
      <c r="AA29" s="3">
        <f t="shared" si="13"/>
        <v>0</v>
      </c>
    </row>
    <row r="30" spans="1:27" ht="16.5" thickBot="1" x14ac:dyDescent="0.3">
      <c r="A30" s="10">
        <v>44528</v>
      </c>
      <c r="B30" s="44">
        <v>0</v>
      </c>
      <c r="C30" s="152">
        <f t="shared" si="27"/>
        <v>19122</v>
      </c>
      <c r="D30" s="44">
        <f t="shared" si="0"/>
        <v>0</v>
      </c>
      <c r="E30" s="153">
        <f t="shared" si="28"/>
        <v>28836482</v>
      </c>
      <c r="F30" s="44">
        <f t="shared" si="1"/>
        <v>0</v>
      </c>
      <c r="G30" s="154">
        <f t="shared" si="29"/>
        <v>91372347</v>
      </c>
      <c r="H30" s="44">
        <f t="shared" si="2"/>
        <v>0</v>
      </c>
      <c r="I30" s="155">
        <f t="shared" si="3"/>
        <v>0</v>
      </c>
      <c r="J30" s="153">
        <f t="shared" si="30"/>
        <v>9018758</v>
      </c>
      <c r="K30" s="44">
        <f t="shared" si="4"/>
        <v>0</v>
      </c>
      <c r="L30" s="156">
        <f t="shared" si="31"/>
        <v>8949180</v>
      </c>
      <c r="M30" s="44">
        <f t="shared" si="5"/>
        <v>0</v>
      </c>
      <c r="N30" s="153">
        <f t="shared" si="32"/>
        <v>6103089</v>
      </c>
      <c r="O30" s="44">
        <f t="shared" si="12"/>
        <v>0</v>
      </c>
      <c r="P30" s="156">
        <f t="shared" si="33"/>
        <v>5457315</v>
      </c>
      <c r="Q30" s="44">
        <f t="shared" si="6"/>
        <v>0</v>
      </c>
      <c r="R30" s="153">
        <f t="shared" si="34"/>
        <v>19287807</v>
      </c>
      <c r="S30" s="44">
        <f t="shared" si="7"/>
        <v>0</v>
      </c>
      <c r="T30" s="153">
        <v>0</v>
      </c>
      <c r="U30" s="157"/>
      <c r="V30" s="153">
        <f t="shared" si="35"/>
        <v>7134359</v>
      </c>
      <c r="W30" s="44">
        <f t="shared" si="8"/>
        <v>0</v>
      </c>
      <c r="X30" s="22">
        <f t="shared" si="9"/>
        <v>0</v>
      </c>
      <c r="Y30" s="158">
        <f t="shared" si="10"/>
        <v>0</v>
      </c>
      <c r="Z30" s="3">
        <f t="shared" si="11"/>
        <v>0</v>
      </c>
      <c r="AA30" s="3">
        <f t="shared" si="13"/>
        <v>0</v>
      </c>
    </row>
    <row r="31" spans="1:27" ht="16.5" thickBot="1" x14ac:dyDescent="0.3">
      <c r="A31" s="10">
        <v>44529</v>
      </c>
      <c r="B31" s="44">
        <v>0</v>
      </c>
      <c r="C31" s="152">
        <f t="shared" si="27"/>
        <v>19122</v>
      </c>
      <c r="D31" s="44">
        <f t="shared" si="0"/>
        <v>0</v>
      </c>
      <c r="E31" s="153">
        <f t="shared" si="28"/>
        <v>28836482</v>
      </c>
      <c r="F31" s="44">
        <f t="shared" si="1"/>
        <v>0</v>
      </c>
      <c r="G31" s="154">
        <f t="shared" si="29"/>
        <v>91372347</v>
      </c>
      <c r="H31" s="44">
        <f t="shared" si="2"/>
        <v>0</v>
      </c>
      <c r="I31" s="155">
        <f t="shared" si="3"/>
        <v>0</v>
      </c>
      <c r="J31" s="153">
        <f t="shared" si="30"/>
        <v>9018758</v>
      </c>
      <c r="K31" s="44">
        <f t="shared" si="4"/>
        <v>0</v>
      </c>
      <c r="L31" s="156">
        <f t="shared" si="31"/>
        <v>8949180</v>
      </c>
      <c r="M31" s="44">
        <f t="shared" si="5"/>
        <v>0</v>
      </c>
      <c r="N31" s="153">
        <f t="shared" si="32"/>
        <v>6103089</v>
      </c>
      <c r="O31" s="44">
        <f t="shared" si="12"/>
        <v>0</v>
      </c>
      <c r="P31" s="156">
        <f t="shared" si="33"/>
        <v>5457315</v>
      </c>
      <c r="Q31" s="44">
        <f t="shared" si="6"/>
        <v>0</v>
      </c>
      <c r="R31" s="153">
        <f t="shared" si="34"/>
        <v>19287807</v>
      </c>
      <c r="S31" s="44">
        <f t="shared" si="7"/>
        <v>0</v>
      </c>
      <c r="T31" s="153">
        <v>0</v>
      </c>
      <c r="U31" s="11"/>
      <c r="V31" s="153">
        <f t="shared" si="35"/>
        <v>7134359</v>
      </c>
      <c r="W31" s="44">
        <f t="shared" si="8"/>
        <v>0</v>
      </c>
      <c r="X31" s="22">
        <f t="shared" si="9"/>
        <v>0</v>
      </c>
      <c r="Y31" s="158">
        <f t="shared" si="10"/>
        <v>0</v>
      </c>
      <c r="Z31" s="3">
        <f t="shared" si="11"/>
        <v>0</v>
      </c>
      <c r="AA31" s="3">
        <f t="shared" si="13"/>
        <v>0</v>
      </c>
    </row>
    <row r="32" spans="1:27" ht="16.5" thickBot="1" x14ac:dyDescent="0.3">
      <c r="A32" s="10">
        <v>44530</v>
      </c>
      <c r="B32" s="44">
        <v>0</v>
      </c>
      <c r="C32" s="152">
        <f t="shared" si="27"/>
        <v>19122</v>
      </c>
      <c r="D32" s="44">
        <f t="shared" si="0"/>
        <v>0</v>
      </c>
      <c r="E32" s="153">
        <f t="shared" si="28"/>
        <v>28836482</v>
      </c>
      <c r="F32" s="44">
        <f t="shared" si="1"/>
        <v>0</v>
      </c>
      <c r="G32" s="154">
        <f t="shared" si="29"/>
        <v>91372347</v>
      </c>
      <c r="H32" s="44">
        <f t="shared" si="2"/>
        <v>0</v>
      </c>
      <c r="I32" s="22">
        <f>F32+H32</f>
        <v>0</v>
      </c>
      <c r="J32" s="153">
        <f t="shared" si="30"/>
        <v>9018758</v>
      </c>
      <c r="K32" s="44">
        <f t="shared" si="4"/>
        <v>0</v>
      </c>
      <c r="L32" s="156">
        <f t="shared" si="31"/>
        <v>8949180</v>
      </c>
      <c r="M32" s="44">
        <f t="shared" si="5"/>
        <v>0</v>
      </c>
      <c r="N32" s="153">
        <f t="shared" si="32"/>
        <v>6103089</v>
      </c>
      <c r="O32" s="44">
        <f t="shared" si="12"/>
        <v>0</v>
      </c>
      <c r="P32" s="156">
        <f t="shared" si="33"/>
        <v>5457315</v>
      </c>
      <c r="Q32" s="44">
        <f t="shared" si="6"/>
        <v>0</v>
      </c>
      <c r="R32" s="153">
        <f t="shared" si="34"/>
        <v>19287807</v>
      </c>
      <c r="S32" s="44">
        <f t="shared" si="7"/>
        <v>0</v>
      </c>
      <c r="T32" s="153">
        <v>0</v>
      </c>
      <c r="U32" s="11"/>
      <c r="V32" s="153">
        <f t="shared" si="35"/>
        <v>7134359</v>
      </c>
      <c r="W32" s="44">
        <f t="shared" si="8"/>
        <v>0</v>
      </c>
      <c r="X32" s="22">
        <f t="shared" si="9"/>
        <v>0</v>
      </c>
      <c r="Y32" s="158">
        <f t="shared" si="10"/>
        <v>0</v>
      </c>
      <c r="Z32" s="3">
        <f t="shared" si="11"/>
        <v>0</v>
      </c>
      <c r="AA32" s="3">
        <f t="shared" si="13"/>
        <v>0</v>
      </c>
    </row>
    <row r="33" spans="1:27" ht="16.5" thickBot="1" x14ac:dyDescent="0.3">
      <c r="A33" s="6" t="s">
        <v>23</v>
      </c>
      <c r="B33" s="144">
        <f>SUM(B2:B32)</f>
        <v>3680</v>
      </c>
      <c r="C33" s="144"/>
      <c r="D33" s="144">
        <f>SUM(D2:D32)</f>
        <v>8960</v>
      </c>
      <c r="E33" s="61">
        <v>0</v>
      </c>
      <c r="F33" s="61">
        <f>SUM(F2:F32)</f>
        <v>228807</v>
      </c>
      <c r="G33" s="61">
        <v>0</v>
      </c>
      <c r="H33" s="61">
        <f>SUM(H2:H32)</f>
        <v>613442</v>
      </c>
      <c r="I33" s="61">
        <f>SUM(I5:I32)</f>
        <v>9674236</v>
      </c>
      <c r="J33" s="61">
        <v>0</v>
      </c>
      <c r="K33" s="61">
        <f>SUM(K2:K32)</f>
        <v>69064</v>
      </c>
      <c r="L33" s="61">
        <v>0</v>
      </c>
      <c r="M33" s="61">
        <f>SUM(M2:M32)</f>
        <v>73762</v>
      </c>
      <c r="N33" s="61">
        <v>0</v>
      </c>
      <c r="O33" s="61">
        <f>SUM(O2:O32)</f>
        <v>152652</v>
      </c>
      <c r="P33" s="61">
        <v>0</v>
      </c>
      <c r="Q33" s="61">
        <f>SUM(Q2:Q32)</f>
        <v>83707</v>
      </c>
      <c r="R33" s="61">
        <v>0</v>
      </c>
      <c r="S33" s="61">
        <f>SUM(S2:S32)</f>
        <v>138512</v>
      </c>
      <c r="T33" s="61">
        <f>SUM(T5:T32)</f>
        <v>0</v>
      </c>
      <c r="U33" s="61">
        <f>SUM(U2:U32)</f>
        <v>0</v>
      </c>
      <c r="V33" s="61">
        <v>0</v>
      </c>
      <c r="W33" s="61">
        <f>SUM(W2:W32)</f>
        <v>153629</v>
      </c>
      <c r="X33" s="61">
        <f>SUM(X5:X32)</f>
        <v>581060</v>
      </c>
      <c r="Y33" s="61">
        <f>SUM(Y2:Y32)</f>
        <v>9132287</v>
      </c>
      <c r="Z33" s="61">
        <f>SUM(Z2:Z32)</f>
        <v>114918.03575220001</v>
      </c>
      <c r="AA33" s="61">
        <f>SUM(AA2:AA32)</f>
        <v>465900.17674479994</v>
      </c>
    </row>
    <row r="34" spans="1:27" x14ac:dyDescent="0.25"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 t="s">
        <v>12</v>
      </c>
      <c r="V34" s="163"/>
      <c r="W34" s="163"/>
      <c r="X34" s="163"/>
      <c r="Y34" s="27"/>
    </row>
    <row r="45" spans="1:27" ht="15" x14ac:dyDescent="0.2">
      <c r="A45" s="25"/>
      <c r="B45" s="45"/>
      <c r="C45" s="45"/>
      <c r="D45" s="45"/>
      <c r="Z45" s="25"/>
      <c r="AA45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A16" sqref="A16:XFD16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44500</v>
      </c>
      <c r="B2" s="3">
        <v>430155</v>
      </c>
      <c r="C2" s="44">
        <v>0</v>
      </c>
      <c r="D2" s="3">
        <v>4377000</v>
      </c>
      <c r="E2" s="44">
        <v>0</v>
      </c>
      <c r="F2" s="3">
        <v>6398200</v>
      </c>
      <c r="G2" s="44">
        <v>0</v>
      </c>
      <c r="H2" s="3">
        <v>755907</v>
      </c>
      <c r="I2" s="49">
        <v>0</v>
      </c>
      <c r="J2" s="22">
        <f t="shared" ref="J2" si="0">C2+E2+G2+I2</f>
        <v>0</v>
      </c>
      <c r="K2" s="23">
        <f t="shared" ref="K2" si="1">J2*5.86</f>
        <v>0</v>
      </c>
    </row>
    <row r="3" spans="1:14" ht="16.5" thickBot="1" x14ac:dyDescent="0.3">
      <c r="A3" s="10">
        <v>44501</v>
      </c>
      <c r="B3" s="3">
        <v>430266</v>
      </c>
      <c r="C3" s="44">
        <f t="shared" ref="C3:C8" si="2">(IF((B3-B2)&lt;0,"0",(B3-B2)))*10</f>
        <v>1110</v>
      </c>
      <c r="D3" s="3">
        <v>4377000</v>
      </c>
      <c r="E3" s="44">
        <f>(IF((D3-D2)&lt;0,"0",(D3-D2)))*0.027</f>
        <v>0</v>
      </c>
      <c r="F3" s="3">
        <v>6416500</v>
      </c>
      <c r="G3" s="44">
        <f>(IF((F3-F2)&lt;0,"0",(F3-F2)))*0.027</f>
        <v>494.1</v>
      </c>
      <c r="H3" s="3">
        <v>756110</v>
      </c>
      <c r="I3" s="49">
        <f>(IF((H3-H2)&lt;0,"0",(H3-H2)))*0.027</f>
        <v>5.4809999999999999</v>
      </c>
      <c r="J3" s="22">
        <f>C3+E3+G3+I3</f>
        <v>1609.5809999999999</v>
      </c>
      <c r="K3" s="23">
        <f>J3*5.86</f>
        <v>9432.1446599999999</v>
      </c>
    </row>
    <row r="4" spans="1:14" ht="16.5" thickBot="1" x14ac:dyDescent="0.3">
      <c r="A4" s="10">
        <v>44502</v>
      </c>
      <c r="B4" s="3">
        <v>430376</v>
      </c>
      <c r="C4" s="44">
        <f t="shared" si="2"/>
        <v>1100</v>
      </c>
      <c r="D4" s="3">
        <v>4377000</v>
      </c>
      <c r="E4" s="44">
        <f t="shared" ref="E4:E32" si="3">(IF((D4-D3)&lt;0,"0",(D4-D3)))*0.027</f>
        <v>0</v>
      </c>
      <c r="F4" s="3">
        <v>6435000</v>
      </c>
      <c r="G4" s="44">
        <f>(IF((F4-F3)&lt;0,"0",(F4-F3)))*0.027</f>
        <v>499.5</v>
      </c>
      <c r="H4" s="3">
        <v>756306</v>
      </c>
      <c r="I4" s="49">
        <f>(IF((H4-H3)&lt;0,"0",(H4-H3)))*0.027</f>
        <v>5.2919999999999998</v>
      </c>
      <c r="J4" s="22">
        <f t="shared" ref="J4:J32" si="4">C4+E4+G4+I4</f>
        <v>1604.7919999999999</v>
      </c>
      <c r="K4" s="23">
        <f t="shared" ref="K4:K32" si="5">J4*5.86</f>
        <v>9404.0811200000007</v>
      </c>
    </row>
    <row r="5" spans="1:14" ht="16.5" thickBot="1" x14ac:dyDescent="0.3">
      <c r="A5" s="10">
        <v>44503</v>
      </c>
      <c r="B5" s="3">
        <v>430482</v>
      </c>
      <c r="C5" s="44">
        <f t="shared" si="2"/>
        <v>1060</v>
      </c>
      <c r="D5" s="3">
        <v>4377000</v>
      </c>
      <c r="E5" s="44">
        <f t="shared" si="3"/>
        <v>0</v>
      </c>
      <c r="F5" s="3">
        <v>6456100</v>
      </c>
      <c r="G5" s="44">
        <f t="shared" ref="G5:G32" si="6">(IF((F5-F4)&lt;0,"0",(F5-F4)))*0.027</f>
        <v>569.70000000000005</v>
      </c>
      <c r="H5" s="3">
        <v>756513</v>
      </c>
      <c r="I5" s="49">
        <f t="shared" ref="I5:I32" si="7">(IF((H5-H4)&lt;0,"0",(H5-H4)))*0.027</f>
        <v>5.5889999999999995</v>
      </c>
      <c r="J5" s="22">
        <f t="shared" si="4"/>
        <v>1635.289</v>
      </c>
      <c r="K5" s="23">
        <f t="shared" si="5"/>
        <v>9582.7935400000006</v>
      </c>
    </row>
    <row r="6" spans="1:14" ht="16.5" thickBot="1" x14ac:dyDescent="0.3">
      <c r="A6" s="10">
        <v>44504</v>
      </c>
      <c r="B6" s="3">
        <v>430584</v>
      </c>
      <c r="C6" s="44">
        <f t="shared" si="2"/>
        <v>1020</v>
      </c>
      <c r="D6" s="3">
        <v>4377000</v>
      </c>
      <c r="E6" s="44">
        <f t="shared" si="3"/>
        <v>0</v>
      </c>
      <c r="F6" s="3">
        <v>6476600</v>
      </c>
      <c r="G6" s="44">
        <f t="shared" si="6"/>
        <v>553.5</v>
      </c>
      <c r="H6" s="3">
        <v>756696</v>
      </c>
      <c r="I6" s="49">
        <f t="shared" si="7"/>
        <v>4.9409999999999998</v>
      </c>
      <c r="J6" s="22">
        <f t="shared" si="4"/>
        <v>1578.441</v>
      </c>
      <c r="K6" s="23">
        <f t="shared" si="5"/>
        <v>9249.6642600000014</v>
      </c>
    </row>
    <row r="7" spans="1:14" ht="16.5" thickBot="1" x14ac:dyDescent="0.3">
      <c r="A7" s="10">
        <v>44505</v>
      </c>
      <c r="B7" s="3">
        <v>430686</v>
      </c>
      <c r="C7" s="44">
        <f t="shared" si="2"/>
        <v>1020</v>
      </c>
      <c r="D7" s="3">
        <v>4377000</v>
      </c>
      <c r="E7" s="44">
        <f t="shared" si="3"/>
        <v>0</v>
      </c>
      <c r="F7" s="3">
        <v>6497400</v>
      </c>
      <c r="G7" s="44">
        <f t="shared" si="6"/>
        <v>561.6</v>
      </c>
      <c r="H7" s="3">
        <v>756819</v>
      </c>
      <c r="I7" s="49">
        <f t="shared" si="7"/>
        <v>3.3210000000000002</v>
      </c>
      <c r="J7" s="22">
        <f t="shared" si="4"/>
        <v>1584.9209999999998</v>
      </c>
      <c r="K7" s="23">
        <f t="shared" si="5"/>
        <v>9287.6370599999991</v>
      </c>
      <c r="L7" t="s">
        <v>12</v>
      </c>
      <c r="N7" t="s">
        <v>12</v>
      </c>
    </row>
    <row r="8" spans="1:14" ht="16.5" thickBot="1" x14ac:dyDescent="0.3">
      <c r="A8" s="10">
        <v>44506</v>
      </c>
      <c r="B8" s="3">
        <v>430777</v>
      </c>
      <c r="C8" s="44">
        <f t="shared" si="2"/>
        <v>910</v>
      </c>
      <c r="D8" s="3">
        <v>4377000</v>
      </c>
      <c r="E8" s="44">
        <f t="shared" si="3"/>
        <v>0</v>
      </c>
      <c r="F8" s="3">
        <v>6515200</v>
      </c>
      <c r="G8" s="44">
        <f t="shared" si="6"/>
        <v>480.6</v>
      </c>
      <c r="H8" s="3">
        <v>756985</v>
      </c>
      <c r="I8" s="49">
        <f t="shared" si="7"/>
        <v>4.4820000000000002</v>
      </c>
      <c r="J8" s="22">
        <f t="shared" si="4"/>
        <v>1395.0819999999999</v>
      </c>
      <c r="K8" s="23">
        <f t="shared" si="5"/>
        <v>8175.1805199999999</v>
      </c>
    </row>
    <row r="9" spans="1:14" ht="16.5" thickBot="1" x14ac:dyDescent="0.3">
      <c r="A9" s="10">
        <v>44507</v>
      </c>
      <c r="B9" s="3">
        <v>430877</v>
      </c>
      <c r="C9" s="44">
        <f t="shared" ref="C9:C32" si="8">(IF((B9-B8)&lt;0,"0",(B9-B8)))*10</f>
        <v>1000</v>
      </c>
      <c r="D9" s="3">
        <v>4377000</v>
      </c>
      <c r="E9" s="44">
        <f t="shared" si="3"/>
        <v>0</v>
      </c>
      <c r="F9" s="3">
        <v>6535200</v>
      </c>
      <c r="G9" s="44">
        <f t="shared" si="6"/>
        <v>540</v>
      </c>
      <c r="H9" s="3">
        <v>757131</v>
      </c>
      <c r="I9" s="49">
        <f t="shared" si="7"/>
        <v>3.9420000000000002</v>
      </c>
      <c r="J9" s="22">
        <f t="shared" si="4"/>
        <v>1543.942</v>
      </c>
      <c r="K9" s="23">
        <f t="shared" si="5"/>
        <v>9047.5001200000006</v>
      </c>
    </row>
    <row r="10" spans="1:14" ht="16.5" thickBot="1" x14ac:dyDescent="0.3">
      <c r="A10" s="10">
        <v>44508</v>
      </c>
      <c r="B10" s="3">
        <v>430973</v>
      </c>
      <c r="C10" s="44">
        <f>(IF((B10-B9)&lt;0,"0",(B10-B9)))*10</f>
        <v>960</v>
      </c>
      <c r="D10" s="3">
        <v>4377000</v>
      </c>
      <c r="E10" s="44">
        <f t="shared" si="3"/>
        <v>0</v>
      </c>
      <c r="F10" s="3">
        <v>6555000</v>
      </c>
      <c r="G10" s="44">
        <f t="shared" si="6"/>
        <v>534.6</v>
      </c>
      <c r="H10" s="3">
        <v>757131</v>
      </c>
      <c r="I10" s="49">
        <f t="shared" si="7"/>
        <v>0</v>
      </c>
      <c r="J10" s="22">
        <f t="shared" si="4"/>
        <v>1494.6</v>
      </c>
      <c r="K10" s="23">
        <f t="shared" si="5"/>
        <v>8758.3559999999998</v>
      </c>
    </row>
    <row r="11" spans="1:14" ht="16.5" thickBot="1" x14ac:dyDescent="0.3">
      <c r="A11" s="10">
        <v>44509</v>
      </c>
      <c r="B11" s="3">
        <v>431074</v>
      </c>
      <c r="C11" s="44">
        <f t="shared" si="8"/>
        <v>1010</v>
      </c>
      <c r="D11" s="3">
        <v>4377000</v>
      </c>
      <c r="E11" s="44">
        <f t="shared" si="3"/>
        <v>0</v>
      </c>
      <c r="F11" s="3">
        <v>6574100</v>
      </c>
      <c r="G11" s="44">
        <f t="shared" si="6"/>
        <v>515.70000000000005</v>
      </c>
      <c r="H11" s="3">
        <f t="shared" ref="H11:H32" si="9">H10</f>
        <v>757131</v>
      </c>
      <c r="I11" s="49">
        <f t="shared" si="7"/>
        <v>0</v>
      </c>
      <c r="J11" s="22">
        <f t="shared" si="4"/>
        <v>1525.7</v>
      </c>
      <c r="K11" s="23">
        <f t="shared" si="5"/>
        <v>8940.6020000000008</v>
      </c>
      <c r="N11" t="s">
        <v>12</v>
      </c>
    </row>
    <row r="12" spans="1:14" ht="16.5" thickBot="1" x14ac:dyDescent="0.3">
      <c r="A12" s="10">
        <v>44510</v>
      </c>
      <c r="B12" s="3">
        <v>431169</v>
      </c>
      <c r="C12" s="44">
        <f t="shared" si="8"/>
        <v>950</v>
      </c>
      <c r="D12" s="3">
        <v>4377000</v>
      </c>
      <c r="E12" s="44">
        <f t="shared" si="3"/>
        <v>0</v>
      </c>
      <c r="F12" s="3">
        <v>6592200</v>
      </c>
      <c r="G12" s="44">
        <f t="shared" si="6"/>
        <v>488.7</v>
      </c>
      <c r="H12" s="3">
        <v>757241</v>
      </c>
      <c r="I12" s="49">
        <f t="shared" si="7"/>
        <v>2.9699999999999998</v>
      </c>
      <c r="J12" s="22">
        <f t="shared" si="4"/>
        <v>1441.67</v>
      </c>
      <c r="K12" s="23">
        <f t="shared" si="5"/>
        <v>8448.1862000000001</v>
      </c>
    </row>
    <row r="13" spans="1:14" ht="16.5" thickBot="1" x14ac:dyDescent="0.3">
      <c r="A13" s="10">
        <v>44511</v>
      </c>
      <c r="B13" s="3">
        <v>431266</v>
      </c>
      <c r="C13" s="44">
        <f t="shared" si="8"/>
        <v>970</v>
      </c>
      <c r="D13" s="3">
        <v>4377000</v>
      </c>
      <c r="E13" s="44">
        <f t="shared" si="3"/>
        <v>0</v>
      </c>
      <c r="F13" s="3">
        <v>6610000</v>
      </c>
      <c r="G13" s="44">
        <f t="shared" si="6"/>
        <v>480.6</v>
      </c>
      <c r="H13" s="3">
        <v>757436</v>
      </c>
      <c r="I13" s="49">
        <f t="shared" si="7"/>
        <v>5.2649999999999997</v>
      </c>
      <c r="J13" s="22">
        <f t="shared" si="4"/>
        <v>1455.865</v>
      </c>
      <c r="K13" s="23">
        <f t="shared" si="5"/>
        <v>8531.3689000000013</v>
      </c>
    </row>
    <row r="14" spans="1:14" ht="16.5" thickBot="1" x14ac:dyDescent="0.3">
      <c r="A14" s="10">
        <v>44512</v>
      </c>
      <c r="B14" s="3">
        <v>431351</v>
      </c>
      <c r="C14" s="44">
        <f t="shared" si="8"/>
        <v>850</v>
      </c>
      <c r="D14" s="3">
        <v>4377000</v>
      </c>
      <c r="E14" s="44">
        <f t="shared" si="3"/>
        <v>0</v>
      </c>
      <c r="F14" s="3">
        <v>6625700</v>
      </c>
      <c r="G14" s="44">
        <f t="shared" si="6"/>
        <v>423.9</v>
      </c>
      <c r="H14" s="3">
        <v>757571</v>
      </c>
      <c r="I14" s="49">
        <f t="shared" si="7"/>
        <v>3.645</v>
      </c>
      <c r="J14" s="22">
        <f t="shared" si="4"/>
        <v>1277.5450000000001</v>
      </c>
      <c r="K14" s="23">
        <f t="shared" si="5"/>
        <v>7486.413700000001</v>
      </c>
    </row>
    <row r="15" spans="1:14" ht="16.5" thickBot="1" x14ac:dyDescent="0.3">
      <c r="A15" s="10">
        <v>44513</v>
      </c>
      <c r="B15" s="3">
        <v>431445</v>
      </c>
      <c r="C15" s="44">
        <f t="shared" si="8"/>
        <v>940</v>
      </c>
      <c r="D15" s="3">
        <v>4377000</v>
      </c>
      <c r="E15" s="44">
        <f t="shared" si="3"/>
        <v>0</v>
      </c>
      <c r="F15" s="3">
        <v>6641600</v>
      </c>
      <c r="G15" s="44">
        <f t="shared" si="6"/>
        <v>429.3</v>
      </c>
      <c r="H15" s="3">
        <v>757765</v>
      </c>
      <c r="I15" s="49">
        <f t="shared" si="7"/>
        <v>5.2379999999999995</v>
      </c>
      <c r="J15" s="22">
        <f t="shared" si="4"/>
        <v>1374.538</v>
      </c>
      <c r="K15" s="23">
        <f t="shared" si="5"/>
        <v>8054.7926800000005</v>
      </c>
    </row>
    <row r="16" spans="1:14" ht="16.5" thickBot="1" x14ac:dyDescent="0.3">
      <c r="A16" s="10">
        <v>44514</v>
      </c>
      <c r="B16" s="3">
        <v>431537</v>
      </c>
      <c r="C16" s="44">
        <f t="shared" si="8"/>
        <v>920</v>
      </c>
      <c r="D16" s="3">
        <v>4377000</v>
      </c>
      <c r="E16" s="44">
        <f t="shared" si="3"/>
        <v>0</v>
      </c>
      <c r="F16" s="3">
        <v>6659000</v>
      </c>
      <c r="G16" s="44">
        <f t="shared" si="6"/>
        <v>469.8</v>
      </c>
      <c r="H16" s="3">
        <v>757956</v>
      </c>
      <c r="I16" s="49">
        <f t="shared" si="7"/>
        <v>5.157</v>
      </c>
      <c r="J16" s="22">
        <f t="shared" si="4"/>
        <v>1394.9569999999999</v>
      </c>
      <c r="K16" s="23">
        <f t="shared" si="5"/>
        <v>8174.4480199999998</v>
      </c>
    </row>
    <row r="17" spans="1:25" ht="16.5" thickBot="1" x14ac:dyDescent="0.3">
      <c r="A17" s="10">
        <v>44515</v>
      </c>
      <c r="B17" s="3">
        <f t="shared" ref="B16:B32" si="10">B16</f>
        <v>431537</v>
      </c>
      <c r="C17" s="44">
        <f t="shared" si="8"/>
        <v>0</v>
      </c>
      <c r="D17" s="3">
        <v>4377000</v>
      </c>
      <c r="E17" s="44">
        <f t="shared" si="3"/>
        <v>0</v>
      </c>
      <c r="F17" s="3">
        <f t="shared" ref="F16:F32" si="11">F16</f>
        <v>6659000</v>
      </c>
      <c r="G17" s="44">
        <f t="shared" si="6"/>
        <v>0</v>
      </c>
      <c r="H17" s="3">
        <f t="shared" si="9"/>
        <v>757956</v>
      </c>
      <c r="I17" s="49">
        <f t="shared" si="7"/>
        <v>0</v>
      </c>
      <c r="J17" s="22">
        <f t="shared" si="4"/>
        <v>0</v>
      </c>
      <c r="K17" s="23">
        <f t="shared" si="5"/>
        <v>0</v>
      </c>
      <c r="P17" t="s">
        <v>12</v>
      </c>
      <c r="R17" t="s">
        <v>12</v>
      </c>
    </row>
    <row r="18" spans="1:25" ht="16.5" thickBot="1" x14ac:dyDescent="0.3">
      <c r="A18" s="10">
        <v>44516</v>
      </c>
      <c r="B18" s="3">
        <f t="shared" si="10"/>
        <v>431537</v>
      </c>
      <c r="C18" s="44">
        <f t="shared" si="8"/>
        <v>0</v>
      </c>
      <c r="D18" s="3">
        <v>4377000</v>
      </c>
      <c r="E18" s="44">
        <f t="shared" si="3"/>
        <v>0</v>
      </c>
      <c r="F18" s="3">
        <f t="shared" si="11"/>
        <v>6659000</v>
      </c>
      <c r="G18" s="44">
        <f t="shared" si="6"/>
        <v>0</v>
      </c>
      <c r="H18" s="3">
        <f t="shared" si="9"/>
        <v>757956</v>
      </c>
      <c r="I18" s="49">
        <f t="shared" si="7"/>
        <v>0</v>
      </c>
      <c r="J18" s="22">
        <f t="shared" si="4"/>
        <v>0</v>
      </c>
      <c r="K18" s="23">
        <f t="shared" si="5"/>
        <v>0</v>
      </c>
      <c r="Q18" t="s">
        <v>43</v>
      </c>
    </row>
    <row r="19" spans="1:25" ht="16.5" thickBot="1" x14ac:dyDescent="0.3">
      <c r="A19" s="10">
        <v>44517</v>
      </c>
      <c r="B19" s="3">
        <f t="shared" si="10"/>
        <v>431537</v>
      </c>
      <c r="C19" s="44">
        <f t="shared" si="8"/>
        <v>0</v>
      </c>
      <c r="D19" s="3">
        <v>4377000</v>
      </c>
      <c r="E19" s="44">
        <f t="shared" si="3"/>
        <v>0</v>
      </c>
      <c r="F19" s="3">
        <f t="shared" si="11"/>
        <v>6659000</v>
      </c>
      <c r="G19" s="44">
        <f t="shared" si="6"/>
        <v>0</v>
      </c>
      <c r="H19" s="3">
        <f t="shared" si="9"/>
        <v>757956</v>
      </c>
      <c r="I19" s="49">
        <f t="shared" si="7"/>
        <v>0</v>
      </c>
      <c r="J19" s="22">
        <f t="shared" si="4"/>
        <v>0</v>
      </c>
      <c r="K19" s="23">
        <f t="shared" si="5"/>
        <v>0</v>
      </c>
      <c r="Q19" t="s">
        <v>12</v>
      </c>
    </row>
    <row r="20" spans="1:25" ht="16.5" thickBot="1" x14ac:dyDescent="0.3">
      <c r="A20" s="10">
        <v>44518</v>
      </c>
      <c r="B20" s="3">
        <f t="shared" si="10"/>
        <v>431537</v>
      </c>
      <c r="C20" s="44">
        <f t="shared" si="8"/>
        <v>0</v>
      </c>
      <c r="D20" s="3">
        <v>4377000</v>
      </c>
      <c r="E20" s="44">
        <f t="shared" si="3"/>
        <v>0</v>
      </c>
      <c r="F20" s="3">
        <f t="shared" si="11"/>
        <v>6659000</v>
      </c>
      <c r="G20" s="44">
        <f t="shared" si="6"/>
        <v>0</v>
      </c>
      <c r="H20" s="3">
        <f t="shared" si="9"/>
        <v>757956</v>
      </c>
      <c r="I20" s="49">
        <f t="shared" si="7"/>
        <v>0</v>
      </c>
      <c r="J20" s="22">
        <f t="shared" si="4"/>
        <v>0</v>
      </c>
      <c r="K20" s="23">
        <f t="shared" si="5"/>
        <v>0</v>
      </c>
    </row>
    <row r="21" spans="1:25" ht="16.5" thickBot="1" x14ac:dyDescent="0.3">
      <c r="A21" s="10">
        <v>44519</v>
      </c>
      <c r="B21" s="3">
        <f t="shared" si="10"/>
        <v>431537</v>
      </c>
      <c r="C21" s="44">
        <f t="shared" si="8"/>
        <v>0</v>
      </c>
      <c r="D21" s="3">
        <v>4377000</v>
      </c>
      <c r="E21" s="44">
        <f t="shared" si="3"/>
        <v>0</v>
      </c>
      <c r="F21" s="3">
        <f t="shared" si="11"/>
        <v>6659000</v>
      </c>
      <c r="G21" s="44">
        <f t="shared" si="6"/>
        <v>0</v>
      </c>
      <c r="H21" s="3">
        <f t="shared" si="9"/>
        <v>757956</v>
      </c>
      <c r="I21" s="49">
        <f t="shared" si="7"/>
        <v>0</v>
      </c>
      <c r="J21" s="22">
        <f t="shared" si="4"/>
        <v>0</v>
      </c>
      <c r="K21" s="23">
        <f t="shared" si="5"/>
        <v>0</v>
      </c>
    </row>
    <row r="22" spans="1:25" ht="16.5" thickBot="1" x14ac:dyDescent="0.3">
      <c r="A22" s="10">
        <v>44520</v>
      </c>
      <c r="B22" s="3">
        <f t="shared" si="10"/>
        <v>431537</v>
      </c>
      <c r="C22" s="44">
        <f t="shared" si="8"/>
        <v>0</v>
      </c>
      <c r="D22" s="3">
        <v>4377000</v>
      </c>
      <c r="E22" s="44">
        <f t="shared" si="3"/>
        <v>0</v>
      </c>
      <c r="F22" s="3">
        <f t="shared" si="11"/>
        <v>6659000</v>
      </c>
      <c r="G22" s="44">
        <f t="shared" si="6"/>
        <v>0</v>
      </c>
      <c r="H22" s="3">
        <f t="shared" si="9"/>
        <v>757956</v>
      </c>
      <c r="I22" s="49">
        <f t="shared" si="7"/>
        <v>0</v>
      </c>
      <c r="J22" s="22">
        <f t="shared" si="4"/>
        <v>0</v>
      </c>
      <c r="K22" s="23">
        <f t="shared" si="5"/>
        <v>0</v>
      </c>
      <c r="P22" t="s">
        <v>12</v>
      </c>
      <c r="S22" s="31" t="s">
        <v>12</v>
      </c>
    </row>
    <row r="23" spans="1:25" ht="16.5" thickBot="1" x14ac:dyDescent="0.3">
      <c r="A23" s="10">
        <v>44521</v>
      </c>
      <c r="B23" s="3">
        <f t="shared" si="10"/>
        <v>431537</v>
      </c>
      <c r="C23" s="44">
        <f t="shared" si="8"/>
        <v>0</v>
      </c>
      <c r="D23" s="3">
        <v>4377000</v>
      </c>
      <c r="E23" s="44">
        <f t="shared" si="3"/>
        <v>0</v>
      </c>
      <c r="F23" s="3">
        <f t="shared" si="11"/>
        <v>6659000</v>
      </c>
      <c r="G23" s="44">
        <f t="shared" si="6"/>
        <v>0</v>
      </c>
      <c r="H23" s="3">
        <f t="shared" si="9"/>
        <v>757956</v>
      </c>
      <c r="I23" s="49">
        <f t="shared" si="7"/>
        <v>0</v>
      </c>
      <c r="J23" s="22">
        <f t="shared" si="4"/>
        <v>0</v>
      </c>
      <c r="K23" s="23">
        <f t="shared" si="5"/>
        <v>0</v>
      </c>
      <c r="Q23" t="s">
        <v>12</v>
      </c>
    </row>
    <row r="24" spans="1:25" ht="16.5" thickBot="1" x14ac:dyDescent="0.3">
      <c r="A24" s="10">
        <v>44522</v>
      </c>
      <c r="B24" s="3">
        <f t="shared" si="10"/>
        <v>431537</v>
      </c>
      <c r="C24" s="44">
        <f t="shared" si="8"/>
        <v>0</v>
      </c>
      <c r="D24" s="3">
        <v>4377000</v>
      </c>
      <c r="E24" s="44">
        <f t="shared" si="3"/>
        <v>0</v>
      </c>
      <c r="F24" s="3">
        <f t="shared" si="11"/>
        <v>6659000</v>
      </c>
      <c r="G24" s="44">
        <f t="shared" si="6"/>
        <v>0</v>
      </c>
      <c r="H24" s="3">
        <f t="shared" si="9"/>
        <v>757956</v>
      </c>
      <c r="I24" s="49">
        <f t="shared" si="7"/>
        <v>0</v>
      </c>
      <c r="J24" s="22">
        <f t="shared" si="4"/>
        <v>0</v>
      </c>
      <c r="K24" s="23">
        <f t="shared" si="5"/>
        <v>0</v>
      </c>
    </row>
    <row r="25" spans="1:25" ht="17.25" customHeight="1" thickBot="1" x14ac:dyDescent="0.4">
      <c r="A25" s="10">
        <v>44523</v>
      </c>
      <c r="B25" s="3">
        <f t="shared" si="10"/>
        <v>431537</v>
      </c>
      <c r="C25" s="44">
        <f t="shared" si="8"/>
        <v>0</v>
      </c>
      <c r="D25" s="3">
        <v>4377000</v>
      </c>
      <c r="E25" s="44">
        <f t="shared" si="3"/>
        <v>0</v>
      </c>
      <c r="F25" s="3">
        <f t="shared" si="11"/>
        <v>6659000</v>
      </c>
      <c r="G25" s="44">
        <f t="shared" si="6"/>
        <v>0</v>
      </c>
      <c r="H25" s="3">
        <f t="shared" si="9"/>
        <v>757956</v>
      </c>
      <c r="I25" s="49">
        <f t="shared" si="7"/>
        <v>0</v>
      </c>
      <c r="J25" s="22">
        <f t="shared" si="4"/>
        <v>0</v>
      </c>
      <c r="K25" s="23">
        <f t="shared" si="5"/>
        <v>0</v>
      </c>
      <c r="Y25" s="60"/>
    </row>
    <row r="26" spans="1:25" ht="16.5" thickBot="1" x14ac:dyDescent="0.3">
      <c r="A26" s="10">
        <v>44524</v>
      </c>
      <c r="B26" s="3">
        <f t="shared" si="10"/>
        <v>431537</v>
      </c>
      <c r="C26" s="44">
        <f t="shared" si="8"/>
        <v>0</v>
      </c>
      <c r="D26" s="3">
        <v>4377000</v>
      </c>
      <c r="E26" s="44">
        <f t="shared" si="3"/>
        <v>0</v>
      </c>
      <c r="F26" s="3">
        <f t="shared" si="11"/>
        <v>6659000</v>
      </c>
      <c r="G26" s="44">
        <f t="shared" si="6"/>
        <v>0</v>
      </c>
      <c r="H26" s="3">
        <f t="shared" si="9"/>
        <v>757956</v>
      </c>
      <c r="I26" s="49">
        <f t="shared" si="7"/>
        <v>0</v>
      </c>
      <c r="J26" s="22">
        <f t="shared" si="4"/>
        <v>0</v>
      </c>
      <c r="K26" s="23">
        <f t="shared" si="5"/>
        <v>0</v>
      </c>
      <c r="L26" t="s">
        <v>12</v>
      </c>
    </row>
    <row r="27" spans="1:25" ht="16.5" thickBot="1" x14ac:dyDescent="0.3">
      <c r="A27" s="10">
        <v>44525</v>
      </c>
      <c r="B27" s="3">
        <f t="shared" si="10"/>
        <v>431537</v>
      </c>
      <c r="C27" s="44">
        <f t="shared" si="8"/>
        <v>0</v>
      </c>
      <c r="D27" s="3">
        <v>4377000</v>
      </c>
      <c r="E27" s="44">
        <f t="shared" si="3"/>
        <v>0</v>
      </c>
      <c r="F27" s="3">
        <f t="shared" si="11"/>
        <v>6659000</v>
      </c>
      <c r="G27" s="44">
        <f t="shared" si="6"/>
        <v>0</v>
      </c>
      <c r="H27" s="3">
        <f t="shared" si="9"/>
        <v>757956</v>
      </c>
      <c r="I27" s="49">
        <f t="shared" si="7"/>
        <v>0</v>
      </c>
      <c r="J27" s="22">
        <f t="shared" si="4"/>
        <v>0</v>
      </c>
      <c r="K27" s="23">
        <f t="shared" si="5"/>
        <v>0</v>
      </c>
      <c r="O27" t="s">
        <v>12</v>
      </c>
    </row>
    <row r="28" spans="1:25" ht="16.5" thickBot="1" x14ac:dyDescent="0.3">
      <c r="A28" s="10">
        <v>44526</v>
      </c>
      <c r="B28" s="3">
        <f t="shared" si="10"/>
        <v>431537</v>
      </c>
      <c r="C28" s="44">
        <f t="shared" si="8"/>
        <v>0</v>
      </c>
      <c r="D28" s="3">
        <v>4377000</v>
      </c>
      <c r="E28" s="44">
        <f t="shared" si="3"/>
        <v>0</v>
      </c>
      <c r="F28" s="3">
        <f t="shared" si="11"/>
        <v>6659000</v>
      </c>
      <c r="G28" s="44">
        <f t="shared" si="6"/>
        <v>0</v>
      </c>
      <c r="H28" s="3">
        <f t="shared" si="9"/>
        <v>757956</v>
      </c>
      <c r="I28" s="49">
        <f t="shared" si="7"/>
        <v>0</v>
      </c>
      <c r="J28" s="22">
        <f t="shared" si="4"/>
        <v>0</v>
      </c>
      <c r="K28" s="23">
        <f t="shared" si="5"/>
        <v>0</v>
      </c>
    </row>
    <row r="29" spans="1:25" ht="16.5" thickBot="1" x14ac:dyDescent="0.3">
      <c r="A29" s="10">
        <v>44527</v>
      </c>
      <c r="B29" s="3">
        <f t="shared" si="10"/>
        <v>431537</v>
      </c>
      <c r="C29" s="44">
        <f t="shared" si="8"/>
        <v>0</v>
      </c>
      <c r="D29" s="3">
        <v>4377000</v>
      </c>
      <c r="E29" s="44">
        <f t="shared" si="3"/>
        <v>0</v>
      </c>
      <c r="F29" s="3">
        <f t="shared" si="11"/>
        <v>6659000</v>
      </c>
      <c r="G29" s="44">
        <f t="shared" si="6"/>
        <v>0</v>
      </c>
      <c r="H29" s="3">
        <f t="shared" si="9"/>
        <v>757956</v>
      </c>
      <c r="I29" s="49">
        <f t="shared" si="7"/>
        <v>0</v>
      </c>
      <c r="J29" s="22">
        <f t="shared" si="4"/>
        <v>0</v>
      </c>
      <c r="K29" s="23">
        <f t="shared" si="5"/>
        <v>0</v>
      </c>
    </row>
    <row r="30" spans="1:25" ht="16.5" thickBot="1" x14ac:dyDescent="0.3">
      <c r="A30" s="10">
        <v>44528</v>
      </c>
      <c r="B30" s="3">
        <f t="shared" si="10"/>
        <v>431537</v>
      </c>
      <c r="C30" s="44">
        <f t="shared" si="8"/>
        <v>0</v>
      </c>
      <c r="D30" s="3">
        <v>4377000</v>
      </c>
      <c r="E30" s="44">
        <f t="shared" si="3"/>
        <v>0</v>
      </c>
      <c r="F30" s="3">
        <f t="shared" si="11"/>
        <v>6659000</v>
      </c>
      <c r="G30" s="44">
        <f t="shared" si="6"/>
        <v>0</v>
      </c>
      <c r="H30" s="3">
        <f t="shared" si="9"/>
        <v>757956</v>
      </c>
      <c r="I30" s="49">
        <f t="shared" si="7"/>
        <v>0</v>
      </c>
      <c r="J30" s="22">
        <f t="shared" si="4"/>
        <v>0</v>
      </c>
      <c r="K30" s="23">
        <f t="shared" si="5"/>
        <v>0</v>
      </c>
    </row>
    <row r="31" spans="1:25" ht="16.5" thickBot="1" x14ac:dyDescent="0.3">
      <c r="A31" s="10">
        <v>44529</v>
      </c>
      <c r="B31" s="3">
        <f t="shared" si="10"/>
        <v>431537</v>
      </c>
      <c r="C31" s="44">
        <f t="shared" si="8"/>
        <v>0</v>
      </c>
      <c r="D31" s="3">
        <v>4377000</v>
      </c>
      <c r="E31" s="44">
        <f t="shared" si="3"/>
        <v>0</v>
      </c>
      <c r="F31" s="3">
        <f t="shared" si="11"/>
        <v>6659000</v>
      </c>
      <c r="G31" s="44">
        <f t="shared" si="6"/>
        <v>0</v>
      </c>
      <c r="H31" s="3">
        <f t="shared" si="9"/>
        <v>757956</v>
      </c>
      <c r="I31" s="49">
        <f t="shared" si="7"/>
        <v>0</v>
      </c>
      <c r="J31" s="22">
        <f t="shared" si="4"/>
        <v>0</v>
      </c>
      <c r="K31" s="23">
        <f t="shared" si="5"/>
        <v>0</v>
      </c>
    </row>
    <row r="32" spans="1:25" ht="16.5" thickBot="1" x14ac:dyDescent="0.3">
      <c r="A32" s="10">
        <v>44530</v>
      </c>
      <c r="B32" s="3">
        <f t="shared" si="10"/>
        <v>431537</v>
      </c>
      <c r="C32" s="44">
        <f t="shared" si="8"/>
        <v>0</v>
      </c>
      <c r="D32" s="3">
        <v>4377000</v>
      </c>
      <c r="E32" s="44">
        <f t="shared" si="3"/>
        <v>0</v>
      </c>
      <c r="F32" s="3">
        <f t="shared" si="11"/>
        <v>6659000</v>
      </c>
      <c r="G32" s="44">
        <f t="shared" si="6"/>
        <v>0</v>
      </c>
      <c r="H32" s="3">
        <f t="shared" si="9"/>
        <v>757956</v>
      </c>
      <c r="I32" s="49">
        <f t="shared" si="7"/>
        <v>0</v>
      </c>
      <c r="J32" s="22">
        <f t="shared" si="4"/>
        <v>0</v>
      </c>
      <c r="K32" s="23">
        <f t="shared" si="5"/>
        <v>0</v>
      </c>
    </row>
    <row r="33" spans="1:11" ht="21" thickBot="1" x14ac:dyDescent="0.3">
      <c r="A33" s="9" t="s">
        <v>23</v>
      </c>
      <c r="B33" s="3"/>
      <c r="C33" s="61">
        <f>SUM(C3:C32)</f>
        <v>13820</v>
      </c>
      <c r="D33" s="3"/>
      <c r="E33" s="61">
        <f>SUM(E3:E32)</f>
        <v>0</v>
      </c>
      <c r="F33" s="3"/>
      <c r="G33" s="61">
        <f>SUM(G3:G32)</f>
        <v>7041.6</v>
      </c>
      <c r="H33" s="3"/>
      <c r="I33" s="61">
        <f>SUM(I3:I32)</f>
        <v>55.323000000000008</v>
      </c>
      <c r="J33" s="61">
        <f>SUM(J3:J32)</f>
        <v>20916.922999999999</v>
      </c>
      <c r="K33" s="61">
        <f>SUM(K3:K32)</f>
        <v>122573.16877999999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opLeftCell="A4" zoomScale="80" zoomScaleNormal="55" zoomScaleSheetLayoutView="80" workbookViewId="0">
      <pane xSplit="1" topLeftCell="B1" activePane="topRight" state="frozen"/>
      <selection pane="topRight" activeCell="A16" sqref="A16:XFD16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44500</v>
      </c>
      <c r="B2" s="139">
        <v>17710786</v>
      </c>
      <c r="C2" s="50">
        <v>0</v>
      </c>
    </row>
    <row r="3" spans="1:9" ht="24" thickBot="1" x14ac:dyDescent="0.4">
      <c r="A3" s="10">
        <v>44501</v>
      </c>
      <c r="B3" s="139">
        <v>17712908</v>
      </c>
      <c r="C3" s="50">
        <f>IF((B3-B2)&lt;0,"0",(B3-B2))</f>
        <v>2122</v>
      </c>
    </row>
    <row r="4" spans="1:9" ht="24" thickBot="1" x14ac:dyDescent="0.4">
      <c r="A4" s="10">
        <v>44502</v>
      </c>
      <c r="B4" s="139">
        <v>17715214</v>
      </c>
      <c r="C4" s="50">
        <f t="shared" ref="C4:C30" si="0">IF((B4-B3)&lt;0,"0",(B4-B3))</f>
        <v>2306</v>
      </c>
    </row>
    <row r="5" spans="1:9" ht="24" thickBot="1" x14ac:dyDescent="0.4">
      <c r="A5" s="10">
        <v>44503</v>
      </c>
      <c r="B5" s="139">
        <v>17717274</v>
      </c>
      <c r="C5" s="50">
        <f t="shared" si="0"/>
        <v>2060</v>
      </c>
    </row>
    <row r="6" spans="1:9" ht="24" thickBot="1" x14ac:dyDescent="0.4">
      <c r="A6" s="10">
        <v>44504</v>
      </c>
      <c r="B6" s="139">
        <v>17719401</v>
      </c>
      <c r="C6" s="50">
        <f>IF((B6-B5)&lt;0,"0",(B6-B5))</f>
        <v>2127</v>
      </c>
    </row>
    <row r="7" spans="1:9" ht="24" thickBot="1" x14ac:dyDescent="0.4">
      <c r="A7" s="10">
        <v>44505</v>
      </c>
      <c r="B7" s="139">
        <v>17721704</v>
      </c>
      <c r="C7" s="50">
        <f>IF((B7-B6)&lt;0,"0",(B7-B6))</f>
        <v>2303</v>
      </c>
    </row>
    <row r="8" spans="1:9" ht="24" thickBot="1" x14ac:dyDescent="0.4">
      <c r="A8" s="10">
        <v>44506</v>
      </c>
      <c r="B8" s="139">
        <v>17723894</v>
      </c>
      <c r="C8" s="50">
        <f>IF((B8-B7)&lt;0,"0",(B8-B7))</f>
        <v>2190</v>
      </c>
    </row>
    <row r="9" spans="1:9" ht="24" thickBot="1" x14ac:dyDescent="0.4">
      <c r="A9" s="10">
        <v>44507</v>
      </c>
      <c r="B9" s="139">
        <v>17726082</v>
      </c>
      <c r="C9" s="50">
        <f>IF((B9-B8)&lt;0,"0",(B9-B8))</f>
        <v>2188</v>
      </c>
    </row>
    <row r="10" spans="1:9" ht="24" thickBot="1" x14ac:dyDescent="0.4">
      <c r="A10" s="10">
        <v>44508</v>
      </c>
      <c r="B10" s="139">
        <v>17729146</v>
      </c>
      <c r="C10" s="50">
        <f t="shared" si="0"/>
        <v>3064</v>
      </c>
    </row>
    <row r="11" spans="1:9" ht="24" thickBot="1" x14ac:dyDescent="0.4">
      <c r="A11" s="10">
        <v>44509</v>
      </c>
      <c r="B11" s="139">
        <v>17731515</v>
      </c>
      <c r="C11" s="50">
        <f>IF((B11-B10)&lt;0,"0",(B11-B10))</f>
        <v>2369</v>
      </c>
    </row>
    <row r="12" spans="1:9" ht="24" thickBot="1" x14ac:dyDescent="0.4">
      <c r="A12" s="10">
        <v>44510</v>
      </c>
      <c r="B12" s="139">
        <v>17733791</v>
      </c>
      <c r="C12" s="50">
        <f t="shared" si="0"/>
        <v>2276</v>
      </c>
    </row>
    <row r="13" spans="1:9" ht="24" thickBot="1" x14ac:dyDescent="0.4">
      <c r="A13" s="10">
        <v>44511</v>
      </c>
      <c r="B13" s="139">
        <v>17736195</v>
      </c>
      <c r="C13" s="50">
        <f t="shared" si="0"/>
        <v>2404</v>
      </c>
    </row>
    <row r="14" spans="1:9" ht="24" thickBot="1" x14ac:dyDescent="0.4">
      <c r="A14" s="10">
        <v>44512</v>
      </c>
      <c r="B14" s="139">
        <v>17738555</v>
      </c>
      <c r="C14" s="50">
        <f t="shared" si="0"/>
        <v>2360</v>
      </c>
    </row>
    <row r="15" spans="1:9" ht="24" thickBot="1" x14ac:dyDescent="0.4">
      <c r="A15" s="10">
        <v>44513</v>
      </c>
      <c r="B15" s="139">
        <v>17740887</v>
      </c>
      <c r="C15" s="50">
        <f t="shared" si="0"/>
        <v>2332</v>
      </c>
      <c r="I15" t="s">
        <v>12</v>
      </c>
    </row>
    <row r="16" spans="1:9" ht="26.25" customHeight="1" thickBot="1" x14ac:dyDescent="0.4">
      <c r="A16" s="10">
        <v>44514</v>
      </c>
      <c r="B16" s="139">
        <v>17743098</v>
      </c>
      <c r="C16" s="50">
        <f t="shared" si="0"/>
        <v>2211</v>
      </c>
    </row>
    <row r="17" spans="1:9" ht="25.5" customHeight="1" thickBot="1" x14ac:dyDescent="0.4">
      <c r="A17" s="10">
        <v>44515</v>
      </c>
      <c r="B17" s="139"/>
      <c r="C17" s="50" t="str">
        <f t="shared" si="0"/>
        <v>0</v>
      </c>
      <c r="F17" s="137"/>
    </row>
    <row r="18" spans="1:9" ht="24" thickBot="1" x14ac:dyDescent="0.4">
      <c r="A18" s="10">
        <v>44516</v>
      </c>
      <c r="B18" s="139"/>
      <c r="C18" s="50">
        <f t="shared" si="0"/>
        <v>0</v>
      </c>
    </row>
    <row r="19" spans="1:9" ht="24" thickBot="1" x14ac:dyDescent="0.4">
      <c r="A19" s="10">
        <v>44517</v>
      </c>
      <c r="B19" s="139"/>
      <c r="C19" s="50">
        <f t="shared" si="0"/>
        <v>0</v>
      </c>
      <c r="F19" s="139"/>
    </row>
    <row r="20" spans="1:9" ht="24" thickBot="1" x14ac:dyDescent="0.4">
      <c r="A20" s="10">
        <v>44518</v>
      </c>
      <c r="B20" s="139"/>
      <c r="C20" s="50">
        <f t="shared" si="0"/>
        <v>0</v>
      </c>
    </row>
    <row r="21" spans="1:9" ht="24" thickBot="1" x14ac:dyDescent="0.4">
      <c r="A21" s="10">
        <v>44519</v>
      </c>
      <c r="B21" s="139"/>
      <c r="C21" s="50">
        <f t="shared" si="0"/>
        <v>0</v>
      </c>
    </row>
    <row r="22" spans="1:9" ht="24" thickBot="1" x14ac:dyDescent="0.4">
      <c r="A22" s="10">
        <v>44520</v>
      </c>
      <c r="B22" s="139"/>
      <c r="C22" s="50">
        <f t="shared" si="0"/>
        <v>0</v>
      </c>
    </row>
    <row r="23" spans="1:9" ht="24" thickBot="1" x14ac:dyDescent="0.4">
      <c r="A23" s="10">
        <v>44521</v>
      </c>
      <c r="B23" s="139"/>
      <c r="C23" s="50">
        <f t="shared" si="0"/>
        <v>0</v>
      </c>
      <c r="F23" t="s">
        <v>12</v>
      </c>
    </row>
    <row r="24" spans="1:9" ht="24" thickBot="1" x14ac:dyDescent="0.4">
      <c r="A24" s="10">
        <v>44522</v>
      </c>
      <c r="B24" s="139"/>
      <c r="C24" s="50">
        <f t="shared" si="0"/>
        <v>0</v>
      </c>
      <c r="E24" t="s">
        <v>12</v>
      </c>
    </row>
    <row r="25" spans="1:9" ht="24" thickBot="1" x14ac:dyDescent="0.4">
      <c r="A25" s="10">
        <v>44523</v>
      </c>
      <c r="B25" s="139"/>
      <c r="C25" s="50">
        <f t="shared" si="0"/>
        <v>0</v>
      </c>
    </row>
    <row r="26" spans="1:9" ht="24" thickBot="1" x14ac:dyDescent="0.4">
      <c r="A26" s="10">
        <v>44524</v>
      </c>
      <c r="B26" s="139"/>
      <c r="C26" s="50">
        <f t="shared" si="0"/>
        <v>0</v>
      </c>
    </row>
    <row r="27" spans="1:9" ht="24" thickBot="1" x14ac:dyDescent="0.4">
      <c r="A27" s="10">
        <v>44525</v>
      </c>
      <c r="B27" s="139"/>
      <c r="C27" s="50">
        <f t="shared" si="0"/>
        <v>0</v>
      </c>
    </row>
    <row r="28" spans="1:9" ht="24" thickBot="1" x14ac:dyDescent="0.4">
      <c r="A28" s="10">
        <v>44526</v>
      </c>
      <c r="B28" s="139"/>
      <c r="C28" s="50">
        <f t="shared" si="0"/>
        <v>0</v>
      </c>
      <c r="I28" t="s">
        <v>12</v>
      </c>
    </row>
    <row r="29" spans="1:9" ht="24" thickBot="1" x14ac:dyDescent="0.4">
      <c r="A29" s="10">
        <v>44527</v>
      </c>
      <c r="B29" s="139"/>
      <c r="C29" s="50">
        <f t="shared" si="0"/>
        <v>0</v>
      </c>
    </row>
    <row r="30" spans="1:9" ht="24" thickBot="1" x14ac:dyDescent="0.4">
      <c r="A30" s="10">
        <v>44528</v>
      </c>
      <c r="B30" s="139"/>
      <c r="C30" s="50">
        <f t="shared" si="0"/>
        <v>0</v>
      </c>
    </row>
    <row r="31" spans="1:9" ht="24" thickBot="1" x14ac:dyDescent="0.4">
      <c r="A31" s="10">
        <v>44529</v>
      </c>
      <c r="B31" s="139"/>
      <c r="C31" s="50">
        <f>IF((B31-B30)&lt;0,"0",(B31-B30))</f>
        <v>0</v>
      </c>
    </row>
    <row r="32" spans="1:9" ht="24" thickBot="1" x14ac:dyDescent="0.4">
      <c r="A32" s="10">
        <v>44530</v>
      </c>
      <c r="B32" s="139"/>
      <c r="C32" s="50">
        <f>IF((B32-B31)&lt;0,"0",(B32-B31))</f>
        <v>0</v>
      </c>
    </row>
    <row r="33" spans="1:3" ht="24" thickBot="1" x14ac:dyDescent="0.4">
      <c r="A33" s="179" t="s">
        <v>138</v>
      </c>
      <c r="B33" s="180"/>
      <c r="C33" s="142">
        <f>SUM(C3:C32)</f>
        <v>32312</v>
      </c>
    </row>
  </sheetData>
  <mergeCells count="1">
    <mergeCell ref="A33:B33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"/>
  <sheetViews>
    <sheetView zoomScale="80" zoomScaleNormal="80" workbookViewId="0">
      <pane ySplit="1" topLeftCell="A2" activePane="bottomLeft" state="frozen"/>
      <selection pane="bottomLeft" activeCell="A16" sqref="A16:XFD16"/>
    </sheetView>
  </sheetViews>
  <sheetFormatPr defaultRowHeight="12.75" x14ac:dyDescent="0.2"/>
  <cols>
    <col min="1" max="1" width="20.85546875" bestFit="1" customWidth="1"/>
    <col min="2" max="2" width="12.85546875" style="170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4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1" ht="16.5" thickBot="1" x14ac:dyDescent="0.3">
      <c r="A1" s="2" t="s">
        <v>0</v>
      </c>
      <c r="B1" s="167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81" t="s">
        <v>142</v>
      </c>
      <c r="X1" s="182"/>
      <c r="Y1" s="182"/>
      <c r="Z1" s="182"/>
      <c r="AA1" s="183"/>
      <c r="AB1" s="181" t="s">
        <v>144</v>
      </c>
      <c r="AC1" s="182"/>
      <c r="AD1" s="181" t="s">
        <v>147</v>
      </c>
      <c r="AE1" s="182"/>
    </row>
    <row r="2" spans="1:31" ht="16.5" thickBot="1" x14ac:dyDescent="0.25">
      <c r="A2" s="10">
        <v>44500</v>
      </c>
      <c r="B2" s="168">
        <v>22555.309000000001</v>
      </c>
      <c r="C2" s="49">
        <v>0</v>
      </c>
      <c r="D2" s="33">
        <f t="shared" ref="D2" si="0">C2*1.9*1000</f>
        <v>0</v>
      </c>
      <c r="E2" s="1">
        <v>4013.5720000000001</v>
      </c>
      <c r="F2" s="49">
        <v>0</v>
      </c>
      <c r="G2" s="33">
        <f t="shared" ref="G2" si="1">F2*1.9*1000</f>
        <v>0</v>
      </c>
      <c r="H2" s="1">
        <v>4284</v>
      </c>
      <c r="I2" s="49">
        <v>0</v>
      </c>
      <c r="J2" s="33">
        <f t="shared" ref="J2" si="2">I2*1.9*1000</f>
        <v>0</v>
      </c>
      <c r="K2" s="7">
        <v>13802.85</v>
      </c>
      <c r="L2" s="49">
        <v>0</v>
      </c>
      <c r="M2" s="33">
        <f t="shared" ref="M2" si="3">L2*1.9*1000</f>
        <v>0</v>
      </c>
      <c r="N2" s="7">
        <v>3290.4059999999999</v>
      </c>
      <c r="O2" s="49">
        <v>0</v>
      </c>
      <c r="P2" s="33">
        <f t="shared" ref="P2" si="4">O2*1.9*1000</f>
        <v>0</v>
      </c>
      <c r="Q2" s="7">
        <v>5223.8999999999996</v>
      </c>
      <c r="R2" s="49">
        <v>0</v>
      </c>
      <c r="S2" s="33">
        <f t="shared" ref="S2" si="5">R2*1.9*1000</f>
        <v>0</v>
      </c>
      <c r="T2" s="8">
        <f t="shared" ref="T2" si="6">C2+F2+I2+L2+O2+R2</f>
        <v>0</v>
      </c>
      <c r="U2" s="35">
        <f t="shared" ref="U2" si="7">T2*1.9*1000</f>
        <v>0</v>
      </c>
      <c r="W2" s="165">
        <v>44499</v>
      </c>
      <c r="X2" s="166">
        <v>154581</v>
      </c>
      <c r="Y2" s="178">
        <v>0</v>
      </c>
      <c r="Z2" s="166">
        <v>7686</v>
      </c>
      <c r="AA2" s="178">
        <v>0</v>
      </c>
      <c r="AB2" s="166">
        <v>13.35</v>
      </c>
      <c r="AC2" s="178">
        <v>0</v>
      </c>
      <c r="AD2" s="166">
        <v>0</v>
      </c>
      <c r="AE2" s="177">
        <v>0</v>
      </c>
    </row>
    <row r="3" spans="1:31" ht="16.5" thickBot="1" x14ac:dyDescent="0.25">
      <c r="A3" s="10">
        <v>44501</v>
      </c>
      <c r="B3" s="168">
        <v>22562.312999999998</v>
      </c>
      <c r="C3" s="49">
        <f>IF((B3-B2)&lt;0,"0",(B3-B2))</f>
        <v>7.0039999999971769</v>
      </c>
      <c r="D3" s="33">
        <f t="shared" ref="D3:D32" si="8">C3*1.9*1000</f>
        <v>13307.599999994636</v>
      </c>
      <c r="E3" s="1">
        <v>4015.944</v>
      </c>
      <c r="F3" s="49">
        <f t="shared" ref="F3:F32" si="9">IF((E3-E2)&lt;0,"0",(E3-E2))</f>
        <v>2.3719999999998436</v>
      </c>
      <c r="G3" s="33">
        <f t="shared" ref="G3:G32" si="10">F3*1.9*1000</f>
        <v>4506.7999999997028</v>
      </c>
      <c r="H3" s="1">
        <v>4289</v>
      </c>
      <c r="I3" s="49">
        <f t="shared" ref="I3:I32" si="11">IF((H3-H2)&lt;0,"0",(H3-H2))</f>
        <v>5</v>
      </c>
      <c r="J3" s="33">
        <f t="shared" ref="J3:J32" si="12">I3*1.9*1000</f>
        <v>9500</v>
      </c>
      <c r="K3" s="7">
        <v>13804.43</v>
      </c>
      <c r="L3" s="49">
        <f t="shared" ref="L3:L32" si="13">IF((K3-K2)&lt;0,"0",(K3-K2))</f>
        <v>1.5799999999999272</v>
      </c>
      <c r="M3" s="33">
        <f t="shared" ref="M3:M32" si="14">L3*1.9*1000</f>
        <v>3001.9999999998618</v>
      </c>
      <c r="N3" s="7">
        <v>3291.922</v>
      </c>
      <c r="O3" s="49">
        <f t="shared" ref="O3:O32" si="15">IF((N3-N2)&lt;0,"0",(N3-N2))</f>
        <v>1.5160000000000764</v>
      </c>
      <c r="P3" s="33">
        <f t="shared" ref="P3:P32" si="16">O3*1.9*1000</f>
        <v>2880.4000000001452</v>
      </c>
      <c r="Q3" s="7">
        <v>5226.3999999999996</v>
      </c>
      <c r="R3" s="49">
        <f t="shared" ref="R3:R32" si="17">IF((Q3-Q2)&lt;0,"0",(Q3-Q2))</f>
        <v>2.5</v>
      </c>
      <c r="S3" s="33">
        <f t="shared" ref="S3:S32" si="18">R3*1.9*1000</f>
        <v>4750</v>
      </c>
      <c r="T3" s="8">
        <f>C3+F3+I3+L3+O3+R3</f>
        <v>19.971999999997024</v>
      </c>
      <c r="U3" s="35">
        <f>T3*1.9*1000</f>
        <v>37946.799999994349</v>
      </c>
      <c r="W3" s="165">
        <v>44501</v>
      </c>
      <c r="X3" s="166">
        <v>155107</v>
      </c>
      <c r="Y3" s="177">
        <f t="shared" ref="Y3" si="19">X3-X2</f>
        <v>526</v>
      </c>
      <c r="Z3" s="166">
        <v>7739</v>
      </c>
      <c r="AA3" s="177">
        <f>Z3-Z2</f>
        <v>53</v>
      </c>
      <c r="AB3" s="166">
        <v>13.35</v>
      </c>
      <c r="AC3" s="178">
        <v>0</v>
      </c>
      <c r="AD3" s="166">
        <v>0</v>
      </c>
      <c r="AE3" s="177">
        <v>0</v>
      </c>
    </row>
    <row r="4" spans="1:31" ht="16.5" thickBot="1" x14ac:dyDescent="0.25">
      <c r="A4" s="10">
        <v>44502</v>
      </c>
      <c r="B4" s="168">
        <v>22568.84</v>
      </c>
      <c r="C4" s="49">
        <f t="shared" ref="C4:C32" si="20">IF((B4-B3)&lt;0,"0",(B4-B3))</f>
        <v>6.5270000000018626</v>
      </c>
      <c r="D4" s="33">
        <f t="shared" si="8"/>
        <v>12401.300000003537</v>
      </c>
      <c r="E4" s="1">
        <v>4018.6460000000002</v>
      </c>
      <c r="F4" s="49">
        <f t="shared" si="9"/>
        <v>2.7020000000002256</v>
      </c>
      <c r="G4" s="33">
        <f t="shared" si="10"/>
        <v>5133.8000000004276</v>
      </c>
      <c r="H4" s="1">
        <v>4294</v>
      </c>
      <c r="I4" s="49">
        <f t="shared" si="11"/>
        <v>5</v>
      </c>
      <c r="J4" s="33">
        <f t="shared" si="12"/>
        <v>9500</v>
      </c>
      <c r="K4" s="7">
        <v>13806.12</v>
      </c>
      <c r="L4" s="49">
        <f t="shared" si="13"/>
        <v>1.6900000000005093</v>
      </c>
      <c r="M4" s="33">
        <f t="shared" si="14"/>
        <v>3211.0000000009677</v>
      </c>
      <c r="N4" s="7">
        <v>3293.6320000000001</v>
      </c>
      <c r="O4" s="49">
        <f t="shared" si="15"/>
        <v>1.7100000000000364</v>
      </c>
      <c r="P4" s="33">
        <f t="shared" si="16"/>
        <v>3249.0000000000691</v>
      </c>
      <c r="Q4" s="7">
        <v>5229.91</v>
      </c>
      <c r="R4" s="49">
        <f t="shared" si="17"/>
        <v>3.5100000000002183</v>
      </c>
      <c r="S4" s="33">
        <f t="shared" si="18"/>
        <v>6669.0000000004147</v>
      </c>
      <c r="T4" s="8">
        <f>C4+F4+I4+L4+O4+R4</f>
        <v>21.139000000002852</v>
      </c>
      <c r="U4" s="35">
        <f t="shared" ref="U4:U32" si="21">T4*1.9*1000</f>
        <v>40164.100000005419</v>
      </c>
      <c r="W4" s="165">
        <v>44502</v>
      </c>
      <c r="X4" s="166">
        <v>155302</v>
      </c>
      <c r="Y4" s="177">
        <f>X4-X3</f>
        <v>195</v>
      </c>
      <c r="Z4" s="166">
        <v>7744</v>
      </c>
      <c r="AA4" s="177">
        <f>Z4-Z3</f>
        <v>5</v>
      </c>
      <c r="AB4" s="166">
        <v>13.35</v>
      </c>
      <c r="AC4" s="178">
        <f t="shared" ref="AC4:AC8" si="22">AB4-AB3</f>
        <v>0</v>
      </c>
      <c r="AD4" s="166">
        <v>0</v>
      </c>
      <c r="AE4" s="177">
        <v>0</v>
      </c>
    </row>
    <row r="5" spans="1:31" ht="16.5" thickBot="1" x14ac:dyDescent="0.25">
      <c r="A5" s="10">
        <v>44503</v>
      </c>
      <c r="B5" s="168">
        <v>22574.252</v>
      </c>
      <c r="C5" s="49">
        <f t="shared" si="20"/>
        <v>5.4120000000002619</v>
      </c>
      <c r="D5" s="33">
        <f t="shared" si="8"/>
        <v>10282.800000000498</v>
      </c>
      <c r="E5" s="1">
        <v>4020.5749999999998</v>
      </c>
      <c r="F5" s="49">
        <f t="shared" si="9"/>
        <v>1.9289999999996326</v>
      </c>
      <c r="G5" s="33">
        <f t="shared" si="10"/>
        <v>3665.0999999993019</v>
      </c>
      <c r="H5" s="1">
        <v>4299</v>
      </c>
      <c r="I5" s="49">
        <f t="shared" si="11"/>
        <v>5</v>
      </c>
      <c r="J5" s="33">
        <f t="shared" si="12"/>
        <v>9500</v>
      </c>
      <c r="K5" s="7">
        <v>13807.5</v>
      </c>
      <c r="L5" s="49">
        <f t="shared" si="13"/>
        <v>1.3799999999991996</v>
      </c>
      <c r="M5" s="33">
        <f t="shared" si="14"/>
        <v>2621.9999999984793</v>
      </c>
      <c r="N5" s="7">
        <v>3294.9870000000001</v>
      </c>
      <c r="O5" s="49">
        <f t="shared" si="15"/>
        <v>1.3550000000000182</v>
      </c>
      <c r="P5" s="33">
        <f t="shared" si="16"/>
        <v>2574.5000000000346</v>
      </c>
      <c r="Q5" s="7">
        <v>5231.99</v>
      </c>
      <c r="R5" s="49">
        <f t="shared" si="17"/>
        <v>2.0799999999999272</v>
      </c>
      <c r="S5" s="33">
        <f t="shared" si="18"/>
        <v>3951.9999999998613</v>
      </c>
      <c r="T5" s="8">
        <f>C5+F5+I5+L5+O5+R5</f>
        <v>17.15599999999904</v>
      </c>
      <c r="U5" s="35">
        <f t="shared" si="21"/>
        <v>32596.399999998175</v>
      </c>
      <c r="W5" s="165">
        <v>44503</v>
      </c>
      <c r="X5" s="166">
        <v>155538</v>
      </c>
      <c r="Y5" s="178">
        <f t="shared" ref="Y5:Y32" si="23">X5-X4</f>
        <v>236</v>
      </c>
      <c r="Z5" s="166">
        <v>7750</v>
      </c>
      <c r="AA5" s="178">
        <f t="shared" ref="AA5:AA32" si="24">Z5-Z4</f>
        <v>6</v>
      </c>
      <c r="AB5" s="166">
        <v>13.35</v>
      </c>
      <c r="AC5" s="178">
        <f t="shared" si="22"/>
        <v>0</v>
      </c>
      <c r="AD5" s="166">
        <v>0</v>
      </c>
      <c r="AE5" s="177">
        <v>0</v>
      </c>
    </row>
    <row r="6" spans="1:31" ht="16.5" thickBot="1" x14ac:dyDescent="0.25">
      <c r="A6" s="10">
        <v>44504</v>
      </c>
      <c r="B6" s="168">
        <v>22501</v>
      </c>
      <c r="C6" s="49" t="str">
        <f t="shared" si="20"/>
        <v>0</v>
      </c>
      <c r="D6" s="33">
        <f t="shared" si="8"/>
        <v>0</v>
      </c>
      <c r="E6" s="1">
        <v>4022.9870000000001</v>
      </c>
      <c r="F6" s="49">
        <f t="shared" si="9"/>
        <v>2.4120000000002619</v>
      </c>
      <c r="G6" s="33">
        <f t="shared" si="10"/>
        <v>4582.8000000004968</v>
      </c>
      <c r="H6" s="1">
        <v>4304</v>
      </c>
      <c r="I6" s="49">
        <f t="shared" si="11"/>
        <v>5</v>
      </c>
      <c r="J6" s="33">
        <f t="shared" si="12"/>
        <v>9500</v>
      </c>
      <c r="K6" s="7">
        <v>13809.64</v>
      </c>
      <c r="L6" s="49">
        <f t="shared" si="13"/>
        <v>2.1399999999994179</v>
      </c>
      <c r="M6" s="33">
        <f t="shared" si="14"/>
        <v>4065.9999999988941</v>
      </c>
      <c r="N6" s="7">
        <v>3296.5079999999998</v>
      </c>
      <c r="O6" s="49">
        <f t="shared" si="15"/>
        <v>1.5209999999997308</v>
      </c>
      <c r="P6" s="33">
        <f t="shared" si="16"/>
        <v>2889.8999999994885</v>
      </c>
      <c r="Q6" s="7">
        <v>5233.9799999999996</v>
      </c>
      <c r="R6" s="49">
        <f t="shared" si="17"/>
        <v>1.9899999999997817</v>
      </c>
      <c r="S6" s="33">
        <f t="shared" si="18"/>
        <v>3780.9999999995848</v>
      </c>
      <c r="T6" s="8">
        <f t="shared" ref="T6:T32" si="25">C6+F6+I6+L6+O6+R6</f>
        <v>13.062999999999192</v>
      </c>
      <c r="U6" s="35">
        <f t="shared" si="21"/>
        <v>24819.699999998462</v>
      </c>
      <c r="W6" s="165">
        <v>44504</v>
      </c>
      <c r="X6" s="166">
        <v>155751</v>
      </c>
      <c r="Y6" s="178">
        <f t="shared" si="23"/>
        <v>213</v>
      </c>
      <c r="Z6" s="166">
        <v>7783</v>
      </c>
      <c r="AA6" s="178">
        <f t="shared" si="24"/>
        <v>33</v>
      </c>
      <c r="AB6" s="166">
        <v>13.35</v>
      </c>
      <c r="AC6" s="178">
        <f t="shared" si="22"/>
        <v>0</v>
      </c>
      <c r="AD6" s="166">
        <v>0</v>
      </c>
      <c r="AE6" s="177">
        <v>0</v>
      </c>
    </row>
    <row r="7" spans="1:31" ht="16.5" thickBot="1" x14ac:dyDescent="0.25">
      <c r="A7" s="10">
        <v>44505</v>
      </c>
      <c r="B7" s="168">
        <v>22506.771000000001</v>
      </c>
      <c r="C7" s="49">
        <f t="shared" si="20"/>
        <v>5.7710000000006403</v>
      </c>
      <c r="D7" s="33">
        <f t="shared" si="8"/>
        <v>10964.900000001217</v>
      </c>
      <c r="E7" s="1">
        <v>4024.0549999999998</v>
      </c>
      <c r="F7" s="49">
        <f t="shared" si="9"/>
        <v>1.0679999999997563</v>
      </c>
      <c r="G7" s="33">
        <f t="shared" si="10"/>
        <v>2029.1999999995367</v>
      </c>
      <c r="H7" s="1">
        <v>4308</v>
      </c>
      <c r="I7" s="49">
        <f t="shared" si="11"/>
        <v>4</v>
      </c>
      <c r="J7" s="33">
        <f t="shared" si="12"/>
        <v>7600</v>
      </c>
      <c r="K7" s="7">
        <v>13810.8</v>
      </c>
      <c r="L7" s="49">
        <f t="shared" si="13"/>
        <v>1.1599999999998545</v>
      </c>
      <c r="M7" s="33">
        <f t="shared" si="14"/>
        <v>2203.9999999997235</v>
      </c>
      <c r="N7" s="7">
        <v>3297.8110000000001</v>
      </c>
      <c r="O7" s="49">
        <f t="shared" si="15"/>
        <v>1.3030000000003383</v>
      </c>
      <c r="P7" s="33">
        <f t="shared" si="16"/>
        <v>2475.7000000006428</v>
      </c>
      <c r="Q7" s="7">
        <v>5235.67</v>
      </c>
      <c r="R7" s="49">
        <f t="shared" si="17"/>
        <v>1.6900000000005093</v>
      </c>
      <c r="S7" s="33">
        <f t="shared" si="18"/>
        <v>3211.0000000009677</v>
      </c>
      <c r="T7" s="8">
        <f t="shared" si="25"/>
        <v>14.992000000001099</v>
      </c>
      <c r="U7" s="35">
        <f t="shared" si="21"/>
        <v>28484.800000002084</v>
      </c>
      <c r="W7" s="165">
        <v>44505</v>
      </c>
      <c r="X7" s="166">
        <v>155938</v>
      </c>
      <c r="Y7" s="178">
        <f t="shared" si="23"/>
        <v>187</v>
      </c>
      <c r="Z7" s="166">
        <v>7789</v>
      </c>
      <c r="AA7" s="178">
        <f t="shared" si="24"/>
        <v>6</v>
      </c>
      <c r="AB7" s="166">
        <v>13.35</v>
      </c>
      <c r="AC7" s="178">
        <f t="shared" si="22"/>
        <v>0</v>
      </c>
      <c r="AD7" s="166">
        <v>0</v>
      </c>
      <c r="AE7" s="177">
        <v>0</v>
      </c>
    </row>
    <row r="8" spans="1:31" ht="16.5" thickBot="1" x14ac:dyDescent="0.25">
      <c r="A8" s="10">
        <v>44506</v>
      </c>
      <c r="B8" s="168">
        <v>22594.415000000001</v>
      </c>
      <c r="C8" s="49">
        <f t="shared" si="20"/>
        <v>87.644000000000233</v>
      </c>
      <c r="D8" s="33">
        <f t="shared" si="8"/>
        <v>166523.60000000044</v>
      </c>
      <c r="E8" s="1">
        <v>4025.473</v>
      </c>
      <c r="F8" s="49">
        <f t="shared" si="9"/>
        <v>1.4180000000001201</v>
      </c>
      <c r="G8" s="33">
        <f t="shared" si="10"/>
        <v>2694.2000000002281</v>
      </c>
      <c r="H8" s="1">
        <v>4314</v>
      </c>
      <c r="I8" s="49">
        <f t="shared" si="11"/>
        <v>6</v>
      </c>
      <c r="J8" s="33">
        <f t="shared" si="12"/>
        <v>11399.999999999998</v>
      </c>
      <c r="K8" s="7">
        <v>13813.5</v>
      </c>
      <c r="L8" s="49">
        <f t="shared" si="13"/>
        <v>2.7000000000007276</v>
      </c>
      <c r="M8" s="33">
        <f t="shared" si="14"/>
        <v>5130.0000000013815</v>
      </c>
      <c r="N8" s="7">
        <v>3299.634</v>
      </c>
      <c r="O8" s="49">
        <f t="shared" si="15"/>
        <v>1.8229999999998654</v>
      </c>
      <c r="P8" s="33">
        <f t="shared" si="16"/>
        <v>3463.6999999997438</v>
      </c>
      <c r="Q8" s="7">
        <v>5237.78</v>
      </c>
      <c r="R8" s="49">
        <f t="shared" si="17"/>
        <v>2.1099999999996726</v>
      </c>
      <c r="S8" s="33">
        <f t="shared" si="18"/>
        <v>4008.9999999993779</v>
      </c>
      <c r="T8" s="8">
        <f t="shared" si="25"/>
        <v>101.69500000000062</v>
      </c>
      <c r="U8" s="35">
        <f t="shared" si="21"/>
        <v>193220.50000000116</v>
      </c>
      <c r="W8" s="165">
        <v>44506</v>
      </c>
      <c r="X8" s="166">
        <v>155107</v>
      </c>
      <c r="Y8" s="178">
        <f t="shared" si="23"/>
        <v>-831</v>
      </c>
      <c r="Z8" s="166">
        <v>7739</v>
      </c>
      <c r="AA8" s="178">
        <f t="shared" si="24"/>
        <v>-50</v>
      </c>
      <c r="AB8" s="166">
        <v>13.35</v>
      </c>
      <c r="AC8" s="178">
        <f t="shared" si="22"/>
        <v>0</v>
      </c>
      <c r="AD8" s="166">
        <v>0</v>
      </c>
      <c r="AE8" s="177">
        <v>0</v>
      </c>
    </row>
    <row r="9" spans="1:31" ht="16.5" thickBot="1" x14ac:dyDescent="0.25">
      <c r="A9" s="10">
        <v>44507</v>
      </c>
      <c r="B9" s="168">
        <v>22599.912</v>
      </c>
      <c r="C9" s="49">
        <f t="shared" si="20"/>
        <v>5.4969999999993888</v>
      </c>
      <c r="D9" s="33">
        <f t="shared" si="8"/>
        <v>10444.299999998839</v>
      </c>
      <c r="E9" s="1">
        <v>4027.3150000000001</v>
      </c>
      <c r="F9" s="49">
        <f t="shared" si="9"/>
        <v>1.8420000000000982</v>
      </c>
      <c r="G9" s="33">
        <f t="shared" si="10"/>
        <v>3499.8000000001866</v>
      </c>
      <c r="H9" s="1">
        <v>4319</v>
      </c>
      <c r="I9" s="49">
        <f t="shared" si="11"/>
        <v>5</v>
      </c>
      <c r="J9" s="33">
        <f t="shared" si="12"/>
        <v>9500</v>
      </c>
      <c r="K9" s="7">
        <v>13815.35</v>
      </c>
      <c r="L9" s="49">
        <f t="shared" si="13"/>
        <v>1.8500000000003638</v>
      </c>
      <c r="M9" s="33">
        <f t="shared" si="14"/>
        <v>3515.0000000006912</v>
      </c>
      <c r="N9" s="7">
        <v>3300.99</v>
      </c>
      <c r="O9" s="49">
        <f t="shared" si="15"/>
        <v>1.3559999999997672</v>
      </c>
      <c r="P9" s="33">
        <f t="shared" si="16"/>
        <v>2576.3999999995576</v>
      </c>
      <c r="Q9" s="7">
        <v>5239.43</v>
      </c>
      <c r="R9" s="49">
        <f t="shared" si="17"/>
        <v>1.6500000000005457</v>
      </c>
      <c r="S9" s="33">
        <f t="shared" si="18"/>
        <v>3135.0000000010368</v>
      </c>
      <c r="T9" s="8">
        <f t="shared" si="25"/>
        <v>17.195000000000164</v>
      </c>
      <c r="U9" s="35">
        <f t="shared" si="21"/>
        <v>32670.500000000309</v>
      </c>
      <c r="W9" s="165">
        <v>44507</v>
      </c>
      <c r="X9" s="166">
        <v>156045</v>
      </c>
      <c r="Y9" s="178">
        <f t="shared" si="23"/>
        <v>938</v>
      </c>
      <c r="Z9" s="166">
        <v>7798</v>
      </c>
      <c r="AA9" s="178">
        <f t="shared" si="24"/>
        <v>59</v>
      </c>
      <c r="AB9" s="166">
        <v>13.35</v>
      </c>
      <c r="AC9" s="178">
        <f>AB9-AB8</f>
        <v>0</v>
      </c>
      <c r="AD9" s="166">
        <v>0</v>
      </c>
      <c r="AE9" s="177">
        <v>0</v>
      </c>
    </row>
    <row r="10" spans="1:31" ht="16.5" thickBot="1" x14ac:dyDescent="0.25">
      <c r="A10" s="10">
        <v>44508</v>
      </c>
      <c r="B10" s="168">
        <v>22606</v>
      </c>
      <c r="C10" s="49">
        <f t="shared" si="20"/>
        <v>6.0879999999997381</v>
      </c>
      <c r="D10" s="33">
        <f t="shared" si="8"/>
        <v>11567.199999999502</v>
      </c>
      <c r="E10" s="1">
        <v>4029.5329999999999</v>
      </c>
      <c r="F10" s="49">
        <f t="shared" si="9"/>
        <v>2.2179999999998472</v>
      </c>
      <c r="G10" s="33">
        <f t="shared" si="10"/>
        <v>4214.1999999997097</v>
      </c>
      <c r="H10" s="1">
        <v>4324</v>
      </c>
      <c r="I10" s="49">
        <f t="shared" si="11"/>
        <v>5</v>
      </c>
      <c r="J10" s="33">
        <f t="shared" si="12"/>
        <v>9500</v>
      </c>
      <c r="K10" s="7">
        <v>13817.18</v>
      </c>
      <c r="L10" s="49">
        <f t="shared" si="13"/>
        <v>1.8299999999999272</v>
      </c>
      <c r="M10" s="33">
        <f t="shared" si="14"/>
        <v>3476.9999999998618</v>
      </c>
      <c r="N10" s="7">
        <v>3302.306</v>
      </c>
      <c r="O10" s="49">
        <f>IF((N10-N9)&lt;0,"0",(N10-N9))</f>
        <v>1.3160000000002583</v>
      </c>
      <c r="P10" s="33">
        <f t="shared" si="16"/>
        <v>2500.4000000004908</v>
      </c>
      <c r="Q10" s="7">
        <v>5240.18</v>
      </c>
      <c r="R10" s="49">
        <f t="shared" si="17"/>
        <v>0.75</v>
      </c>
      <c r="S10" s="33">
        <f t="shared" si="18"/>
        <v>1424.9999999999998</v>
      </c>
      <c r="T10" s="8">
        <f t="shared" si="25"/>
        <v>17.201999999999771</v>
      </c>
      <c r="U10" s="35">
        <f t="shared" si="21"/>
        <v>32683.799999999566</v>
      </c>
      <c r="W10" s="165">
        <v>44508</v>
      </c>
      <c r="X10" s="166">
        <v>156132</v>
      </c>
      <c r="Y10" s="178">
        <f t="shared" si="23"/>
        <v>87</v>
      </c>
      <c r="Z10" s="166">
        <v>7802</v>
      </c>
      <c r="AA10" s="178">
        <f t="shared" si="24"/>
        <v>4</v>
      </c>
      <c r="AB10" s="166">
        <v>13.35</v>
      </c>
      <c r="AC10" s="178">
        <f t="shared" ref="AC10:AC32" si="26">AB10-AB9</f>
        <v>0</v>
      </c>
      <c r="AD10" s="166">
        <v>1</v>
      </c>
      <c r="AE10" s="177">
        <v>0</v>
      </c>
    </row>
    <row r="11" spans="1:31" ht="16.5" thickBot="1" x14ac:dyDescent="0.25">
      <c r="A11" s="10">
        <v>44509</v>
      </c>
      <c r="B11" s="168">
        <v>22613.65</v>
      </c>
      <c r="C11" s="49">
        <f t="shared" si="20"/>
        <v>7.6500000000014552</v>
      </c>
      <c r="D11" s="33">
        <f t="shared" si="8"/>
        <v>14535.000000002765</v>
      </c>
      <c r="E11" s="1">
        <v>4031.913</v>
      </c>
      <c r="F11" s="49">
        <f t="shared" si="9"/>
        <v>2.3800000000001091</v>
      </c>
      <c r="G11" s="33">
        <f t="shared" si="10"/>
        <v>4522.0000000002074</v>
      </c>
      <c r="H11" s="1">
        <v>4329</v>
      </c>
      <c r="I11" s="49">
        <f t="shared" si="11"/>
        <v>5</v>
      </c>
      <c r="J11" s="33">
        <f t="shared" si="12"/>
        <v>9500</v>
      </c>
      <c r="K11" s="7">
        <v>13818.98</v>
      </c>
      <c r="L11" s="49">
        <f t="shared" si="13"/>
        <v>1.7999999999992724</v>
      </c>
      <c r="M11" s="33">
        <f t="shared" si="14"/>
        <v>3419.9999999986176</v>
      </c>
      <c r="N11" s="7">
        <v>3303.84</v>
      </c>
      <c r="O11" s="49">
        <f t="shared" si="15"/>
        <v>1.5340000000001055</v>
      </c>
      <c r="P11" s="33">
        <f t="shared" si="16"/>
        <v>2914.6000000002005</v>
      </c>
      <c r="Q11" s="7">
        <v>5242.2</v>
      </c>
      <c r="R11" s="49">
        <f t="shared" si="17"/>
        <v>2.0199999999995271</v>
      </c>
      <c r="S11" s="33">
        <f t="shared" si="18"/>
        <v>3837.9999999991014</v>
      </c>
      <c r="T11" s="8">
        <f t="shared" si="25"/>
        <v>20.384000000000469</v>
      </c>
      <c r="U11" s="35">
        <f t="shared" si="21"/>
        <v>38729.600000000893</v>
      </c>
      <c r="W11" s="165">
        <v>44509</v>
      </c>
      <c r="X11" s="166">
        <v>156316</v>
      </c>
      <c r="Y11" s="178">
        <f t="shared" si="23"/>
        <v>184</v>
      </c>
      <c r="Z11" s="166">
        <v>7814</v>
      </c>
      <c r="AA11" s="178">
        <f t="shared" si="24"/>
        <v>12</v>
      </c>
      <c r="AB11" s="166">
        <v>13.35</v>
      </c>
      <c r="AC11" s="178">
        <f t="shared" si="26"/>
        <v>0</v>
      </c>
      <c r="AD11" s="166">
        <v>1</v>
      </c>
      <c r="AE11" s="177">
        <f>AD11-AD10</f>
        <v>0</v>
      </c>
    </row>
    <row r="12" spans="1:31" ht="16.5" thickBot="1" x14ac:dyDescent="0.25">
      <c r="A12" s="10">
        <v>44510</v>
      </c>
      <c r="B12" s="168">
        <v>22618.424999999999</v>
      </c>
      <c r="C12" s="49">
        <f t="shared" si="20"/>
        <v>4.7749999999978172</v>
      </c>
      <c r="D12" s="33">
        <f t="shared" si="8"/>
        <v>9072.4999999958527</v>
      </c>
      <c r="E12" s="1">
        <v>4033.3359999999998</v>
      </c>
      <c r="F12" s="49">
        <f t="shared" si="9"/>
        <v>1.4229999999997744</v>
      </c>
      <c r="G12" s="33">
        <f t="shared" si="10"/>
        <v>2703.6999999995714</v>
      </c>
      <c r="H12" s="1">
        <v>4332</v>
      </c>
      <c r="I12" s="49">
        <f t="shared" si="11"/>
        <v>3</v>
      </c>
      <c r="J12" s="33">
        <f t="shared" si="12"/>
        <v>5699.9999999999991</v>
      </c>
      <c r="K12" s="7">
        <v>13819.76</v>
      </c>
      <c r="L12" s="49">
        <f t="shared" si="13"/>
        <v>0.78000000000065484</v>
      </c>
      <c r="M12" s="33">
        <f t="shared" si="14"/>
        <v>1482.0000000012442</v>
      </c>
      <c r="N12" s="7">
        <v>3304.8710000000001</v>
      </c>
      <c r="O12" s="49">
        <f t="shared" si="15"/>
        <v>1.0309999999999491</v>
      </c>
      <c r="P12" s="33">
        <f t="shared" si="16"/>
        <v>1958.899999999903</v>
      </c>
      <c r="Q12" s="7">
        <v>5246.77</v>
      </c>
      <c r="R12" s="49">
        <f t="shared" si="17"/>
        <v>4.5700000000006185</v>
      </c>
      <c r="S12" s="33">
        <f t="shared" si="18"/>
        <v>8683.0000000011732</v>
      </c>
      <c r="T12" s="8">
        <f t="shared" si="25"/>
        <v>15.578999999998814</v>
      </c>
      <c r="U12" s="35">
        <f t="shared" si="21"/>
        <v>29600.099999997747</v>
      </c>
      <c r="W12" s="165">
        <v>44510</v>
      </c>
      <c r="X12" s="166">
        <v>156344</v>
      </c>
      <c r="Y12" s="178">
        <f t="shared" si="23"/>
        <v>28</v>
      </c>
      <c r="Z12" s="166">
        <v>7817</v>
      </c>
      <c r="AA12" s="178">
        <f t="shared" si="24"/>
        <v>3</v>
      </c>
      <c r="AB12" s="166">
        <v>13.45</v>
      </c>
      <c r="AC12" s="178">
        <f t="shared" si="26"/>
        <v>9.9999999999999645E-2</v>
      </c>
      <c r="AD12" s="166">
        <v>2</v>
      </c>
      <c r="AE12" s="177">
        <f>AD12-AD11</f>
        <v>1</v>
      </c>
    </row>
    <row r="13" spans="1:31" ht="16.5" thickBot="1" x14ac:dyDescent="0.25">
      <c r="A13" s="10">
        <v>44511</v>
      </c>
      <c r="B13" s="168">
        <v>22624.245999999999</v>
      </c>
      <c r="C13" s="49">
        <f t="shared" si="20"/>
        <v>5.8209999999999127</v>
      </c>
      <c r="D13" s="33">
        <f t="shared" si="8"/>
        <v>11059.899999999834</v>
      </c>
      <c r="E13" s="1">
        <v>4035.2260000000001</v>
      </c>
      <c r="F13" s="49">
        <f t="shared" si="9"/>
        <v>1.8900000000003274</v>
      </c>
      <c r="G13" s="33">
        <f t="shared" si="10"/>
        <v>3591.0000000006221</v>
      </c>
      <c r="H13" s="1">
        <v>4337</v>
      </c>
      <c r="I13" s="49">
        <f t="shared" si="11"/>
        <v>5</v>
      </c>
      <c r="J13" s="33">
        <f t="shared" si="12"/>
        <v>9500</v>
      </c>
      <c r="K13" s="7">
        <v>13820.96</v>
      </c>
      <c r="L13" s="49">
        <f t="shared" si="13"/>
        <v>1.1999999999989086</v>
      </c>
      <c r="M13" s="33">
        <f t="shared" si="14"/>
        <v>2279.9999999979264</v>
      </c>
      <c r="N13" s="7">
        <v>3306.2310000000002</v>
      </c>
      <c r="O13" s="49">
        <f t="shared" si="15"/>
        <v>1.3600000000001273</v>
      </c>
      <c r="P13" s="33">
        <f t="shared" si="16"/>
        <v>2584.0000000002415</v>
      </c>
      <c r="Q13" s="7">
        <v>5249.1</v>
      </c>
      <c r="R13" s="49">
        <f t="shared" si="17"/>
        <v>2.3299999999999272</v>
      </c>
      <c r="S13" s="33">
        <f t="shared" si="18"/>
        <v>4426.9999999998618</v>
      </c>
      <c r="T13" s="8">
        <f t="shared" si="25"/>
        <v>17.600999999999203</v>
      </c>
      <c r="U13" s="35">
        <f t="shared" si="21"/>
        <v>33441.899999998481</v>
      </c>
      <c r="W13" s="165">
        <v>44511</v>
      </c>
      <c r="X13" s="166">
        <v>156511</v>
      </c>
      <c r="Y13" s="178">
        <f t="shared" si="23"/>
        <v>167</v>
      </c>
      <c r="Z13" s="166">
        <v>7825</v>
      </c>
      <c r="AA13" s="178">
        <f t="shared" si="24"/>
        <v>8</v>
      </c>
      <c r="AB13" s="166">
        <v>13.46</v>
      </c>
      <c r="AC13" s="178">
        <f t="shared" si="26"/>
        <v>1.0000000000001563E-2</v>
      </c>
      <c r="AD13" s="166">
        <v>2</v>
      </c>
      <c r="AE13" s="177">
        <f t="shared" ref="AE13:AE32" si="27">AD13-AD12</f>
        <v>0</v>
      </c>
    </row>
    <row r="14" spans="1:31" ht="16.5" thickBot="1" x14ac:dyDescent="0.25">
      <c r="A14" s="10">
        <v>44512</v>
      </c>
      <c r="B14" s="168">
        <v>22629.364000000001</v>
      </c>
      <c r="C14" s="49">
        <f t="shared" si="20"/>
        <v>5.1180000000022119</v>
      </c>
      <c r="D14" s="33">
        <f t="shared" si="8"/>
        <v>9724.2000000042026</v>
      </c>
      <c r="E14" s="1">
        <v>4036.1320000000001</v>
      </c>
      <c r="F14" s="49">
        <f t="shared" si="9"/>
        <v>0.90599999999994907</v>
      </c>
      <c r="G14" s="33">
        <f t="shared" si="10"/>
        <v>1721.3999999999032</v>
      </c>
      <c r="H14" s="1">
        <v>4341</v>
      </c>
      <c r="I14" s="49">
        <f t="shared" si="11"/>
        <v>4</v>
      </c>
      <c r="J14" s="33">
        <f t="shared" si="12"/>
        <v>7600</v>
      </c>
      <c r="K14" s="7">
        <v>13822.07</v>
      </c>
      <c r="L14" s="49">
        <f t="shared" si="13"/>
        <v>1.1100000000005821</v>
      </c>
      <c r="M14" s="33">
        <f t="shared" si="14"/>
        <v>2109.0000000011059</v>
      </c>
      <c r="N14" s="7">
        <v>3307.576</v>
      </c>
      <c r="O14" s="49">
        <f>IF((N14-N13)&lt;0,"0",(N14-N13))</f>
        <v>1.3449999999997999</v>
      </c>
      <c r="P14" s="33">
        <f t="shared" si="16"/>
        <v>2555.4999999996198</v>
      </c>
      <c r="Q14" s="7">
        <v>5250.31</v>
      </c>
      <c r="R14" s="49">
        <f t="shared" si="17"/>
        <v>1.2100000000000364</v>
      </c>
      <c r="S14" s="33">
        <f t="shared" si="18"/>
        <v>2299.0000000000691</v>
      </c>
      <c r="T14" s="8">
        <f t="shared" si="25"/>
        <v>13.689000000002579</v>
      </c>
      <c r="U14" s="35">
        <f t="shared" si="21"/>
        <v>26009.100000004899</v>
      </c>
      <c r="W14" s="165">
        <v>44512</v>
      </c>
      <c r="X14" s="166">
        <v>156662</v>
      </c>
      <c r="Y14" s="178">
        <f t="shared" si="23"/>
        <v>151</v>
      </c>
      <c r="Z14" s="166">
        <v>7829</v>
      </c>
      <c r="AA14" s="178">
        <f t="shared" si="24"/>
        <v>4</v>
      </c>
      <c r="AB14" s="166">
        <v>13.46</v>
      </c>
      <c r="AC14" s="178">
        <f t="shared" si="26"/>
        <v>0</v>
      </c>
      <c r="AD14" s="166">
        <v>2</v>
      </c>
      <c r="AE14" s="177">
        <f t="shared" si="27"/>
        <v>0</v>
      </c>
    </row>
    <row r="15" spans="1:31" ht="16.5" thickBot="1" x14ac:dyDescent="0.25">
      <c r="A15" s="10">
        <v>44513</v>
      </c>
      <c r="B15" s="168">
        <v>22629.364000000001</v>
      </c>
      <c r="C15" s="49">
        <f t="shared" ref="C15" si="28">IF((B15-B14)&lt;0,"0",(B15-B14))</f>
        <v>0</v>
      </c>
      <c r="D15" s="33">
        <f t="shared" ref="D15" si="29">C15*1.9*1000</f>
        <v>0</v>
      </c>
      <c r="E15" s="1">
        <v>4036.1320000000001</v>
      </c>
      <c r="F15" s="49">
        <f t="shared" ref="F15" si="30">IF((E15-E14)&lt;0,"0",(E15-E14))</f>
        <v>0</v>
      </c>
      <c r="G15" s="33">
        <f t="shared" ref="G15" si="31">F15*1.9*1000</f>
        <v>0</v>
      </c>
      <c r="H15" s="1">
        <v>4341</v>
      </c>
      <c r="I15" s="49">
        <f t="shared" ref="I15" si="32">IF((H15-H14)&lt;0,"0",(H15-H14))</f>
        <v>0</v>
      </c>
      <c r="J15" s="33">
        <f t="shared" ref="J15" si="33">I15*1.9*1000</f>
        <v>0</v>
      </c>
      <c r="K15" s="7">
        <v>13822.07</v>
      </c>
      <c r="L15" s="49">
        <f t="shared" ref="L15" si="34">IF((K15-K14)&lt;0,"0",(K15-K14))</f>
        <v>0</v>
      </c>
      <c r="M15" s="33">
        <f t="shared" ref="M15" si="35">L15*1.9*1000</f>
        <v>0</v>
      </c>
      <c r="N15" s="7">
        <v>3307.576</v>
      </c>
      <c r="O15" s="49">
        <f>IF((N15-N14)&lt;0,"0",(N15-N14))</f>
        <v>0</v>
      </c>
      <c r="P15" s="33">
        <f t="shared" ref="P15" si="36">O15*1.9*1000</f>
        <v>0</v>
      </c>
      <c r="Q15" s="7">
        <v>5250.31</v>
      </c>
      <c r="R15" s="49">
        <f t="shared" ref="R15" si="37">IF((Q15-Q14)&lt;0,"0",(Q15-Q14))</f>
        <v>0</v>
      </c>
      <c r="S15" s="33">
        <f t="shared" ref="S15" si="38">R15*1.9*1000</f>
        <v>0</v>
      </c>
      <c r="T15" s="8">
        <f t="shared" ref="T15" si="39">C15+F15+I15+L15+O15+R15</f>
        <v>0</v>
      </c>
      <c r="U15" s="35">
        <f t="shared" ref="U15" si="40">T15*1.9*1000</f>
        <v>0</v>
      </c>
      <c r="W15" s="165">
        <v>44512</v>
      </c>
      <c r="X15" s="166">
        <v>156662</v>
      </c>
      <c r="Y15" s="178">
        <f t="shared" ref="Y15" si="41">X15-X14</f>
        <v>0</v>
      </c>
      <c r="Z15" s="166">
        <v>7829</v>
      </c>
      <c r="AA15" s="178">
        <f t="shared" ref="AA15" si="42">Z15-Z14</f>
        <v>0</v>
      </c>
      <c r="AB15" s="166">
        <v>13.46</v>
      </c>
      <c r="AC15" s="178">
        <f t="shared" ref="AC15" si="43">AB15-AB14</f>
        <v>0</v>
      </c>
      <c r="AD15" s="166">
        <v>2</v>
      </c>
      <c r="AE15" s="177">
        <f t="shared" ref="AE15" si="44">AD15-AD14</f>
        <v>0</v>
      </c>
    </row>
    <row r="16" spans="1:31" ht="16.5" thickBot="1" x14ac:dyDescent="0.25">
      <c r="A16" s="10">
        <v>44514</v>
      </c>
      <c r="B16" s="168">
        <v>22638.821</v>
      </c>
      <c r="C16" s="49">
        <f t="shared" si="20"/>
        <v>9.4569999999985157</v>
      </c>
      <c r="D16" s="33">
        <f t="shared" si="8"/>
        <v>17968.29999999718</v>
      </c>
      <c r="E16" s="1">
        <v>4038.69</v>
      </c>
      <c r="F16" s="49">
        <f t="shared" si="9"/>
        <v>2.5579999999999927</v>
      </c>
      <c r="G16" s="33">
        <f t="shared" si="10"/>
        <v>4860.1999999999853</v>
      </c>
      <c r="H16" s="1">
        <v>4350</v>
      </c>
      <c r="I16" s="49">
        <f t="shared" si="11"/>
        <v>9</v>
      </c>
      <c r="J16" s="33">
        <f t="shared" si="12"/>
        <v>17099.999999999996</v>
      </c>
      <c r="K16" s="7">
        <v>13823.16</v>
      </c>
      <c r="L16" s="49">
        <f t="shared" si="13"/>
        <v>1.0900000000001455</v>
      </c>
      <c r="M16" s="33">
        <f t="shared" si="14"/>
        <v>2071.0000000002765</v>
      </c>
      <c r="N16" s="7">
        <f t="shared" ref="N16:N32" si="45">N15</f>
        <v>3307.576</v>
      </c>
      <c r="O16" s="49">
        <f t="shared" si="15"/>
        <v>0</v>
      </c>
      <c r="P16" s="33">
        <f t="shared" si="16"/>
        <v>0</v>
      </c>
      <c r="Q16" s="7">
        <f t="shared" ref="Q16:Q32" si="46">Q15</f>
        <v>5250.31</v>
      </c>
      <c r="R16" s="49">
        <f t="shared" si="17"/>
        <v>0</v>
      </c>
      <c r="S16" s="33">
        <f t="shared" si="18"/>
        <v>0</v>
      </c>
      <c r="T16" s="8">
        <f t="shared" si="25"/>
        <v>22.104999999998654</v>
      </c>
      <c r="U16" s="35">
        <f t="shared" si="21"/>
        <v>41999.499999997439</v>
      </c>
      <c r="W16" s="165">
        <v>44514</v>
      </c>
      <c r="X16" s="166">
        <f t="shared" ref="X16:X32" si="47">X15</f>
        <v>156662</v>
      </c>
      <c r="Y16" s="178">
        <f t="shared" si="23"/>
        <v>0</v>
      </c>
      <c r="Z16" s="166">
        <f t="shared" ref="Z16:Z32" si="48">Z15</f>
        <v>7829</v>
      </c>
      <c r="AA16" s="178">
        <f t="shared" si="24"/>
        <v>0</v>
      </c>
      <c r="AB16" s="166">
        <f t="shared" ref="AB15:AB31" si="49">AB15</f>
        <v>13.46</v>
      </c>
      <c r="AC16" s="178">
        <f t="shared" si="26"/>
        <v>0</v>
      </c>
      <c r="AD16" s="166">
        <f t="shared" ref="AD16:AD32" si="50">AD15</f>
        <v>2</v>
      </c>
      <c r="AE16" s="177">
        <f t="shared" si="27"/>
        <v>0</v>
      </c>
    </row>
    <row r="17" spans="1:31" ht="16.5" thickBot="1" x14ac:dyDescent="0.25">
      <c r="A17" s="10">
        <v>44515</v>
      </c>
      <c r="B17" s="168">
        <f t="shared" ref="B16:B32" si="51">B16</f>
        <v>22638.821</v>
      </c>
      <c r="C17" s="49">
        <f t="shared" si="20"/>
        <v>0</v>
      </c>
      <c r="D17" s="33">
        <f t="shared" si="8"/>
        <v>0</v>
      </c>
      <c r="E17" s="1">
        <f t="shared" ref="E16:E32" si="52">E16</f>
        <v>4038.69</v>
      </c>
      <c r="F17" s="49">
        <f t="shared" si="9"/>
        <v>0</v>
      </c>
      <c r="G17" s="33">
        <f t="shared" si="10"/>
        <v>0</v>
      </c>
      <c r="H17" s="1">
        <f t="shared" ref="H16:H32" si="53">H16</f>
        <v>4350</v>
      </c>
      <c r="I17" s="49">
        <f t="shared" si="11"/>
        <v>0</v>
      </c>
      <c r="J17" s="33">
        <f t="shared" si="12"/>
        <v>0</v>
      </c>
      <c r="K17" s="7">
        <v>13823.16</v>
      </c>
      <c r="L17" s="49">
        <f t="shared" si="13"/>
        <v>0</v>
      </c>
      <c r="M17" s="33">
        <f t="shared" si="14"/>
        <v>0</v>
      </c>
      <c r="N17" s="7">
        <f t="shared" si="45"/>
        <v>3307.576</v>
      </c>
      <c r="O17" s="49">
        <f t="shared" si="15"/>
        <v>0</v>
      </c>
      <c r="P17" s="33">
        <f t="shared" si="16"/>
        <v>0</v>
      </c>
      <c r="Q17" s="7">
        <f>Q16</f>
        <v>5250.31</v>
      </c>
      <c r="R17" s="49">
        <f t="shared" si="17"/>
        <v>0</v>
      </c>
      <c r="S17" s="33">
        <f t="shared" si="18"/>
        <v>0</v>
      </c>
      <c r="T17" s="8">
        <f t="shared" si="25"/>
        <v>0</v>
      </c>
      <c r="U17" s="35">
        <f t="shared" si="21"/>
        <v>0</v>
      </c>
      <c r="W17" s="165">
        <v>44515</v>
      </c>
      <c r="X17" s="166">
        <f t="shared" si="47"/>
        <v>156662</v>
      </c>
      <c r="Y17" s="178">
        <f t="shared" si="23"/>
        <v>0</v>
      </c>
      <c r="Z17" s="166">
        <f t="shared" si="48"/>
        <v>7829</v>
      </c>
      <c r="AA17" s="178">
        <f t="shared" si="24"/>
        <v>0</v>
      </c>
      <c r="AB17" s="166">
        <f t="shared" si="49"/>
        <v>13.46</v>
      </c>
      <c r="AC17" s="178">
        <f t="shared" si="26"/>
        <v>0</v>
      </c>
      <c r="AD17" s="166">
        <f t="shared" si="50"/>
        <v>2</v>
      </c>
      <c r="AE17" s="177">
        <f t="shared" si="27"/>
        <v>0</v>
      </c>
    </row>
    <row r="18" spans="1:31" ht="16.5" thickBot="1" x14ac:dyDescent="0.25">
      <c r="A18" s="10">
        <v>44516</v>
      </c>
      <c r="B18" s="168">
        <f t="shared" si="51"/>
        <v>22638.821</v>
      </c>
      <c r="C18" s="49">
        <f t="shared" si="20"/>
        <v>0</v>
      </c>
      <c r="D18" s="33">
        <f t="shared" si="8"/>
        <v>0</v>
      </c>
      <c r="E18" s="1">
        <f t="shared" si="52"/>
        <v>4038.69</v>
      </c>
      <c r="F18" s="49">
        <f t="shared" si="9"/>
        <v>0</v>
      </c>
      <c r="G18" s="33">
        <f t="shared" si="10"/>
        <v>0</v>
      </c>
      <c r="H18" s="1">
        <f t="shared" si="53"/>
        <v>4350</v>
      </c>
      <c r="I18" s="49">
        <f t="shared" si="11"/>
        <v>0</v>
      </c>
      <c r="J18" s="33">
        <f t="shared" si="12"/>
        <v>0</v>
      </c>
      <c r="K18" s="7">
        <v>13823.16</v>
      </c>
      <c r="L18" s="49">
        <f t="shared" si="13"/>
        <v>0</v>
      </c>
      <c r="M18" s="33">
        <f t="shared" si="14"/>
        <v>0</v>
      </c>
      <c r="N18" s="7">
        <f t="shared" si="45"/>
        <v>3307.576</v>
      </c>
      <c r="O18" s="49">
        <f t="shared" si="15"/>
        <v>0</v>
      </c>
      <c r="P18" s="33">
        <f t="shared" si="16"/>
        <v>0</v>
      </c>
      <c r="Q18" s="7">
        <f t="shared" si="46"/>
        <v>5250.31</v>
      </c>
      <c r="R18" s="49">
        <f t="shared" si="17"/>
        <v>0</v>
      </c>
      <c r="S18" s="33">
        <f t="shared" si="18"/>
        <v>0</v>
      </c>
      <c r="T18" s="8">
        <f t="shared" si="25"/>
        <v>0</v>
      </c>
      <c r="U18" s="35">
        <f t="shared" si="21"/>
        <v>0</v>
      </c>
      <c r="W18" s="165">
        <v>44516</v>
      </c>
      <c r="X18" s="166">
        <f t="shared" si="47"/>
        <v>156662</v>
      </c>
      <c r="Y18" s="178">
        <f t="shared" si="23"/>
        <v>0</v>
      </c>
      <c r="Z18" s="166">
        <f t="shared" si="48"/>
        <v>7829</v>
      </c>
      <c r="AA18" s="178">
        <f t="shared" si="24"/>
        <v>0</v>
      </c>
      <c r="AB18" s="166">
        <f t="shared" si="49"/>
        <v>13.46</v>
      </c>
      <c r="AC18" s="178">
        <f t="shared" si="26"/>
        <v>0</v>
      </c>
      <c r="AD18" s="166">
        <f t="shared" si="50"/>
        <v>2</v>
      </c>
      <c r="AE18" s="177">
        <f t="shared" si="27"/>
        <v>0</v>
      </c>
    </row>
    <row r="19" spans="1:31" ht="16.5" thickBot="1" x14ac:dyDescent="0.25">
      <c r="A19" s="10">
        <v>44517</v>
      </c>
      <c r="B19" s="168">
        <f t="shared" si="51"/>
        <v>22638.821</v>
      </c>
      <c r="C19" s="49">
        <f t="shared" si="20"/>
        <v>0</v>
      </c>
      <c r="D19" s="33">
        <f t="shared" si="8"/>
        <v>0</v>
      </c>
      <c r="E19" s="1">
        <f t="shared" si="52"/>
        <v>4038.69</v>
      </c>
      <c r="F19" s="49">
        <f t="shared" si="9"/>
        <v>0</v>
      </c>
      <c r="G19" s="33">
        <f t="shared" si="10"/>
        <v>0</v>
      </c>
      <c r="H19" s="1">
        <f t="shared" si="53"/>
        <v>4350</v>
      </c>
      <c r="I19" s="49">
        <f t="shared" si="11"/>
        <v>0</v>
      </c>
      <c r="J19" s="33">
        <f t="shared" si="12"/>
        <v>0</v>
      </c>
      <c r="K19" s="7">
        <v>13823.16</v>
      </c>
      <c r="L19" s="49">
        <f t="shared" si="13"/>
        <v>0</v>
      </c>
      <c r="M19" s="33">
        <f t="shared" si="14"/>
        <v>0</v>
      </c>
      <c r="N19" s="7">
        <f t="shared" si="45"/>
        <v>3307.576</v>
      </c>
      <c r="O19" s="49">
        <f t="shared" si="15"/>
        <v>0</v>
      </c>
      <c r="P19" s="33">
        <f t="shared" si="16"/>
        <v>0</v>
      </c>
      <c r="Q19" s="7">
        <f t="shared" si="46"/>
        <v>5250.31</v>
      </c>
      <c r="R19" s="49">
        <f t="shared" si="17"/>
        <v>0</v>
      </c>
      <c r="S19" s="33">
        <f t="shared" si="18"/>
        <v>0</v>
      </c>
      <c r="T19" s="8">
        <f t="shared" si="25"/>
        <v>0</v>
      </c>
      <c r="U19" s="35">
        <f t="shared" si="21"/>
        <v>0</v>
      </c>
      <c r="W19" s="165">
        <v>44517</v>
      </c>
      <c r="X19" s="166">
        <f t="shared" si="47"/>
        <v>156662</v>
      </c>
      <c r="Y19" s="178">
        <f t="shared" si="23"/>
        <v>0</v>
      </c>
      <c r="Z19" s="166">
        <f t="shared" si="48"/>
        <v>7829</v>
      </c>
      <c r="AA19" s="178">
        <f t="shared" si="24"/>
        <v>0</v>
      </c>
      <c r="AB19" s="166">
        <f t="shared" si="49"/>
        <v>13.46</v>
      </c>
      <c r="AC19" s="178">
        <f t="shared" si="26"/>
        <v>0</v>
      </c>
      <c r="AD19" s="166">
        <f t="shared" si="50"/>
        <v>2</v>
      </c>
      <c r="AE19" s="177">
        <f t="shared" si="27"/>
        <v>0</v>
      </c>
    </row>
    <row r="20" spans="1:31" ht="16.5" thickBot="1" x14ac:dyDescent="0.25">
      <c r="A20" s="10">
        <v>44518</v>
      </c>
      <c r="B20" s="168">
        <f t="shared" si="51"/>
        <v>22638.821</v>
      </c>
      <c r="C20" s="49">
        <f t="shared" si="20"/>
        <v>0</v>
      </c>
      <c r="D20" s="33">
        <f t="shared" si="8"/>
        <v>0</v>
      </c>
      <c r="E20" s="1">
        <f t="shared" si="52"/>
        <v>4038.69</v>
      </c>
      <c r="F20" s="49">
        <f t="shared" si="9"/>
        <v>0</v>
      </c>
      <c r="G20" s="33">
        <f t="shared" si="10"/>
        <v>0</v>
      </c>
      <c r="H20" s="1">
        <f t="shared" si="53"/>
        <v>4350</v>
      </c>
      <c r="I20" s="49">
        <f t="shared" si="11"/>
        <v>0</v>
      </c>
      <c r="J20" s="33">
        <f t="shared" si="12"/>
        <v>0</v>
      </c>
      <c r="K20" s="7">
        <v>13823.16</v>
      </c>
      <c r="L20" s="49">
        <f t="shared" si="13"/>
        <v>0</v>
      </c>
      <c r="M20" s="33">
        <f t="shared" si="14"/>
        <v>0</v>
      </c>
      <c r="N20" s="7">
        <f t="shared" si="45"/>
        <v>3307.576</v>
      </c>
      <c r="O20" s="49">
        <f t="shared" si="15"/>
        <v>0</v>
      </c>
      <c r="P20" s="33">
        <f t="shared" si="16"/>
        <v>0</v>
      </c>
      <c r="Q20" s="7">
        <f t="shared" si="46"/>
        <v>5250.31</v>
      </c>
      <c r="R20" s="49">
        <f t="shared" si="17"/>
        <v>0</v>
      </c>
      <c r="S20" s="33">
        <f t="shared" si="18"/>
        <v>0</v>
      </c>
      <c r="T20" s="8">
        <f t="shared" si="25"/>
        <v>0</v>
      </c>
      <c r="U20" s="35">
        <f t="shared" si="21"/>
        <v>0</v>
      </c>
      <c r="W20" s="165">
        <v>44518</v>
      </c>
      <c r="X20" s="166">
        <f t="shared" si="47"/>
        <v>156662</v>
      </c>
      <c r="Y20" s="178">
        <f t="shared" si="23"/>
        <v>0</v>
      </c>
      <c r="Z20" s="166">
        <f t="shared" si="48"/>
        <v>7829</v>
      </c>
      <c r="AA20" s="178">
        <f t="shared" si="24"/>
        <v>0</v>
      </c>
      <c r="AB20" s="166">
        <f t="shared" si="49"/>
        <v>13.46</v>
      </c>
      <c r="AC20" s="178">
        <f t="shared" si="26"/>
        <v>0</v>
      </c>
      <c r="AD20" s="166">
        <f t="shared" si="50"/>
        <v>2</v>
      </c>
      <c r="AE20" s="177">
        <f t="shared" si="27"/>
        <v>0</v>
      </c>
    </row>
    <row r="21" spans="1:31" ht="16.5" thickBot="1" x14ac:dyDescent="0.25">
      <c r="A21" s="10">
        <v>44519</v>
      </c>
      <c r="B21" s="168">
        <f t="shared" si="51"/>
        <v>22638.821</v>
      </c>
      <c r="C21" s="49">
        <f t="shared" si="20"/>
        <v>0</v>
      </c>
      <c r="D21" s="33">
        <f t="shared" si="8"/>
        <v>0</v>
      </c>
      <c r="E21" s="1">
        <f t="shared" si="52"/>
        <v>4038.69</v>
      </c>
      <c r="F21" s="49">
        <f t="shared" si="9"/>
        <v>0</v>
      </c>
      <c r="G21" s="33">
        <f t="shared" si="10"/>
        <v>0</v>
      </c>
      <c r="H21" s="1">
        <f t="shared" si="53"/>
        <v>4350</v>
      </c>
      <c r="I21" s="49">
        <f t="shared" si="11"/>
        <v>0</v>
      </c>
      <c r="J21" s="33">
        <f t="shared" si="12"/>
        <v>0</v>
      </c>
      <c r="K21" s="7">
        <v>13823.16</v>
      </c>
      <c r="L21" s="49">
        <f t="shared" si="13"/>
        <v>0</v>
      </c>
      <c r="M21" s="33">
        <f t="shared" si="14"/>
        <v>0</v>
      </c>
      <c r="N21" s="7">
        <f t="shared" si="45"/>
        <v>3307.576</v>
      </c>
      <c r="O21" s="49">
        <f t="shared" si="15"/>
        <v>0</v>
      </c>
      <c r="P21" s="33">
        <f t="shared" si="16"/>
        <v>0</v>
      </c>
      <c r="Q21" s="7">
        <f t="shared" si="46"/>
        <v>5250.31</v>
      </c>
      <c r="R21" s="49">
        <f t="shared" si="17"/>
        <v>0</v>
      </c>
      <c r="S21" s="33">
        <f t="shared" si="18"/>
        <v>0</v>
      </c>
      <c r="T21" s="8">
        <f t="shared" si="25"/>
        <v>0</v>
      </c>
      <c r="U21" s="35">
        <f t="shared" si="21"/>
        <v>0</v>
      </c>
      <c r="W21" s="165">
        <v>44519</v>
      </c>
      <c r="X21" s="166">
        <f t="shared" si="47"/>
        <v>156662</v>
      </c>
      <c r="Y21" s="178">
        <f t="shared" si="23"/>
        <v>0</v>
      </c>
      <c r="Z21" s="166">
        <f t="shared" si="48"/>
        <v>7829</v>
      </c>
      <c r="AA21" s="178">
        <f t="shared" si="24"/>
        <v>0</v>
      </c>
      <c r="AB21" s="166">
        <f t="shared" si="49"/>
        <v>13.46</v>
      </c>
      <c r="AC21" s="178">
        <f t="shared" si="26"/>
        <v>0</v>
      </c>
      <c r="AD21" s="166">
        <f t="shared" si="50"/>
        <v>2</v>
      </c>
      <c r="AE21" s="177">
        <f t="shared" si="27"/>
        <v>0</v>
      </c>
    </row>
    <row r="22" spans="1:31" ht="16.5" thickBot="1" x14ac:dyDescent="0.25">
      <c r="A22" s="10">
        <v>44520</v>
      </c>
      <c r="B22" s="168">
        <f t="shared" si="51"/>
        <v>22638.821</v>
      </c>
      <c r="C22" s="49">
        <f t="shared" si="20"/>
        <v>0</v>
      </c>
      <c r="D22" s="33">
        <f t="shared" si="8"/>
        <v>0</v>
      </c>
      <c r="E22" s="1">
        <f t="shared" si="52"/>
        <v>4038.69</v>
      </c>
      <c r="F22" s="49">
        <f t="shared" si="9"/>
        <v>0</v>
      </c>
      <c r="G22" s="33">
        <f t="shared" si="10"/>
        <v>0</v>
      </c>
      <c r="H22" s="1">
        <f t="shared" si="53"/>
        <v>4350</v>
      </c>
      <c r="I22" s="49">
        <f t="shared" si="11"/>
        <v>0</v>
      </c>
      <c r="J22" s="33">
        <f t="shared" si="12"/>
        <v>0</v>
      </c>
      <c r="K22" s="7">
        <v>13823.16</v>
      </c>
      <c r="L22" s="49">
        <f t="shared" si="13"/>
        <v>0</v>
      </c>
      <c r="M22" s="33">
        <f t="shared" si="14"/>
        <v>0</v>
      </c>
      <c r="N22" s="7">
        <f t="shared" si="45"/>
        <v>3307.576</v>
      </c>
      <c r="O22" s="49">
        <f t="shared" si="15"/>
        <v>0</v>
      </c>
      <c r="P22" s="33">
        <f t="shared" si="16"/>
        <v>0</v>
      </c>
      <c r="Q22" s="7">
        <f t="shared" si="46"/>
        <v>5250.31</v>
      </c>
      <c r="R22" s="49">
        <f t="shared" si="17"/>
        <v>0</v>
      </c>
      <c r="S22" s="33">
        <f t="shared" si="18"/>
        <v>0</v>
      </c>
      <c r="T22" s="8">
        <f t="shared" si="25"/>
        <v>0</v>
      </c>
      <c r="U22" s="35">
        <f t="shared" si="21"/>
        <v>0</v>
      </c>
      <c r="W22" s="165">
        <v>44520</v>
      </c>
      <c r="X22" s="166">
        <f t="shared" si="47"/>
        <v>156662</v>
      </c>
      <c r="Y22" s="178">
        <f t="shared" si="23"/>
        <v>0</v>
      </c>
      <c r="Z22" s="166">
        <f t="shared" si="48"/>
        <v>7829</v>
      </c>
      <c r="AA22" s="178">
        <f t="shared" si="24"/>
        <v>0</v>
      </c>
      <c r="AB22" s="166">
        <f t="shared" si="49"/>
        <v>13.46</v>
      </c>
      <c r="AC22" s="178">
        <f t="shared" si="26"/>
        <v>0</v>
      </c>
      <c r="AD22" s="166">
        <f t="shared" si="50"/>
        <v>2</v>
      </c>
      <c r="AE22" s="177">
        <f t="shared" si="27"/>
        <v>0</v>
      </c>
    </row>
    <row r="23" spans="1:31" ht="16.5" thickBot="1" x14ac:dyDescent="0.25">
      <c r="A23" s="10">
        <v>44521</v>
      </c>
      <c r="B23" s="168">
        <f t="shared" si="51"/>
        <v>22638.821</v>
      </c>
      <c r="C23" s="49">
        <f t="shared" si="20"/>
        <v>0</v>
      </c>
      <c r="D23" s="33">
        <f t="shared" si="8"/>
        <v>0</v>
      </c>
      <c r="E23" s="1">
        <f t="shared" si="52"/>
        <v>4038.69</v>
      </c>
      <c r="F23" s="49">
        <f t="shared" si="9"/>
        <v>0</v>
      </c>
      <c r="G23" s="33">
        <f t="shared" si="10"/>
        <v>0</v>
      </c>
      <c r="H23" s="1">
        <f t="shared" si="53"/>
        <v>4350</v>
      </c>
      <c r="I23" s="49">
        <f t="shared" si="11"/>
        <v>0</v>
      </c>
      <c r="J23" s="33">
        <f t="shared" si="12"/>
        <v>0</v>
      </c>
      <c r="K23" s="7">
        <v>13823.16</v>
      </c>
      <c r="L23" s="49">
        <f t="shared" si="13"/>
        <v>0</v>
      </c>
      <c r="M23" s="33">
        <f t="shared" si="14"/>
        <v>0</v>
      </c>
      <c r="N23" s="7">
        <f t="shared" si="45"/>
        <v>3307.576</v>
      </c>
      <c r="O23" s="49">
        <f t="shared" si="15"/>
        <v>0</v>
      </c>
      <c r="P23" s="33">
        <f t="shared" si="16"/>
        <v>0</v>
      </c>
      <c r="Q23" s="7">
        <f t="shared" si="46"/>
        <v>5250.31</v>
      </c>
      <c r="R23" s="49">
        <f t="shared" si="17"/>
        <v>0</v>
      </c>
      <c r="S23" s="33">
        <f t="shared" si="18"/>
        <v>0</v>
      </c>
      <c r="T23" s="8">
        <f t="shared" si="25"/>
        <v>0</v>
      </c>
      <c r="U23" s="35">
        <f t="shared" si="21"/>
        <v>0</v>
      </c>
      <c r="W23" s="165">
        <v>44521</v>
      </c>
      <c r="X23" s="166">
        <f t="shared" si="47"/>
        <v>156662</v>
      </c>
      <c r="Y23" s="178">
        <f t="shared" si="23"/>
        <v>0</v>
      </c>
      <c r="Z23" s="166">
        <f t="shared" si="48"/>
        <v>7829</v>
      </c>
      <c r="AA23" s="178">
        <f t="shared" si="24"/>
        <v>0</v>
      </c>
      <c r="AB23" s="166">
        <f t="shared" si="49"/>
        <v>13.46</v>
      </c>
      <c r="AC23" s="178">
        <f t="shared" si="26"/>
        <v>0</v>
      </c>
      <c r="AD23" s="166">
        <f t="shared" si="50"/>
        <v>2</v>
      </c>
      <c r="AE23" s="177">
        <f t="shared" si="27"/>
        <v>0</v>
      </c>
    </row>
    <row r="24" spans="1:31" ht="16.5" thickBot="1" x14ac:dyDescent="0.25">
      <c r="A24" s="10">
        <v>44522</v>
      </c>
      <c r="B24" s="168">
        <f t="shared" si="51"/>
        <v>22638.821</v>
      </c>
      <c r="C24" s="49">
        <f t="shared" si="20"/>
        <v>0</v>
      </c>
      <c r="D24" s="33">
        <f t="shared" si="8"/>
        <v>0</v>
      </c>
      <c r="E24" s="1">
        <f t="shared" si="52"/>
        <v>4038.69</v>
      </c>
      <c r="F24" s="49">
        <f t="shared" si="9"/>
        <v>0</v>
      </c>
      <c r="G24" s="33">
        <f t="shared" si="10"/>
        <v>0</v>
      </c>
      <c r="H24" s="1">
        <f t="shared" si="53"/>
        <v>4350</v>
      </c>
      <c r="I24" s="49">
        <f t="shared" si="11"/>
        <v>0</v>
      </c>
      <c r="J24" s="33">
        <f t="shared" si="12"/>
        <v>0</v>
      </c>
      <c r="K24" s="7">
        <v>13823.16</v>
      </c>
      <c r="L24" s="49">
        <f t="shared" si="13"/>
        <v>0</v>
      </c>
      <c r="M24" s="33">
        <f t="shared" si="14"/>
        <v>0</v>
      </c>
      <c r="N24" s="7">
        <f t="shared" si="45"/>
        <v>3307.576</v>
      </c>
      <c r="O24" s="49">
        <f t="shared" si="15"/>
        <v>0</v>
      </c>
      <c r="P24" s="33">
        <f t="shared" si="16"/>
        <v>0</v>
      </c>
      <c r="Q24" s="7">
        <f t="shared" si="46"/>
        <v>5250.31</v>
      </c>
      <c r="R24" s="49">
        <f t="shared" si="17"/>
        <v>0</v>
      </c>
      <c r="S24" s="33">
        <f t="shared" si="18"/>
        <v>0</v>
      </c>
      <c r="T24" s="8">
        <f t="shared" si="25"/>
        <v>0</v>
      </c>
      <c r="U24" s="35">
        <f t="shared" si="21"/>
        <v>0</v>
      </c>
      <c r="W24" s="165">
        <v>44522</v>
      </c>
      <c r="X24" s="166">
        <f t="shared" si="47"/>
        <v>156662</v>
      </c>
      <c r="Y24" s="178">
        <f t="shared" si="23"/>
        <v>0</v>
      </c>
      <c r="Z24" s="166">
        <f t="shared" si="48"/>
        <v>7829</v>
      </c>
      <c r="AA24" s="178">
        <f t="shared" si="24"/>
        <v>0</v>
      </c>
      <c r="AB24" s="166">
        <f t="shared" si="49"/>
        <v>13.46</v>
      </c>
      <c r="AC24" s="178">
        <f t="shared" si="26"/>
        <v>0</v>
      </c>
      <c r="AD24" s="166">
        <f t="shared" si="50"/>
        <v>2</v>
      </c>
      <c r="AE24" s="177">
        <f t="shared" si="27"/>
        <v>0</v>
      </c>
    </row>
    <row r="25" spans="1:31" ht="16.5" thickBot="1" x14ac:dyDescent="0.25">
      <c r="A25" s="10">
        <v>44523</v>
      </c>
      <c r="B25" s="168">
        <f t="shared" si="51"/>
        <v>22638.821</v>
      </c>
      <c r="C25" s="49">
        <f t="shared" si="20"/>
        <v>0</v>
      </c>
      <c r="D25" s="33">
        <f t="shared" si="8"/>
        <v>0</v>
      </c>
      <c r="E25" s="1">
        <f t="shared" si="52"/>
        <v>4038.69</v>
      </c>
      <c r="F25" s="49">
        <f t="shared" si="9"/>
        <v>0</v>
      </c>
      <c r="G25" s="33">
        <f t="shared" si="10"/>
        <v>0</v>
      </c>
      <c r="H25" s="1">
        <f t="shared" si="53"/>
        <v>4350</v>
      </c>
      <c r="I25" s="49">
        <f t="shared" si="11"/>
        <v>0</v>
      </c>
      <c r="J25" s="33">
        <f t="shared" si="12"/>
        <v>0</v>
      </c>
      <c r="K25" s="7">
        <v>13823.16</v>
      </c>
      <c r="L25" s="49">
        <f t="shared" si="13"/>
        <v>0</v>
      </c>
      <c r="M25" s="33">
        <f t="shared" si="14"/>
        <v>0</v>
      </c>
      <c r="N25" s="7">
        <f t="shared" si="45"/>
        <v>3307.576</v>
      </c>
      <c r="O25" s="49">
        <f t="shared" si="15"/>
        <v>0</v>
      </c>
      <c r="P25" s="33">
        <f t="shared" si="16"/>
        <v>0</v>
      </c>
      <c r="Q25" s="7">
        <f t="shared" si="46"/>
        <v>5250.31</v>
      </c>
      <c r="R25" s="49">
        <f t="shared" si="17"/>
        <v>0</v>
      </c>
      <c r="S25" s="33">
        <f t="shared" si="18"/>
        <v>0</v>
      </c>
      <c r="T25" s="8">
        <f t="shared" si="25"/>
        <v>0</v>
      </c>
      <c r="U25" s="35">
        <f t="shared" si="21"/>
        <v>0</v>
      </c>
      <c r="W25" s="165">
        <v>44523</v>
      </c>
      <c r="X25" s="166">
        <f t="shared" si="47"/>
        <v>156662</v>
      </c>
      <c r="Y25" s="178">
        <f t="shared" si="23"/>
        <v>0</v>
      </c>
      <c r="Z25" s="166">
        <f t="shared" si="48"/>
        <v>7829</v>
      </c>
      <c r="AA25" s="178">
        <f t="shared" si="24"/>
        <v>0</v>
      </c>
      <c r="AB25" s="166">
        <f t="shared" si="49"/>
        <v>13.46</v>
      </c>
      <c r="AC25" s="178">
        <f t="shared" si="26"/>
        <v>0</v>
      </c>
      <c r="AD25" s="166">
        <f t="shared" si="50"/>
        <v>2</v>
      </c>
      <c r="AE25" s="177">
        <f t="shared" si="27"/>
        <v>0</v>
      </c>
    </row>
    <row r="26" spans="1:31" ht="16.5" thickBot="1" x14ac:dyDescent="0.25">
      <c r="A26" s="10">
        <v>44524</v>
      </c>
      <c r="B26" s="168">
        <f t="shared" si="51"/>
        <v>22638.821</v>
      </c>
      <c r="C26" s="49">
        <f t="shared" si="20"/>
        <v>0</v>
      </c>
      <c r="D26" s="33">
        <f t="shared" si="8"/>
        <v>0</v>
      </c>
      <c r="E26" s="1">
        <f t="shared" si="52"/>
        <v>4038.69</v>
      </c>
      <c r="F26" s="49">
        <f t="shared" si="9"/>
        <v>0</v>
      </c>
      <c r="G26" s="33">
        <f t="shared" si="10"/>
        <v>0</v>
      </c>
      <c r="H26" s="1">
        <f t="shared" si="53"/>
        <v>4350</v>
      </c>
      <c r="I26" s="49">
        <f t="shared" si="11"/>
        <v>0</v>
      </c>
      <c r="J26" s="33">
        <f t="shared" si="12"/>
        <v>0</v>
      </c>
      <c r="K26" s="7">
        <v>13823.16</v>
      </c>
      <c r="L26" s="49">
        <f t="shared" si="13"/>
        <v>0</v>
      </c>
      <c r="M26" s="33">
        <f t="shared" si="14"/>
        <v>0</v>
      </c>
      <c r="N26" s="7">
        <f t="shared" si="45"/>
        <v>3307.576</v>
      </c>
      <c r="O26" s="49">
        <f t="shared" si="15"/>
        <v>0</v>
      </c>
      <c r="P26" s="33">
        <f t="shared" si="16"/>
        <v>0</v>
      </c>
      <c r="Q26" s="7">
        <f t="shared" si="46"/>
        <v>5250.31</v>
      </c>
      <c r="R26" s="49">
        <f t="shared" si="17"/>
        <v>0</v>
      </c>
      <c r="S26" s="33">
        <f t="shared" si="18"/>
        <v>0</v>
      </c>
      <c r="T26" s="8">
        <f t="shared" si="25"/>
        <v>0</v>
      </c>
      <c r="U26" s="35">
        <f t="shared" si="21"/>
        <v>0</v>
      </c>
      <c r="V26" t="s">
        <v>12</v>
      </c>
      <c r="W26" s="165">
        <v>44524</v>
      </c>
      <c r="X26" s="166">
        <f t="shared" si="47"/>
        <v>156662</v>
      </c>
      <c r="Y26" s="178">
        <f t="shared" si="23"/>
        <v>0</v>
      </c>
      <c r="Z26" s="166">
        <f t="shared" si="48"/>
        <v>7829</v>
      </c>
      <c r="AA26" s="178">
        <f t="shared" si="24"/>
        <v>0</v>
      </c>
      <c r="AB26" s="166">
        <f t="shared" si="49"/>
        <v>13.46</v>
      </c>
      <c r="AC26" s="178">
        <f t="shared" si="26"/>
        <v>0</v>
      </c>
      <c r="AD26" s="166">
        <f t="shared" si="50"/>
        <v>2</v>
      </c>
      <c r="AE26" s="177">
        <f t="shared" si="27"/>
        <v>0</v>
      </c>
    </row>
    <row r="27" spans="1:31" ht="16.5" thickBot="1" x14ac:dyDescent="0.25">
      <c r="A27" s="10">
        <v>44525</v>
      </c>
      <c r="B27" s="168">
        <f t="shared" si="51"/>
        <v>22638.821</v>
      </c>
      <c r="C27" s="49">
        <f t="shared" si="20"/>
        <v>0</v>
      </c>
      <c r="D27" s="33">
        <f t="shared" si="8"/>
        <v>0</v>
      </c>
      <c r="E27" s="1">
        <f t="shared" si="52"/>
        <v>4038.69</v>
      </c>
      <c r="F27" s="49">
        <f t="shared" si="9"/>
        <v>0</v>
      </c>
      <c r="G27" s="33">
        <f t="shared" si="10"/>
        <v>0</v>
      </c>
      <c r="H27" s="1">
        <f t="shared" si="53"/>
        <v>4350</v>
      </c>
      <c r="I27" s="49">
        <f t="shared" si="11"/>
        <v>0</v>
      </c>
      <c r="J27" s="33">
        <f t="shared" si="12"/>
        <v>0</v>
      </c>
      <c r="K27" s="7">
        <v>13823.16</v>
      </c>
      <c r="L27" s="49">
        <f t="shared" si="13"/>
        <v>0</v>
      </c>
      <c r="M27" s="33">
        <f t="shared" si="14"/>
        <v>0</v>
      </c>
      <c r="N27" s="7">
        <f t="shared" si="45"/>
        <v>3307.576</v>
      </c>
      <c r="O27" s="49">
        <f t="shared" si="15"/>
        <v>0</v>
      </c>
      <c r="P27" s="33">
        <f t="shared" si="16"/>
        <v>0</v>
      </c>
      <c r="Q27" s="7">
        <f t="shared" si="46"/>
        <v>5250.31</v>
      </c>
      <c r="R27" s="49">
        <f t="shared" si="17"/>
        <v>0</v>
      </c>
      <c r="S27" s="33">
        <f t="shared" si="18"/>
        <v>0</v>
      </c>
      <c r="T27" s="8">
        <f t="shared" si="25"/>
        <v>0</v>
      </c>
      <c r="U27" s="35">
        <f t="shared" si="21"/>
        <v>0</v>
      </c>
      <c r="V27" t="s">
        <v>12</v>
      </c>
      <c r="W27" s="165">
        <v>44525</v>
      </c>
      <c r="X27" s="166">
        <f t="shared" si="47"/>
        <v>156662</v>
      </c>
      <c r="Y27" s="178">
        <f t="shared" si="23"/>
        <v>0</v>
      </c>
      <c r="Z27" s="166">
        <f t="shared" si="48"/>
        <v>7829</v>
      </c>
      <c r="AA27" s="178">
        <f t="shared" si="24"/>
        <v>0</v>
      </c>
      <c r="AB27" s="166">
        <f t="shared" si="49"/>
        <v>13.46</v>
      </c>
      <c r="AC27" s="178">
        <f t="shared" si="26"/>
        <v>0</v>
      </c>
      <c r="AD27" s="166">
        <f t="shared" si="50"/>
        <v>2</v>
      </c>
      <c r="AE27" s="177">
        <f t="shared" si="27"/>
        <v>0</v>
      </c>
    </row>
    <row r="28" spans="1:31" ht="16.5" thickBot="1" x14ac:dyDescent="0.25">
      <c r="A28" s="10">
        <v>44526</v>
      </c>
      <c r="B28" s="168">
        <f t="shared" si="51"/>
        <v>22638.821</v>
      </c>
      <c r="C28" s="49">
        <f t="shared" si="20"/>
        <v>0</v>
      </c>
      <c r="D28" s="33">
        <f t="shared" si="8"/>
        <v>0</v>
      </c>
      <c r="E28" s="1">
        <f t="shared" si="52"/>
        <v>4038.69</v>
      </c>
      <c r="F28" s="49">
        <f t="shared" si="9"/>
        <v>0</v>
      </c>
      <c r="G28" s="33">
        <f t="shared" si="10"/>
        <v>0</v>
      </c>
      <c r="H28" s="1">
        <f t="shared" si="53"/>
        <v>4350</v>
      </c>
      <c r="I28" s="49">
        <f t="shared" si="11"/>
        <v>0</v>
      </c>
      <c r="J28" s="33">
        <f t="shared" si="12"/>
        <v>0</v>
      </c>
      <c r="K28" s="7">
        <v>13823.16</v>
      </c>
      <c r="L28" s="49">
        <f t="shared" si="13"/>
        <v>0</v>
      </c>
      <c r="M28" s="33">
        <f t="shared" si="14"/>
        <v>0</v>
      </c>
      <c r="N28" s="7">
        <f t="shared" si="45"/>
        <v>3307.576</v>
      </c>
      <c r="O28" s="49">
        <f t="shared" si="15"/>
        <v>0</v>
      </c>
      <c r="P28" s="33">
        <f t="shared" si="16"/>
        <v>0</v>
      </c>
      <c r="Q28" s="7">
        <f t="shared" si="46"/>
        <v>5250.31</v>
      </c>
      <c r="R28" s="49">
        <f t="shared" si="17"/>
        <v>0</v>
      </c>
      <c r="S28" s="33">
        <f t="shared" si="18"/>
        <v>0</v>
      </c>
      <c r="T28" s="8">
        <f t="shared" si="25"/>
        <v>0</v>
      </c>
      <c r="U28" s="35">
        <f t="shared" si="21"/>
        <v>0</v>
      </c>
      <c r="W28" s="165">
        <v>44526</v>
      </c>
      <c r="X28" s="166">
        <f t="shared" si="47"/>
        <v>156662</v>
      </c>
      <c r="Y28" s="178">
        <f t="shared" si="23"/>
        <v>0</v>
      </c>
      <c r="Z28" s="166">
        <f t="shared" si="48"/>
        <v>7829</v>
      </c>
      <c r="AA28" s="178">
        <f t="shared" si="24"/>
        <v>0</v>
      </c>
      <c r="AB28" s="166">
        <f t="shared" si="49"/>
        <v>13.46</v>
      </c>
      <c r="AC28" s="178">
        <f t="shared" si="26"/>
        <v>0</v>
      </c>
      <c r="AD28" s="166">
        <f t="shared" si="50"/>
        <v>2</v>
      </c>
      <c r="AE28" s="177">
        <f t="shared" si="27"/>
        <v>0</v>
      </c>
    </row>
    <row r="29" spans="1:31" ht="16.5" thickBot="1" x14ac:dyDescent="0.25">
      <c r="A29" s="10">
        <v>44527</v>
      </c>
      <c r="B29" s="168">
        <f t="shared" si="51"/>
        <v>22638.821</v>
      </c>
      <c r="C29" s="49">
        <f t="shared" si="20"/>
        <v>0</v>
      </c>
      <c r="D29" s="33">
        <f t="shared" si="8"/>
        <v>0</v>
      </c>
      <c r="E29" s="1">
        <f t="shared" si="52"/>
        <v>4038.69</v>
      </c>
      <c r="F29" s="49">
        <f t="shared" si="9"/>
        <v>0</v>
      </c>
      <c r="G29" s="33">
        <f t="shared" si="10"/>
        <v>0</v>
      </c>
      <c r="H29" s="1">
        <f t="shared" si="53"/>
        <v>4350</v>
      </c>
      <c r="I29" s="49">
        <f t="shared" si="11"/>
        <v>0</v>
      </c>
      <c r="J29" s="33">
        <f t="shared" si="12"/>
        <v>0</v>
      </c>
      <c r="K29" s="7">
        <v>13823.16</v>
      </c>
      <c r="L29" s="49">
        <f t="shared" si="13"/>
        <v>0</v>
      </c>
      <c r="M29" s="33">
        <f t="shared" si="14"/>
        <v>0</v>
      </c>
      <c r="N29" s="7">
        <f t="shared" si="45"/>
        <v>3307.576</v>
      </c>
      <c r="O29" s="49">
        <f t="shared" si="15"/>
        <v>0</v>
      </c>
      <c r="P29" s="33">
        <f t="shared" si="16"/>
        <v>0</v>
      </c>
      <c r="Q29" s="7">
        <f t="shared" si="46"/>
        <v>5250.31</v>
      </c>
      <c r="R29" s="49">
        <f t="shared" si="17"/>
        <v>0</v>
      </c>
      <c r="S29" s="33">
        <f t="shared" si="18"/>
        <v>0</v>
      </c>
      <c r="T29" s="8">
        <f t="shared" si="25"/>
        <v>0</v>
      </c>
      <c r="U29" s="35">
        <f t="shared" si="21"/>
        <v>0</v>
      </c>
      <c r="W29" s="165">
        <v>44527</v>
      </c>
      <c r="X29" s="166">
        <f t="shared" si="47"/>
        <v>156662</v>
      </c>
      <c r="Y29" s="178">
        <f t="shared" si="23"/>
        <v>0</v>
      </c>
      <c r="Z29" s="166">
        <f t="shared" si="48"/>
        <v>7829</v>
      </c>
      <c r="AA29" s="178">
        <f t="shared" si="24"/>
        <v>0</v>
      </c>
      <c r="AB29" s="166">
        <f t="shared" si="49"/>
        <v>13.46</v>
      </c>
      <c r="AC29" s="178">
        <f t="shared" si="26"/>
        <v>0</v>
      </c>
      <c r="AD29" s="166">
        <f t="shared" si="50"/>
        <v>2</v>
      </c>
      <c r="AE29" s="177">
        <f t="shared" si="27"/>
        <v>0</v>
      </c>
    </row>
    <row r="30" spans="1:31" ht="16.5" thickBot="1" x14ac:dyDescent="0.25">
      <c r="A30" s="10">
        <v>44528</v>
      </c>
      <c r="B30" s="168">
        <f t="shared" si="51"/>
        <v>22638.821</v>
      </c>
      <c r="C30" s="49">
        <f t="shared" si="20"/>
        <v>0</v>
      </c>
      <c r="D30" s="33">
        <f t="shared" si="8"/>
        <v>0</v>
      </c>
      <c r="E30" s="1">
        <f t="shared" si="52"/>
        <v>4038.69</v>
      </c>
      <c r="F30" s="49">
        <f t="shared" si="9"/>
        <v>0</v>
      </c>
      <c r="G30" s="33">
        <f t="shared" si="10"/>
        <v>0</v>
      </c>
      <c r="H30" s="1">
        <f t="shared" si="53"/>
        <v>4350</v>
      </c>
      <c r="I30" s="49">
        <f t="shared" si="11"/>
        <v>0</v>
      </c>
      <c r="J30" s="33">
        <f t="shared" si="12"/>
        <v>0</v>
      </c>
      <c r="K30" s="7">
        <v>13823.16</v>
      </c>
      <c r="L30" s="49">
        <f t="shared" si="13"/>
        <v>0</v>
      </c>
      <c r="M30" s="33">
        <f t="shared" si="14"/>
        <v>0</v>
      </c>
      <c r="N30" s="7">
        <f t="shared" si="45"/>
        <v>3307.576</v>
      </c>
      <c r="O30" s="49">
        <f t="shared" si="15"/>
        <v>0</v>
      </c>
      <c r="P30" s="33">
        <f t="shared" si="16"/>
        <v>0</v>
      </c>
      <c r="Q30" s="7">
        <f t="shared" si="46"/>
        <v>5250.31</v>
      </c>
      <c r="R30" s="49">
        <f t="shared" si="17"/>
        <v>0</v>
      </c>
      <c r="S30" s="33">
        <f t="shared" si="18"/>
        <v>0</v>
      </c>
      <c r="T30" s="8">
        <f t="shared" si="25"/>
        <v>0</v>
      </c>
      <c r="U30" s="35">
        <f t="shared" si="21"/>
        <v>0</v>
      </c>
      <c r="W30" s="165">
        <v>44528</v>
      </c>
      <c r="X30" s="166">
        <f t="shared" si="47"/>
        <v>156662</v>
      </c>
      <c r="Y30" s="178">
        <f t="shared" si="23"/>
        <v>0</v>
      </c>
      <c r="Z30" s="166">
        <f t="shared" si="48"/>
        <v>7829</v>
      </c>
      <c r="AA30" s="178">
        <f>Z30-Z29</f>
        <v>0</v>
      </c>
      <c r="AB30" s="166">
        <f t="shared" si="49"/>
        <v>13.46</v>
      </c>
      <c r="AC30" s="178">
        <f t="shared" si="26"/>
        <v>0</v>
      </c>
      <c r="AD30" s="166">
        <f t="shared" si="50"/>
        <v>2</v>
      </c>
      <c r="AE30" s="177">
        <f t="shared" si="27"/>
        <v>0</v>
      </c>
    </row>
    <row r="31" spans="1:31" ht="16.5" thickBot="1" x14ac:dyDescent="0.25">
      <c r="A31" s="10">
        <v>44529</v>
      </c>
      <c r="B31" s="168">
        <f t="shared" si="51"/>
        <v>22638.821</v>
      </c>
      <c r="C31" s="49">
        <f t="shared" si="20"/>
        <v>0</v>
      </c>
      <c r="D31" s="33">
        <f t="shared" si="8"/>
        <v>0</v>
      </c>
      <c r="E31" s="1">
        <f t="shared" si="52"/>
        <v>4038.69</v>
      </c>
      <c r="F31" s="49">
        <f t="shared" si="9"/>
        <v>0</v>
      </c>
      <c r="G31" s="33">
        <f t="shared" si="10"/>
        <v>0</v>
      </c>
      <c r="H31" s="1">
        <f t="shared" si="53"/>
        <v>4350</v>
      </c>
      <c r="I31" s="49">
        <f t="shared" si="11"/>
        <v>0</v>
      </c>
      <c r="J31" s="33">
        <f t="shared" si="12"/>
        <v>0</v>
      </c>
      <c r="K31" s="7">
        <v>13823.16</v>
      </c>
      <c r="L31" s="49">
        <f t="shared" si="13"/>
        <v>0</v>
      </c>
      <c r="M31" s="33">
        <f t="shared" si="14"/>
        <v>0</v>
      </c>
      <c r="N31" s="7">
        <f t="shared" si="45"/>
        <v>3307.576</v>
      </c>
      <c r="O31" s="49">
        <f t="shared" si="15"/>
        <v>0</v>
      </c>
      <c r="P31" s="33">
        <f t="shared" si="16"/>
        <v>0</v>
      </c>
      <c r="Q31" s="7">
        <f t="shared" si="46"/>
        <v>5250.31</v>
      </c>
      <c r="R31" s="49">
        <f t="shared" si="17"/>
        <v>0</v>
      </c>
      <c r="S31" s="33">
        <f t="shared" si="18"/>
        <v>0</v>
      </c>
      <c r="T31" s="8">
        <f t="shared" si="25"/>
        <v>0</v>
      </c>
      <c r="U31" s="35">
        <f t="shared" si="21"/>
        <v>0</v>
      </c>
      <c r="W31" s="165">
        <v>44529</v>
      </c>
      <c r="X31" s="166">
        <f t="shared" si="47"/>
        <v>156662</v>
      </c>
      <c r="Y31" s="178">
        <f t="shared" si="23"/>
        <v>0</v>
      </c>
      <c r="Z31" s="166">
        <f t="shared" si="48"/>
        <v>7829</v>
      </c>
      <c r="AA31" s="178">
        <f t="shared" si="24"/>
        <v>0</v>
      </c>
      <c r="AB31" s="166">
        <f t="shared" si="49"/>
        <v>13.46</v>
      </c>
      <c r="AC31" s="178">
        <f t="shared" si="26"/>
        <v>0</v>
      </c>
      <c r="AD31" s="166">
        <f t="shared" si="50"/>
        <v>2</v>
      </c>
      <c r="AE31" s="177">
        <f t="shared" si="27"/>
        <v>0</v>
      </c>
    </row>
    <row r="32" spans="1:31" ht="16.5" thickBot="1" x14ac:dyDescent="0.25">
      <c r="A32" s="10">
        <v>44530</v>
      </c>
      <c r="B32" s="168">
        <f t="shared" si="51"/>
        <v>22638.821</v>
      </c>
      <c r="C32" s="49">
        <f t="shared" si="20"/>
        <v>0</v>
      </c>
      <c r="D32" s="33">
        <f t="shared" si="8"/>
        <v>0</v>
      </c>
      <c r="E32" s="1">
        <f t="shared" si="52"/>
        <v>4038.69</v>
      </c>
      <c r="F32" s="49">
        <f t="shared" si="9"/>
        <v>0</v>
      </c>
      <c r="G32" s="33">
        <f t="shared" si="10"/>
        <v>0</v>
      </c>
      <c r="H32" s="1">
        <f t="shared" si="53"/>
        <v>4350</v>
      </c>
      <c r="I32" s="49">
        <f t="shared" si="11"/>
        <v>0</v>
      </c>
      <c r="J32" s="33">
        <f t="shared" si="12"/>
        <v>0</v>
      </c>
      <c r="K32" s="7">
        <v>13823.16</v>
      </c>
      <c r="L32" s="49">
        <f t="shared" si="13"/>
        <v>0</v>
      </c>
      <c r="M32" s="33">
        <f t="shared" si="14"/>
        <v>0</v>
      </c>
      <c r="N32" s="7">
        <f t="shared" si="45"/>
        <v>3307.576</v>
      </c>
      <c r="O32" s="49">
        <f t="shared" si="15"/>
        <v>0</v>
      </c>
      <c r="P32" s="33">
        <f t="shared" si="16"/>
        <v>0</v>
      </c>
      <c r="Q32" s="7">
        <f t="shared" si="46"/>
        <v>5250.31</v>
      </c>
      <c r="R32" s="49">
        <f t="shared" si="17"/>
        <v>0</v>
      </c>
      <c r="S32" s="33">
        <f t="shared" si="18"/>
        <v>0</v>
      </c>
      <c r="T32" s="8">
        <f t="shared" si="25"/>
        <v>0</v>
      </c>
      <c r="U32" s="35">
        <f t="shared" si="21"/>
        <v>0</v>
      </c>
      <c r="W32" s="165">
        <v>44530</v>
      </c>
      <c r="X32" s="166">
        <f t="shared" si="47"/>
        <v>156662</v>
      </c>
      <c r="Y32" s="178">
        <f t="shared" si="23"/>
        <v>0</v>
      </c>
      <c r="Z32" s="166">
        <f t="shared" si="48"/>
        <v>7829</v>
      </c>
      <c r="AA32" s="178">
        <f t="shared" si="24"/>
        <v>0</v>
      </c>
      <c r="AB32" s="166">
        <v>13.35</v>
      </c>
      <c r="AC32" s="178">
        <f t="shared" si="26"/>
        <v>-0.11000000000000121</v>
      </c>
      <c r="AD32" s="166">
        <f t="shared" si="50"/>
        <v>2</v>
      </c>
      <c r="AE32" s="177">
        <f t="shared" si="27"/>
        <v>0</v>
      </c>
    </row>
    <row r="33" spans="1:31" s="25" customFormat="1" ht="16.5" thickBot="1" x14ac:dyDescent="0.25">
      <c r="A33" s="6" t="s">
        <v>23</v>
      </c>
      <c r="B33" s="169"/>
      <c r="C33" s="144">
        <f>SUM(C3:C32)</f>
        <v>156.76399999999921</v>
      </c>
      <c r="D33" s="144">
        <f>SUM(D2:D32)</f>
        <v>297851.59999999852</v>
      </c>
      <c r="E33" s="144">
        <v>0</v>
      </c>
      <c r="F33" s="144">
        <f>SUM(F2:F32)</f>
        <v>25.117999999999938</v>
      </c>
      <c r="G33" s="144">
        <f>SUM(G2:G32)</f>
        <v>47724.199999999881</v>
      </c>
      <c r="H33" s="144"/>
      <c r="I33" s="144">
        <f>SUM(I2:I32)</f>
        <v>66</v>
      </c>
      <c r="J33" s="144">
        <f>SUM(J2:J32)</f>
        <v>125400</v>
      </c>
      <c r="K33" s="144"/>
      <c r="L33" s="144">
        <f>SUM(L2:L32)</f>
        <v>20.309999999999491</v>
      </c>
      <c r="M33" s="144">
        <f>SUM(M2:M32)</f>
        <v>38588.999999999032</v>
      </c>
      <c r="N33" s="144"/>
      <c r="O33" s="144">
        <f>SUM(O2:O32)</f>
        <v>17.170000000000073</v>
      </c>
      <c r="P33" s="144">
        <f>SUM(P2:P32)</f>
        <v>32623.000000000138</v>
      </c>
      <c r="Q33" s="144"/>
      <c r="R33" s="144">
        <f>SUM(R2:R32)</f>
        <v>26.410000000000764</v>
      </c>
      <c r="S33" s="144">
        <f>SUM(S2:S32)</f>
        <v>50179.000000001455</v>
      </c>
      <c r="T33" s="144">
        <f>SUM(T2:T32)</f>
        <v>311.77199999999948</v>
      </c>
      <c r="U33" s="144">
        <f>SUM(U2:U32)</f>
        <v>592366.799999999</v>
      </c>
      <c r="V33"/>
      <c r="W33" s="144" t="s">
        <v>143</v>
      </c>
      <c r="X33" s="144"/>
      <c r="Y33" s="144">
        <f>SUM(Y4:Y32)</f>
        <v>1555</v>
      </c>
      <c r="Z33" s="144"/>
      <c r="AA33" s="144">
        <f>SUM(AA4:AA32)</f>
        <v>90</v>
      </c>
      <c r="AB33" s="144"/>
      <c r="AC33" s="144"/>
      <c r="AD33" s="144"/>
      <c r="AE33" s="144">
        <f>SUM(AE4:AE32)</f>
        <v>1</v>
      </c>
    </row>
    <row r="37" spans="1:31" x14ac:dyDescent="0.2">
      <c r="AA37" t="s">
        <v>12</v>
      </c>
    </row>
  </sheetData>
  <mergeCells count="3">
    <mergeCell ref="W1:AA1"/>
    <mergeCell ref="AB1:AC1"/>
    <mergeCell ref="AD1:AE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G7" sqref="G7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84" t="s">
        <v>146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1" ht="13.5" thickBot="1" x14ac:dyDescent="0.25">
      <c r="A2" s="100"/>
      <c r="B2" s="101" t="s">
        <v>92</v>
      </c>
      <c r="C2" s="102" t="e">
        <f>K8+K9+K14</f>
        <v>#REF!</v>
      </c>
      <c r="D2" s="102" t="e">
        <f>C2*1.27</f>
        <v>#REF!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28607675</v>
      </c>
      <c r="J3" s="140" t="e">
        <f>ELECT.!#REF!</f>
        <v>#REF!</v>
      </c>
      <c r="K3" s="97" t="e">
        <f>J3-I3</f>
        <v>#REF!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90758905</v>
      </c>
      <c r="J4" s="140" t="e">
        <f>ELECT.!#REF!</f>
        <v>#REF!</v>
      </c>
      <c r="K4" s="97" t="e">
        <f>J4-I4</f>
        <v>#REF!</v>
      </c>
    </row>
    <row r="5" spans="1:11" ht="13.5" thickBot="1" x14ac:dyDescent="0.25">
      <c r="A5" s="100"/>
      <c r="B5" s="106" t="s">
        <v>27</v>
      </c>
      <c r="C5" s="110" t="e">
        <f>(K10+K12)*0.842284+K26</f>
        <v>#REF!</v>
      </c>
      <c r="D5" s="110" t="e">
        <f t="shared" ref="D5:D11" si="0">C5*1.27</f>
        <v>#REF!</v>
      </c>
      <c r="E5" s="111"/>
      <c r="F5" s="100"/>
      <c r="G5" s="100"/>
      <c r="H5" s="106" t="s">
        <v>23</v>
      </c>
      <c r="I5" s="112"/>
      <c r="J5" s="112"/>
      <c r="K5" s="132" t="e">
        <f>K3+K4</f>
        <v>#REF!</v>
      </c>
    </row>
    <row r="6" spans="1:11" ht="13.5" thickBot="1" x14ac:dyDescent="0.25">
      <c r="A6" s="100"/>
      <c r="B6" s="106" t="s">
        <v>99</v>
      </c>
      <c r="C6" s="110" t="e">
        <f>(K10+K12+K26)*0.1488</f>
        <v>#REF!</v>
      </c>
      <c r="D6" s="110" t="e">
        <f t="shared" si="0"/>
        <v>#REF!</v>
      </c>
      <c r="E6" s="111"/>
      <c r="F6" s="100"/>
      <c r="G6" s="100"/>
      <c r="H6" s="106" t="s">
        <v>100</v>
      </c>
      <c r="I6" s="145">
        <f>ELECT.!J2</f>
        <v>8949694</v>
      </c>
      <c r="J6" s="141" t="e">
        <f>ELECT.!#REF!</f>
        <v>#REF!</v>
      </c>
      <c r="K6" s="97" t="e">
        <f>J6-I6</f>
        <v>#REF!</v>
      </c>
    </row>
    <row r="7" spans="1:11" ht="13.5" thickBot="1" x14ac:dyDescent="0.25">
      <c r="A7" s="100"/>
      <c r="B7" s="106" t="s">
        <v>101</v>
      </c>
      <c r="C7" s="110" t="e">
        <f>(K6+K7)-(C8+C9+C10+C11+K26)</f>
        <v>#REF!</v>
      </c>
      <c r="D7" s="110" t="e">
        <f t="shared" si="0"/>
        <v>#REF!</v>
      </c>
      <c r="E7" s="111"/>
      <c r="F7" s="100"/>
      <c r="G7" s="100"/>
      <c r="H7" s="106" t="s">
        <v>102</v>
      </c>
      <c r="I7" s="145">
        <f>ELECT.!L2</f>
        <v>8875418</v>
      </c>
      <c r="J7" s="141" t="e">
        <f>ELECT.!#REF!</f>
        <v>#REF!</v>
      </c>
      <c r="K7" s="97" t="e">
        <f>J7-I7</f>
        <v>#REF!</v>
      </c>
    </row>
    <row r="8" spans="1:11" ht="13.5" thickBot="1" x14ac:dyDescent="0.25">
      <c r="A8" s="100"/>
      <c r="B8" s="106" t="s">
        <v>103</v>
      </c>
      <c r="C8" s="110" t="e">
        <f>K21+K22+K23+K24</f>
        <v>#REF!</v>
      </c>
      <c r="D8" s="110" t="e">
        <f t="shared" si="0"/>
        <v>#REF!</v>
      </c>
      <c r="E8" s="111"/>
      <c r="F8" s="100"/>
      <c r="G8" s="100"/>
      <c r="H8" s="106" t="s">
        <v>104</v>
      </c>
      <c r="I8" s="145">
        <f>ELECT.!N2</f>
        <v>6026763</v>
      </c>
      <c r="J8" s="141" t="e">
        <f>ELECT.!#REF!</f>
        <v>#REF!</v>
      </c>
      <c r="K8" s="97" t="e">
        <f>(J8-I8)*2</f>
        <v>#REF!</v>
      </c>
    </row>
    <row r="9" spans="1:11" ht="13.5" thickBot="1" x14ac:dyDescent="0.25">
      <c r="A9" s="100"/>
      <c r="B9" s="106" t="s">
        <v>137</v>
      </c>
      <c r="C9" s="110" t="e">
        <f>K25+K16+K17</f>
        <v>#REF!</v>
      </c>
      <c r="D9" s="110" t="e">
        <f t="shared" si="0"/>
        <v>#REF!</v>
      </c>
      <c r="E9" s="111"/>
      <c r="F9" s="100"/>
      <c r="G9" s="100"/>
      <c r="H9" s="106" t="s">
        <v>105</v>
      </c>
      <c r="I9" s="145">
        <f>ELECT.!P2</f>
        <v>5373608</v>
      </c>
      <c r="J9" s="141" t="e">
        <f>ELECT.!#REF!</f>
        <v>#REF!</v>
      </c>
      <c r="K9" s="97" t="e">
        <f>J9-I9</f>
        <v>#REF!</v>
      </c>
    </row>
    <row r="10" spans="1:11" ht="13.5" thickBot="1" x14ac:dyDescent="0.25">
      <c r="A10" s="100"/>
      <c r="B10" s="106" t="s">
        <v>106</v>
      </c>
      <c r="C10" s="110" t="e">
        <f>K18</f>
        <v>#REF!</v>
      </c>
      <c r="D10" s="110" t="e">
        <f t="shared" si="0"/>
        <v>#REF!</v>
      </c>
      <c r="E10" s="111"/>
      <c r="F10" s="100"/>
      <c r="G10" s="100"/>
      <c r="H10" s="106" t="s">
        <v>107</v>
      </c>
      <c r="I10" s="145">
        <f>ELECT.!R2</f>
        <v>19149295</v>
      </c>
      <c r="J10" s="141" t="e">
        <f>ELECT.!#REF!</f>
        <v>#REF!</v>
      </c>
      <c r="K10" s="97" t="e">
        <f>J10-I10</f>
        <v>#REF!</v>
      </c>
    </row>
    <row r="11" spans="1:11" ht="13.5" thickBot="1" x14ac:dyDescent="0.25">
      <c r="A11" s="100"/>
      <c r="B11" s="106" t="s">
        <v>108</v>
      </c>
      <c r="C11" s="110" t="e">
        <f>K19+K20</f>
        <v>#REF!</v>
      </c>
      <c r="D11" s="110" t="e">
        <f t="shared" si="0"/>
        <v>#REF!</v>
      </c>
      <c r="E11" s="111"/>
      <c r="F11" s="100"/>
      <c r="G11" s="100"/>
      <c r="H11" s="106" t="s">
        <v>109</v>
      </c>
      <c r="I11" s="113">
        <v>0</v>
      </c>
      <c r="J11" s="141">
        <f>ELECT.!J35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6980730</v>
      </c>
      <c r="J12" s="141" t="e">
        <f>ELECT.!#REF!</f>
        <v>#REF!</v>
      </c>
      <c r="K12" s="97" t="e">
        <f>(J12-I12)*2</f>
        <v>#REF!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 t="e">
        <f>SUM(K6:K12)</f>
        <v>#REF!</v>
      </c>
    </row>
    <row r="14" spans="1:11" ht="13.5" thickBot="1" x14ac:dyDescent="0.25">
      <c r="A14" s="100"/>
      <c r="B14" s="106" t="s">
        <v>42</v>
      </c>
      <c r="C14" s="110" t="e">
        <f>K29</f>
        <v>#REF!</v>
      </c>
      <c r="D14" s="118" t="e">
        <f t="shared" ref="D14:D22" si="1">C14*10.03</f>
        <v>#REF!</v>
      </c>
      <c r="E14" s="119"/>
      <c r="F14" s="100"/>
      <c r="G14" s="100"/>
      <c r="H14" s="106" t="s">
        <v>114</v>
      </c>
      <c r="I14" s="115"/>
      <c r="J14" s="116"/>
      <c r="K14" s="98" t="e">
        <f>K5-K13</f>
        <v>#REF!</v>
      </c>
    </row>
    <row r="15" spans="1:11" ht="13.5" thickBot="1" x14ac:dyDescent="0.25">
      <c r="A15" s="100"/>
      <c r="B15" s="106" t="s">
        <v>115</v>
      </c>
      <c r="C15" s="120" t="e">
        <f>K30</f>
        <v>#REF!</v>
      </c>
      <c r="D15" s="118" t="e">
        <f t="shared" si="1"/>
        <v>#REF!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 t="e">
        <f>(C14-C15-C17-C18-C19-C20-C21)*0.1318</f>
        <v>#REF!</v>
      </c>
      <c r="D16" s="118" t="e">
        <f t="shared" si="1"/>
        <v>#REF!</v>
      </c>
      <c r="E16" s="119"/>
      <c r="F16" s="100"/>
      <c r="G16" s="100"/>
      <c r="H16" s="121" t="s">
        <v>136</v>
      </c>
      <c r="I16" s="122">
        <f>'Mall, Citadel, Rotana'!T2</f>
        <v>3820</v>
      </c>
      <c r="J16" s="122" t="e">
        <f>'Mall, Citadel, Rotana'!#REF!</f>
        <v>#REF!</v>
      </c>
      <c r="K16" s="99" t="e">
        <f>(J16-I16)*160</f>
        <v>#REF!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 t="e">
        <f>'Mall, Citadel, Rotana'!#REF!</f>
        <v>#REF!</v>
      </c>
      <c r="K17" s="99" t="e">
        <f>(J17-I17)*160</f>
        <v>#REF!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25539</v>
      </c>
      <c r="J18" s="122" t="e">
        <f>'Mall, Citadel, Rotana'!#REF!</f>
        <v>#REF!</v>
      </c>
      <c r="K18" s="99" t="e">
        <f>(J18-I18)*160</f>
        <v>#REF!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85" t="s">
        <v>116</v>
      </c>
      <c r="F19" s="186"/>
      <c r="G19" s="100"/>
      <c r="H19" s="121" t="s">
        <v>117</v>
      </c>
      <c r="I19" s="122">
        <f>'Mall, Citadel, Rotana'!P2</f>
        <v>129007</v>
      </c>
      <c r="J19" s="122" t="e">
        <f>'Mall, Citadel, Rotana'!#REF!</f>
        <v>#REF!</v>
      </c>
      <c r="K19" s="99" t="e">
        <f>J19-I19</f>
        <v>#REF!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 t="str">
        <f>'Mall, Citadel, Rotana'!R2</f>
        <v>CIB. E</v>
      </c>
      <c r="J20" s="122" t="e">
        <f>'Mall, Citadel, Rotana'!#REF!</f>
        <v>#REF!</v>
      </c>
      <c r="K20" s="99" t="e">
        <f>J20-I20</f>
        <v>#REF!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46133</v>
      </c>
      <c r="J21" s="122" t="e">
        <f>'Mall, Citadel, Rotana'!#REF!</f>
        <v>#REF!</v>
      </c>
      <c r="K21" s="99" t="e">
        <f>(J21-I21)*120</f>
        <v>#REF!</v>
      </c>
    </row>
    <row r="22" spans="1:11" ht="13.5" thickBot="1" x14ac:dyDescent="0.25">
      <c r="A22" s="100"/>
      <c r="B22" s="106" t="s">
        <v>119</v>
      </c>
      <c r="C22" s="118" t="e">
        <f>C14-(C15+C16+C17+C18+C19+C20+C21)</f>
        <v>#REF!</v>
      </c>
      <c r="D22" s="118" t="e">
        <f t="shared" si="1"/>
        <v>#REF!</v>
      </c>
      <c r="E22" s="119"/>
      <c r="F22" s="100"/>
      <c r="G22" s="100"/>
      <c r="H22" s="121" t="s">
        <v>15</v>
      </c>
      <c r="I22" s="122">
        <f>'Mall, Citadel, Rotana'!D2</f>
        <v>39989</v>
      </c>
      <c r="J22" s="122" t="e">
        <f>'Mall, Citadel, Rotana'!#REF!</f>
        <v>#REF!</v>
      </c>
      <c r="K22" s="99" t="e">
        <f>(J22-I22)*160</f>
        <v>#REF!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20950</v>
      </c>
      <c r="J23" s="122" t="e">
        <f>'Mall, Citadel, Rotana'!#REF!</f>
        <v>#REF!</v>
      </c>
      <c r="K23" s="99" t="e">
        <f>(J23-I23)*20</f>
        <v>#REF!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250931</v>
      </c>
      <c r="J24" s="122" t="e">
        <f>'Mall, Citadel, Rotana'!#REF!</f>
        <v>#REF!</v>
      </c>
      <c r="K24" s="99" t="e">
        <f>J24-I24</f>
        <v>#REF!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216028</v>
      </c>
      <c r="J25" s="122" t="e">
        <f>'Mall, Citadel, Rotana'!#REF!</f>
        <v>#REF!</v>
      </c>
      <c r="K25" s="99" t="e">
        <f>J25-I25</f>
        <v>#REF!</v>
      </c>
    </row>
    <row r="26" spans="1:11" ht="13.5" thickBot="1" x14ac:dyDescent="0.25">
      <c r="A26" s="100"/>
      <c r="B26" s="106" t="s">
        <v>42</v>
      </c>
      <c r="C26" s="124" t="e">
        <f>K35</f>
        <v>#REF!</v>
      </c>
      <c r="D26" s="110" t="e">
        <f>C26*3.65</f>
        <v>#REF!</v>
      </c>
      <c r="E26" s="111"/>
      <c r="F26" s="100"/>
      <c r="G26" s="100"/>
      <c r="H26" s="121" t="s">
        <v>123</v>
      </c>
      <c r="I26" s="131">
        <f>ELECT.!C2</f>
        <v>19066</v>
      </c>
      <c r="J26" s="131" t="e">
        <f>ELECT.!#REF!</f>
        <v>#REF!</v>
      </c>
      <c r="K26" s="99" t="e">
        <f>(J26-I26)*160</f>
        <v>#REF!</v>
      </c>
    </row>
    <row r="27" spans="1:11" ht="13.5" thickBot="1" x14ac:dyDescent="0.25">
      <c r="A27" s="100"/>
      <c r="B27" s="101" t="s">
        <v>124</v>
      </c>
      <c r="C27" s="124" t="e">
        <f>C26</f>
        <v>#REF!</v>
      </c>
      <c r="D27" s="110" t="e">
        <f>C27*3.65</f>
        <v>#REF!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430155</v>
      </c>
      <c r="J29" s="122" t="e">
        <f>Water!#REF!</f>
        <v>#REF!</v>
      </c>
      <c r="K29" s="99" t="e">
        <f>(J29-I29)*10</f>
        <v>#REF!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755907</v>
      </c>
      <c r="J30" s="122" t="e">
        <f>Water!#REF!</f>
        <v>#REF!</v>
      </c>
      <c r="K30" s="99" t="e">
        <f>(J30-I30)*0.027</f>
        <v>#REF!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 t="e">
        <f>Water!#REF!</f>
        <v>#REF!</v>
      </c>
      <c r="K31" s="99" t="e">
        <f>(J31-I31)*0.027</f>
        <v>#REF!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6398200</v>
      </c>
      <c r="J32" s="122" t="e">
        <f>Water!#REF!</f>
        <v>#REF!</v>
      </c>
      <c r="K32" s="99" t="e">
        <f>(J32-I32)*0.027</f>
        <v>#REF!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17710786</v>
      </c>
      <c r="J35" s="143" t="e">
        <f>Gas!#REF!</f>
        <v>#REF!</v>
      </c>
      <c r="K35" s="130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21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145</v>
      </c>
      <c r="N1" s="64" t="s">
        <v>91</v>
      </c>
      <c r="O1" s="65" t="s">
        <v>79</v>
      </c>
    </row>
    <row r="2" spans="2:15" ht="15" x14ac:dyDescent="0.2">
      <c r="B2" s="62"/>
      <c r="C2" s="187">
        <v>6</v>
      </c>
      <c r="D2" s="66" t="s">
        <v>80</v>
      </c>
      <c r="E2" s="67">
        <v>280262</v>
      </c>
      <c r="F2" s="67">
        <v>281385</v>
      </c>
      <c r="G2" s="68">
        <f>F2-E2</f>
        <v>1123</v>
      </c>
      <c r="H2" s="69"/>
      <c r="J2" s="187">
        <v>6</v>
      </c>
      <c r="K2" s="66" t="s">
        <v>80</v>
      </c>
      <c r="L2" s="67">
        <v>281385</v>
      </c>
      <c r="M2" s="67">
        <v>283246</v>
      </c>
      <c r="N2" s="68">
        <f>M2-L2</f>
        <v>1861</v>
      </c>
      <c r="O2" s="69"/>
    </row>
    <row r="3" spans="2:15" ht="15" x14ac:dyDescent="0.2">
      <c r="B3" s="62"/>
      <c r="C3" s="189"/>
      <c r="D3" s="66" t="s">
        <v>81</v>
      </c>
      <c r="E3" s="67">
        <v>242725</v>
      </c>
      <c r="F3" s="67">
        <v>243779</v>
      </c>
      <c r="G3" s="68">
        <f t="shared" ref="G3:G43" si="0">F3-E3</f>
        <v>1054</v>
      </c>
      <c r="H3" s="69"/>
      <c r="J3" s="189"/>
      <c r="K3" s="66" t="s">
        <v>81</v>
      </c>
      <c r="L3" s="67">
        <v>243779</v>
      </c>
      <c r="M3" s="67">
        <v>245142</v>
      </c>
      <c r="N3" s="68">
        <f t="shared" ref="N3:N60" si="1">M3-L3</f>
        <v>1363</v>
      </c>
      <c r="O3" s="69"/>
    </row>
    <row r="4" spans="2:15" ht="15" x14ac:dyDescent="0.2">
      <c r="B4" s="62"/>
      <c r="C4" s="188"/>
      <c r="D4" s="66" t="s">
        <v>82</v>
      </c>
      <c r="E4" s="67">
        <v>190541</v>
      </c>
      <c r="F4" s="67">
        <v>191088</v>
      </c>
      <c r="G4" s="68">
        <f t="shared" si="0"/>
        <v>547</v>
      </c>
      <c r="H4" s="69"/>
      <c r="J4" s="188"/>
      <c r="K4" s="66" t="s">
        <v>82</v>
      </c>
      <c r="L4" s="67">
        <v>191088</v>
      </c>
      <c r="M4" s="67">
        <v>192356</v>
      </c>
      <c r="N4" s="68">
        <f t="shared" si="1"/>
        <v>1268</v>
      </c>
      <c r="O4" s="69"/>
    </row>
    <row r="5" spans="2:15" ht="15" x14ac:dyDescent="0.2">
      <c r="B5" s="62"/>
      <c r="C5" s="187">
        <v>7</v>
      </c>
      <c r="D5" s="66" t="s">
        <v>80</v>
      </c>
      <c r="E5" s="67">
        <v>241447</v>
      </c>
      <c r="F5" s="67">
        <v>242725</v>
      </c>
      <c r="G5" s="68">
        <f t="shared" si="0"/>
        <v>1278</v>
      </c>
      <c r="H5" s="69"/>
      <c r="J5" s="187">
        <v>7</v>
      </c>
      <c r="K5" s="66" t="s">
        <v>80</v>
      </c>
      <c r="L5" s="67">
        <v>242725</v>
      </c>
      <c r="M5" s="67">
        <v>245439</v>
      </c>
      <c r="N5" s="68">
        <f t="shared" si="1"/>
        <v>2714</v>
      </c>
      <c r="O5" s="69"/>
    </row>
    <row r="6" spans="2:15" ht="15" x14ac:dyDescent="0.2">
      <c r="B6" s="62"/>
      <c r="C6" s="189"/>
      <c r="D6" s="66" t="s">
        <v>81</v>
      </c>
      <c r="E6" s="67">
        <v>153709</v>
      </c>
      <c r="F6" s="67">
        <v>153801</v>
      </c>
      <c r="G6" s="68">
        <f t="shared" si="0"/>
        <v>92</v>
      </c>
      <c r="H6" s="69"/>
      <c r="J6" s="189"/>
      <c r="K6" s="66" t="s">
        <v>81</v>
      </c>
      <c r="L6" s="67">
        <v>153801</v>
      </c>
      <c r="M6" s="67">
        <v>153827</v>
      </c>
      <c r="N6" s="68">
        <f t="shared" si="1"/>
        <v>26</v>
      </c>
      <c r="O6" s="69"/>
    </row>
    <row r="7" spans="2:15" ht="15" x14ac:dyDescent="0.2">
      <c r="B7" s="62"/>
      <c r="C7" s="188"/>
      <c r="D7" s="66" t="s">
        <v>82</v>
      </c>
      <c r="E7" s="67">
        <v>119307</v>
      </c>
      <c r="F7" s="67">
        <v>120067</v>
      </c>
      <c r="G7" s="68">
        <f t="shared" si="0"/>
        <v>760</v>
      </c>
      <c r="H7" s="69"/>
      <c r="J7" s="188"/>
      <c r="K7" s="66" t="s">
        <v>82</v>
      </c>
      <c r="L7" s="67">
        <v>120067</v>
      </c>
      <c r="M7" s="67">
        <v>121622</v>
      </c>
      <c r="N7" s="68">
        <f t="shared" si="1"/>
        <v>1555</v>
      </c>
      <c r="O7" s="69"/>
    </row>
    <row r="8" spans="2:15" ht="15" x14ac:dyDescent="0.2">
      <c r="B8" s="62"/>
      <c r="C8" s="187">
        <v>8</v>
      </c>
      <c r="D8" s="66" t="s">
        <v>80</v>
      </c>
      <c r="E8" s="67">
        <v>72845</v>
      </c>
      <c r="F8" s="67">
        <v>73064</v>
      </c>
      <c r="G8" s="68">
        <f t="shared" si="0"/>
        <v>219</v>
      </c>
      <c r="H8" s="69"/>
      <c r="J8" s="187">
        <v>8</v>
      </c>
      <c r="K8" s="66" t="s">
        <v>80</v>
      </c>
      <c r="L8" s="67">
        <v>73064</v>
      </c>
      <c r="M8" s="67">
        <v>75412</v>
      </c>
      <c r="N8" s="68">
        <f t="shared" si="1"/>
        <v>2348</v>
      </c>
      <c r="O8" s="69"/>
    </row>
    <row r="9" spans="2:15" ht="15" x14ac:dyDescent="0.2">
      <c r="B9" s="62"/>
      <c r="C9" s="189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89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88"/>
      <c r="D10" s="66" t="s">
        <v>82</v>
      </c>
      <c r="E10" s="67">
        <v>98137</v>
      </c>
      <c r="F10" s="67">
        <v>98822</v>
      </c>
      <c r="G10" s="68">
        <f t="shared" si="0"/>
        <v>685</v>
      </c>
      <c r="H10" s="69"/>
      <c r="J10" s="188"/>
      <c r="K10" s="66" t="s">
        <v>82</v>
      </c>
      <c r="L10" s="67">
        <v>98822</v>
      </c>
      <c r="M10" s="67">
        <v>99971</v>
      </c>
      <c r="N10" s="68">
        <f t="shared" si="1"/>
        <v>1149</v>
      </c>
      <c r="O10" s="69"/>
    </row>
    <row r="11" spans="2:15" ht="15" x14ac:dyDescent="0.2">
      <c r="B11" s="62"/>
      <c r="C11" s="187">
        <v>9</v>
      </c>
      <c r="D11" s="66" t="s">
        <v>80</v>
      </c>
      <c r="E11" s="67">
        <v>34639</v>
      </c>
      <c r="F11" s="67">
        <v>34694</v>
      </c>
      <c r="G11" s="68">
        <f t="shared" si="0"/>
        <v>55</v>
      </c>
      <c r="H11" s="69"/>
      <c r="J11" s="187">
        <v>9</v>
      </c>
      <c r="K11" s="66" t="s">
        <v>80</v>
      </c>
      <c r="L11" s="67">
        <v>34694</v>
      </c>
      <c r="M11" s="67">
        <v>34726</v>
      </c>
      <c r="N11" s="68">
        <f t="shared" si="1"/>
        <v>32</v>
      </c>
      <c r="O11" s="69"/>
    </row>
    <row r="12" spans="2:15" ht="15" x14ac:dyDescent="0.2">
      <c r="B12" s="62"/>
      <c r="C12" s="189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89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88"/>
      <c r="D13" s="66" t="s">
        <v>82</v>
      </c>
      <c r="E13" s="67">
        <v>28642</v>
      </c>
      <c r="F13" s="67">
        <v>28776</v>
      </c>
      <c r="G13" s="68">
        <f t="shared" si="0"/>
        <v>134</v>
      </c>
      <c r="H13" s="69"/>
      <c r="I13" s="71"/>
      <c r="J13" s="188"/>
      <c r="K13" s="66" t="s">
        <v>82</v>
      </c>
      <c r="L13" s="67">
        <v>28776</v>
      </c>
      <c r="M13" s="67">
        <v>28926</v>
      </c>
      <c r="N13" s="68">
        <f t="shared" si="1"/>
        <v>150</v>
      </c>
      <c r="O13" s="69"/>
    </row>
    <row r="14" spans="2:15" ht="15" x14ac:dyDescent="0.2">
      <c r="B14" s="62"/>
      <c r="C14" s="187">
        <v>10</v>
      </c>
      <c r="D14" s="66" t="s">
        <v>80</v>
      </c>
      <c r="E14" s="67">
        <v>197101</v>
      </c>
      <c r="F14" s="67">
        <v>198779</v>
      </c>
      <c r="G14" s="68">
        <f t="shared" si="0"/>
        <v>1678</v>
      </c>
      <c r="H14" s="69"/>
      <c r="I14" s="72"/>
      <c r="J14" s="187">
        <v>10</v>
      </c>
      <c r="K14" s="66" t="s">
        <v>80</v>
      </c>
      <c r="L14" s="67">
        <v>198779</v>
      </c>
      <c r="M14" s="67">
        <v>202553</v>
      </c>
      <c r="N14" s="68">
        <f t="shared" si="1"/>
        <v>3774</v>
      </c>
      <c r="O14" s="69"/>
    </row>
    <row r="15" spans="2:15" ht="15" x14ac:dyDescent="0.2">
      <c r="B15" s="62"/>
      <c r="C15" s="189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89"/>
      <c r="K15" s="66" t="s">
        <v>81</v>
      </c>
      <c r="L15" s="67">
        <v>7741</v>
      </c>
      <c r="M15" s="67">
        <v>7174</v>
      </c>
      <c r="N15" s="68">
        <f t="shared" si="1"/>
        <v>-567</v>
      </c>
      <c r="O15" s="69"/>
    </row>
    <row r="16" spans="2:15" ht="15" x14ac:dyDescent="0.2">
      <c r="B16" s="62"/>
      <c r="C16" s="188"/>
      <c r="D16" s="66" t="s">
        <v>82</v>
      </c>
      <c r="E16" s="67">
        <v>185938</v>
      </c>
      <c r="F16" s="67">
        <v>186735</v>
      </c>
      <c r="G16" s="68">
        <f t="shared" si="0"/>
        <v>797</v>
      </c>
      <c r="H16" s="69"/>
      <c r="I16" s="72"/>
      <c r="J16" s="188"/>
      <c r="K16" s="66" t="s">
        <v>82</v>
      </c>
      <c r="L16" s="67">
        <v>186735</v>
      </c>
      <c r="M16" s="67">
        <v>188697</v>
      </c>
      <c r="N16" s="68">
        <f t="shared" si="1"/>
        <v>1962</v>
      </c>
      <c r="O16" s="69"/>
    </row>
    <row r="17" spans="2:15" ht="15" x14ac:dyDescent="0.2">
      <c r="B17" s="62"/>
      <c r="C17" s="187">
        <v>11</v>
      </c>
      <c r="D17" s="66" t="s">
        <v>80</v>
      </c>
      <c r="E17" s="68">
        <v>64235</v>
      </c>
      <c r="F17" s="68">
        <v>64951</v>
      </c>
      <c r="G17" s="68">
        <f t="shared" si="0"/>
        <v>716</v>
      </c>
      <c r="H17" s="69"/>
      <c r="I17" s="72"/>
      <c r="J17" s="187">
        <v>11</v>
      </c>
      <c r="K17" s="66" t="s">
        <v>80</v>
      </c>
      <c r="L17" s="68">
        <v>64951</v>
      </c>
      <c r="M17" s="68">
        <v>66191</v>
      </c>
      <c r="N17" s="68">
        <f t="shared" si="1"/>
        <v>1240</v>
      </c>
      <c r="O17" s="69"/>
    </row>
    <row r="18" spans="2:15" ht="15" x14ac:dyDescent="0.2">
      <c r="B18" s="62"/>
      <c r="C18" s="189"/>
      <c r="D18" s="66" t="s">
        <v>81</v>
      </c>
      <c r="E18" s="68">
        <v>213386</v>
      </c>
      <c r="F18" s="68">
        <v>214391</v>
      </c>
      <c r="G18" s="68">
        <f t="shared" si="0"/>
        <v>1005</v>
      </c>
      <c r="H18" s="69"/>
      <c r="I18" s="72"/>
      <c r="J18" s="189"/>
      <c r="K18" s="66" t="s">
        <v>81</v>
      </c>
      <c r="L18" s="68">
        <v>214391</v>
      </c>
      <c r="M18" s="68">
        <v>215756</v>
      </c>
      <c r="N18" s="68">
        <f t="shared" si="1"/>
        <v>1365</v>
      </c>
      <c r="O18" s="69"/>
    </row>
    <row r="19" spans="2:15" ht="15" x14ac:dyDescent="0.2">
      <c r="B19" s="62"/>
      <c r="C19" s="188"/>
      <c r="D19" s="66" t="s">
        <v>82</v>
      </c>
      <c r="E19" s="67">
        <v>30683</v>
      </c>
      <c r="F19" s="67">
        <v>30758</v>
      </c>
      <c r="G19" s="68">
        <f t="shared" si="0"/>
        <v>75</v>
      </c>
      <c r="H19" s="69"/>
      <c r="I19" s="72"/>
      <c r="J19" s="188"/>
      <c r="K19" s="66" t="s">
        <v>82</v>
      </c>
      <c r="L19" s="67">
        <v>30758</v>
      </c>
      <c r="M19" s="67">
        <v>30919</v>
      </c>
      <c r="N19" s="68">
        <f t="shared" si="1"/>
        <v>161</v>
      </c>
      <c r="O19" s="69"/>
    </row>
    <row r="20" spans="2:15" ht="15" x14ac:dyDescent="0.2">
      <c r="B20" s="62"/>
      <c r="C20" s="187">
        <v>12</v>
      </c>
      <c r="D20" s="66" t="s">
        <v>80</v>
      </c>
      <c r="E20" s="150">
        <v>146008</v>
      </c>
      <c r="F20" s="150">
        <v>146144</v>
      </c>
      <c r="G20" s="68">
        <f t="shared" si="0"/>
        <v>136</v>
      </c>
      <c r="H20" s="69"/>
      <c r="I20" s="72"/>
      <c r="J20" s="187">
        <v>12</v>
      </c>
      <c r="K20" s="66" t="s">
        <v>80</v>
      </c>
      <c r="L20" s="150">
        <v>146144</v>
      </c>
      <c r="M20" s="150">
        <v>146382</v>
      </c>
      <c r="N20" s="68">
        <f t="shared" si="1"/>
        <v>238</v>
      </c>
      <c r="O20" s="69"/>
    </row>
    <row r="21" spans="2:15" ht="15" x14ac:dyDescent="0.2">
      <c r="B21" s="62"/>
      <c r="C21" s="189"/>
      <c r="D21" s="66" t="s">
        <v>81</v>
      </c>
      <c r="E21" s="67">
        <v>22414</v>
      </c>
      <c r="F21" s="67">
        <v>22438</v>
      </c>
      <c r="G21" s="68">
        <f t="shared" si="0"/>
        <v>24</v>
      </c>
      <c r="H21" s="69"/>
      <c r="I21" s="73" t="s">
        <v>12</v>
      </c>
      <c r="J21" s="189"/>
      <c r="K21" s="66" t="s">
        <v>81</v>
      </c>
      <c r="L21" s="67">
        <v>22438</v>
      </c>
      <c r="M21" s="67">
        <v>22483</v>
      </c>
      <c r="N21" s="68">
        <f t="shared" si="1"/>
        <v>45</v>
      </c>
      <c r="O21" s="69"/>
    </row>
    <row r="22" spans="2:15" ht="15" x14ac:dyDescent="0.2">
      <c r="B22" s="62"/>
      <c r="C22" s="188"/>
      <c r="D22" s="66" t="s">
        <v>82</v>
      </c>
      <c r="E22" s="67">
        <v>242715</v>
      </c>
      <c r="F22" s="67">
        <v>243056</v>
      </c>
      <c r="G22" s="68">
        <f t="shared" si="0"/>
        <v>341</v>
      </c>
      <c r="H22" s="69"/>
      <c r="I22" s="72"/>
      <c r="J22" s="188"/>
      <c r="K22" s="66" t="s">
        <v>82</v>
      </c>
      <c r="L22" s="67">
        <v>243056</v>
      </c>
      <c r="M22" s="67">
        <v>245112</v>
      </c>
      <c r="N22" s="68">
        <f t="shared" si="1"/>
        <v>2056</v>
      </c>
      <c r="O22" s="69"/>
    </row>
    <row r="23" spans="2:15" ht="15" x14ac:dyDescent="0.2">
      <c r="B23" s="62"/>
      <c r="C23" s="187">
        <v>14</v>
      </c>
      <c r="D23" s="66" t="s">
        <v>80</v>
      </c>
      <c r="E23" s="67">
        <v>116871</v>
      </c>
      <c r="F23" s="67">
        <v>117017</v>
      </c>
      <c r="G23" s="68">
        <f t="shared" si="0"/>
        <v>146</v>
      </c>
      <c r="H23" s="69"/>
      <c r="I23" s="72"/>
      <c r="J23" s="187">
        <v>14</v>
      </c>
      <c r="K23" s="66" t="s">
        <v>80</v>
      </c>
      <c r="L23" s="67">
        <v>117017</v>
      </c>
      <c r="M23" s="67">
        <v>117346</v>
      </c>
      <c r="N23" s="68">
        <f t="shared" si="1"/>
        <v>329</v>
      </c>
      <c r="O23" s="69"/>
    </row>
    <row r="24" spans="2:15" ht="15" x14ac:dyDescent="0.2">
      <c r="B24" s="62"/>
      <c r="C24" s="189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89"/>
      <c r="K24" s="66" t="s">
        <v>81</v>
      </c>
      <c r="L24" s="74">
        <v>23763</v>
      </c>
      <c r="M24" s="74">
        <v>25937</v>
      </c>
      <c r="N24" s="68">
        <f t="shared" si="1"/>
        <v>2174</v>
      </c>
      <c r="O24" s="69"/>
    </row>
    <row r="25" spans="2:15" ht="15" x14ac:dyDescent="0.2">
      <c r="B25" s="62"/>
      <c r="C25" s="188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88"/>
      <c r="K25" s="66" t="s">
        <v>82</v>
      </c>
      <c r="L25" s="67">
        <v>1999</v>
      </c>
      <c r="M25" s="67">
        <v>1767</v>
      </c>
      <c r="N25" s="68">
        <f t="shared" si="1"/>
        <v>-232</v>
      </c>
      <c r="O25" s="69"/>
    </row>
    <row r="26" spans="2:15" ht="15" x14ac:dyDescent="0.2">
      <c r="B26" s="62"/>
      <c r="C26" s="187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87">
        <v>15</v>
      </c>
      <c r="K26" s="66" t="s">
        <v>80</v>
      </c>
      <c r="L26" s="150">
        <v>39380</v>
      </c>
      <c r="M26" s="150">
        <v>39348</v>
      </c>
      <c r="N26" s="68">
        <f t="shared" si="1"/>
        <v>-32</v>
      </c>
      <c r="O26" s="69"/>
    </row>
    <row r="27" spans="2:15" ht="15" x14ac:dyDescent="0.2">
      <c r="B27" s="62"/>
      <c r="C27" s="189"/>
      <c r="D27" s="66" t="s">
        <v>81</v>
      </c>
      <c r="E27" s="67">
        <v>80522</v>
      </c>
      <c r="F27" s="67">
        <v>80886</v>
      </c>
      <c r="G27" s="68">
        <f t="shared" si="0"/>
        <v>364</v>
      </c>
      <c r="H27" s="69"/>
      <c r="I27" s="73" t="s">
        <v>12</v>
      </c>
      <c r="J27" s="189"/>
      <c r="K27" s="66" t="s">
        <v>81</v>
      </c>
      <c r="L27" s="67">
        <v>80886</v>
      </c>
      <c r="M27" s="67">
        <v>81676</v>
      </c>
      <c r="N27" s="68">
        <f t="shared" si="1"/>
        <v>790</v>
      </c>
      <c r="O27" s="69"/>
    </row>
    <row r="28" spans="2:15" ht="15" x14ac:dyDescent="0.2">
      <c r="B28" s="62"/>
      <c r="C28" s="188"/>
      <c r="D28" s="66" t="s">
        <v>82</v>
      </c>
      <c r="E28" s="67">
        <v>154238</v>
      </c>
      <c r="F28" s="67">
        <v>155292</v>
      </c>
      <c r="G28" s="68">
        <f t="shared" si="0"/>
        <v>1054</v>
      </c>
      <c r="H28" s="69"/>
      <c r="I28" s="72"/>
      <c r="J28" s="188"/>
      <c r="K28" s="66" t="s">
        <v>82</v>
      </c>
      <c r="L28" s="67">
        <v>155292</v>
      </c>
      <c r="M28" s="67">
        <v>157355</v>
      </c>
      <c r="N28" s="68">
        <f t="shared" si="1"/>
        <v>2063</v>
      </c>
      <c r="O28" s="69"/>
    </row>
    <row r="29" spans="2:15" ht="15" x14ac:dyDescent="0.2">
      <c r="B29" s="62"/>
      <c r="C29" s="187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87">
        <v>16</v>
      </c>
      <c r="K29" s="66" t="s">
        <v>80</v>
      </c>
      <c r="L29" s="150">
        <v>97965</v>
      </c>
      <c r="M29" s="150">
        <v>97792</v>
      </c>
      <c r="N29" s="68">
        <f t="shared" si="1"/>
        <v>-173</v>
      </c>
      <c r="O29" s="70" t="s">
        <v>12</v>
      </c>
    </row>
    <row r="30" spans="2:15" ht="15" x14ac:dyDescent="0.2">
      <c r="B30" s="62"/>
      <c r="C30" s="189"/>
      <c r="D30" s="66" t="s">
        <v>81</v>
      </c>
      <c r="E30" s="150">
        <v>59824</v>
      </c>
      <c r="F30" s="150">
        <v>60065</v>
      </c>
      <c r="G30" s="68">
        <f t="shared" si="0"/>
        <v>241</v>
      </c>
      <c r="H30" s="69"/>
      <c r="I30" s="72"/>
      <c r="J30" s="189"/>
      <c r="K30" s="66" t="s">
        <v>81</v>
      </c>
      <c r="L30" s="150">
        <v>60065</v>
      </c>
      <c r="M30" s="150">
        <v>60464</v>
      </c>
      <c r="N30" s="68">
        <f t="shared" si="1"/>
        <v>399</v>
      </c>
      <c r="O30" s="69"/>
    </row>
    <row r="31" spans="2:15" ht="15" x14ac:dyDescent="0.2">
      <c r="B31" s="62"/>
      <c r="C31" s="188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88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87">
        <v>17</v>
      </c>
      <c r="D32" s="66" t="s">
        <v>80</v>
      </c>
      <c r="E32" s="67">
        <v>32768</v>
      </c>
      <c r="F32" s="67">
        <v>33108</v>
      </c>
      <c r="G32" s="68">
        <f t="shared" si="0"/>
        <v>340</v>
      </c>
      <c r="H32" s="69"/>
      <c r="I32" s="72"/>
      <c r="J32" s="187">
        <v>17</v>
      </c>
      <c r="K32" s="66" t="s">
        <v>80</v>
      </c>
      <c r="L32" s="67">
        <v>33108</v>
      </c>
      <c r="M32" s="67">
        <v>34035</v>
      </c>
      <c r="N32" s="68">
        <f t="shared" si="1"/>
        <v>927</v>
      </c>
      <c r="O32" s="69"/>
    </row>
    <row r="33" spans="2:15" ht="15" x14ac:dyDescent="0.2">
      <c r="B33" s="62"/>
      <c r="C33" s="189"/>
      <c r="D33" s="66" t="s">
        <v>81</v>
      </c>
      <c r="E33" s="67">
        <v>64149</v>
      </c>
      <c r="F33" s="67">
        <v>64190</v>
      </c>
      <c r="G33" s="68">
        <f t="shared" si="0"/>
        <v>41</v>
      </c>
      <c r="H33" s="69"/>
      <c r="I33" s="72"/>
      <c r="J33" s="189"/>
      <c r="K33" s="66" t="s">
        <v>81</v>
      </c>
      <c r="L33" s="67">
        <v>64190</v>
      </c>
      <c r="M33" s="67">
        <v>64134</v>
      </c>
      <c r="N33" s="68">
        <f t="shared" si="1"/>
        <v>-56</v>
      </c>
      <c r="O33" s="69"/>
    </row>
    <row r="34" spans="2:15" ht="15" x14ac:dyDescent="0.2">
      <c r="B34" s="62"/>
      <c r="C34" s="188"/>
      <c r="D34" s="66" t="s">
        <v>82</v>
      </c>
      <c r="E34" s="67">
        <v>11579</v>
      </c>
      <c r="F34" s="67">
        <v>11664</v>
      </c>
      <c r="G34" s="68">
        <f t="shared" si="0"/>
        <v>85</v>
      </c>
      <c r="H34" s="75"/>
      <c r="I34" s="72"/>
      <c r="J34" s="188"/>
      <c r="K34" s="66" t="s">
        <v>82</v>
      </c>
      <c r="L34" s="67">
        <v>11664</v>
      </c>
      <c r="M34" s="67">
        <v>83366</v>
      </c>
      <c r="N34" s="68">
        <f t="shared" si="1"/>
        <v>71702</v>
      </c>
      <c r="O34" s="75"/>
    </row>
    <row r="35" spans="2:15" ht="15" x14ac:dyDescent="0.2">
      <c r="B35" s="62"/>
      <c r="C35" s="187">
        <v>18</v>
      </c>
      <c r="D35" s="66" t="s">
        <v>80</v>
      </c>
      <c r="E35" s="67">
        <v>239144</v>
      </c>
      <c r="F35" s="67">
        <v>240194</v>
      </c>
      <c r="G35" s="68">
        <f t="shared" si="0"/>
        <v>1050</v>
      </c>
      <c r="H35" s="75"/>
      <c r="I35" s="72"/>
      <c r="J35" s="187">
        <v>18</v>
      </c>
      <c r="K35" s="66" t="s">
        <v>80</v>
      </c>
      <c r="L35" s="67">
        <v>240194</v>
      </c>
      <c r="M35" s="67">
        <v>243624</v>
      </c>
      <c r="N35" s="68">
        <f t="shared" si="1"/>
        <v>3430</v>
      </c>
      <c r="O35" s="75"/>
    </row>
    <row r="36" spans="2:15" ht="15" x14ac:dyDescent="0.2">
      <c r="B36" s="62"/>
      <c r="C36" s="189"/>
      <c r="D36" s="66" t="s">
        <v>81</v>
      </c>
      <c r="E36" s="74">
        <v>16836</v>
      </c>
      <c r="F36" s="74">
        <v>17660</v>
      </c>
      <c r="G36" s="68">
        <f t="shared" si="0"/>
        <v>824</v>
      </c>
      <c r="H36" s="69"/>
      <c r="I36" s="72"/>
      <c r="J36" s="189"/>
      <c r="K36" s="66" t="s">
        <v>81</v>
      </c>
      <c r="L36" s="74">
        <v>17660</v>
      </c>
      <c r="M36" s="74">
        <v>17660</v>
      </c>
      <c r="N36" s="68">
        <f t="shared" si="1"/>
        <v>0</v>
      </c>
      <c r="O36" s="69"/>
    </row>
    <row r="37" spans="2:15" ht="15" x14ac:dyDescent="0.2">
      <c r="B37" s="62"/>
      <c r="C37" s="188"/>
      <c r="D37" s="66" t="s">
        <v>82</v>
      </c>
      <c r="E37" s="67">
        <v>78775</v>
      </c>
      <c r="F37" s="67">
        <v>80127</v>
      </c>
      <c r="G37" s="68">
        <f t="shared" si="0"/>
        <v>1352</v>
      </c>
      <c r="H37" s="69"/>
      <c r="I37" s="72"/>
      <c r="J37" s="188"/>
      <c r="K37" s="66" t="s">
        <v>82</v>
      </c>
      <c r="L37" s="67">
        <v>80127</v>
      </c>
      <c r="M37" s="67">
        <v>83790</v>
      </c>
      <c r="N37" s="68">
        <f t="shared" si="1"/>
        <v>3663</v>
      </c>
      <c r="O37" s="69"/>
    </row>
    <row r="38" spans="2:15" ht="15" x14ac:dyDescent="0.2">
      <c r="B38" s="62"/>
      <c r="C38" s="187">
        <v>19</v>
      </c>
      <c r="D38" s="66" t="s">
        <v>80</v>
      </c>
      <c r="E38" s="67">
        <v>21552</v>
      </c>
      <c r="F38" s="67">
        <v>21717</v>
      </c>
      <c r="G38" s="68">
        <f t="shared" si="0"/>
        <v>165</v>
      </c>
      <c r="H38" s="69"/>
      <c r="I38" s="72"/>
      <c r="J38" s="187">
        <v>19</v>
      </c>
      <c r="K38" s="66" t="s">
        <v>80</v>
      </c>
      <c r="L38" s="67">
        <v>21717</v>
      </c>
      <c r="M38" s="67">
        <v>22092</v>
      </c>
      <c r="N38" s="68">
        <f t="shared" si="1"/>
        <v>375</v>
      </c>
      <c r="O38" s="69"/>
    </row>
    <row r="39" spans="2:15" ht="15" x14ac:dyDescent="0.2">
      <c r="B39" s="62"/>
      <c r="C39" s="189"/>
      <c r="D39" s="66" t="s">
        <v>81</v>
      </c>
      <c r="E39" s="150">
        <v>83126</v>
      </c>
      <c r="F39" s="150">
        <v>83384</v>
      </c>
      <c r="G39" s="68">
        <f t="shared" si="0"/>
        <v>258</v>
      </c>
      <c r="H39" s="75"/>
      <c r="I39" s="72"/>
      <c r="J39" s="189"/>
      <c r="K39" s="66" t="s">
        <v>81</v>
      </c>
      <c r="L39" s="150">
        <v>83384</v>
      </c>
      <c r="M39" s="150">
        <v>53053</v>
      </c>
      <c r="N39" s="68">
        <f t="shared" si="1"/>
        <v>-30331</v>
      </c>
      <c r="O39" s="75"/>
    </row>
    <row r="40" spans="2:15" ht="15" x14ac:dyDescent="0.2">
      <c r="B40" s="62"/>
      <c r="C40" s="188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88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87">
        <v>20</v>
      </c>
      <c r="D41" s="66" t="s">
        <v>80</v>
      </c>
      <c r="E41" s="67">
        <v>118849</v>
      </c>
      <c r="F41" s="67">
        <v>119121</v>
      </c>
      <c r="G41" s="68">
        <f t="shared" si="0"/>
        <v>272</v>
      </c>
      <c r="H41" s="69"/>
      <c r="I41" s="72"/>
      <c r="J41" s="187">
        <v>20</v>
      </c>
      <c r="K41" s="66" t="s">
        <v>80</v>
      </c>
      <c r="L41" s="67">
        <v>119121</v>
      </c>
      <c r="M41" s="67">
        <v>119626</v>
      </c>
      <c r="N41" s="68">
        <f t="shared" si="1"/>
        <v>505</v>
      </c>
      <c r="O41" s="69"/>
    </row>
    <row r="42" spans="2:15" ht="15" x14ac:dyDescent="0.2">
      <c r="B42" s="62"/>
      <c r="C42" s="189"/>
      <c r="D42" s="66" t="s">
        <v>81</v>
      </c>
      <c r="E42" s="150">
        <v>69099</v>
      </c>
      <c r="F42" s="150">
        <v>69249</v>
      </c>
      <c r="G42" s="68">
        <f t="shared" si="0"/>
        <v>150</v>
      </c>
      <c r="H42" s="69"/>
      <c r="J42" s="189"/>
      <c r="K42" s="66" t="s">
        <v>81</v>
      </c>
      <c r="L42" s="150">
        <v>69249</v>
      </c>
      <c r="M42" s="150">
        <v>66556</v>
      </c>
      <c r="N42" s="68">
        <f t="shared" si="1"/>
        <v>-2693</v>
      </c>
      <c r="O42" s="69"/>
    </row>
    <row r="43" spans="2:15" ht="15" x14ac:dyDescent="0.2">
      <c r="B43" s="62"/>
      <c r="C43" s="188"/>
      <c r="D43" s="66" t="s">
        <v>82</v>
      </c>
      <c r="E43" s="67">
        <v>3298</v>
      </c>
      <c r="F43" s="67">
        <v>3298</v>
      </c>
      <c r="G43" s="68">
        <f t="shared" si="0"/>
        <v>0</v>
      </c>
      <c r="H43" s="69"/>
      <c r="J43" s="188"/>
      <c r="K43" s="66" t="s">
        <v>82</v>
      </c>
      <c r="L43" s="67">
        <v>3298</v>
      </c>
      <c r="M43" s="67">
        <v>3312</v>
      </c>
      <c r="N43" s="68">
        <f t="shared" si="1"/>
        <v>14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87">
        <v>21</v>
      </c>
      <c r="D45" s="80" t="s">
        <v>83</v>
      </c>
      <c r="E45" s="67">
        <v>3468</v>
      </c>
      <c r="F45" s="67">
        <v>3511</v>
      </c>
      <c r="G45" s="68">
        <f t="shared" ref="G45:G50" si="2">F45-E45</f>
        <v>43</v>
      </c>
      <c r="H45" s="70" t="s">
        <v>12</v>
      </c>
      <c r="J45" s="187">
        <v>21</v>
      </c>
      <c r="K45" s="80" t="s">
        <v>83</v>
      </c>
      <c r="L45" s="67">
        <v>3511</v>
      </c>
      <c r="M45" s="67">
        <v>3585</v>
      </c>
      <c r="N45" s="68">
        <f t="shared" si="1"/>
        <v>74</v>
      </c>
      <c r="O45" s="70" t="s">
        <v>12</v>
      </c>
    </row>
    <row r="46" spans="2:15" ht="15" x14ac:dyDescent="0.2">
      <c r="B46" s="62"/>
      <c r="C46" s="189"/>
      <c r="D46" s="80" t="s">
        <v>82</v>
      </c>
      <c r="E46" s="67">
        <v>38755</v>
      </c>
      <c r="F46" s="67">
        <v>39537</v>
      </c>
      <c r="G46" s="68">
        <f t="shared" si="2"/>
        <v>782</v>
      </c>
      <c r="H46" s="69"/>
      <c r="J46" s="189"/>
      <c r="K46" s="80" t="s">
        <v>82</v>
      </c>
      <c r="L46" s="67">
        <v>39537</v>
      </c>
      <c r="M46" s="67">
        <v>41106</v>
      </c>
      <c r="N46" s="68">
        <f t="shared" si="1"/>
        <v>1569</v>
      </c>
      <c r="O46" s="69"/>
    </row>
    <row r="47" spans="2:15" ht="15" x14ac:dyDescent="0.2">
      <c r="B47" s="62"/>
      <c r="C47" s="187">
        <v>22</v>
      </c>
      <c r="D47" s="80" t="s">
        <v>83</v>
      </c>
      <c r="E47" s="81">
        <v>13941</v>
      </c>
      <c r="F47" s="81">
        <v>13941</v>
      </c>
      <c r="G47" s="68">
        <f t="shared" si="2"/>
        <v>0</v>
      </c>
      <c r="H47" s="69"/>
      <c r="I47" t="s">
        <v>12</v>
      </c>
      <c r="J47" s="187">
        <v>22</v>
      </c>
      <c r="K47" s="80" t="s">
        <v>83</v>
      </c>
      <c r="L47" s="81">
        <v>13941</v>
      </c>
      <c r="M47" s="81">
        <v>13642</v>
      </c>
      <c r="N47" s="68">
        <f t="shared" si="1"/>
        <v>-299</v>
      </c>
      <c r="O47" s="69"/>
    </row>
    <row r="48" spans="2:15" ht="15" x14ac:dyDescent="0.2">
      <c r="B48" s="62"/>
      <c r="C48" s="189"/>
      <c r="D48" s="80" t="s">
        <v>82</v>
      </c>
      <c r="E48" s="81">
        <v>19792</v>
      </c>
      <c r="F48" s="81">
        <v>19942</v>
      </c>
      <c r="G48" s="68">
        <f t="shared" si="2"/>
        <v>150</v>
      </c>
      <c r="H48" s="69"/>
      <c r="J48" s="189"/>
      <c r="K48" s="80" t="s">
        <v>82</v>
      </c>
      <c r="L48" s="81">
        <v>19942</v>
      </c>
      <c r="M48" s="81">
        <v>20213</v>
      </c>
      <c r="N48" s="68">
        <f t="shared" si="1"/>
        <v>271</v>
      </c>
      <c r="O48" s="69"/>
    </row>
    <row r="49" spans="1:15" ht="15" x14ac:dyDescent="0.2">
      <c r="B49" s="62"/>
      <c r="C49" s="187">
        <v>23</v>
      </c>
      <c r="D49" s="66" t="s">
        <v>83</v>
      </c>
      <c r="E49" s="81"/>
      <c r="F49" s="81"/>
      <c r="G49" s="68">
        <f t="shared" si="2"/>
        <v>0</v>
      </c>
      <c r="H49" s="69"/>
      <c r="J49" s="187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89"/>
      <c r="D50" s="66" t="s">
        <v>82</v>
      </c>
      <c r="E50" s="81"/>
      <c r="F50" s="81"/>
      <c r="G50" s="68">
        <f t="shared" si="2"/>
        <v>0</v>
      </c>
      <c r="H50" s="69"/>
      <c r="J50" s="189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90">
        <v>24</v>
      </c>
      <c r="D52" s="66" t="s">
        <v>84</v>
      </c>
      <c r="E52" s="150">
        <v>242334</v>
      </c>
      <c r="F52" s="150">
        <v>243404</v>
      </c>
      <c r="G52" s="68">
        <f t="shared" ref="G52:G60" si="3">F52-E52</f>
        <v>1070</v>
      </c>
      <c r="H52" s="83"/>
      <c r="J52" s="190">
        <v>24</v>
      </c>
      <c r="K52" s="66" t="s">
        <v>84</v>
      </c>
      <c r="L52" s="150">
        <v>243404</v>
      </c>
      <c r="M52" s="150">
        <v>245344</v>
      </c>
      <c r="N52" s="68">
        <f t="shared" si="1"/>
        <v>1940</v>
      </c>
      <c r="O52" s="83"/>
    </row>
    <row r="53" spans="1:15" ht="15" x14ac:dyDescent="0.2">
      <c r="B53" s="62"/>
      <c r="C53" s="191"/>
      <c r="D53" s="66" t="s">
        <v>85</v>
      </c>
      <c r="E53" s="150">
        <v>536218</v>
      </c>
      <c r="F53" s="150">
        <v>536689</v>
      </c>
      <c r="G53" s="68">
        <f t="shared" si="3"/>
        <v>471</v>
      </c>
      <c r="H53" s="75"/>
      <c r="J53" s="191"/>
      <c r="K53" s="66" t="s">
        <v>85</v>
      </c>
      <c r="L53" s="150">
        <v>536689</v>
      </c>
      <c r="M53" s="150">
        <v>237646</v>
      </c>
      <c r="N53" s="68">
        <f t="shared" si="1"/>
        <v>-299043</v>
      </c>
      <c r="O53" s="75"/>
    </row>
    <row r="54" spans="1:15" ht="15" x14ac:dyDescent="0.2">
      <c r="B54" s="62"/>
      <c r="C54" s="192"/>
      <c r="D54" s="66" t="s">
        <v>84</v>
      </c>
      <c r="E54" s="150">
        <v>34567</v>
      </c>
      <c r="F54" s="150">
        <v>34567</v>
      </c>
      <c r="G54" s="68">
        <f t="shared" si="3"/>
        <v>0</v>
      </c>
      <c r="H54" s="84" t="s">
        <v>12</v>
      </c>
      <c r="J54" s="192"/>
      <c r="K54" s="66" t="s">
        <v>84</v>
      </c>
      <c r="L54" s="150">
        <v>34567</v>
      </c>
      <c r="M54" s="150">
        <v>34557</v>
      </c>
      <c r="N54" s="68">
        <f t="shared" si="1"/>
        <v>-10</v>
      </c>
      <c r="O54" s="84" t="s">
        <v>12</v>
      </c>
    </row>
    <row r="55" spans="1:15" ht="15" x14ac:dyDescent="0.2">
      <c r="B55" s="62"/>
      <c r="C55" s="187">
        <v>25</v>
      </c>
      <c r="D55" s="66" t="s">
        <v>84</v>
      </c>
      <c r="E55" s="81">
        <v>330</v>
      </c>
      <c r="F55" s="81">
        <v>330</v>
      </c>
      <c r="G55" s="68">
        <f t="shared" si="3"/>
        <v>0</v>
      </c>
      <c r="H55" s="69"/>
      <c r="J55" s="187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88"/>
      <c r="D56" s="66" t="s">
        <v>85</v>
      </c>
      <c r="E56" s="81">
        <v>3</v>
      </c>
      <c r="F56" s="81">
        <v>3</v>
      </c>
      <c r="G56" s="68">
        <f t="shared" si="3"/>
        <v>0</v>
      </c>
      <c r="H56" s="69"/>
      <c r="J56" s="188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87">
        <v>26</v>
      </c>
      <c r="D57" s="66" t="s">
        <v>84</v>
      </c>
      <c r="E57" s="67">
        <v>706781</v>
      </c>
      <c r="F57" s="67">
        <v>709819</v>
      </c>
      <c r="G57" s="68">
        <f t="shared" si="3"/>
        <v>3038</v>
      </c>
      <c r="H57" s="69"/>
      <c r="J57" s="187">
        <v>26</v>
      </c>
      <c r="K57" s="66" t="s">
        <v>84</v>
      </c>
      <c r="L57" s="67">
        <v>709819</v>
      </c>
      <c r="M57" s="67">
        <v>716183</v>
      </c>
      <c r="N57" s="68">
        <f t="shared" si="1"/>
        <v>6364</v>
      </c>
      <c r="O57" s="69"/>
    </row>
    <row r="58" spans="1:15" ht="15" x14ac:dyDescent="0.2">
      <c r="A58" s="72"/>
      <c r="B58" s="62"/>
      <c r="C58" s="188"/>
      <c r="D58" s="66" t="s">
        <v>85</v>
      </c>
      <c r="E58" s="67">
        <v>775701</v>
      </c>
      <c r="F58" s="67">
        <v>779269</v>
      </c>
      <c r="G58" s="68">
        <f t="shared" si="3"/>
        <v>3568</v>
      </c>
      <c r="H58" s="75"/>
      <c r="I58" s="72"/>
      <c r="J58" s="188"/>
      <c r="K58" s="66" t="s">
        <v>85</v>
      </c>
      <c r="L58" s="67">
        <v>779269</v>
      </c>
      <c r="M58" s="67">
        <v>786793</v>
      </c>
      <c r="N58" s="68">
        <f t="shared" si="1"/>
        <v>7524</v>
      </c>
      <c r="O58" s="75"/>
    </row>
    <row r="59" spans="1:15" ht="15" x14ac:dyDescent="0.2">
      <c r="A59" s="72"/>
      <c r="B59" s="62"/>
      <c r="C59" s="187">
        <v>27</v>
      </c>
      <c r="D59" s="66" t="s">
        <v>84</v>
      </c>
      <c r="E59" s="67">
        <v>239540</v>
      </c>
      <c r="F59" s="67">
        <v>240561</v>
      </c>
      <c r="G59" s="68">
        <f t="shared" si="3"/>
        <v>1021</v>
      </c>
      <c r="H59" s="69"/>
      <c r="I59" s="72"/>
      <c r="J59" s="187">
        <v>27</v>
      </c>
      <c r="K59" s="66" t="s">
        <v>84</v>
      </c>
      <c r="L59" s="67">
        <v>240561</v>
      </c>
      <c r="M59" s="67">
        <v>242888</v>
      </c>
      <c r="N59" s="68">
        <f t="shared" si="1"/>
        <v>2327</v>
      </c>
      <c r="O59" s="69"/>
    </row>
    <row r="60" spans="1:15" ht="15" x14ac:dyDescent="0.2">
      <c r="A60" s="72"/>
      <c r="B60" s="62"/>
      <c r="C60" s="188"/>
      <c r="D60" s="66" t="s">
        <v>85</v>
      </c>
      <c r="E60" s="67">
        <v>99246</v>
      </c>
      <c r="F60" s="67">
        <v>100967</v>
      </c>
      <c r="G60" s="68">
        <f t="shared" si="3"/>
        <v>1721</v>
      </c>
      <c r="H60" s="69"/>
      <c r="I60" s="72"/>
      <c r="J60" s="188"/>
      <c r="K60" s="66" t="s">
        <v>85</v>
      </c>
      <c r="L60" s="67">
        <v>100967</v>
      </c>
      <c r="M60" s="67">
        <v>102293</v>
      </c>
      <c r="N60" s="68">
        <f t="shared" si="1"/>
        <v>1326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87">
        <v>28</v>
      </c>
      <c r="D62" s="196" t="s">
        <v>86</v>
      </c>
      <c r="E62" s="67"/>
      <c r="F62" s="67"/>
      <c r="G62" s="68"/>
      <c r="H62" s="198" t="s">
        <v>87</v>
      </c>
      <c r="I62" s="72"/>
      <c r="J62" s="187">
        <v>28</v>
      </c>
      <c r="K62" s="196" t="s">
        <v>86</v>
      </c>
      <c r="L62" s="67"/>
      <c r="M62" s="67"/>
      <c r="N62" s="68"/>
      <c r="O62" s="198" t="s">
        <v>87</v>
      </c>
    </row>
    <row r="63" spans="1:15" ht="15" x14ac:dyDescent="0.2">
      <c r="A63" s="72"/>
      <c r="B63" s="62"/>
      <c r="C63" s="188"/>
      <c r="D63" s="197"/>
      <c r="E63" s="67"/>
      <c r="F63" s="67"/>
      <c r="G63" s="68"/>
      <c r="H63" s="199"/>
      <c r="I63" s="72"/>
      <c r="J63" s="188"/>
      <c r="K63" s="197"/>
      <c r="L63" s="67"/>
      <c r="M63" s="67"/>
      <c r="N63" s="68"/>
      <c r="O63" s="199"/>
    </row>
    <row r="64" spans="1:15" x14ac:dyDescent="0.2">
      <c r="A64" s="72"/>
      <c r="B64" s="62"/>
      <c r="C64" s="200" t="s">
        <v>88</v>
      </c>
      <c r="D64" s="200"/>
      <c r="E64" s="200"/>
      <c r="F64" s="200"/>
      <c r="G64" s="86">
        <f>SUM(G2:G63)</f>
        <v>28925</v>
      </c>
      <c r="H64" s="87"/>
      <c r="I64" s="72"/>
      <c r="J64" s="200" t="s">
        <v>88</v>
      </c>
      <c r="K64" s="200"/>
      <c r="L64" s="200"/>
      <c r="M64" s="200"/>
      <c r="N64" s="86">
        <f>SUM(N2:N63)</f>
        <v>-202363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201">
        <v>44409</v>
      </c>
      <c r="C69" s="202"/>
      <c r="D69" s="202"/>
      <c r="E69" s="203"/>
      <c r="F69" s="90"/>
      <c r="G69" s="201">
        <v>44470</v>
      </c>
      <c r="H69" s="202"/>
      <c r="I69" s="202"/>
      <c r="J69" s="203"/>
      <c r="K69" s="90"/>
      <c r="L69" s="193" t="s">
        <v>25</v>
      </c>
      <c r="M69" s="194"/>
      <c r="N69" s="194"/>
      <c r="O69" s="195"/>
    </row>
    <row r="70" spans="1:15" ht="13.5" thickBot="1" x14ac:dyDescent="0.25">
      <c r="A70" s="88"/>
      <c r="B70" s="151" t="s">
        <v>139</v>
      </c>
      <c r="C70" s="151">
        <v>30</v>
      </c>
      <c r="D70" s="151" t="s">
        <v>89</v>
      </c>
      <c r="E70" s="151" t="s">
        <v>90</v>
      </c>
      <c r="F70" s="88"/>
      <c r="G70" s="151" t="s">
        <v>139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92813</v>
      </c>
      <c r="D71" s="94">
        <v>56584</v>
      </c>
      <c r="E71" s="95">
        <v>78901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0</v>
      </c>
      <c r="N71" s="96">
        <f>I71-D71</f>
        <v>0</v>
      </c>
      <c r="O71" s="96">
        <f>J71-E71</f>
        <v>0</v>
      </c>
    </row>
    <row r="72" spans="1:15" ht="15.75" thickBot="1" x14ac:dyDescent="0.25">
      <c r="A72" s="88"/>
      <c r="B72" s="92">
        <v>7</v>
      </c>
      <c r="C72" s="93">
        <v>97400</v>
      </c>
      <c r="D72" s="94">
        <v>104249</v>
      </c>
      <c r="E72" s="95">
        <v>64322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4">H72-C72</f>
        <v>0</v>
      </c>
      <c r="N72" s="96">
        <f t="shared" si="4"/>
        <v>0</v>
      </c>
      <c r="O72" s="96">
        <f t="shared" si="4"/>
        <v>0</v>
      </c>
    </row>
    <row r="73" spans="1:15" ht="15.75" thickBot="1" x14ac:dyDescent="0.25">
      <c r="A73" s="88"/>
      <c r="B73" s="92">
        <v>8</v>
      </c>
      <c r="C73" s="93">
        <v>113302</v>
      </c>
      <c r="D73" s="94">
        <v>251904</v>
      </c>
      <c r="E73" s="95">
        <v>109334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4"/>
        <v>0</v>
      </c>
      <c r="N73" s="96">
        <f t="shared" si="4"/>
        <v>0</v>
      </c>
      <c r="O73" s="96">
        <f t="shared" si="4"/>
        <v>0</v>
      </c>
    </row>
    <row r="74" spans="1:15" ht="15.75" thickBot="1" x14ac:dyDescent="0.25">
      <c r="A74" s="88"/>
      <c r="B74" s="92">
        <v>9</v>
      </c>
      <c r="C74" s="93">
        <v>68757</v>
      </c>
      <c r="D74" s="94">
        <v>152765</v>
      </c>
      <c r="E74" s="95">
        <v>155974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4"/>
        <v>0</v>
      </c>
      <c r="N74" s="96">
        <f t="shared" si="4"/>
        <v>0</v>
      </c>
      <c r="O74" s="96">
        <f t="shared" si="4"/>
        <v>0</v>
      </c>
    </row>
    <row r="75" spans="1:15" ht="15.75" thickBot="1" x14ac:dyDescent="0.25">
      <c r="A75" s="88"/>
      <c r="B75" s="92">
        <v>10</v>
      </c>
      <c r="C75" s="93">
        <v>72174</v>
      </c>
      <c r="D75" s="94">
        <v>113714</v>
      </c>
      <c r="E75" s="95">
        <v>147690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4"/>
        <v>0</v>
      </c>
      <c r="N75" s="96">
        <f t="shared" si="4"/>
        <v>0</v>
      </c>
      <c r="O75" s="96">
        <f t="shared" si="4"/>
        <v>0</v>
      </c>
    </row>
    <row r="76" spans="1:15" ht="15.75" thickBot="1" x14ac:dyDescent="0.25">
      <c r="A76" s="88"/>
      <c r="B76" s="92">
        <v>11</v>
      </c>
      <c r="C76" s="93">
        <v>154783</v>
      </c>
      <c r="D76" s="94">
        <v>184017</v>
      </c>
      <c r="E76" s="95">
        <v>212196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4"/>
        <v>0</v>
      </c>
      <c r="N76" s="96">
        <f t="shared" si="4"/>
        <v>0</v>
      </c>
      <c r="O76" s="96">
        <f t="shared" si="4"/>
        <v>0</v>
      </c>
    </row>
    <row r="77" spans="1:15" ht="15.75" thickBot="1" x14ac:dyDescent="0.25">
      <c r="A77" s="88"/>
      <c r="B77" s="92">
        <v>12</v>
      </c>
      <c r="C77" s="93">
        <v>149996</v>
      </c>
      <c r="D77" s="94">
        <v>96553</v>
      </c>
      <c r="E77" s="95">
        <v>100449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4"/>
        <v>0</v>
      </c>
      <c r="N77" s="96">
        <f>I77-D77</f>
        <v>0</v>
      </c>
      <c r="O77" s="96">
        <f t="shared" si="4"/>
        <v>0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48259</v>
      </c>
      <c r="E78" s="95">
        <v>51167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4"/>
        <v>0</v>
      </c>
      <c r="N78" s="96">
        <f t="shared" si="4"/>
        <v>0</v>
      </c>
      <c r="O78" s="96">
        <f t="shared" si="4"/>
        <v>0</v>
      </c>
    </row>
    <row r="79" spans="1:15" ht="15.75" thickBot="1" x14ac:dyDescent="0.25">
      <c r="A79" s="88"/>
      <c r="B79" s="92">
        <v>15</v>
      </c>
      <c r="C79" s="93">
        <v>169635</v>
      </c>
      <c r="D79" s="94">
        <v>148519</v>
      </c>
      <c r="E79" s="95">
        <v>158828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4"/>
        <v>0</v>
      </c>
      <c r="N79" s="96">
        <f t="shared" si="4"/>
        <v>0</v>
      </c>
      <c r="O79" s="96">
        <f t="shared" si="4"/>
        <v>0</v>
      </c>
    </row>
    <row r="80" spans="1:15" ht="15.75" thickBot="1" x14ac:dyDescent="0.25">
      <c r="A80" s="88"/>
      <c r="B80" s="92">
        <v>16</v>
      </c>
      <c r="C80" s="93">
        <v>122562</v>
      </c>
      <c r="D80" s="94">
        <v>147878</v>
      </c>
      <c r="E80" s="95">
        <v>216460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4"/>
        <v>0</v>
      </c>
      <c r="N80" s="96">
        <f t="shared" si="4"/>
        <v>0</v>
      </c>
      <c r="O80" s="96">
        <f t="shared" si="4"/>
        <v>0</v>
      </c>
    </row>
    <row r="81" spans="1:15" ht="15.75" thickBot="1" x14ac:dyDescent="0.25">
      <c r="A81" s="88"/>
      <c r="B81" s="92">
        <v>17</v>
      </c>
      <c r="C81" s="93">
        <v>38476</v>
      </c>
      <c r="D81" s="94">
        <v>86216</v>
      </c>
      <c r="E81" s="95">
        <v>202489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4"/>
        <v>0</v>
      </c>
      <c r="N81" s="96">
        <f t="shared" si="4"/>
        <v>0</v>
      </c>
      <c r="O81" s="96">
        <f t="shared" si="4"/>
        <v>0</v>
      </c>
    </row>
    <row r="82" spans="1:15" ht="15.75" thickBot="1" x14ac:dyDescent="0.25">
      <c r="A82" s="88"/>
      <c r="B82" s="92">
        <v>18</v>
      </c>
      <c r="C82" s="93">
        <v>137474</v>
      </c>
      <c r="D82" s="94">
        <v>72899</v>
      </c>
      <c r="E82" s="95">
        <v>164019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4"/>
        <v>0</v>
      </c>
      <c r="N82" s="96">
        <f t="shared" si="4"/>
        <v>0</v>
      </c>
      <c r="O82" s="96">
        <f t="shared" si="4"/>
        <v>0</v>
      </c>
    </row>
    <row r="83" spans="1:15" ht="15.75" thickBot="1" x14ac:dyDescent="0.25">
      <c r="A83" s="88"/>
      <c r="B83" s="92">
        <v>19</v>
      </c>
      <c r="C83" s="93">
        <v>76648</v>
      </c>
      <c r="D83" s="94">
        <v>171894</v>
      </c>
      <c r="E83" s="95">
        <v>123189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4"/>
        <v>0</v>
      </c>
      <c r="N83" s="96">
        <f t="shared" si="4"/>
        <v>0</v>
      </c>
      <c r="O83" s="96">
        <f t="shared" si="4"/>
        <v>0</v>
      </c>
    </row>
    <row r="84" spans="1:15" ht="15.75" thickBot="1" x14ac:dyDescent="0.25">
      <c r="A84" s="88"/>
      <c r="B84" s="92">
        <v>20</v>
      </c>
      <c r="C84" s="93">
        <v>144145</v>
      </c>
      <c r="D84" s="94">
        <v>174846</v>
      </c>
      <c r="E84" s="95">
        <v>88296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0</v>
      </c>
      <c r="N84" s="96">
        <f t="shared" si="4"/>
        <v>0</v>
      </c>
      <c r="O84" s="96">
        <f t="shared" si="4"/>
        <v>0</v>
      </c>
    </row>
    <row r="85" spans="1:15" ht="15.75" thickBot="1" x14ac:dyDescent="0.25">
      <c r="A85" s="88"/>
      <c r="B85" s="92">
        <v>21</v>
      </c>
      <c r="C85" s="93">
        <v>192087</v>
      </c>
      <c r="D85" s="94">
        <v>89374</v>
      </c>
      <c r="E85" s="95">
        <v>113214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4"/>
        <v>0</v>
      </c>
      <c r="N85" s="96">
        <f t="shared" si="4"/>
        <v>0</v>
      </c>
      <c r="O85" s="96">
        <f t="shared" si="4"/>
        <v>0</v>
      </c>
    </row>
    <row r="86" spans="1:15" ht="15.75" thickBot="1" x14ac:dyDescent="0.25">
      <c r="A86" s="88"/>
      <c r="B86" s="92">
        <v>22</v>
      </c>
      <c r="C86" s="93">
        <v>137553</v>
      </c>
      <c r="D86" s="94">
        <v>94869</v>
      </c>
      <c r="E86" s="95">
        <v>120503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4"/>
        <v>0</v>
      </c>
      <c r="N86" s="96">
        <f t="shared" si="4"/>
        <v>0</v>
      </c>
      <c r="O86" s="96">
        <f t="shared" si="4"/>
        <v>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290053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4"/>
        <v>0</v>
      </c>
      <c r="N87" s="96">
        <f t="shared" si="4"/>
        <v>0</v>
      </c>
      <c r="O87" s="96">
        <f t="shared" si="4"/>
        <v>0</v>
      </c>
    </row>
    <row r="88" spans="1:15" ht="15.75" thickBot="1" x14ac:dyDescent="0.25">
      <c r="A88" s="88"/>
      <c r="B88" s="92">
        <v>24</v>
      </c>
      <c r="C88" s="93">
        <v>78785</v>
      </c>
      <c r="D88" s="94">
        <v>151027</v>
      </c>
      <c r="E88" s="95">
        <v>101545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4"/>
        <v>0</v>
      </c>
      <c r="N88" s="96">
        <f t="shared" si="4"/>
        <v>0</v>
      </c>
      <c r="O88" s="96">
        <f>J88-E88</f>
        <v>0</v>
      </c>
    </row>
    <row r="89" spans="1:15" ht="15.75" thickBot="1" x14ac:dyDescent="0.25">
      <c r="A89" s="88"/>
      <c r="B89" s="92">
        <v>25</v>
      </c>
      <c r="C89" s="93">
        <v>120977</v>
      </c>
      <c r="D89" s="94">
        <v>179891</v>
      </c>
      <c r="E89" s="95">
        <v>162144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4"/>
        <v>0</v>
      </c>
      <c r="N89" s="96">
        <f t="shared" si="4"/>
        <v>0</v>
      </c>
      <c r="O89" s="96">
        <f>J89-E89</f>
        <v>0</v>
      </c>
    </row>
    <row r="90" spans="1:15" ht="15.75" thickBot="1" x14ac:dyDescent="0.25">
      <c r="A90" s="88"/>
      <c r="B90" s="92">
        <v>26</v>
      </c>
      <c r="C90" s="93">
        <v>113853</v>
      </c>
      <c r="D90" s="94">
        <v>51611</v>
      </c>
      <c r="E90" s="95">
        <v>54175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4"/>
        <v>0</v>
      </c>
      <c r="N90" s="96">
        <f t="shared" si="4"/>
        <v>0</v>
      </c>
      <c r="O90" s="96">
        <f t="shared" si="4"/>
        <v>0</v>
      </c>
    </row>
    <row r="91" spans="1:15" ht="15.75" thickBot="1" x14ac:dyDescent="0.25">
      <c r="A91" s="88"/>
      <c r="B91" s="92">
        <v>27</v>
      </c>
      <c r="C91" s="93">
        <v>102062</v>
      </c>
      <c r="D91" s="94">
        <v>108979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4"/>
        <v>0</v>
      </c>
      <c r="N91" s="96">
        <f t="shared" si="4"/>
        <v>0</v>
      </c>
      <c r="O91" s="96">
        <f t="shared" si="4"/>
        <v>0</v>
      </c>
    </row>
    <row r="92" spans="1:15" ht="15.75" thickBot="1" x14ac:dyDescent="0.25">
      <c r="A92" s="88"/>
      <c r="B92" s="92">
        <v>28</v>
      </c>
      <c r="C92" s="93">
        <v>195314</v>
      </c>
      <c r="D92" s="94">
        <v>102314</v>
      </c>
      <c r="E92" s="95">
        <v>111385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4"/>
        <v>0</v>
      </c>
      <c r="N92" s="96">
        <f t="shared" si="4"/>
        <v>0</v>
      </c>
      <c r="O92" s="96">
        <f t="shared" si="4"/>
        <v>0</v>
      </c>
    </row>
    <row r="93" spans="1:15" ht="15.75" thickBot="1" x14ac:dyDescent="0.25">
      <c r="A93" s="88"/>
      <c r="B93" s="92">
        <v>29</v>
      </c>
      <c r="C93" s="93"/>
      <c r="D93" s="94">
        <v>83853</v>
      </c>
      <c r="E93" s="95">
        <v>102313</v>
      </c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4"/>
        <v>0</v>
      </c>
      <c r="N93" s="96">
        <f t="shared" si="4"/>
        <v>0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4"/>
        <v>0</v>
      </c>
      <c r="N94" s="96">
        <f>I94-D94</f>
        <v>0</v>
      </c>
      <c r="O94" s="88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2021-11-15T01:28:52Z</dcterms:modified>
</cp:coreProperties>
</file>