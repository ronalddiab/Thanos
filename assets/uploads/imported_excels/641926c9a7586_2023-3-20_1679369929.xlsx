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1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H35" i="119"/>
  <c r="I32" i="117"/>
  <c r="F35" i="119"/>
  <c r="G32" i="117" s="1"/>
  <c r="D35" i="119"/>
  <c r="B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G11" i="117" s="1"/>
  <c r="F16" i="119"/>
  <c r="G13" i="117" s="1"/>
  <c r="F22" i="119"/>
  <c r="G19" i="117" s="1"/>
  <c r="F24" i="119"/>
  <c r="G21" i="117" s="1"/>
  <c r="D18" i="119"/>
  <c r="D26" i="119"/>
  <c r="D33" i="119"/>
  <c r="D34" i="119"/>
  <c r="F34" i="119"/>
  <c r="G31" i="117" s="1"/>
  <c r="H33" i="119"/>
  <c r="I30" i="117"/>
  <c r="F33" i="119"/>
  <c r="G30" i="117" s="1"/>
  <c r="H32" i="119"/>
  <c r="I29" i="117"/>
  <c r="F32" i="119"/>
  <c r="G29" i="117" s="1"/>
  <c r="D32" i="119"/>
  <c r="H31" i="119"/>
  <c r="I28" i="117" s="1"/>
  <c r="F31" i="119"/>
  <c r="G28" i="117" s="1"/>
  <c r="D31" i="119"/>
  <c r="H30" i="119"/>
  <c r="I27" i="117"/>
  <c r="F30" i="119"/>
  <c r="G27" i="117" s="1"/>
  <c r="D30" i="119"/>
  <c r="H29" i="119"/>
  <c r="I26" i="117" s="1"/>
  <c r="F29" i="119"/>
  <c r="G26" i="117" s="1"/>
  <c r="D29" i="119"/>
  <c r="H28" i="119"/>
  <c r="I25" i="117" s="1"/>
  <c r="F28" i="119"/>
  <c r="G25" i="117"/>
  <c r="D28" i="119"/>
  <c r="H27" i="119"/>
  <c r="I24" i="117" s="1"/>
  <c r="F27" i="119"/>
  <c r="G24" i="117" s="1"/>
  <c r="D27" i="119"/>
  <c r="H26" i="119"/>
  <c r="I23" i="117" s="1"/>
  <c r="F26" i="119"/>
  <c r="G23" i="117"/>
  <c r="H25" i="119"/>
  <c r="I22" i="117" s="1"/>
  <c r="F25" i="119"/>
  <c r="G22" i="117" s="1"/>
  <c r="D25" i="119"/>
  <c r="H24" i="119"/>
  <c r="I21" i="117" s="1"/>
  <c r="D24" i="119"/>
  <c r="H23" i="119"/>
  <c r="I20" i="117" s="1"/>
  <c r="F23" i="119"/>
  <c r="G20" i="117" s="1"/>
  <c r="D23" i="119"/>
  <c r="H22" i="119"/>
  <c r="I19" i="117" s="1"/>
  <c r="D22" i="119"/>
  <c r="H21" i="119"/>
  <c r="I18" i="117" s="1"/>
  <c r="F21" i="119"/>
  <c r="G18" i="117" s="1"/>
  <c r="D21" i="119"/>
  <c r="H20" i="119"/>
  <c r="I17" i="117" s="1"/>
  <c r="F20" i="119"/>
  <c r="G17" i="117" s="1"/>
  <c r="D20" i="119"/>
  <c r="H19" i="119"/>
  <c r="I16" i="117"/>
  <c r="F19" i="119"/>
  <c r="G16" i="117" s="1"/>
  <c r="D19" i="119"/>
  <c r="H18" i="119"/>
  <c r="I15" i="117" s="1"/>
  <c r="F18" i="119"/>
  <c r="G15" i="117" s="1"/>
  <c r="H17" i="119"/>
  <c r="I14" i="117" s="1"/>
  <c r="F17" i="119"/>
  <c r="G14" i="117" s="1"/>
  <c r="D17" i="119"/>
  <c r="H16" i="119"/>
  <c r="I13" i="117" s="1"/>
  <c r="D16" i="119"/>
  <c r="H15" i="119"/>
  <c r="I12" i="117" s="1"/>
  <c r="F15" i="119"/>
  <c r="G12" i="117" s="1"/>
  <c r="D15" i="119"/>
  <c r="H14" i="119"/>
  <c r="I11" i="117" s="1"/>
  <c r="D14" i="119"/>
  <c r="H13" i="119"/>
  <c r="I10" i="117" s="1"/>
  <c r="F13" i="119"/>
  <c r="G10" i="117" s="1"/>
  <c r="D13" i="119"/>
  <c r="H12" i="119"/>
  <c r="I9" i="117" s="1"/>
  <c r="F12" i="119"/>
  <c r="G9" i="117" s="1"/>
  <c r="D12" i="119"/>
  <c r="H11" i="119"/>
  <c r="I8" i="117" s="1"/>
  <c r="F11" i="119"/>
  <c r="G8" i="117" s="1"/>
  <c r="D11" i="119"/>
  <c r="H10" i="119"/>
  <c r="I7" i="117" s="1"/>
  <c r="F10" i="119"/>
  <c r="G7" i="117" s="1"/>
  <c r="D10" i="119"/>
  <c r="H9" i="119"/>
  <c r="I6" i="117" s="1"/>
  <c r="F9" i="119"/>
  <c r="G6" i="117" s="1"/>
  <c r="D9" i="119"/>
  <c r="H8" i="119"/>
  <c r="I5" i="117" s="1"/>
  <c r="F8" i="119"/>
  <c r="G5" i="117" s="1"/>
  <c r="D8" i="119"/>
  <c r="H7" i="119"/>
  <c r="I4" i="117"/>
  <c r="F7" i="119"/>
  <c r="G4" i="117" s="1"/>
  <c r="D7" i="119"/>
  <c r="H6" i="119"/>
  <c r="I3" i="117"/>
  <c r="F6" i="119"/>
  <c r="G3" i="117" s="1"/>
  <c r="D6" i="119"/>
  <c r="F5" i="119"/>
  <c r="G2" i="117" s="1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<sst xmlns="http://schemas.openxmlformats.org/spreadsheetml/2006/main" count="56" uniqueCount="25">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</sst>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Q16" sqref="Q16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10</v>
      </c>
      <c r="D2" s="7">
        <v>2021</v>
      </c>
      <c r="E2" s="9">
        <v>33834.999999999811</v>
      </c>
      <c r="F2" s="30">
        <v>0.69899999999999995</v>
      </c>
      <c r="G2" s="9">
        <f>'Shenzhen Daily'!F5</f>
        <v>1327</v>
      </c>
      <c r="H2" s="30">
        <v>4.3899999999999997</v>
      </c>
      <c r="I2" s="9">
        <f>'Shenzhen Daily'!H5</f>
        <v>472</v>
      </c>
      <c r="J2" s="30">
        <v>5.09</v>
      </c>
      <c r="K2" s="9">
        <f>'Shenzhen Daily'!I5</f>
        <v>195</v>
      </c>
      <c r="L2" s="9">
        <f>'Shenzhen Daily'!J5</f>
        <v>329</v>
      </c>
    </row>
    <row r="3" spans="1:12" ht="15" x14ac:dyDescent="0.25">
      <c r="A3" s="6" t="s">
        <v>22</v>
      </c>
      <c r="B3" s="7">
        <f>B2+1</f>
        <v>2</v>
      </c>
      <c r="C3" s="8">
        <v>10</v>
      </c>
      <c r="D3" s="7">
        <v>2021</v>
      </c>
      <c r="E3" s="9">
        <v>33842.000000001084</v>
      </c>
      <c r="F3" s="30">
        <v>0.69899999999999995</v>
      </c>
      <c r="G3" s="9">
        <f>'Shenzhen Daily'!F6</f>
        <v>1223</v>
      </c>
      <c r="H3" s="30">
        <v>4.3899999999999997</v>
      </c>
      <c r="I3" s="9">
        <f>'Shenzhen Daily'!H6</f>
        <v>481</v>
      </c>
      <c r="J3" s="30">
        <v>5.09</v>
      </c>
      <c r="K3" s="9">
        <f>'Shenzhen Daily'!I6</f>
        <v>264</v>
      </c>
      <c r="L3" s="9">
        <f>'Shenzhen Daily'!J6</f>
        <v>402</v>
      </c>
    </row>
    <row r="4" spans="1:12" ht="15" x14ac:dyDescent="0.25">
      <c r="A4" s="6" t="s">
        <v>22</v>
      </c>
      <c r="B4" s="7">
        <f t="shared" ref="B4:B32" si="0">B3+1</f>
        <v>3</v>
      </c>
      <c r="C4" s="8">
        <v>10</v>
      </c>
      <c r="D4" s="7">
        <v>2021</v>
      </c>
      <c r="E4" s="9">
        <v>35066.999999999593</v>
      </c>
      <c r="F4" s="30">
        <v>0.69899999999999995</v>
      </c>
      <c r="G4" s="9">
        <f>'Shenzhen Daily'!F7</f>
        <v>1445</v>
      </c>
      <c r="H4" s="30">
        <v>4.3899999999999997</v>
      </c>
      <c r="I4" s="9">
        <f>'Shenzhen Daily'!H7</f>
        <v>508</v>
      </c>
      <c r="J4" s="30">
        <v>5.09</v>
      </c>
      <c r="K4" s="9">
        <f>'Shenzhen Daily'!I7</f>
        <v>256</v>
      </c>
      <c r="L4" s="9">
        <f>'Shenzhen Daily'!J7</f>
        <v>488</v>
      </c>
    </row>
    <row r="5" spans="1:12" ht="15" x14ac:dyDescent="0.25">
      <c r="A5" s="6" t="s">
        <v>22</v>
      </c>
      <c r="B5" s="7">
        <f t="shared" si="0"/>
        <v>4</v>
      </c>
      <c r="C5" s="8">
        <v>10</v>
      </c>
      <c r="D5" s="7">
        <v>2021</v>
      </c>
      <c r="E5" s="9">
        <v>33226.000000000342</v>
      </c>
      <c r="F5" s="30">
        <v>0.69899999999999995</v>
      </c>
      <c r="G5" s="9">
        <f>'Shenzhen Daily'!F8</f>
        <v>1422</v>
      </c>
      <c r="H5" s="30">
        <v>4.3899999999999997</v>
      </c>
      <c r="I5" s="9">
        <f>'Shenzhen Daily'!H8</f>
        <v>562</v>
      </c>
      <c r="J5" s="30">
        <v>5.09</v>
      </c>
      <c r="K5" s="9">
        <f>'Shenzhen Daily'!I8</f>
        <v>235</v>
      </c>
      <c r="L5" s="9">
        <f>'Shenzhen Daily'!J8</f>
        <v>474</v>
      </c>
    </row>
    <row r="6" spans="1:12" ht="15" x14ac:dyDescent="0.25">
      <c r="A6" s="6" t="s">
        <v>22</v>
      </c>
      <c r="B6" s="7">
        <f t="shared" si="0"/>
        <v>5</v>
      </c>
      <c r="C6" s="8">
        <v>10</v>
      </c>
      <c r="D6" s="7">
        <v>2021</v>
      </c>
      <c r="E6" s="9">
        <v>37377.999999999753</v>
      </c>
      <c r="F6" s="30">
        <v>0.69899999999999995</v>
      </c>
      <c r="G6" s="9">
        <f>'Shenzhen Daily'!F9</f>
        <v>1445</v>
      </c>
      <c r="H6" s="30">
        <v>4.3899999999999997</v>
      </c>
      <c r="I6" s="9">
        <f>'Shenzhen Daily'!H9</f>
        <v>494</v>
      </c>
      <c r="J6" s="30">
        <v>5.09</v>
      </c>
      <c r="K6" s="9">
        <f>'Shenzhen Daily'!I9</f>
        <v>187</v>
      </c>
      <c r="L6" s="9">
        <f>'Shenzhen Daily'!J9</f>
        <v>483</v>
      </c>
    </row>
    <row r="7" spans="1:12" ht="15" x14ac:dyDescent="0.25">
      <c r="A7" s="6" t="s">
        <v>22</v>
      </c>
      <c r="B7" s="7">
        <f t="shared" si="0"/>
        <v>6</v>
      </c>
      <c r="C7" s="8">
        <v>10</v>
      </c>
      <c r="D7" s="7">
        <v>2021</v>
      </c>
      <c r="E7" s="9">
        <v>31272.999999999578</v>
      </c>
      <c r="F7" s="30">
        <v>0.69899999999999995</v>
      </c>
      <c r="G7" s="9">
        <f>'Shenzhen Daily'!F10</f>
        <v>1265</v>
      </c>
      <c r="H7" s="30">
        <v>4.3899999999999997</v>
      </c>
      <c r="I7" s="9">
        <f>'Shenzhen Daily'!H10</f>
        <v>427</v>
      </c>
      <c r="J7" s="30">
        <v>5.09</v>
      </c>
      <c r="K7" s="9">
        <f>'Shenzhen Daily'!I10</f>
        <v>126</v>
      </c>
      <c r="L7" s="9">
        <f>'Shenzhen Daily'!J10</f>
        <v>410</v>
      </c>
    </row>
    <row r="8" spans="1:12" ht="15" x14ac:dyDescent="0.25">
      <c r="A8" s="6" t="s">
        <v>22</v>
      </c>
      <c r="B8" s="7">
        <f t="shared" si="0"/>
        <v>7</v>
      </c>
      <c r="C8" s="8">
        <v>10</v>
      </c>
      <c r="D8" s="7">
        <v>2021</v>
      </c>
      <c r="E8" s="9">
        <v>31163.000000000135</v>
      </c>
      <c r="F8" s="30">
        <v>0.69899999999999995</v>
      </c>
      <c r="G8" s="9">
        <f>'Shenzhen Daily'!F11</f>
        <v>1034</v>
      </c>
      <c r="H8" s="30">
        <v>4.3899999999999997</v>
      </c>
      <c r="I8" s="9">
        <f>'Shenzhen Daily'!H11</f>
        <v>402</v>
      </c>
      <c r="J8" s="30">
        <v>5.09</v>
      </c>
      <c r="K8" s="9">
        <f>'Shenzhen Daily'!I11</f>
        <v>82</v>
      </c>
      <c r="L8" s="9">
        <f>'Shenzhen Daily'!J11</f>
        <v>317</v>
      </c>
    </row>
    <row r="9" spans="1:12" ht="15" x14ac:dyDescent="0.25">
      <c r="A9" s="6" t="s">
        <v>22</v>
      </c>
      <c r="B9" s="7">
        <f t="shared" si="0"/>
        <v>8</v>
      </c>
      <c r="C9" s="8">
        <v>10</v>
      </c>
      <c r="D9" s="7">
        <v>2021</v>
      </c>
      <c r="E9" s="9">
        <v>30259.999999999989</v>
      </c>
      <c r="F9" s="30">
        <v>0.69899999999999995</v>
      </c>
      <c r="G9" s="9">
        <f>'Shenzhen Daily'!F12</f>
        <v>1307</v>
      </c>
      <c r="H9" s="30">
        <v>4.3899999999999997</v>
      </c>
      <c r="I9" s="9">
        <f>'Shenzhen Daily'!H12</f>
        <v>333</v>
      </c>
      <c r="J9" s="30">
        <v>5.09</v>
      </c>
      <c r="K9" s="9">
        <f>'Shenzhen Daily'!I12</f>
        <v>115</v>
      </c>
      <c r="L9" s="9">
        <f>'Shenzhen Daily'!J12</f>
        <v>186</v>
      </c>
    </row>
    <row r="10" spans="1:12" ht="15" x14ac:dyDescent="0.25">
      <c r="A10" s="6" t="s">
        <v>22</v>
      </c>
      <c r="B10" s="7">
        <f t="shared" si="0"/>
        <v>9</v>
      </c>
      <c r="C10" s="8">
        <v>10</v>
      </c>
      <c r="D10" s="7">
        <v>2021</v>
      </c>
      <c r="E10" s="9">
        <v>29735.000000000266</v>
      </c>
      <c r="F10" s="30">
        <v>0.69899999999999995</v>
      </c>
      <c r="G10" s="9">
        <f>'Shenzhen Daily'!F13</f>
        <v>1258</v>
      </c>
      <c r="H10" s="30">
        <v>4.3899999999999997</v>
      </c>
      <c r="I10" s="9">
        <f>'Shenzhen Daily'!H13</f>
        <v>345</v>
      </c>
      <c r="J10" s="30">
        <v>5.09</v>
      </c>
      <c r="K10" s="9">
        <f>'Shenzhen Daily'!I13</f>
        <v>149</v>
      </c>
      <c r="L10" s="9">
        <f>'Shenzhen Daily'!J13</f>
        <v>243</v>
      </c>
    </row>
    <row r="11" spans="1:12" ht="15" x14ac:dyDescent="0.25">
      <c r="A11" s="6" t="s">
        <v>22</v>
      </c>
      <c r="B11" s="7">
        <f t="shared" si="0"/>
        <v>10</v>
      </c>
      <c r="C11" s="8">
        <v>10</v>
      </c>
      <c r="D11" s="7">
        <v>2021</v>
      </c>
      <c r="E11" s="9">
        <v>31037.9999999994</v>
      </c>
      <c r="F11" s="30">
        <v>0.69899999999999995</v>
      </c>
      <c r="G11" s="9">
        <f>'Shenzhen Daily'!F14</f>
        <v>1258</v>
      </c>
      <c r="H11" s="30">
        <v>4.3899999999999997</v>
      </c>
      <c r="I11" s="9">
        <f>'Shenzhen Daily'!H14</f>
        <v>372</v>
      </c>
      <c r="J11" s="30">
        <v>5.09</v>
      </c>
      <c r="K11" s="9">
        <f>'Shenzhen Daily'!I14</f>
        <v>162</v>
      </c>
      <c r="L11" s="9">
        <f>'Shenzhen Daily'!J14</f>
        <v>315</v>
      </c>
    </row>
    <row r="12" spans="1:12" ht="15" x14ac:dyDescent="0.25">
      <c r="A12" s="6" t="s">
        <v>22</v>
      </c>
      <c r="B12" s="7">
        <f t="shared" si="0"/>
        <v>11</v>
      </c>
      <c r="C12" s="8">
        <v>10</v>
      </c>
      <c r="D12" s="7">
        <v>2021</v>
      </c>
      <c r="E12" s="9">
        <v>30783.000000000138</v>
      </c>
      <c r="F12" s="30">
        <v>0.69899999999999995</v>
      </c>
      <c r="G12" s="9">
        <f>'Shenzhen Daily'!F15</f>
        <v>1306</v>
      </c>
      <c r="H12" s="30">
        <v>4.3899999999999997</v>
      </c>
      <c r="I12" s="9">
        <f>'Shenzhen Daily'!H15</f>
        <v>453</v>
      </c>
      <c r="J12" s="30">
        <v>5.09</v>
      </c>
      <c r="K12" s="9">
        <f>'Shenzhen Daily'!I15</f>
        <v>252</v>
      </c>
      <c r="L12" s="9">
        <f>'Shenzhen Daily'!J15</f>
        <v>288</v>
      </c>
    </row>
    <row r="13" spans="1:12" ht="15" x14ac:dyDescent="0.25">
      <c r="A13" s="6" t="s">
        <v>22</v>
      </c>
      <c r="B13" s="7">
        <f t="shared" si="0"/>
        <v>12</v>
      </c>
      <c r="C13" s="8">
        <v>10</v>
      </c>
      <c r="D13" s="7">
        <v>2021</v>
      </c>
      <c r="E13" s="9">
        <v>30333.999999999956</v>
      </c>
      <c r="F13" s="30">
        <v>0.69899999999999995</v>
      </c>
      <c r="G13" s="9">
        <f>'Shenzhen Daily'!F16</f>
        <v>1430</v>
      </c>
      <c r="H13" s="30">
        <v>4.3899999999999997</v>
      </c>
      <c r="I13" s="9">
        <f>'Shenzhen Daily'!H16</f>
        <v>438</v>
      </c>
      <c r="J13" s="30">
        <v>5.09</v>
      </c>
      <c r="K13" s="9">
        <f>'Shenzhen Daily'!I16</f>
        <v>249</v>
      </c>
      <c r="L13" s="9">
        <f>'Shenzhen Daily'!J16</f>
        <v>462</v>
      </c>
    </row>
    <row r="14" spans="1:12" ht="15" x14ac:dyDescent="0.25">
      <c r="A14" s="6" t="s">
        <v>22</v>
      </c>
      <c r="B14" s="7">
        <f t="shared" si="0"/>
        <v>13</v>
      </c>
      <c r="C14" s="8">
        <v>10</v>
      </c>
      <c r="D14" s="7">
        <v>2021</v>
      </c>
      <c r="E14" s="9">
        <v>31471.000000000458</v>
      </c>
      <c r="F14" s="30">
        <v>0.69899999999999995</v>
      </c>
      <c r="G14" s="9">
        <f>'Shenzhen Daily'!F17</f>
        <v>1478</v>
      </c>
      <c r="H14" s="30">
        <v>4.3899999999999997</v>
      </c>
      <c r="I14" s="9">
        <f>'Shenzhen Daily'!H17</f>
        <v>395</v>
      </c>
      <c r="J14" s="30">
        <v>5.09</v>
      </c>
      <c r="K14" s="9">
        <f>'Shenzhen Daily'!I17</f>
        <v>253</v>
      </c>
      <c r="L14" s="9">
        <f>'Shenzhen Daily'!J17</f>
        <v>416</v>
      </c>
    </row>
    <row r="15" spans="1:12" ht="15" x14ac:dyDescent="0.25">
      <c r="A15" s="6" t="s">
        <v>22</v>
      </c>
      <c r="B15" s="7">
        <f t="shared" si="0"/>
        <v>14</v>
      </c>
      <c r="C15" s="8">
        <v>10</v>
      </c>
      <c r="D15" s="7">
        <v>2021</v>
      </c>
      <c r="E15" s="9">
        <v>33214.000000000262</v>
      </c>
      <c r="F15" s="30">
        <v>0.69899999999999995</v>
      </c>
      <c r="G15" s="9">
        <f>'Shenzhen Daily'!F18</f>
        <v>1411</v>
      </c>
      <c r="H15" s="30">
        <v>4.3899999999999997</v>
      </c>
      <c r="I15" s="9">
        <f>'Shenzhen Daily'!H18</f>
        <v>462</v>
      </c>
      <c r="J15" s="30">
        <v>5.09</v>
      </c>
      <c r="K15" s="9">
        <f>'Shenzhen Daily'!I18</f>
        <v>264</v>
      </c>
      <c r="L15" s="9">
        <f>'Shenzhen Daily'!J18</f>
        <v>460</v>
      </c>
    </row>
    <row r="16" spans="1:12" ht="15" x14ac:dyDescent="0.25">
      <c r="A16" s="6" t="s">
        <v>22</v>
      </c>
      <c r="B16" s="7">
        <f t="shared" si="0"/>
        <v>15</v>
      </c>
      <c r="C16" s="8">
        <v>10</v>
      </c>
      <c r="D16" s="7">
        <v>2021</v>
      </c>
      <c r="E16" s="9">
        <v>32430.999999998767</v>
      </c>
      <c r="F16" s="30">
        <v>0.69899999999999995</v>
      </c>
      <c r="G16" s="9">
        <f>'Shenzhen Daily'!F19</f>
        <v>1450</v>
      </c>
      <c r="H16" s="30">
        <v>4.3899999999999997</v>
      </c>
      <c r="I16" s="9">
        <f>'Shenzhen Daily'!H19</f>
        <v>469</v>
      </c>
      <c r="J16" s="30">
        <v>5.09</v>
      </c>
      <c r="K16" s="9">
        <f>'Shenzhen Daily'!I19</f>
        <v>248</v>
      </c>
      <c r="L16" s="9">
        <f>'Shenzhen Daily'!J19</f>
        <v>484</v>
      </c>
    </row>
    <row r="17" spans="1:12" ht="15" x14ac:dyDescent="0.25">
      <c r="A17" s="6" t="s">
        <v>22</v>
      </c>
      <c r="B17" s="7">
        <f t="shared" si="0"/>
        <v>16</v>
      </c>
      <c r="C17" s="8">
        <v>10</v>
      </c>
      <c r="D17" s="7">
        <v>2021</v>
      </c>
      <c r="E17" s="9">
        <v>31159.999999999913</v>
      </c>
      <c r="F17" s="30">
        <v>0.69899999999999995</v>
      </c>
      <c r="G17" s="9">
        <f>'Shenzhen Daily'!F20</f>
        <v>1546</v>
      </c>
      <c r="H17" s="30">
        <v>4.3899999999999997</v>
      </c>
      <c r="I17" s="9">
        <f>'Shenzhen Daily'!H20</f>
        <v>472</v>
      </c>
      <c r="J17" s="30">
        <v>5.09</v>
      </c>
      <c r="K17" s="9">
        <f>'Shenzhen Daily'!I20</f>
        <v>236</v>
      </c>
      <c r="L17" s="9">
        <f>'Shenzhen Daily'!J20</f>
        <v>471</v>
      </c>
    </row>
    <row r="18" spans="1:12" ht="15" x14ac:dyDescent="0.25">
      <c r="A18" s="6" t="s">
        <v>22</v>
      </c>
      <c r="B18" s="7">
        <f t="shared" si="0"/>
        <v>17</v>
      </c>
      <c r="C18" s="8">
        <v>10</v>
      </c>
      <c r="D18" s="7">
        <v>2021</v>
      </c>
      <c r="E18" s="9">
        <v>29753.00000000111</v>
      </c>
      <c r="F18" s="30">
        <v>0.69899999999999995</v>
      </c>
      <c r="G18" s="9">
        <f>'Shenzhen Daily'!F21</f>
        <v>1567</v>
      </c>
      <c r="H18" s="30">
        <v>4.3899999999999997</v>
      </c>
      <c r="I18" s="9">
        <f>'Shenzhen Daily'!H21</f>
        <v>439</v>
      </c>
      <c r="J18" s="30">
        <v>5.09</v>
      </c>
      <c r="K18" s="9">
        <f>'Shenzhen Daily'!I21</f>
        <v>174</v>
      </c>
      <c r="L18" s="9">
        <f>'Shenzhen Daily'!J21</f>
        <v>523</v>
      </c>
    </row>
    <row r="19" spans="1:12" ht="15" x14ac:dyDescent="0.25">
      <c r="A19" s="6" t="s">
        <v>22</v>
      </c>
      <c r="B19" s="7">
        <f t="shared" si="0"/>
        <v>18</v>
      </c>
      <c r="C19" s="8">
        <v>10</v>
      </c>
      <c r="D19" s="7">
        <v>2021</v>
      </c>
      <c r="E19" s="9">
        <v>25483.999999999902</v>
      </c>
      <c r="F19" s="30">
        <v>0.69899999999999995</v>
      </c>
      <c r="G19" s="9">
        <f>'Shenzhen Daily'!F22</f>
        <v>1362</v>
      </c>
      <c r="H19" s="30">
        <v>4.3899999999999997</v>
      </c>
      <c r="I19" s="9">
        <f>'Shenzhen Daily'!H22</f>
        <v>410</v>
      </c>
      <c r="J19" s="30">
        <v>5.09</v>
      </c>
      <c r="K19" s="9">
        <f>'Shenzhen Daily'!I22</f>
        <v>252</v>
      </c>
      <c r="L19" s="9">
        <f>'Shenzhen Daily'!J22</f>
        <v>340</v>
      </c>
    </row>
    <row r="20" spans="1:12" ht="15" x14ac:dyDescent="0.25">
      <c r="A20" s="6" t="s">
        <v>22</v>
      </c>
      <c r="B20" s="7">
        <f t="shared" si="0"/>
        <v>19</v>
      </c>
      <c r="C20" s="8">
        <v>10</v>
      </c>
      <c r="D20" s="7">
        <v>2021</v>
      </c>
      <c r="E20" s="9">
        <v>27451.999999999134</v>
      </c>
      <c r="F20" s="30">
        <v>0.69899999999999995</v>
      </c>
      <c r="G20" s="9">
        <f>'Shenzhen Daily'!F23</f>
        <v>1416</v>
      </c>
      <c r="H20" s="30">
        <v>4.3899999999999997</v>
      </c>
      <c r="I20" s="9">
        <f>'Shenzhen Daily'!H23</f>
        <v>368</v>
      </c>
      <c r="J20" s="30">
        <v>5.09</v>
      </c>
      <c r="K20" s="9">
        <f>'Shenzhen Daily'!I23</f>
        <v>264</v>
      </c>
      <c r="L20" s="9">
        <f>'Shenzhen Daily'!J23</f>
        <v>490</v>
      </c>
    </row>
    <row r="21" spans="1:12" ht="15" x14ac:dyDescent="0.25">
      <c r="A21" s="6" t="s">
        <v>22</v>
      </c>
      <c r="B21" s="7">
        <f t="shared" si="0"/>
        <v>20</v>
      </c>
      <c r="C21" s="8">
        <v>10</v>
      </c>
      <c r="D21" s="7">
        <v>2021</v>
      </c>
      <c r="E21" s="9">
        <v>31678.000000001124</v>
      </c>
      <c r="F21" s="30">
        <v>0.69899999999999995</v>
      </c>
      <c r="G21" s="9">
        <f>'Shenzhen Daily'!F24</f>
        <v>1408</v>
      </c>
      <c r="H21" s="30">
        <v>4.3899999999999997</v>
      </c>
      <c r="I21" s="9">
        <f>'Shenzhen Daily'!H24</f>
        <v>437</v>
      </c>
      <c r="J21" s="30">
        <v>5.09</v>
      </c>
      <c r="K21" s="9">
        <f>'Shenzhen Daily'!I24</f>
        <v>265</v>
      </c>
      <c r="L21" s="9">
        <f>'Shenzhen Daily'!J24</f>
        <v>498</v>
      </c>
    </row>
    <row r="22" spans="1:12" ht="15" x14ac:dyDescent="0.25">
      <c r="A22" s="6" t="s">
        <v>22</v>
      </c>
      <c r="B22" s="7">
        <f t="shared" si="0"/>
        <v>21</v>
      </c>
      <c r="C22" s="8">
        <v>10</v>
      </c>
      <c r="D22" s="7">
        <v>2021</v>
      </c>
      <c r="E22" s="9">
        <v>29519.999999999298</v>
      </c>
      <c r="F22" s="30">
        <v>0.69899999999999995</v>
      </c>
      <c r="G22" s="9">
        <f>'Shenzhen Daily'!F25</f>
        <v>1413</v>
      </c>
      <c r="H22" s="30">
        <v>4.3899999999999997</v>
      </c>
      <c r="I22" s="9">
        <f>'Shenzhen Daily'!H25</f>
        <v>432</v>
      </c>
      <c r="J22" s="30">
        <v>5.09</v>
      </c>
      <c r="K22" s="9">
        <f>'Shenzhen Daily'!I25</f>
        <v>252</v>
      </c>
      <c r="L22" s="9">
        <f>'Shenzhen Daily'!J25</f>
        <v>609</v>
      </c>
    </row>
    <row r="23" spans="1:12" ht="15" x14ac:dyDescent="0.25">
      <c r="A23" s="6" t="s">
        <v>22</v>
      </c>
      <c r="B23" s="7">
        <f t="shared" si="0"/>
        <v>22</v>
      </c>
      <c r="C23" s="8">
        <v>10</v>
      </c>
      <c r="D23" s="7">
        <v>2021</v>
      </c>
      <c r="E23" s="9">
        <v>25126.999999999884</v>
      </c>
      <c r="F23" s="30">
        <v>0.69899999999999995</v>
      </c>
      <c r="G23" s="9">
        <f>'Shenzhen Daily'!F26</f>
        <v>1515</v>
      </c>
      <c r="H23" s="30">
        <v>4.3899999999999997</v>
      </c>
      <c r="I23" s="9">
        <f>'Shenzhen Daily'!H26</f>
        <v>418</v>
      </c>
      <c r="J23" s="30">
        <v>5.09</v>
      </c>
      <c r="K23" s="9">
        <f>'Shenzhen Daily'!I26</f>
        <v>258</v>
      </c>
      <c r="L23" s="9">
        <f>'Shenzhen Daily'!J26</f>
        <v>405</v>
      </c>
    </row>
    <row r="24" spans="1:12" ht="15" x14ac:dyDescent="0.25">
      <c r="A24" s="6" t="s">
        <v>22</v>
      </c>
      <c r="B24" s="7">
        <f t="shared" si="0"/>
        <v>23</v>
      </c>
      <c r="C24" s="8">
        <v>10</v>
      </c>
      <c r="D24" s="7">
        <v>2021</v>
      </c>
      <c r="E24" s="9">
        <v>26316.000000000655</v>
      </c>
      <c r="F24" s="30">
        <v>0.69899999999999995</v>
      </c>
      <c r="G24" s="9">
        <f>'Shenzhen Daily'!F27</f>
        <v>1626</v>
      </c>
      <c r="H24" s="30">
        <v>4.3899999999999997</v>
      </c>
      <c r="I24" s="9">
        <f>'Shenzhen Daily'!H27</f>
        <v>427</v>
      </c>
      <c r="J24" s="30">
        <v>5.09</v>
      </c>
      <c r="K24" s="9">
        <f>'Shenzhen Daily'!I27</f>
        <v>265</v>
      </c>
      <c r="L24" s="9">
        <f>'Shenzhen Daily'!J27</f>
        <v>388</v>
      </c>
    </row>
    <row r="25" spans="1:12" ht="15" x14ac:dyDescent="0.25">
      <c r="A25" s="6" t="s">
        <v>22</v>
      </c>
      <c r="B25" s="7">
        <f t="shared" si="0"/>
        <v>24</v>
      </c>
      <c r="C25" s="8">
        <v>10</v>
      </c>
      <c r="D25" s="7">
        <v>2021</v>
      </c>
      <c r="E25" s="9">
        <v>25677.999999999611</v>
      </c>
      <c r="F25" s="30">
        <v>0.69899999999999995</v>
      </c>
      <c r="G25" s="9">
        <f>'Shenzhen Daily'!F28</f>
        <v>1496</v>
      </c>
      <c r="H25" s="30">
        <v>4.3899999999999997</v>
      </c>
      <c r="I25" s="9">
        <f>'Shenzhen Daily'!H28</f>
        <v>399</v>
      </c>
      <c r="J25" s="30">
        <v>5.09</v>
      </c>
      <c r="K25" s="9">
        <f>'Shenzhen Daily'!I28</f>
        <v>202</v>
      </c>
      <c r="L25" s="9">
        <f>'Shenzhen Daily'!J28</f>
        <v>379</v>
      </c>
    </row>
    <row r="26" spans="1:12" ht="15" x14ac:dyDescent="0.25">
      <c r="A26" s="6" t="s">
        <v>22</v>
      </c>
      <c r="B26" s="7">
        <f>B25+1</f>
        <v>25</v>
      </c>
      <c r="C26" s="8">
        <v>10</v>
      </c>
      <c r="D26" s="7">
        <v>2021</v>
      </c>
      <c r="E26" s="9">
        <v>26369.0000000002</v>
      </c>
      <c r="F26" s="30">
        <v>0.69899999999999995</v>
      </c>
      <c r="G26" s="9">
        <f>'Shenzhen Daily'!F29</f>
        <v>1497</v>
      </c>
      <c r="H26" s="30">
        <v>4.3899999999999997</v>
      </c>
      <c r="I26" s="9">
        <f>'Shenzhen Daily'!H29</f>
        <v>411</v>
      </c>
      <c r="J26" s="30">
        <v>5.09</v>
      </c>
      <c r="K26" s="9">
        <f>'Shenzhen Daily'!I29</f>
        <v>217</v>
      </c>
      <c r="L26" s="9">
        <f>'Shenzhen Daily'!J29</f>
        <v>417</v>
      </c>
    </row>
    <row r="27" spans="1:12" ht="15" x14ac:dyDescent="0.25">
      <c r="A27" s="6" t="s">
        <v>22</v>
      </c>
      <c r="B27" s="7">
        <f t="shared" si="0"/>
        <v>26</v>
      </c>
      <c r="C27" s="8">
        <v>10</v>
      </c>
      <c r="D27" s="7">
        <v>2021</v>
      </c>
      <c r="E27" s="9">
        <v>28100.999999999454</v>
      </c>
      <c r="F27" s="30">
        <v>0.69899999999999995</v>
      </c>
      <c r="G27" s="9">
        <f>'Shenzhen Daily'!F30</f>
        <v>1461</v>
      </c>
      <c r="H27" s="30">
        <v>4.3899999999999997</v>
      </c>
      <c r="I27" s="9">
        <f>'Shenzhen Daily'!H30</f>
        <v>397</v>
      </c>
      <c r="J27" s="30">
        <v>5.09</v>
      </c>
      <c r="K27" s="9">
        <f>'Shenzhen Daily'!I30</f>
        <v>258</v>
      </c>
      <c r="L27" s="9">
        <f>'Shenzhen Daily'!J30</f>
        <v>463</v>
      </c>
    </row>
    <row r="28" spans="1:12" ht="15" x14ac:dyDescent="0.25">
      <c r="A28" s="6" t="s">
        <v>22</v>
      </c>
      <c r="B28" s="7">
        <f t="shared" si="0"/>
        <v>27</v>
      </c>
      <c r="C28" s="8">
        <v>10</v>
      </c>
      <c r="D28" s="7">
        <v>2021</v>
      </c>
      <c r="E28" s="9">
        <v>30204.000000001077</v>
      </c>
      <c r="F28" s="30">
        <v>0.69899999999999995</v>
      </c>
      <c r="G28" s="9">
        <f>'Shenzhen Daily'!F31</f>
        <v>1517</v>
      </c>
      <c r="H28" s="30">
        <v>4.3899999999999997</v>
      </c>
      <c r="I28" s="9">
        <f>'Shenzhen Daily'!H31</f>
        <v>432</v>
      </c>
      <c r="J28" s="30">
        <v>5.09</v>
      </c>
      <c r="K28" s="9">
        <f>'Shenzhen Daily'!I31</f>
        <v>260</v>
      </c>
      <c r="L28" s="9">
        <f>'Shenzhen Daily'!J31</f>
        <v>573</v>
      </c>
    </row>
    <row r="29" spans="1:12" ht="15" x14ac:dyDescent="0.25">
      <c r="A29" s="6" t="s">
        <v>22</v>
      </c>
      <c r="B29" s="7">
        <f t="shared" si="0"/>
        <v>28</v>
      </c>
      <c r="C29" s="8">
        <v>10</v>
      </c>
      <c r="D29" s="7">
        <v>2021</v>
      </c>
      <c r="E29" s="9">
        <v>30793.9999999996</v>
      </c>
      <c r="F29" s="30">
        <v>0.69899999999999995</v>
      </c>
      <c r="G29" s="9">
        <f>'Shenzhen Daily'!F32</f>
        <v>1546</v>
      </c>
      <c r="H29" s="30">
        <v>4.3899999999999997</v>
      </c>
      <c r="I29" s="9">
        <f>'Shenzhen Daily'!H32</f>
        <v>444</v>
      </c>
      <c r="J29" s="30">
        <v>5.09</v>
      </c>
      <c r="K29" s="9">
        <f>'Shenzhen Daily'!I32</f>
        <v>238</v>
      </c>
      <c r="L29" s="9">
        <f>'Shenzhen Daily'!J32</f>
        <v>482</v>
      </c>
    </row>
    <row r="30" spans="1:12" ht="15" x14ac:dyDescent="0.25">
      <c r="A30" s="6" t="s">
        <v>22</v>
      </c>
      <c r="B30" s="7">
        <f t="shared" si="0"/>
        <v>29</v>
      </c>
      <c r="C30" s="8">
        <v>10</v>
      </c>
      <c r="D30" s="7">
        <v>2021</v>
      </c>
      <c r="E30" s="9">
        <v>29172.000000000036</v>
      </c>
      <c r="F30" s="30">
        <v>0.69899999999999995</v>
      </c>
      <c r="G30" s="9">
        <f>'Shenzhen Daily'!F33</f>
        <v>1465</v>
      </c>
      <c r="H30" s="30">
        <v>4.3899999999999997</v>
      </c>
      <c r="I30" s="9">
        <f>'Shenzhen Daily'!H33</f>
        <v>419</v>
      </c>
      <c r="J30" s="30">
        <v>5.09</v>
      </c>
      <c r="K30" s="9">
        <f>'Shenzhen Daily'!I33</f>
        <v>193</v>
      </c>
      <c r="L30" s="9">
        <f>'Shenzhen Daily'!J33</f>
        <v>436</v>
      </c>
    </row>
    <row r="31" spans="1:12" ht="15" x14ac:dyDescent="0.25">
      <c r="A31" s="6" t="s">
        <v>22</v>
      </c>
      <c r="B31" s="7">
        <f t="shared" si="0"/>
        <v>30</v>
      </c>
      <c r="C31" s="8">
        <v>10</v>
      </c>
      <c r="D31" s="7">
        <v>2021</v>
      </c>
      <c r="E31" s="9">
        <v>29010.999999999422</v>
      </c>
      <c r="F31" s="30">
        <v>0.69899999999999995</v>
      </c>
      <c r="G31" s="9">
        <f>'Shenzhen Daily'!F34</f>
        <v>1531</v>
      </c>
      <c r="H31" s="30">
        <v>4.3899999999999997</v>
      </c>
      <c r="I31" s="9">
        <f>'Shenzhen Daily'!H34</f>
        <v>407</v>
      </c>
      <c r="J31" s="30">
        <v>5.09</v>
      </c>
      <c r="K31" s="9">
        <f>'Shenzhen Daily'!I34</f>
        <v>227</v>
      </c>
      <c r="L31" s="9">
        <f>'Shenzhen Daily'!J34</f>
        <v>432</v>
      </c>
    </row>
    <row r="32" spans="1:12" ht="15" x14ac:dyDescent="0.25">
      <c r="A32" s="6" t="s">
        <v>22</v>
      </c>
      <c r="B32" s="7">
        <f t="shared" si="0"/>
        <v>31</v>
      </c>
      <c r="C32" s="8">
        <v>10</v>
      </c>
      <c r="D32" s="7">
        <v>2021</v>
      </c>
      <c r="E32" s="9">
        <v>28865.000000000728</v>
      </c>
      <c r="F32" s="30">
        <v>0.69899999999999995</v>
      </c>
      <c r="G32" s="9">
        <f>'Shenzhen Daily'!F35</f>
        <v>1617</v>
      </c>
      <c r="H32" s="30">
        <v>4.3899999999999997</v>
      </c>
      <c r="I32" s="9">
        <f>'Shenzhen Daily'!H35</f>
        <v>418</v>
      </c>
      <c r="J32" s="30">
        <v>5.09</v>
      </c>
      <c r="K32" s="9">
        <f>'Shenzhen Daily'!I35</f>
        <v>190</v>
      </c>
      <c r="L32" s="9">
        <f>'Shenzhen Daily'!J35</f>
        <v>469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opLeftCell="A25" zoomScale="85" zoomScaleNormal="85" workbookViewId="0">
      <pane xSplit="1" topLeftCell="B1" activePane="topRight" state="frozen"/>
      <selection pane="topRight" activeCell="O7" sqref="O7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9</v>
      </c>
      <c r="B2" s="52"/>
      <c r="C2" s="55" t="s">
        <v>19</v>
      </c>
      <c r="D2" s="56"/>
      <c r="E2" s="57" t="s">
        <v>20</v>
      </c>
      <c r="F2" s="57"/>
      <c r="G2" s="58" t="s">
        <v>10</v>
      </c>
      <c r="H2" s="59"/>
      <c r="I2" s="15"/>
      <c r="J2" s="15"/>
    </row>
    <row r="3" spans="1:10" ht="44.25" customHeight="1" x14ac:dyDescent="0.15">
      <c r="A3" s="16" t="s">
        <v>11</v>
      </c>
      <c r="B3" s="52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44469</v>
      </c>
      <c r="B4" s="53"/>
      <c r="C4" s="41">
        <v>33025.870000000003</v>
      </c>
      <c r="D4" s="42"/>
      <c r="E4" s="41">
        <v>2860279</v>
      </c>
      <c r="F4" s="45"/>
      <c r="G4" s="41">
        <v>508166</v>
      </c>
      <c r="H4" s="47"/>
      <c r="I4" s="23">
        <v>145</v>
      </c>
      <c r="J4" s="23">
        <v>430</v>
      </c>
    </row>
    <row r="5" spans="1:10" ht="33" customHeight="1" x14ac:dyDescent="0.2">
      <c r="A5" s="24">
        <v>44470</v>
      </c>
      <c r="B5" s="53"/>
      <c r="C5" s="41">
        <v>33050.18</v>
      </c>
      <c r="D5" s="43">
        <f t="shared" ref="D5:D22" si="0">IF((C5-C4&lt;0), "0",C5-C4)</f>
        <v>24.309999999997672</v>
      </c>
      <c r="E5" s="41">
        <v>2861606</v>
      </c>
      <c r="F5" s="43">
        <f>IF((E5-E4&lt;0), "0",E5-E4)</f>
        <v>1327</v>
      </c>
      <c r="G5" s="41">
        <v>508638</v>
      </c>
      <c r="H5" s="39">
        <f>IF((G5-G4&lt;0), "0",G5-G4)</f>
        <v>472</v>
      </c>
      <c r="I5" s="26">
        <v>195</v>
      </c>
      <c r="J5" s="26">
        <v>329</v>
      </c>
    </row>
    <row r="6" spans="1:10" ht="45" customHeight="1" x14ac:dyDescent="0.2">
      <c r="A6" s="24">
        <v>44471</v>
      </c>
      <c r="B6" s="53"/>
      <c r="C6" s="41">
        <v>33078.080000000002</v>
      </c>
      <c r="D6" s="43">
        <f t="shared" si="0"/>
        <v>27.900000000001455</v>
      </c>
      <c r="E6" s="41">
        <v>2862829</v>
      </c>
      <c r="F6" s="43">
        <f t="shared" ref="F6:F35" si="1">IF((E6-E5&lt;0), "0",E6-E5)</f>
        <v>1223</v>
      </c>
      <c r="G6" s="41">
        <v>509119</v>
      </c>
      <c r="H6" s="48">
        <f t="shared" ref="H6:H35" si="2">IF((G6-G5&lt;0), "0",G6-G5)</f>
        <v>481</v>
      </c>
      <c r="I6" s="38">
        <v>264</v>
      </c>
      <c r="J6" s="38">
        <v>402</v>
      </c>
    </row>
    <row r="7" spans="1:10" ht="45" customHeight="1" x14ac:dyDescent="0.2">
      <c r="A7" s="24">
        <v>44472</v>
      </c>
      <c r="B7" s="53"/>
      <c r="C7" s="41">
        <v>33106.18</v>
      </c>
      <c r="D7" s="43">
        <f t="shared" si="0"/>
        <v>28.099999999998545</v>
      </c>
      <c r="E7" s="41">
        <v>2864274</v>
      </c>
      <c r="F7" s="43">
        <f t="shared" si="1"/>
        <v>1445</v>
      </c>
      <c r="G7" s="41">
        <v>509627</v>
      </c>
      <c r="H7" s="39">
        <f t="shared" si="2"/>
        <v>508</v>
      </c>
      <c r="I7" s="12">
        <v>256</v>
      </c>
      <c r="J7" s="12">
        <v>488</v>
      </c>
    </row>
    <row r="8" spans="1:10" ht="45" customHeight="1" x14ac:dyDescent="0.2">
      <c r="A8" s="24">
        <v>44473</v>
      </c>
      <c r="B8" s="52"/>
      <c r="C8" s="31">
        <v>33133.5</v>
      </c>
      <c r="D8" s="37">
        <f t="shared" si="0"/>
        <v>27.319999999999709</v>
      </c>
      <c r="E8" s="31">
        <v>2865696</v>
      </c>
      <c r="F8" s="46">
        <f t="shared" si="1"/>
        <v>1422</v>
      </c>
      <c r="G8" s="41">
        <v>510189</v>
      </c>
      <c r="H8" s="39">
        <f t="shared" si="2"/>
        <v>562</v>
      </c>
      <c r="I8" s="12">
        <v>235</v>
      </c>
      <c r="J8" s="12">
        <v>474</v>
      </c>
    </row>
    <row r="9" spans="1:10" ht="45" customHeight="1" x14ac:dyDescent="0.2">
      <c r="A9" s="24">
        <v>44474</v>
      </c>
      <c r="B9" s="52"/>
      <c r="C9" s="31">
        <v>33159.33</v>
      </c>
      <c r="D9" s="25">
        <f t="shared" si="0"/>
        <v>25.830000000001746</v>
      </c>
      <c r="E9" s="31">
        <v>2867141</v>
      </c>
      <c r="F9" s="25">
        <f t="shared" si="1"/>
        <v>1445</v>
      </c>
      <c r="G9" s="31">
        <v>510683</v>
      </c>
      <c r="H9" s="25">
        <f t="shared" si="2"/>
        <v>494</v>
      </c>
      <c r="I9" s="12">
        <v>187</v>
      </c>
      <c r="J9" s="12">
        <v>483</v>
      </c>
    </row>
    <row r="10" spans="1:10" ht="45" customHeight="1" x14ac:dyDescent="0.2">
      <c r="A10" s="24">
        <v>44475</v>
      </c>
      <c r="B10" s="52"/>
      <c r="C10" s="31">
        <v>33186.820000000007</v>
      </c>
      <c r="D10" s="25">
        <f t="shared" si="0"/>
        <v>27.490000000005239</v>
      </c>
      <c r="E10" s="31">
        <v>2868406</v>
      </c>
      <c r="F10" s="25">
        <f t="shared" si="1"/>
        <v>1265</v>
      </c>
      <c r="G10" s="31">
        <v>511110</v>
      </c>
      <c r="H10" s="25">
        <f t="shared" si="2"/>
        <v>427</v>
      </c>
      <c r="I10" s="12">
        <v>126</v>
      </c>
      <c r="J10" s="12">
        <v>410</v>
      </c>
    </row>
    <row r="11" spans="1:10" ht="45" customHeight="1" x14ac:dyDescent="0.2">
      <c r="A11" s="24">
        <v>44476</v>
      </c>
      <c r="B11" s="52"/>
      <c r="C11" s="31">
        <v>33210.969999999994</v>
      </c>
      <c r="D11" s="25">
        <f t="shared" si="0"/>
        <v>24.149999999986903</v>
      </c>
      <c r="E11" s="31">
        <v>2869440</v>
      </c>
      <c r="F11" s="25">
        <f t="shared" si="1"/>
        <v>1034</v>
      </c>
      <c r="G11" s="31">
        <v>511512</v>
      </c>
      <c r="H11" s="25">
        <f t="shared" si="2"/>
        <v>402</v>
      </c>
      <c r="I11" s="12">
        <v>82</v>
      </c>
      <c r="J11" s="12">
        <v>317</v>
      </c>
    </row>
    <row r="12" spans="1:10" ht="45" customHeight="1" x14ac:dyDescent="0.2">
      <c r="A12" s="24">
        <v>44477</v>
      </c>
      <c r="B12" s="52"/>
      <c r="C12" s="31">
        <v>33233.909999999996</v>
      </c>
      <c r="D12" s="25">
        <f t="shared" si="0"/>
        <v>22.940000000002328</v>
      </c>
      <c r="E12" s="31">
        <v>2870747</v>
      </c>
      <c r="F12" s="25">
        <f t="shared" si="1"/>
        <v>1307</v>
      </c>
      <c r="G12" s="31">
        <v>511845</v>
      </c>
      <c r="H12" s="25">
        <f t="shared" si="2"/>
        <v>333</v>
      </c>
      <c r="I12" s="12">
        <v>115</v>
      </c>
      <c r="J12" s="12">
        <v>186</v>
      </c>
    </row>
    <row r="13" spans="1:10" ht="45" customHeight="1" x14ac:dyDescent="0.2">
      <c r="A13" s="24">
        <v>44478</v>
      </c>
      <c r="B13" s="52"/>
      <c r="C13" s="31">
        <v>33254.129999999997</v>
      </c>
      <c r="D13" s="25">
        <f t="shared" si="0"/>
        <v>20.220000000001164</v>
      </c>
      <c r="E13" s="31">
        <v>2872005</v>
      </c>
      <c r="F13" s="25">
        <f t="shared" si="1"/>
        <v>1258</v>
      </c>
      <c r="G13" s="31">
        <v>512190</v>
      </c>
      <c r="H13" s="25">
        <f t="shared" si="2"/>
        <v>345</v>
      </c>
      <c r="I13" s="12">
        <v>149</v>
      </c>
      <c r="J13" s="12">
        <v>243</v>
      </c>
    </row>
    <row r="14" spans="1:10" ht="45" customHeight="1" x14ac:dyDescent="0.2">
      <c r="A14" s="24">
        <v>44479</v>
      </c>
      <c r="B14" s="52"/>
      <c r="C14" s="31">
        <v>33274.990000000005</v>
      </c>
      <c r="D14" s="25">
        <f t="shared" si="0"/>
        <v>20.860000000007858</v>
      </c>
      <c r="E14" s="31">
        <v>2873263</v>
      </c>
      <c r="F14" s="25">
        <f t="shared" si="1"/>
        <v>1258</v>
      </c>
      <c r="G14" s="31">
        <v>512562</v>
      </c>
      <c r="H14" s="25">
        <f t="shared" si="2"/>
        <v>372</v>
      </c>
      <c r="I14" s="12">
        <v>162</v>
      </c>
      <c r="J14" s="12">
        <v>315</v>
      </c>
    </row>
    <row r="15" spans="1:10" ht="45" customHeight="1" x14ac:dyDescent="0.2">
      <c r="A15" s="24">
        <v>44480</v>
      </c>
      <c r="B15" s="52"/>
      <c r="C15" s="31">
        <v>33295.280000000006</v>
      </c>
      <c r="D15" s="25">
        <f t="shared" si="0"/>
        <v>20.290000000000873</v>
      </c>
      <c r="E15" s="31">
        <v>2874569</v>
      </c>
      <c r="F15" s="25">
        <f t="shared" si="1"/>
        <v>1306</v>
      </c>
      <c r="G15" s="31">
        <v>513015</v>
      </c>
      <c r="H15" s="25">
        <f t="shared" si="2"/>
        <v>453</v>
      </c>
      <c r="I15" s="12">
        <v>252</v>
      </c>
      <c r="J15" s="12">
        <v>288</v>
      </c>
    </row>
    <row r="16" spans="1:10" ht="45" customHeight="1" x14ac:dyDescent="0.2">
      <c r="A16" s="24">
        <v>44481</v>
      </c>
      <c r="B16" s="52"/>
      <c r="C16" s="31">
        <v>33315.51</v>
      </c>
      <c r="D16" s="25">
        <f t="shared" si="0"/>
        <v>20.229999999995925</v>
      </c>
      <c r="E16" s="31">
        <v>2875999</v>
      </c>
      <c r="F16" s="25">
        <f t="shared" si="1"/>
        <v>1430</v>
      </c>
      <c r="G16" s="31">
        <v>513453</v>
      </c>
      <c r="H16" s="25">
        <f t="shared" si="2"/>
        <v>438</v>
      </c>
      <c r="I16" s="12">
        <v>249</v>
      </c>
      <c r="J16" s="12">
        <v>462</v>
      </c>
    </row>
    <row r="17" spans="1:15" ht="45" customHeight="1" x14ac:dyDescent="0.2">
      <c r="A17" s="24">
        <v>44482</v>
      </c>
      <c r="B17" s="52"/>
      <c r="C17" s="31">
        <v>33335.57</v>
      </c>
      <c r="D17" s="25">
        <f t="shared" si="0"/>
        <v>20.059999999997672</v>
      </c>
      <c r="E17" s="31">
        <v>2877477</v>
      </c>
      <c r="F17" s="25">
        <f t="shared" si="1"/>
        <v>1478</v>
      </c>
      <c r="G17" s="31">
        <v>513848</v>
      </c>
      <c r="H17" s="25">
        <f t="shared" si="2"/>
        <v>395</v>
      </c>
      <c r="I17" s="12">
        <v>253</v>
      </c>
      <c r="J17" s="12">
        <v>416</v>
      </c>
    </row>
    <row r="18" spans="1:15" ht="45" customHeight="1" x14ac:dyDescent="0.2">
      <c r="A18" s="24">
        <v>44483</v>
      </c>
      <c r="B18" s="52"/>
      <c r="C18" s="31">
        <v>33356.39</v>
      </c>
      <c r="D18" s="25">
        <f t="shared" si="0"/>
        <v>20.819999999999709</v>
      </c>
      <c r="E18" s="31">
        <v>2878888</v>
      </c>
      <c r="F18" s="25">
        <f t="shared" si="1"/>
        <v>1411</v>
      </c>
      <c r="G18" s="31">
        <v>514310</v>
      </c>
      <c r="H18" s="25">
        <f t="shared" si="2"/>
        <v>462</v>
      </c>
      <c r="I18" s="12">
        <v>264</v>
      </c>
      <c r="J18" s="12">
        <v>460</v>
      </c>
    </row>
    <row r="19" spans="1:15" ht="45" customHeight="1" x14ac:dyDescent="0.2">
      <c r="A19" s="24">
        <v>44484</v>
      </c>
      <c r="B19" s="52"/>
      <c r="C19" s="31">
        <v>33376.93</v>
      </c>
      <c r="D19" s="25">
        <f t="shared" si="0"/>
        <v>20.540000000000873</v>
      </c>
      <c r="E19" s="31">
        <v>2880338</v>
      </c>
      <c r="F19" s="25">
        <f t="shared" si="1"/>
        <v>1450</v>
      </c>
      <c r="G19" s="31">
        <v>514779</v>
      </c>
      <c r="H19" s="25">
        <f t="shared" si="2"/>
        <v>469</v>
      </c>
      <c r="I19" s="12">
        <v>248</v>
      </c>
      <c r="J19" s="12">
        <v>484</v>
      </c>
    </row>
    <row r="20" spans="1:15" ht="45" customHeight="1" x14ac:dyDescent="0.2">
      <c r="A20" s="24">
        <v>44485</v>
      </c>
      <c r="B20" s="52"/>
      <c r="C20" s="31">
        <v>33399.31</v>
      </c>
      <c r="D20" s="25">
        <f t="shared" si="0"/>
        <v>22.379999999997381</v>
      </c>
      <c r="E20" s="31">
        <v>2881884</v>
      </c>
      <c r="F20" s="25">
        <f t="shared" si="1"/>
        <v>1546</v>
      </c>
      <c r="G20" s="31">
        <v>515251</v>
      </c>
      <c r="H20" s="25">
        <f t="shared" si="2"/>
        <v>472</v>
      </c>
      <c r="I20" s="12">
        <v>236</v>
      </c>
      <c r="J20" s="12">
        <v>471</v>
      </c>
    </row>
    <row r="21" spans="1:15" ht="45" customHeight="1" x14ac:dyDescent="0.2">
      <c r="A21" s="24">
        <v>44486</v>
      </c>
      <c r="B21" s="52"/>
      <c r="C21" s="31">
        <v>33421.79</v>
      </c>
      <c r="D21" s="25">
        <f t="shared" si="0"/>
        <v>22.480000000003201</v>
      </c>
      <c r="E21" s="31">
        <v>2883451</v>
      </c>
      <c r="F21" s="25">
        <f t="shared" si="1"/>
        <v>1567</v>
      </c>
      <c r="G21" s="31">
        <v>515690</v>
      </c>
      <c r="H21" s="25">
        <f t="shared" si="2"/>
        <v>439</v>
      </c>
      <c r="I21" s="12">
        <v>174</v>
      </c>
      <c r="J21" s="12">
        <v>523</v>
      </c>
    </row>
    <row r="22" spans="1:15" ht="45" customHeight="1" x14ac:dyDescent="0.2">
      <c r="A22" s="24">
        <v>44487</v>
      </c>
      <c r="B22" s="52"/>
      <c r="C22" s="31">
        <v>33442.22</v>
      </c>
      <c r="D22" s="25">
        <f t="shared" si="0"/>
        <v>20.430000000000291</v>
      </c>
      <c r="E22" s="31">
        <v>2884813</v>
      </c>
      <c r="F22" s="25">
        <f t="shared" si="1"/>
        <v>1362</v>
      </c>
      <c r="G22" s="31">
        <v>516100</v>
      </c>
      <c r="H22" s="25">
        <f t="shared" si="2"/>
        <v>410</v>
      </c>
      <c r="I22" s="12">
        <v>252</v>
      </c>
      <c r="J22" s="12">
        <v>340</v>
      </c>
    </row>
    <row r="23" spans="1:15" ht="45" customHeight="1" x14ac:dyDescent="0.2">
      <c r="A23" s="24">
        <v>44488</v>
      </c>
      <c r="B23" s="52"/>
      <c r="C23" s="31">
        <v>33465.200000000004</v>
      </c>
      <c r="D23" s="25">
        <f>IF((C23-C22&lt;0), "0",C23-C22)</f>
        <v>22.980000000003201</v>
      </c>
      <c r="E23" s="31">
        <v>2886229</v>
      </c>
      <c r="F23" s="25">
        <f t="shared" si="1"/>
        <v>1416</v>
      </c>
      <c r="G23" s="31">
        <v>516468</v>
      </c>
      <c r="H23" s="25">
        <f t="shared" si="2"/>
        <v>368</v>
      </c>
      <c r="I23" s="12">
        <v>264</v>
      </c>
      <c r="J23" s="12">
        <v>490</v>
      </c>
    </row>
    <row r="24" spans="1:15" ht="45" customHeight="1" x14ac:dyDescent="0.2">
      <c r="A24" s="24">
        <v>44489</v>
      </c>
      <c r="B24" s="52"/>
      <c r="C24" s="31">
        <v>33485.839999999989</v>
      </c>
      <c r="D24" s="25">
        <f t="shared" ref="D24:D35" si="3">IF((C24-C23&lt;0), "0",C24-C23)</f>
        <v>20.639999999984866</v>
      </c>
      <c r="E24" s="31">
        <v>2887637</v>
      </c>
      <c r="F24" s="25">
        <f t="shared" si="1"/>
        <v>1408</v>
      </c>
      <c r="G24" s="31">
        <v>516905</v>
      </c>
      <c r="H24" s="25">
        <f t="shared" si="2"/>
        <v>437</v>
      </c>
      <c r="I24" s="12">
        <v>265</v>
      </c>
      <c r="J24" s="12">
        <v>498</v>
      </c>
    </row>
    <row r="25" spans="1:15" ht="45" customHeight="1" x14ac:dyDescent="0.2">
      <c r="A25" s="24">
        <v>44490</v>
      </c>
      <c r="B25" s="52"/>
      <c r="C25" s="31">
        <v>33505.770000000004</v>
      </c>
      <c r="D25" s="25">
        <f t="shared" si="3"/>
        <v>19.930000000014843</v>
      </c>
      <c r="E25" s="31">
        <v>2889050</v>
      </c>
      <c r="F25" s="25">
        <f t="shared" si="1"/>
        <v>1413</v>
      </c>
      <c r="G25" s="31">
        <v>517337</v>
      </c>
      <c r="H25" s="25">
        <f t="shared" si="2"/>
        <v>432</v>
      </c>
      <c r="I25" s="12">
        <v>252</v>
      </c>
      <c r="J25" s="12">
        <v>609</v>
      </c>
    </row>
    <row r="26" spans="1:15" ht="45" customHeight="1" x14ac:dyDescent="0.2">
      <c r="A26" s="24">
        <v>44491</v>
      </c>
      <c r="B26" s="52"/>
      <c r="C26" s="31">
        <v>33534.493999999999</v>
      </c>
      <c r="D26" s="25">
        <f t="shared" si="3"/>
        <v>28.723999999994703</v>
      </c>
      <c r="E26" s="31">
        <v>2890565</v>
      </c>
      <c r="F26" s="25">
        <f t="shared" si="1"/>
        <v>1515</v>
      </c>
      <c r="G26" s="31">
        <v>517755</v>
      </c>
      <c r="H26" s="25">
        <f t="shared" si="2"/>
        <v>418</v>
      </c>
      <c r="I26" s="12">
        <v>258</v>
      </c>
      <c r="J26" s="12">
        <v>405</v>
      </c>
    </row>
    <row r="27" spans="1:15" ht="45" customHeight="1" x14ac:dyDescent="0.2">
      <c r="A27" s="24">
        <v>44492</v>
      </c>
      <c r="B27" s="52"/>
      <c r="C27" s="31">
        <v>33554.859999999993</v>
      </c>
      <c r="D27" s="25">
        <f t="shared" si="3"/>
        <v>20.365999999994528</v>
      </c>
      <c r="E27" s="31">
        <v>2892191</v>
      </c>
      <c r="F27" s="25">
        <f t="shared" si="1"/>
        <v>1626</v>
      </c>
      <c r="G27" s="31">
        <v>518182</v>
      </c>
      <c r="H27" s="25">
        <f t="shared" si="2"/>
        <v>427</v>
      </c>
      <c r="I27" s="12">
        <v>265</v>
      </c>
      <c r="J27" s="12">
        <v>388</v>
      </c>
    </row>
    <row r="28" spans="1:15" ht="45" customHeight="1" x14ac:dyDescent="0.2">
      <c r="A28" s="24">
        <v>44493</v>
      </c>
      <c r="B28" s="52"/>
      <c r="C28" s="31">
        <v>33575.950000000004</v>
      </c>
      <c r="D28" s="25">
        <f t="shared" si="3"/>
        <v>21.090000000011059</v>
      </c>
      <c r="E28" s="31">
        <v>2893687</v>
      </c>
      <c r="F28" s="25">
        <f t="shared" si="1"/>
        <v>1496</v>
      </c>
      <c r="G28" s="31">
        <v>518581</v>
      </c>
      <c r="H28" s="25">
        <f t="shared" si="2"/>
        <v>399</v>
      </c>
      <c r="I28" s="12">
        <v>202</v>
      </c>
      <c r="J28" s="12">
        <v>379</v>
      </c>
    </row>
    <row r="29" spans="1:15" ht="45" customHeight="1" x14ac:dyDescent="0.2">
      <c r="A29" s="24">
        <v>44494</v>
      </c>
      <c r="B29" s="52"/>
      <c r="C29" s="31">
        <v>33595.269999999997</v>
      </c>
      <c r="D29" s="25">
        <f t="shared" si="3"/>
        <v>19.319999999992433</v>
      </c>
      <c r="E29" s="31">
        <v>2895184</v>
      </c>
      <c r="F29" s="25">
        <f t="shared" si="1"/>
        <v>1497</v>
      </c>
      <c r="G29" s="31">
        <v>518992</v>
      </c>
      <c r="H29" s="25">
        <f t="shared" si="2"/>
        <v>411</v>
      </c>
      <c r="I29" s="12">
        <v>217</v>
      </c>
      <c r="J29" s="12">
        <v>417</v>
      </c>
    </row>
    <row r="30" spans="1:15" ht="45" customHeight="1" x14ac:dyDescent="0.2">
      <c r="A30" s="24">
        <v>44495</v>
      </c>
      <c r="B30" s="52"/>
      <c r="C30" s="31">
        <v>33617.620000000003</v>
      </c>
      <c r="D30" s="25">
        <f t="shared" si="3"/>
        <v>22.350000000005821</v>
      </c>
      <c r="E30" s="31">
        <v>2896645</v>
      </c>
      <c r="F30" s="25">
        <f t="shared" si="1"/>
        <v>1461</v>
      </c>
      <c r="G30" s="31">
        <v>519389</v>
      </c>
      <c r="H30" s="25">
        <f t="shared" si="2"/>
        <v>397</v>
      </c>
      <c r="I30" s="12">
        <v>258</v>
      </c>
      <c r="J30" s="12">
        <v>463</v>
      </c>
      <c r="O30" s="34"/>
    </row>
    <row r="31" spans="1:15" ht="45" customHeight="1" x14ac:dyDescent="0.2">
      <c r="A31" s="24">
        <v>44496</v>
      </c>
      <c r="B31" s="52"/>
      <c r="C31" s="31">
        <v>33638.07</v>
      </c>
      <c r="D31" s="25">
        <f t="shared" si="3"/>
        <v>20.44999999999709</v>
      </c>
      <c r="E31" s="31">
        <v>2898162</v>
      </c>
      <c r="F31" s="25">
        <f t="shared" si="1"/>
        <v>1517</v>
      </c>
      <c r="G31" s="31">
        <v>519821</v>
      </c>
      <c r="H31" s="25">
        <f t="shared" si="2"/>
        <v>432</v>
      </c>
      <c r="I31" s="12">
        <v>260</v>
      </c>
      <c r="J31" s="12">
        <v>573</v>
      </c>
    </row>
    <row r="32" spans="1:15" ht="45" customHeight="1" x14ac:dyDescent="0.2">
      <c r="A32" s="24">
        <v>44497</v>
      </c>
      <c r="B32" s="52"/>
      <c r="C32" s="31">
        <v>33663.440000000002</v>
      </c>
      <c r="D32" s="25">
        <f t="shared" si="3"/>
        <v>25.370000000002619</v>
      </c>
      <c r="E32" s="31">
        <v>2899708</v>
      </c>
      <c r="F32" s="25">
        <f t="shared" si="1"/>
        <v>1546</v>
      </c>
      <c r="G32" s="31">
        <v>520265</v>
      </c>
      <c r="H32" s="25">
        <f t="shared" si="2"/>
        <v>444</v>
      </c>
      <c r="I32" s="12">
        <v>238</v>
      </c>
      <c r="J32" s="12">
        <v>482</v>
      </c>
    </row>
    <row r="33" spans="1:10" ht="36" customHeight="1" x14ac:dyDescent="0.2">
      <c r="A33" s="24">
        <v>44498</v>
      </c>
      <c r="B33" s="36"/>
      <c r="C33" s="31">
        <v>33684.840000000004</v>
      </c>
      <c r="D33" s="25">
        <f t="shared" si="3"/>
        <v>21.400000000001455</v>
      </c>
      <c r="E33" s="31">
        <v>2901173</v>
      </c>
      <c r="F33" s="25">
        <f t="shared" si="1"/>
        <v>1465</v>
      </c>
      <c r="G33" s="31">
        <v>520684</v>
      </c>
      <c r="H33" s="25">
        <f t="shared" si="2"/>
        <v>419</v>
      </c>
      <c r="I33" s="12">
        <v>193</v>
      </c>
      <c r="J33" s="12">
        <v>436</v>
      </c>
    </row>
    <row r="34" spans="1:10" ht="45.6" customHeight="1" x14ac:dyDescent="0.2">
      <c r="A34" s="24">
        <v>44499</v>
      </c>
      <c r="B34" s="49"/>
      <c r="C34" s="41">
        <v>33705.910000000003</v>
      </c>
      <c r="D34" s="50">
        <f t="shared" si="3"/>
        <v>21.069999999999709</v>
      </c>
      <c r="E34" s="31">
        <v>2902704</v>
      </c>
      <c r="F34" s="32">
        <f t="shared" si="1"/>
        <v>1531</v>
      </c>
      <c r="G34" s="31">
        <v>521091</v>
      </c>
      <c r="H34" s="25">
        <f t="shared" si="2"/>
        <v>407</v>
      </c>
      <c r="I34" s="33">
        <v>227</v>
      </c>
      <c r="J34" s="33">
        <v>432</v>
      </c>
    </row>
    <row r="35" spans="1:10" ht="36.75" customHeight="1" x14ac:dyDescent="0.15">
      <c r="A35" s="24">
        <v>44500</v>
      </c>
      <c r="B35" s="49"/>
      <c r="C35" s="51">
        <v>33726.909999999996</v>
      </c>
      <c r="D35" s="25">
        <f t="shared" si="3"/>
        <v>20.999999999992724</v>
      </c>
      <c r="E35" s="35">
        <v>2904321</v>
      </c>
      <c r="F35" s="25">
        <f t="shared" si="1"/>
        <v>1617</v>
      </c>
      <c r="G35" s="35">
        <v>521509</v>
      </c>
      <c r="H35" s="25">
        <f t="shared" si="2"/>
        <v>418</v>
      </c>
      <c r="I35" s="12">
        <v>190</v>
      </c>
      <c r="J35" s="12">
        <v>469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2023-03-21T02:20:19Z</dcterms:modified>
</cp:coreProperties>
</file>