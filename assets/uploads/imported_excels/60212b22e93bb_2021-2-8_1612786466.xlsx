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235" yWindow="-150" windowWidth="10305" windowHeight="11925" tabRatio="762"/>
  </bookViews>
  <sheets>
    <sheet name="TOTAL" sheetId="11" r:id="rId1"/>
    <sheet name="FS Jimbaran January 2021" sheetId="14" r:id="rId2"/>
    <sheet name="RNs &amp; Covers January 2021" sheetId="10" r:id="rId3"/>
    <sheet name="Electricity Residences Jan 2021" sheetId="15" r:id="rId4"/>
  </sheets>
  <externalReferences>
    <externalReference r:id="rId5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7" i="14" l="1"/>
  <c r="L21" i="11" l="1"/>
  <c r="L22" i="11"/>
  <c r="L23" i="11"/>
  <c r="L24" i="11"/>
  <c r="L25" i="11"/>
  <c r="L26" i="11"/>
  <c r="L27" i="11"/>
  <c r="L28" i="11"/>
  <c r="L29" i="11"/>
  <c r="L30" i="11"/>
  <c r="L31" i="11"/>
  <c r="L32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AL31" i="14" l="1"/>
  <c r="AL32" i="14"/>
  <c r="AL33" i="14"/>
  <c r="AL34" i="14"/>
  <c r="AL35" i="14"/>
  <c r="AL36" i="14"/>
  <c r="AL37" i="14"/>
  <c r="AL38" i="14"/>
  <c r="AL39" i="14"/>
  <c r="AL40" i="14"/>
  <c r="AL41" i="14"/>
  <c r="AL42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B31" i="14"/>
  <c r="AB32" i="14"/>
  <c r="AB33" i="14"/>
  <c r="AB34" i="14"/>
  <c r="AB35" i="14"/>
  <c r="AB36" i="14"/>
  <c r="AB37" i="14"/>
  <c r="AB38" i="14"/>
  <c r="AB39" i="14"/>
  <c r="AB40" i="14"/>
  <c r="AB41" i="14"/>
  <c r="AB42" i="14"/>
  <c r="AA31" i="14" l="1"/>
  <c r="AA32" i="14"/>
  <c r="AA33" i="14"/>
  <c r="AA34" i="14"/>
  <c r="AA35" i="14"/>
  <c r="AA36" i="14"/>
  <c r="AA37" i="14"/>
  <c r="AA38" i="14"/>
  <c r="AA39" i="14"/>
  <c r="AA40" i="14"/>
  <c r="AA41" i="14"/>
  <c r="AA42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H42" i="14"/>
  <c r="G42" i="14"/>
  <c r="P42" i="14" s="1"/>
  <c r="E32" i="11" s="1"/>
  <c r="F42" i="14"/>
  <c r="I42" i="14" s="1"/>
  <c r="O42" i="14" s="1"/>
  <c r="F32" i="11" s="1"/>
  <c r="E42" i="14"/>
  <c r="H41" i="14"/>
  <c r="G41" i="14"/>
  <c r="P41" i="14" s="1"/>
  <c r="E31" i="11" s="1"/>
  <c r="F41" i="14"/>
  <c r="I41" i="14" s="1"/>
  <c r="O41" i="14" s="1"/>
  <c r="F31" i="11" s="1"/>
  <c r="E41" i="14"/>
  <c r="H40" i="14"/>
  <c r="G40" i="14"/>
  <c r="P40" i="14" s="1"/>
  <c r="E30" i="11" s="1"/>
  <c r="F40" i="14"/>
  <c r="I40" i="14" s="1"/>
  <c r="O40" i="14" s="1"/>
  <c r="F30" i="11" s="1"/>
  <c r="E40" i="14"/>
  <c r="H39" i="14"/>
  <c r="G39" i="14"/>
  <c r="P39" i="14" s="1"/>
  <c r="E29" i="11" s="1"/>
  <c r="F39" i="14"/>
  <c r="I39" i="14" s="1"/>
  <c r="O39" i="14" s="1"/>
  <c r="F29" i="11" s="1"/>
  <c r="E39" i="14"/>
  <c r="H38" i="14"/>
  <c r="G38" i="14"/>
  <c r="P38" i="14" s="1"/>
  <c r="E28" i="11" s="1"/>
  <c r="F38" i="14"/>
  <c r="I38" i="14" s="1"/>
  <c r="O38" i="14" s="1"/>
  <c r="F28" i="11" s="1"/>
  <c r="E38" i="14"/>
  <c r="H37" i="14"/>
  <c r="G37" i="14"/>
  <c r="P37" i="14" s="1"/>
  <c r="E27" i="11" s="1"/>
  <c r="F37" i="14"/>
  <c r="I37" i="14" s="1"/>
  <c r="O37" i="14" s="1"/>
  <c r="F27" i="11" s="1"/>
  <c r="E37" i="14"/>
  <c r="H36" i="14"/>
  <c r="G36" i="14"/>
  <c r="P36" i="14" s="1"/>
  <c r="E26" i="11" s="1"/>
  <c r="F36" i="14"/>
  <c r="I36" i="14" s="1"/>
  <c r="O36" i="14" s="1"/>
  <c r="F26" i="11" s="1"/>
  <c r="E36" i="14"/>
  <c r="H35" i="14"/>
  <c r="G35" i="14"/>
  <c r="P35" i="14" s="1"/>
  <c r="E25" i="11" s="1"/>
  <c r="F35" i="14"/>
  <c r="I35" i="14" s="1"/>
  <c r="O35" i="14" s="1"/>
  <c r="F25" i="11" s="1"/>
  <c r="E35" i="14"/>
  <c r="H34" i="14"/>
  <c r="G34" i="14"/>
  <c r="P34" i="14" s="1"/>
  <c r="E24" i="11" s="1"/>
  <c r="F34" i="14"/>
  <c r="I34" i="14" s="1"/>
  <c r="O34" i="14" s="1"/>
  <c r="F24" i="11" s="1"/>
  <c r="E34" i="14"/>
  <c r="H33" i="14"/>
  <c r="G33" i="14"/>
  <c r="P33" i="14" s="1"/>
  <c r="E23" i="11" s="1"/>
  <c r="F33" i="14"/>
  <c r="I33" i="14" s="1"/>
  <c r="O33" i="14" s="1"/>
  <c r="F23" i="11" s="1"/>
  <c r="E33" i="14"/>
  <c r="H32" i="14"/>
  <c r="G32" i="14"/>
  <c r="P32" i="14" s="1"/>
  <c r="E22" i="11" s="1"/>
  <c r="F32" i="14"/>
  <c r="I32" i="14" s="1"/>
  <c r="O32" i="14" s="1"/>
  <c r="F22" i="11" s="1"/>
  <c r="E32" i="14"/>
  <c r="H31" i="14"/>
  <c r="G31" i="14"/>
  <c r="P31" i="14" s="1"/>
  <c r="E21" i="11" s="1"/>
  <c r="F31" i="14"/>
  <c r="I31" i="14" s="1"/>
  <c r="O31" i="14" s="1"/>
  <c r="F21" i="11" s="1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6" i="14"/>
  <c r="G16" i="14"/>
  <c r="F16" i="14"/>
  <c r="E16" i="14"/>
  <c r="H15" i="14"/>
  <c r="G15" i="14"/>
  <c r="F15" i="14"/>
  <c r="E15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R47" i="14" l="1"/>
  <c r="Q47" i="14"/>
  <c r="C28" i="15"/>
  <c r="C27" i="15"/>
  <c r="C38" i="10" l="1"/>
  <c r="B38" i="10"/>
  <c r="V30" i="14" l="1"/>
  <c r="V29" i="14"/>
  <c r="V28" i="14"/>
  <c r="V27" i="14"/>
  <c r="V26" i="14"/>
  <c r="V25" i="14"/>
  <c r="V24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I30" i="14" s="1"/>
  <c r="N30" i="14"/>
  <c r="I30" i="14"/>
  <c r="AL29" i="14"/>
  <c r="AG29" i="14"/>
  <c r="AI29" i="14" s="1"/>
  <c r="N29" i="14"/>
  <c r="I29" i="14"/>
  <c r="AL28" i="14"/>
  <c r="AG28" i="14"/>
  <c r="AI28" i="14" s="1"/>
  <c r="N28" i="14"/>
  <c r="I28" i="14"/>
  <c r="AG27" i="14"/>
  <c r="AI27" i="14" s="1"/>
  <c r="N27" i="14"/>
  <c r="I27" i="14"/>
  <c r="AL26" i="14"/>
  <c r="AI26" i="14"/>
  <c r="AG26" i="14"/>
  <c r="G16" i="11" s="1"/>
  <c r="I26" i="14"/>
  <c r="AL25" i="14"/>
  <c r="I15" i="11"/>
  <c r="AG25" i="14"/>
  <c r="AI25" i="14" s="1"/>
  <c r="N25" i="14"/>
  <c r="P25" i="14"/>
  <c r="E15" i="11" s="1"/>
  <c r="AL24" i="14"/>
  <c r="AG24" i="14"/>
  <c r="AI24" i="14" s="1"/>
  <c r="K14" i="11"/>
  <c r="N24" i="14"/>
  <c r="I24" i="14"/>
  <c r="AL23" i="14"/>
  <c r="AG23" i="14"/>
  <c r="P23" i="14"/>
  <c r="E13" i="11" s="1"/>
  <c r="N23" i="14"/>
  <c r="AG22" i="14"/>
  <c r="AI22" i="14" s="1"/>
  <c r="N22" i="14"/>
  <c r="I22" i="14"/>
  <c r="AG21" i="14"/>
  <c r="P21" i="14"/>
  <c r="E11" i="11" s="1"/>
  <c r="N21" i="14"/>
  <c r="AL20" i="14"/>
  <c r="AG20" i="14"/>
  <c r="AI20" i="14" s="1"/>
  <c r="AA20" i="14"/>
  <c r="AB20" i="14" s="1"/>
  <c r="N20" i="14"/>
  <c r="I20" i="14"/>
  <c r="I9" i="11"/>
  <c r="AG19" i="14"/>
  <c r="G9" i="11" s="1"/>
  <c r="AA19" i="14"/>
  <c r="AB19" i="14" s="1"/>
  <c r="N19" i="14"/>
  <c r="AL18" i="14"/>
  <c r="AG18" i="14"/>
  <c r="G8" i="11" s="1"/>
  <c r="P18" i="14"/>
  <c r="E8" i="11" s="1"/>
  <c r="I18" i="14"/>
  <c r="AL17" i="14"/>
  <c r="I7" i="11"/>
  <c r="AG17" i="14"/>
  <c r="P17" i="14"/>
  <c r="E7" i="11" s="1"/>
  <c r="N17" i="14"/>
  <c r="AL16" i="14"/>
  <c r="AG16" i="14"/>
  <c r="AI16" i="14" s="1"/>
  <c r="K6" i="11"/>
  <c r="N16" i="14"/>
  <c r="I16" i="14"/>
  <c r="AL15" i="14"/>
  <c r="AG15" i="14"/>
  <c r="P15" i="14"/>
  <c r="E5" i="11" s="1"/>
  <c r="N15" i="14"/>
  <c r="AG14" i="14"/>
  <c r="AI14" i="14" s="1"/>
  <c r="N14" i="14"/>
  <c r="AL13" i="14"/>
  <c r="AG13" i="14"/>
  <c r="N13" i="14"/>
  <c r="AG12" i="14"/>
  <c r="G2" i="11" s="1"/>
  <c r="K2" i="11"/>
  <c r="I12" i="14"/>
  <c r="O29" i="14" l="1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E17" i="11" s="1"/>
  <c r="P29" i="14"/>
  <c r="E19" i="11" s="1"/>
  <c r="P30" i="14"/>
  <c r="E20" i="11" s="1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E4" i="11" s="1"/>
  <c r="P20" i="14"/>
  <c r="E10" i="11" s="1"/>
  <c r="P22" i="14"/>
  <c r="E12" i="11" s="1"/>
  <c r="AA29" i="14"/>
  <c r="G19" i="11"/>
  <c r="I17" i="11"/>
  <c r="K15" i="11"/>
  <c r="K7" i="11"/>
  <c r="L10" i="11"/>
  <c r="P13" i="14"/>
  <c r="E3" i="11" s="1"/>
  <c r="AF47" i="14"/>
  <c r="I10" i="11"/>
  <c r="M47" i="14"/>
  <c r="P16" i="14"/>
  <c r="E6" i="11" s="1"/>
  <c r="I17" i="14"/>
  <c r="N18" i="14"/>
  <c r="O18" i="14" s="1"/>
  <c r="F8" i="11" s="1"/>
  <c r="I21" i="14"/>
  <c r="O21" i="14" s="1"/>
  <c r="F11" i="11" s="1"/>
  <c r="AA27" i="14"/>
  <c r="G18" i="11"/>
  <c r="G10" i="11"/>
  <c r="I16" i="11"/>
  <c r="I8" i="11"/>
  <c r="J19" i="11"/>
  <c r="J3" i="11"/>
  <c r="L9" i="11"/>
  <c r="K47" i="14"/>
  <c r="O22" i="14"/>
  <c r="F12" i="11" s="1"/>
  <c r="AA24" i="14"/>
  <c r="P26" i="14"/>
  <c r="E16" i="11" s="1"/>
  <c r="E47" i="14"/>
  <c r="I13" i="14"/>
  <c r="O13" i="14" s="1"/>
  <c r="I15" i="14"/>
  <c r="O15" i="14" s="1"/>
  <c r="F5" i="11" s="1"/>
  <c r="O16" i="14"/>
  <c r="F6" i="11" s="1"/>
  <c r="P19" i="14"/>
  <c r="E9" i="11" s="1"/>
  <c r="AA21" i="14"/>
  <c r="I23" i="14"/>
  <c r="O23" i="14" s="1"/>
  <c r="F13" i="11" s="1"/>
  <c r="P28" i="14"/>
  <c r="E18" i="11" s="1"/>
  <c r="G17" i="11"/>
  <c r="J18" i="11"/>
  <c r="J10" i="11"/>
  <c r="K13" i="11"/>
  <c r="K5" i="11"/>
  <c r="AA25" i="14"/>
  <c r="F47" i="14"/>
  <c r="V47" i="14"/>
  <c r="I14" i="14"/>
  <c r="O14" i="14" s="1"/>
  <c r="F4" i="11" s="1"/>
  <c r="AA14" i="14"/>
  <c r="P24" i="14"/>
  <c r="E14" i="11" s="1"/>
  <c r="I25" i="14"/>
  <c r="O25" i="14" s="1"/>
  <c r="F15" i="11" s="1"/>
  <c r="N26" i="14"/>
  <c r="O26" i="14" s="1"/>
  <c r="F16" i="11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E2" i="11" s="1"/>
  <c r="AA28" i="14"/>
  <c r="J2" i="11"/>
  <c r="AC47" i="14"/>
  <c r="F18" i="11" l="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F7" i="11" s="1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F2" i="11" s="1"/>
  <c r="P47" i="14"/>
  <c r="Z47" i="14"/>
  <c r="AB12" i="14"/>
  <c r="AB16" i="14" l="1"/>
  <c r="L6" i="11"/>
  <c r="O47" i="14"/>
  <c r="T47" i="14" l="1"/>
  <c r="U47" i="14" s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<sst xmlns="http://schemas.openxmlformats.org/spreadsheetml/2006/main" count="145" uniqueCount="87">
  <si>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</si>
  <si>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</si>
  <si>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</si>
  <si>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</si>
  <si>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</si>
  <si>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</si>
  <si>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</si>
  <si>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</si>
  <si>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</si>
  <si>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</si>
  <si>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</si>
  <si>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</si>
  <si>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</si>
  <si>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</si>
  <si>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</si>
  <si>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</si>
  <si>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</si>
  <si>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</si>
  <si>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</si>
  <si>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</si>
  <si>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</si>
  <si>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</si>
  <si>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</si>
  <si>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</si>
  <si>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</si>
  <si>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</si>
  <si>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</si>
  <si>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</si>
  <si>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</si>
  <si>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</si>
  <si>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</si>
  <si>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</si>
  <si>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</si>
  <si>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</si>
  <si>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</si>
  <si>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</si>
  <si>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</si>
  <si>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</si>
  <si>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</si>
  <si>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</si>
  <si>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</si>
  <si>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</si>
  <si>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</si>
  <si>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</si>
  <si>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</si>
  <si>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</si>
  <si>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</si>
  <si>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</si>
  <si>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</si>
  <si>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</si>
  <si>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</si>
  <si>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</si>
  <si>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</si>
  <si>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JANUARY 2021</t>
  </si>
  <si>
    <t xml:space="preserve">                                                                     -  </t>
  </si>
  <si>
    <t>Residences 2020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</si>
  <si>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</si>
  <si>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</si>
  <si>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</si>
  <si>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</si>
  <si>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</si>
  <si>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</si>
  <si>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</si>
  <si>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</si>
  <si>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</si>
  <si>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</si>
  <si>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</si>
  <si>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</si>
  <si>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</si>
  <si>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</si>
  <si>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</si>
  <si>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</si>
  <si>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</si>
  <si>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</si>
  <si>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</si>
  <si>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</si>
  <si>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 Estate 9</t>
  </si>
  <si>
    <t>Total KWH</t>
  </si>
  <si>
    <t>Total Charges</t>
  </si>
  <si>
    <t>January</t>
  </si>
  <si>
    <t>Refer to</t>
  </si>
  <si>
    <t>Electricity Residences Jan 2021'!A1</t>
  </si>
  <si>
    <t>Refer to:</t>
  </si>
  <si>
    <t xml:space="preserve">Include </t>
  </si>
  <si>
    <t>Resort</t>
  </si>
  <si>
    <t xml:space="preserve">Sundara </t>
  </si>
  <si>
    <t>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</si>
</sst>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i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165" fontId="17" fillId="0" borderId="0" applyFont="0" applyFill="0" applyBorder="0" applyAlignment="0" applyProtection="0"/>
    <xf numFmtId="0" fontId="17" fillId="0" borderId="0"/>
  </cellStyleXfs>
  <cellXfs count="298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2" fillId="11" borderId="45" xfId="0" applyFont="1" applyFill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3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3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68" fontId="10" fillId="0" borderId="23" xfId="0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2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5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5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5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5" fillId="3" borderId="64" xfId="2" applyNumberFormat="1" applyFont="1" applyFill="1" applyBorder="1" applyProtection="1">
      <protection locked="0"/>
    </xf>
    <xf numFmtId="168" fontId="15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6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171" fontId="0" fillId="0" borderId="54" xfId="2" applyNumberFormat="1" applyFont="1" applyBorder="1"/>
    <xf numFmtId="171" fontId="0" fillId="0" borderId="38" xfId="2" applyNumberFormat="1" applyFont="1" applyBorder="1"/>
    <xf numFmtId="171" fontId="7" fillId="3" borderId="38" xfId="2" applyNumberFormat="1" applyFont="1" applyFill="1" applyBorder="1" applyAlignment="1">
      <alignment vertical="top" wrapText="1"/>
    </xf>
    <xf numFmtId="0" fontId="7" fillId="3" borderId="38" xfId="4" applyFill="1" applyBorder="1" applyAlignment="1">
      <alignment vertical="top" wrapText="1"/>
    </xf>
    <xf numFmtId="0" fontId="7" fillId="0" borderId="71" xfId="4" quotePrefix="1" applyBorder="1"/>
    <xf numFmtId="43" fontId="0" fillId="3" borderId="47" xfId="2" applyFont="1" applyFill="1" applyBorder="1"/>
    <xf numFmtId="43" fontId="0" fillId="3" borderId="39" xfId="2" applyFont="1" applyFill="1" applyBorder="1"/>
    <xf numFmtId="43" fontId="0" fillId="3" borderId="40" xfId="2" applyFont="1" applyFill="1" applyBorder="1"/>
    <xf numFmtId="43" fontId="0" fillId="3" borderId="53" xfId="2" applyFont="1" applyFill="1" applyBorder="1"/>
    <xf numFmtId="43" fontId="0" fillId="3" borderId="61" xfId="2" applyFont="1" applyFill="1" applyBorder="1"/>
    <xf numFmtId="43" fontId="0" fillId="3" borderId="68" xfId="2" applyFont="1" applyFill="1" applyBorder="1"/>
    <xf numFmtId="43" fontId="0" fillId="3" borderId="54" xfId="2" applyFont="1" applyFill="1" applyBorder="1"/>
    <xf numFmtId="43" fontId="0" fillId="3" borderId="38" xfId="2" applyFont="1" applyFill="1" applyBorder="1"/>
    <xf numFmtId="43" fontId="0" fillId="3" borderId="71" xfId="2" applyFont="1" applyFill="1" applyBorder="1"/>
    <xf numFmtId="0" fontId="1" fillId="5" borderId="55" xfId="0" applyFont="1" applyFill="1" applyBorder="1" applyAlignment="1">
      <alignment horizontal="center"/>
    </xf>
    <xf numFmtId="0" fontId="1" fillId="0" borderId="22" xfId="0" applyFont="1" applyBorder="1" applyAlignment="1">
      <alignment horizontal="right"/>
    </xf>
    <xf numFmtId="168" fontId="0" fillId="0" borderId="21" xfId="2" applyNumberFormat="1" applyFont="1" applyBorder="1"/>
    <xf numFmtId="168" fontId="18" fillId="0" borderId="21" xfId="2" applyNumberFormat="1" applyFont="1" applyBorder="1"/>
    <xf numFmtId="0" fontId="19" fillId="0" borderId="22" xfId="0" applyFont="1" applyBorder="1" applyAlignment="1">
      <alignment horizontal="right"/>
    </xf>
    <xf numFmtId="0" fontId="1" fillId="0" borderId="22" xfId="0" applyFont="1" applyBorder="1"/>
    <xf numFmtId="0" fontId="0" fillId="0" borderId="70" xfId="0" applyBorder="1"/>
    <xf numFmtId="168" fontId="1" fillId="0" borderId="55" xfId="0" applyNumberFormat="1" applyFont="1" applyBorder="1"/>
    <xf numFmtId="168" fontId="20" fillId="0" borderId="32" xfId="0" applyNumberFormat="1" applyFont="1" applyBorder="1"/>
    <xf numFmtId="0" fontId="7" fillId="3" borderId="61" xfId="4" quotePrefix="1" applyFill="1" applyBorder="1" applyAlignment="1"/>
    <xf numFmtId="171" fontId="21" fillId="3" borderId="38" xfId="2" applyNumberFormat="1" applyFont="1" applyFill="1" applyBorder="1" applyAlignment="1">
      <alignment vertical="top" wrapText="1"/>
    </xf>
    <xf numFmtId="171" fontId="7" fillId="3" borderId="38" xfId="4" quotePrefix="1" applyNumberFormat="1" applyFill="1" applyBorder="1" applyAlignment="1">
      <alignment vertical="top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1" fillId="10" borderId="27" xfId="0" applyFont="1" applyFill="1" applyBorder="1" applyAlignment="1">
      <alignment horizontal="center" vertical="center" wrapText="1"/>
    </xf>
    <xf numFmtId="0" fontId="11" fillId="10" borderId="39" xfId="0" applyFont="1" applyFill="1" applyBorder="1" applyAlignment="1">
      <alignment horizontal="center" vertical="center" wrapText="1"/>
    </xf>
    <xf numFmtId="0" fontId="11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/>
    </xf>
    <xf numFmtId="0" fontId="1" fillId="5" borderId="52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52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168" fontId="23" fillId="3" borderId="0" xfId="2" applyNumberFormat="1" applyFont="1" applyFill="1" applyBorder="1"/>
    <xf numFmtId="168" fontId="23" fillId="0" borderId="0" xfId="2" applyNumberFormat="1" applyFont="1" applyBorder="1"/>
    <xf numFmtId="3" fontId="23" fillId="0" borderId="0" xfId="0" applyNumberFormat="1" applyFont="1"/>
    <xf numFmtId="173" fontId="23" fillId="0" borderId="0" xfId="2" applyNumberFormat="1" applyFont="1"/>
    <xf numFmtId="10" fontId="23" fillId="0" borderId="0" xfId="5" applyNumberFormat="1" applyFont="1"/>
    <xf numFmtId="166" fontId="23" fillId="0" borderId="0" xfId="1" applyFont="1" applyBorder="1"/>
    <xf numFmtId="168" fontId="24" fillId="0" borderId="0" xfId="2" applyNumberFormat="1" applyFont="1" applyBorder="1"/>
    <xf numFmtId="171" fontId="23" fillId="0" borderId="0" xfId="2" applyNumberFormat="1" applyFont="1" applyBorder="1"/>
    <xf numFmtId="168" fontId="23" fillId="0" borderId="0" xfId="2" applyNumberFormat="1" applyFont="1" applyBorder="1" applyAlignment="1">
      <alignment horizontal="right"/>
    </xf>
    <xf numFmtId="172" fontId="23" fillId="0" borderId="0" xfId="5" applyNumberFormat="1" applyFont="1" applyBorder="1"/>
    <xf numFmtId="168" fontId="25" fillId="0" borderId="0" xfId="2" applyNumberFormat="1" applyFont="1" applyBorder="1"/>
    <xf numFmtId="0" fontId="23" fillId="0" borderId="0" xfId="0" applyFont="1"/>
    <xf numFmtId="170" fontId="23" fillId="0" borderId="0" xfId="2" applyNumberFormat="1" applyFont="1" applyBorder="1"/>
    <xf numFmtId="0" fontId="21" fillId="3" borderId="0" xfId="0" applyFont="1" applyFill="1" applyBorder="1"/>
    <xf numFmtId="168" fontId="21" fillId="0" borderId="0" xfId="2" applyNumberFormat="1" applyFont="1"/>
    <xf numFmtId="0" fontId="21" fillId="0" borderId="0" xfId="0" applyFont="1"/>
    <xf numFmtId="43" fontId="22" fillId="0" borderId="0" xfId="2" applyFont="1"/>
    <xf numFmtId="168" fontId="22" fillId="0" borderId="0" xfId="2" applyNumberFormat="1" applyFont="1"/>
    <xf numFmtId="171" fontId="21" fillId="0" borderId="0" xfId="2" applyNumberFormat="1" applyFont="1"/>
    <xf numFmtId="170" fontId="21" fillId="0" borderId="0" xfId="0" applyNumberFormat="1" applyFont="1"/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Four%20Season%20Resort%20at%20Jimbaran%20Bay/4.%20Energy/4.3%20Utilities/2021/Utilitie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20"/>
      <sheetName val="Jan 21"/>
      <sheetName val="Feb 21"/>
      <sheetName val="Summary Cost 2021"/>
    </sheetNames>
    <sheetDataSet>
      <sheetData sheetId="0"/>
      <sheetData sheetId="1">
        <row r="7">
          <cell r="E7">
            <v>12519.999999999982</v>
          </cell>
          <cell r="F7">
            <v>12967965.599999981</v>
          </cell>
          <cell r="I7">
            <v>2639.9999999999864</v>
          </cell>
          <cell r="J7">
            <v>4101688.7999999789</v>
          </cell>
        </row>
        <row r="8">
          <cell r="E8">
            <v>12000</v>
          </cell>
          <cell r="F8">
            <v>12429360</v>
          </cell>
          <cell r="I8">
            <v>2439.9999999999977</v>
          </cell>
          <cell r="J8">
            <v>3790954.7999999966</v>
          </cell>
        </row>
        <row r="9">
          <cell r="E9">
            <v>10840.000000000033</v>
          </cell>
          <cell r="F9">
            <v>11227855.200000033</v>
          </cell>
          <cell r="I9">
            <v>480.00000000001819</v>
          </cell>
          <cell r="J9">
            <v>745761.60000002827</v>
          </cell>
        </row>
        <row r="10">
          <cell r="E10">
            <v>13079.999999999927</v>
          </cell>
          <cell r="F10">
            <v>13548002.399999924</v>
          </cell>
          <cell r="I10">
            <v>4079.9999999999841</v>
          </cell>
          <cell r="J10">
            <v>6338973.5999999754</v>
          </cell>
        </row>
        <row r="11">
          <cell r="E11">
            <v>10639.999999999985</v>
          </cell>
          <cell r="F11">
            <v>11020699.199999984</v>
          </cell>
          <cell r="I11">
            <v>2080.0000000000127</v>
          </cell>
          <cell r="J11">
            <v>3231633.6000000201</v>
          </cell>
        </row>
        <row r="12">
          <cell r="E12">
            <v>8000</v>
          </cell>
          <cell r="F12">
            <v>8286240</v>
          </cell>
          <cell r="I12">
            <v>2199.9999999999886</v>
          </cell>
          <cell r="J12">
            <v>3418073.9999999823</v>
          </cell>
        </row>
        <row r="13">
          <cell r="E13">
            <v>10759.999999999991</v>
          </cell>
          <cell r="F13">
            <v>11144992.79999999</v>
          </cell>
          <cell r="I13">
            <v>2120.0000000000045</v>
          </cell>
          <cell r="J13">
            <v>3293780.4000000074</v>
          </cell>
        </row>
        <row r="14">
          <cell r="E14">
            <v>10520.000000000095</v>
          </cell>
          <cell r="F14">
            <v>10896405.600000098</v>
          </cell>
          <cell r="I14">
            <v>1960.000000000008</v>
          </cell>
          <cell r="J14">
            <v>3045193.2000000123</v>
          </cell>
        </row>
        <row r="15">
          <cell r="E15">
            <v>10239.999999999894</v>
          </cell>
          <cell r="F15">
            <v>10606387.199999891</v>
          </cell>
          <cell r="I15">
            <v>2159.9999999999964</v>
          </cell>
          <cell r="J15">
            <v>3355927.1999999946</v>
          </cell>
        </row>
        <row r="16">
          <cell r="E16">
            <v>10240.000000000009</v>
          </cell>
          <cell r="F16">
            <v>10606387.200000009</v>
          </cell>
          <cell r="I16">
            <v>2039.999999999992</v>
          </cell>
          <cell r="J16">
            <v>3169486.7999999877</v>
          </cell>
        </row>
        <row r="17">
          <cell r="E17">
            <v>12920.000000000073</v>
          </cell>
          <cell r="F17">
            <v>13382277.600000074</v>
          </cell>
          <cell r="I17">
            <v>2159.9999999999964</v>
          </cell>
          <cell r="J17">
            <v>3355927.1999999946</v>
          </cell>
        </row>
        <row r="18">
          <cell r="E18">
            <v>10600.000000000022</v>
          </cell>
          <cell r="F18">
            <v>10979268.000000022</v>
          </cell>
          <cell r="I18">
            <v>2159.9999999999964</v>
          </cell>
          <cell r="J18">
            <v>3355927.1999999946</v>
          </cell>
        </row>
        <row r="19">
          <cell r="E19">
            <v>7399.9999999999773</v>
          </cell>
          <cell r="F19">
            <v>7664771.9999999758</v>
          </cell>
          <cell r="I19">
            <v>2040.0000000000205</v>
          </cell>
          <cell r="J19">
            <v>3169486.8000000319</v>
          </cell>
        </row>
        <row r="20">
          <cell r="E20">
            <v>10519.999999999982</v>
          </cell>
          <cell r="F20">
            <v>10896405.599999981</v>
          </cell>
          <cell r="I20">
            <v>2319.9999999999932</v>
          </cell>
          <cell r="J20">
            <v>3604514.3999999897</v>
          </cell>
        </row>
        <row r="21">
          <cell r="E21">
            <v>10679.999999999949</v>
          </cell>
          <cell r="F21">
            <v>11062130.399999946</v>
          </cell>
          <cell r="I21">
            <v>2000</v>
          </cell>
          <cell r="J21">
            <v>3107340</v>
          </cell>
        </row>
        <row r="22">
          <cell r="E22">
            <v>9639.9999999999854</v>
          </cell>
          <cell r="F22">
            <v>9984919.1999999844</v>
          </cell>
          <cell r="I22">
            <v>1840.0000000000034</v>
          </cell>
          <cell r="J22">
            <v>2858752.8000000054</v>
          </cell>
        </row>
        <row r="23">
          <cell r="E23">
            <v>9640.0000000001</v>
          </cell>
          <cell r="F23">
            <v>9984919.2000001036</v>
          </cell>
          <cell r="I23">
            <v>2000</v>
          </cell>
          <cell r="J23">
            <v>3107340</v>
          </cell>
        </row>
        <row r="24">
          <cell r="E24">
            <v>11879.999999999996</v>
          </cell>
          <cell r="F24">
            <v>12305066.399999997</v>
          </cell>
          <cell r="I24">
            <v>2039.999999999992</v>
          </cell>
          <cell r="J24">
            <v>3169486.7999999877</v>
          </cell>
        </row>
        <row r="25">
          <cell r="E25">
            <v>9759.9999999999909</v>
          </cell>
          <cell r="F25">
            <v>10109212.79999999</v>
          </cell>
          <cell r="I25">
            <v>1879.9999999999955</v>
          </cell>
          <cell r="J25">
            <v>2920899.5999999931</v>
          </cell>
        </row>
        <row r="26">
          <cell r="E26">
            <v>7199.9999999999318</v>
          </cell>
          <cell r="F26">
            <v>7457615.9999999292</v>
          </cell>
          <cell r="I26">
            <v>2120.0000000000045</v>
          </cell>
          <cell r="J26">
            <v>3293780.4000000074</v>
          </cell>
        </row>
        <row r="27">
          <cell r="E27">
            <v>10080.00000000004</v>
          </cell>
          <cell r="F27">
            <v>10440662.400000041</v>
          </cell>
          <cell r="I27">
            <v>2080.0000000000127</v>
          </cell>
          <cell r="J27">
            <v>3231633.6000000201</v>
          </cell>
        </row>
        <row r="28">
          <cell r="E28">
            <v>10200.000000000045</v>
          </cell>
          <cell r="F28">
            <v>10564956.000000047</v>
          </cell>
          <cell r="I28">
            <v>1839.999999999975</v>
          </cell>
          <cell r="J28">
            <v>2858752.7999999612</v>
          </cell>
        </row>
        <row r="29">
          <cell r="E29">
            <v>8559.9999999999454</v>
          </cell>
          <cell r="F29">
            <v>8866276.799999943</v>
          </cell>
          <cell r="I29">
            <v>1760.0000000000193</v>
          </cell>
          <cell r="J29">
            <v>2734459.20000003</v>
          </cell>
        </row>
        <row r="30">
          <cell r="E30">
            <v>11600.000000000022</v>
          </cell>
          <cell r="F30">
            <v>12015048.000000022</v>
          </cell>
          <cell r="I30">
            <v>1879.9999999999955</v>
          </cell>
          <cell r="J30">
            <v>2920899.5999999931</v>
          </cell>
        </row>
        <row r="31">
          <cell r="E31">
            <v>9279.9999999999727</v>
          </cell>
          <cell r="F31">
            <v>9612038.3999999706</v>
          </cell>
          <cell r="I31">
            <v>1879.9999999999955</v>
          </cell>
          <cell r="J31">
            <v>2920899.5999999931</v>
          </cell>
        </row>
        <row r="32">
          <cell r="E32">
            <v>7559.9999999999454</v>
          </cell>
          <cell r="F32">
            <v>7830496.799999943</v>
          </cell>
          <cell r="I32">
            <v>1920.0000000000159</v>
          </cell>
          <cell r="J32">
            <v>2983046.4000000251</v>
          </cell>
        </row>
        <row r="33">
          <cell r="E33">
            <v>9880.0000000001091</v>
          </cell>
          <cell r="F33">
            <v>10233506.400000112</v>
          </cell>
          <cell r="I33">
            <v>2000</v>
          </cell>
          <cell r="J33">
            <v>3107340</v>
          </cell>
        </row>
        <row r="34">
          <cell r="E34">
            <v>12919.999999999845</v>
          </cell>
          <cell r="F34">
            <v>13382277.599999839</v>
          </cell>
          <cell r="I34">
            <v>2000</v>
          </cell>
          <cell r="J34">
            <v>3107340</v>
          </cell>
        </row>
        <row r="35">
          <cell r="E35">
            <v>7720.0000000000273</v>
          </cell>
          <cell r="F35">
            <v>7996221.6000000285</v>
          </cell>
          <cell r="I35">
            <v>2159.9999999999964</v>
          </cell>
          <cell r="J35">
            <v>3355927.1999999946</v>
          </cell>
        </row>
        <row r="36">
          <cell r="E36">
            <v>9800.0000000001819</v>
          </cell>
          <cell r="F36">
            <v>10150644.000000188</v>
          </cell>
          <cell r="I36">
            <v>2039.999999999992</v>
          </cell>
          <cell r="J36">
            <v>3169486.7999999877</v>
          </cell>
        </row>
        <row r="37">
          <cell r="E37">
            <v>10319.999999999936</v>
          </cell>
          <cell r="F37">
            <v>10689249.599999934</v>
          </cell>
          <cell r="I37">
            <v>2000</v>
          </cell>
          <cell r="J37">
            <v>3107340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A5" sqref="A5"/>
    </sheetView>
  </sheetViews>
  <sheetFormatPr defaultColWidth="11.5703125" defaultRowHeight="15" x14ac:dyDescent="0.25"/>
  <cols>
    <col min="1" max="1" width="18.42578125" style="172" customWidth="1"/>
    <col min="2" max="2" width="11.5703125" style="173"/>
    <col min="3" max="3" width="11.5703125" style="174"/>
    <col min="4" max="4" width="13.42578125" style="173" customWidth="1"/>
    <col min="5" max="5" width="12.5703125" style="171" customWidth="1"/>
    <col min="6" max="6" width="12.5703125" style="175" customWidth="1"/>
    <col min="7" max="7" width="11.5703125" style="171"/>
    <col min="8" max="8" width="11.5703125" style="175"/>
    <col min="9" max="9" width="11.5703125" style="176"/>
    <col min="10" max="10" width="11.5703125" style="177"/>
    <col min="11" max="11" width="11.5703125" style="171"/>
    <col min="12" max="12" width="11.5703125" style="177"/>
    <col min="13" max="26" width="11.5703125" style="171"/>
  </cols>
  <sheetData>
    <row r="1" spans="1:15" s="165" customFormat="1" ht="60" x14ac:dyDescent="0.25">
      <c r="A1" s="161" t="s">
        <v>37</v>
      </c>
      <c r="B1" s="161" t="s">
        <v>38</v>
      </c>
      <c r="C1" s="162" t="s">
        <v>39</v>
      </c>
      <c r="D1" s="161" t="s">
        <v>40</v>
      </c>
      <c r="E1" s="160" t="s">
        <v>41</v>
      </c>
      <c r="F1" s="163" t="s">
        <v>42</v>
      </c>
      <c r="G1" s="160" t="s">
        <v>47</v>
      </c>
      <c r="H1" s="163" t="s">
        <v>48</v>
      </c>
      <c r="I1" s="179" t="s">
        <v>50</v>
      </c>
      <c r="J1" s="163" t="s">
        <v>51</v>
      </c>
      <c r="K1" s="160" t="s">
        <v>43</v>
      </c>
      <c r="L1" s="164" t="s">
        <v>44</v>
      </c>
      <c r="M1" s="160" t="s">
        <v>45</v>
      </c>
      <c r="N1" s="160" t="s">
        <v>3</v>
      </c>
    </row>
    <row r="2" spans="1:15" x14ac:dyDescent="0.25">
      <c r="A2" s="166" t="s">
        <v>49</v>
      </c>
      <c r="B2" s="167">
        <v>1</v>
      </c>
      <c r="C2" s="168">
        <v>1</v>
      </c>
      <c r="D2" s="167">
        <v>2021</v>
      </c>
      <c r="E2" s="169">
        <f>'FS Jimbaran January 2021'!P12</f>
        <v>17199.999999999971</v>
      </c>
      <c r="F2" s="178">
        <f>'FS Jimbaran January 2021'!O12/'FS Jimbaran January 2021'!P12</f>
        <v>1185.5766715116276</v>
      </c>
      <c r="G2" s="169">
        <f>'FS Jimbaran January 2021'!AG12</f>
        <v>274</v>
      </c>
      <c r="H2" s="178">
        <f>'FS Jimbaran January 2021'!AH12/'FS Jimbaran January 2021'!AG12</f>
        <v>11094.539999999999</v>
      </c>
      <c r="I2" s="169">
        <f>'FS Jimbaran January 2021'!AJ12</f>
        <v>598</v>
      </c>
      <c r="J2" s="170">
        <f>'FS Jimbaran January 2021'!AK12/'FS Jimbaran January 2021'!AJ12</f>
        <v>8600</v>
      </c>
      <c r="K2" s="169">
        <f>'FS Jimbaran January 2021'!V12</f>
        <v>934</v>
      </c>
      <c r="L2" s="178">
        <f>'FS Jimbaran January 2021'!AA12/'FS Jimbaran January 2021'!V12</f>
        <v>2578.220556745182</v>
      </c>
      <c r="M2" s="169">
        <v>42</v>
      </c>
      <c r="N2" s="169">
        <v>423</v>
      </c>
    </row>
    <row r="3" spans="1:15" x14ac:dyDescent="0.25">
      <c r="A3" s="166" t="s">
        <v>49</v>
      </c>
      <c r="B3" s="167">
        <f>B2+1</f>
        <v>2</v>
      </c>
      <c r="C3" s="168">
        <v>1</v>
      </c>
      <c r="D3" s="167">
        <v>2021</v>
      </c>
      <c r="E3" s="180">
        <f>'FS Jimbaran January 2021'!P13</f>
        <v>16499.999999999996</v>
      </c>
      <c r="F3" s="178">
        <f>'FS Jimbaran January 2021'!O13/'FS Jimbaran January 2021'!P13</f>
        <v>1182.4841127272728</v>
      </c>
      <c r="G3" s="180">
        <f>'FS Jimbaran January 2021'!AG13</f>
        <v>262</v>
      </c>
      <c r="H3" s="178">
        <f>'FS Jimbaran January 2021'!AH13/'FS Jimbaran January 2021'!AG13</f>
        <v>11094.539999999999</v>
      </c>
      <c r="I3" s="180">
        <f>'FS Jimbaran January 2021'!AJ13</f>
        <v>589.1</v>
      </c>
      <c r="J3" s="170">
        <f>'FS Jimbaran January 2021'!AK13/'FS Jimbaran January 2021'!AJ13</f>
        <v>8600</v>
      </c>
      <c r="K3" s="180">
        <f>'FS Jimbaran January 2021'!V13</f>
        <v>945</v>
      </c>
      <c r="L3" s="178">
        <f>'FS Jimbaran January 2021'!AA13/'FS Jimbaran January 2021'!V13</f>
        <v>2498.2105820105821</v>
      </c>
      <c r="M3" s="180">
        <v>37</v>
      </c>
      <c r="N3" s="180">
        <v>341</v>
      </c>
    </row>
    <row r="4" spans="1:15" x14ac:dyDescent="0.25">
      <c r="A4" s="166" t="s">
        <v>49</v>
      </c>
      <c r="B4" s="167">
        <f t="shared" ref="B4:B31" si="0">B3+1</f>
        <v>3</v>
      </c>
      <c r="C4" s="168">
        <v>1</v>
      </c>
      <c r="D4" s="167">
        <v>2021</v>
      </c>
      <c r="E4" s="180">
        <f>'FS Jimbaran January 2021'!P14</f>
        <v>13580.000000000047</v>
      </c>
      <c r="F4" s="178">
        <f>'FS Jimbaran January 2021'!O14/'FS Jimbaran January 2021'!P14</f>
        <v>1125.2094587628869</v>
      </c>
      <c r="G4" s="180">
        <f>'FS Jimbaran January 2021'!AG14</f>
        <v>212</v>
      </c>
      <c r="H4" s="178">
        <f>'FS Jimbaran January 2021'!AH14/'FS Jimbaran January 2021'!AG14</f>
        <v>11094.539999999999</v>
      </c>
      <c r="I4" s="180">
        <f>'FS Jimbaran January 2021'!AJ14</f>
        <v>547.5</v>
      </c>
      <c r="J4" s="170">
        <f>'FS Jimbaran January 2021'!AK14/'FS Jimbaran January 2021'!AJ14</f>
        <v>8600</v>
      </c>
      <c r="K4" s="180">
        <f>'FS Jimbaran January 2021'!V14</f>
        <v>878</v>
      </c>
      <c r="L4" s="178">
        <f>'FS Jimbaran January 2021'!AA14/'FS Jimbaran January 2021'!V14</f>
        <v>2612.4191343963553</v>
      </c>
      <c r="M4" s="180">
        <v>29</v>
      </c>
      <c r="N4" s="180">
        <v>252</v>
      </c>
    </row>
    <row r="5" spans="1:15" x14ac:dyDescent="0.25">
      <c r="A5" s="166" t="s">
        <v>49</v>
      </c>
      <c r="B5" s="167">
        <f t="shared" si="0"/>
        <v>4</v>
      </c>
      <c r="C5" s="168">
        <v>1</v>
      </c>
      <c r="D5" s="167">
        <v>2021</v>
      </c>
      <c r="E5" s="180">
        <f>'FS Jimbaran January 2021'!P15</f>
        <v>19119.999999999913</v>
      </c>
      <c r="F5" s="178">
        <f>'FS Jimbaran January 2021'!O15/'FS Jimbaran January 2021'!P15</f>
        <v>1212.7076924686194</v>
      </c>
      <c r="G5" s="180">
        <f>'FS Jimbaran January 2021'!AG15</f>
        <v>212</v>
      </c>
      <c r="H5" s="178">
        <f>'FS Jimbaran January 2021'!AH15/'FS Jimbaran January 2021'!AG15</f>
        <v>11094.539999999999</v>
      </c>
      <c r="I5" s="180">
        <f>'FS Jimbaran January 2021'!AJ15</f>
        <v>527.6</v>
      </c>
      <c r="J5" s="170">
        <f>'FS Jimbaran January 2021'!AK15/'FS Jimbaran January 2021'!AJ15</f>
        <v>8600</v>
      </c>
      <c r="K5" s="180">
        <f>'FS Jimbaran January 2021'!V15</f>
        <v>917</v>
      </c>
      <c r="L5" s="178">
        <f>'FS Jimbaran January 2021'!AA15/'FS Jimbaran January 2021'!V15</f>
        <v>2178.0556161395857</v>
      </c>
      <c r="M5" s="180">
        <v>23</v>
      </c>
      <c r="N5" s="180">
        <v>199</v>
      </c>
    </row>
    <row r="6" spans="1:15" x14ac:dyDescent="0.25">
      <c r="A6" s="166" t="s">
        <v>49</v>
      </c>
      <c r="B6" s="167">
        <f t="shared" si="0"/>
        <v>5</v>
      </c>
      <c r="C6" s="168">
        <v>1</v>
      </c>
      <c r="D6" s="167">
        <v>2021</v>
      </c>
      <c r="E6" s="180">
        <f>'FS Jimbaran January 2021'!P16</f>
        <v>14820</v>
      </c>
      <c r="F6" s="178">
        <f>'FS Jimbaran January 2021'!O16/'FS Jimbaran January 2021'!P16</f>
        <v>1182.2359372469641</v>
      </c>
      <c r="G6" s="180">
        <f>'FS Jimbaran January 2021'!AG16</f>
        <v>212</v>
      </c>
      <c r="H6" s="178">
        <f>'FS Jimbaran January 2021'!AH16/'FS Jimbaran January 2021'!AG16</f>
        <v>11094.539999999999</v>
      </c>
      <c r="I6" s="180">
        <f>'FS Jimbaran January 2021'!AJ16</f>
        <v>515.9</v>
      </c>
      <c r="J6" s="170">
        <f>'FS Jimbaran January 2021'!AK16/'FS Jimbaran January 2021'!AJ16</f>
        <v>8600</v>
      </c>
      <c r="K6" s="180">
        <f>'FS Jimbaran January 2021'!V16</f>
        <v>842</v>
      </c>
      <c r="L6" s="178">
        <f>'FS Jimbaran January 2021'!AA16/'FS Jimbaran January 2021'!V16</f>
        <v>2745.2161520190025</v>
      </c>
      <c r="M6" s="180">
        <v>18</v>
      </c>
      <c r="N6" s="180">
        <v>137</v>
      </c>
    </row>
    <row r="7" spans="1:15" x14ac:dyDescent="0.25">
      <c r="A7" s="166" t="s">
        <v>49</v>
      </c>
      <c r="B7" s="167">
        <f t="shared" si="0"/>
        <v>6</v>
      </c>
      <c r="C7" s="168">
        <v>1</v>
      </c>
      <c r="D7" s="167">
        <v>2021</v>
      </c>
      <c r="E7" s="180">
        <f>'FS Jimbaran January 2021'!P17</f>
        <v>11119.999999999991</v>
      </c>
      <c r="F7" s="178">
        <f>'FS Jimbaran January 2021'!O17/'FS Jimbaran January 2021'!P17</f>
        <v>1203.9545314748195</v>
      </c>
      <c r="G7" s="180">
        <f>'FS Jimbaran January 2021'!AG17</f>
        <v>212</v>
      </c>
      <c r="H7" s="178">
        <f>'FS Jimbaran January 2021'!AH17/'FS Jimbaran January 2021'!AG17</f>
        <v>11094.539999999999</v>
      </c>
      <c r="I7" s="180">
        <f>'FS Jimbaran January 2021'!AJ17</f>
        <v>530.6</v>
      </c>
      <c r="J7" s="170">
        <f>'FS Jimbaran January 2021'!AK17/'FS Jimbaran January 2021'!AJ17</f>
        <v>8600</v>
      </c>
      <c r="K7" s="180">
        <f>'FS Jimbaran January 2021'!V17</f>
        <v>871</v>
      </c>
      <c r="L7" s="178">
        <f>'FS Jimbaran January 2021'!AA17/'FS Jimbaran January 2021'!V17</f>
        <v>2689.8610792192881</v>
      </c>
      <c r="M7" s="180">
        <v>14</v>
      </c>
      <c r="N7" s="180">
        <v>168</v>
      </c>
    </row>
    <row r="8" spans="1:15" x14ac:dyDescent="0.25">
      <c r="A8" s="166" t="s">
        <v>49</v>
      </c>
      <c r="B8" s="167">
        <f t="shared" si="0"/>
        <v>7</v>
      </c>
      <c r="C8" s="168">
        <v>1</v>
      </c>
      <c r="D8" s="167">
        <v>2021</v>
      </c>
      <c r="E8" s="180">
        <f>'FS Jimbaran January 2021'!P18</f>
        <v>14579.999999999995</v>
      </c>
      <c r="F8" s="178">
        <f>'FS Jimbaran January 2021'!O18/'FS Jimbaran January 2021'!P18</f>
        <v>1179.3186481481484</v>
      </c>
      <c r="G8" s="180">
        <f>'FS Jimbaran January 2021'!AG18</f>
        <v>224</v>
      </c>
      <c r="H8" s="178">
        <f>'FS Jimbaran January 2021'!AH18/'FS Jimbaran January 2021'!AG18</f>
        <v>11094.539999999999</v>
      </c>
      <c r="I8" s="180">
        <f>'FS Jimbaran January 2021'!AJ18</f>
        <v>572.70000000000005</v>
      </c>
      <c r="J8" s="170">
        <f>'FS Jimbaran January 2021'!AK18/'FS Jimbaran January 2021'!AJ18</f>
        <v>8600</v>
      </c>
      <c r="K8" s="180">
        <f>'FS Jimbaran January 2021'!V18</f>
        <v>880</v>
      </c>
      <c r="L8" s="178">
        <f>'FS Jimbaran January 2021'!AA18/'FS Jimbaran January 2021'!V18</f>
        <v>2587.6772727272728</v>
      </c>
      <c r="M8" s="180">
        <v>14</v>
      </c>
      <c r="N8" s="180">
        <v>131</v>
      </c>
    </row>
    <row r="9" spans="1:15" x14ac:dyDescent="0.25">
      <c r="A9" s="166" t="s">
        <v>49</v>
      </c>
      <c r="B9" s="167">
        <f t="shared" si="0"/>
        <v>8</v>
      </c>
      <c r="C9" s="168">
        <v>1</v>
      </c>
      <c r="D9" s="167">
        <v>2021</v>
      </c>
      <c r="E9" s="180">
        <f>'FS Jimbaran January 2021'!P19</f>
        <v>14040.000000000102</v>
      </c>
      <c r="F9" s="178">
        <f>'FS Jimbaran January 2021'!O19/'FS Jimbaran January 2021'!P19</f>
        <v>1175.1012628205124</v>
      </c>
      <c r="G9" s="180">
        <f>'FS Jimbaran January 2021'!AG19</f>
        <v>224</v>
      </c>
      <c r="H9" s="178">
        <f>'FS Jimbaran January 2021'!AH19/'FS Jimbaran January 2021'!AG19</f>
        <v>11094.539999999999</v>
      </c>
      <c r="I9" s="180">
        <f>'FS Jimbaran January 2021'!AJ19</f>
        <v>566.1</v>
      </c>
      <c r="J9" s="170">
        <f>'FS Jimbaran January 2021'!AK19/'FS Jimbaran January 2021'!AJ19</f>
        <v>8600</v>
      </c>
      <c r="K9" s="180">
        <f>'FS Jimbaran January 2021'!V19</f>
        <v>845</v>
      </c>
      <c r="L9" s="178">
        <f>'FS Jimbaran January 2021'!AA19/'FS Jimbaran January 2021'!V19</f>
        <v>1867.0497041420119</v>
      </c>
      <c r="M9" s="180">
        <v>13</v>
      </c>
      <c r="N9" s="180">
        <v>125</v>
      </c>
      <c r="O9" s="171" t="s">
        <v>46</v>
      </c>
    </row>
    <row r="10" spans="1:15" x14ac:dyDescent="0.25">
      <c r="A10" s="166" t="s">
        <v>49</v>
      </c>
      <c r="B10" s="167">
        <f t="shared" si="0"/>
        <v>9</v>
      </c>
      <c r="C10" s="168">
        <v>1</v>
      </c>
      <c r="D10" s="167">
        <v>2021</v>
      </c>
      <c r="E10" s="180">
        <f>'FS Jimbaran January 2021'!P20</f>
        <v>13939.999999999891</v>
      </c>
      <c r="F10" s="178">
        <f>'FS Jimbaran January 2021'!O20/'FS Jimbaran January 2021'!P20</f>
        <v>1184.3111492109047</v>
      </c>
      <c r="G10" s="180">
        <f>'FS Jimbaran January 2021'!AG20</f>
        <v>212</v>
      </c>
      <c r="H10" s="178">
        <f>'FS Jimbaran January 2021'!AH20/'FS Jimbaran January 2021'!AG20</f>
        <v>11094.539999999999</v>
      </c>
      <c r="I10" s="180">
        <f>'FS Jimbaran January 2021'!AJ20</f>
        <v>500</v>
      </c>
      <c r="J10" s="170">
        <f>'FS Jimbaran January 2021'!AK20/'FS Jimbaran January 2021'!AJ20</f>
        <v>8600</v>
      </c>
      <c r="K10" s="180">
        <f>'FS Jimbaran January 2021'!V20</f>
        <v>867</v>
      </c>
      <c r="L10" s="178">
        <f>'FS Jimbaran January 2021'!AA20/'FS Jimbaran January 2021'!V20</f>
        <v>2013.5513264129181</v>
      </c>
      <c r="M10" s="180">
        <v>11</v>
      </c>
      <c r="N10" s="180">
        <v>146</v>
      </c>
    </row>
    <row r="11" spans="1:15" x14ac:dyDescent="0.25">
      <c r="A11" s="166" t="s">
        <v>49</v>
      </c>
      <c r="B11" s="167">
        <f t="shared" si="0"/>
        <v>10</v>
      </c>
      <c r="C11" s="168">
        <v>1</v>
      </c>
      <c r="D11" s="167">
        <v>2021</v>
      </c>
      <c r="E11" s="180">
        <f>'FS Jimbaran January 2021'!P21</f>
        <v>13800.000000000004</v>
      </c>
      <c r="F11" s="178">
        <f>'FS Jimbaran January 2021'!O21/'FS Jimbaran January 2021'!P21</f>
        <v>1178.9878434782604</v>
      </c>
      <c r="G11" s="180">
        <f>'FS Jimbaran January 2021'!AG21</f>
        <v>212</v>
      </c>
      <c r="H11" s="178">
        <f>'FS Jimbaran January 2021'!AH21/'FS Jimbaran January 2021'!AG21</f>
        <v>11094.539999999999</v>
      </c>
      <c r="I11" s="180">
        <f>'FS Jimbaran January 2021'!AJ21</f>
        <v>479.3</v>
      </c>
      <c r="J11" s="170">
        <f>'FS Jimbaran January 2021'!AK21/'FS Jimbaran January 2021'!AJ21</f>
        <v>8600</v>
      </c>
      <c r="K11" s="180">
        <f>'FS Jimbaran January 2021'!V21</f>
        <v>900</v>
      </c>
      <c r="L11" s="178">
        <f>'FS Jimbaran January 2021'!AA21/'FS Jimbaran January 2021'!V21</f>
        <v>1860.0288888888888</v>
      </c>
      <c r="M11" s="180">
        <v>10</v>
      </c>
      <c r="N11" s="180">
        <v>116</v>
      </c>
    </row>
    <row r="12" spans="1:15" x14ac:dyDescent="0.25">
      <c r="A12" s="166" t="s">
        <v>49</v>
      </c>
      <c r="B12" s="167">
        <f t="shared" si="0"/>
        <v>11</v>
      </c>
      <c r="C12" s="168">
        <v>1</v>
      </c>
      <c r="D12" s="167">
        <v>2021</v>
      </c>
      <c r="E12" s="180">
        <f>'FS Jimbaran January 2021'!P22</f>
        <v>16880.000000000069</v>
      </c>
      <c r="F12" s="178">
        <f>'FS Jimbaran January 2021'!O22/'FS Jimbaran January 2021'!P22</f>
        <v>1166.8172150473929</v>
      </c>
      <c r="G12" s="180">
        <f>'FS Jimbaran January 2021'!AG22</f>
        <v>224</v>
      </c>
      <c r="H12" s="178">
        <f>'FS Jimbaran January 2021'!AH22/'FS Jimbaran January 2021'!AG22</f>
        <v>11094.539999999999</v>
      </c>
      <c r="I12" s="180">
        <f>'FS Jimbaran January 2021'!AJ22</f>
        <v>475.2</v>
      </c>
      <c r="J12" s="170">
        <f>'FS Jimbaran January 2021'!AK22/'FS Jimbaran January 2021'!AJ22</f>
        <v>8600</v>
      </c>
      <c r="K12" s="180">
        <f>'FS Jimbaran January 2021'!V22</f>
        <v>869</v>
      </c>
      <c r="L12" s="178">
        <f>'FS Jimbaran January 2021'!AA22/'FS Jimbaran January 2021'!V22</f>
        <v>1989.8745684695052</v>
      </c>
      <c r="M12" s="180">
        <v>11</v>
      </c>
      <c r="N12" s="180">
        <v>79</v>
      </c>
    </row>
    <row r="13" spans="1:15" x14ac:dyDescent="0.25">
      <c r="A13" s="166" t="s">
        <v>49</v>
      </c>
      <c r="B13" s="167">
        <f t="shared" si="0"/>
        <v>12</v>
      </c>
      <c r="C13" s="168">
        <v>1</v>
      </c>
      <c r="D13" s="167">
        <v>2021</v>
      </c>
      <c r="E13" s="180">
        <f>'FS Jimbaran January 2021'!P23</f>
        <v>14280.00000000002</v>
      </c>
      <c r="F13" s="178">
        <f>'FS Jimbaran January 2021'!O23/'FS Jimbaran January 2021'!P23</f>
        <v>1182.0077647058822</v>
      </c>
      <c r="G13" s="180">
        <f>'FS Jimbaran January 2021'!AG23</f>
        <v>162</v>
      </c>
      <c r="H13" s="178">
        <f>'FS Jimbaran January 2021'!AH23/'FS Jimbaran January 2021'!AG23</f>
        <v>11094.539999999999</v>
      </c>
      <c r="I13" s="180">
        <f>'FS Jimbaran January 2021'!AJ23</f>
        <v>471</v>
      </c>
      <c r="J13" s="170">
        <f>'FS Jimbaran January 2021'!AK23/'FS Jimbaran January 2021'!AJ23</f>
        <v>8600</v>
      </c>
      <c r="K13" s="180">
        <f>'FS Jimbaran January 2021'!V23</f>
        <v>860</v>
      </c>
      <c r="L13" s="178">
        <f>'FS Jimbaran January 2021'!AA23/'FS Jimbaran January 2021'!V23</f>
        <v>2026.0418604651163</v>
      </c>
      <c r="M13" s="180">
        <v>10</v>
      </c>
      <c r="N13" s="180">
        <v>85</v>
      </c>
    </row>
    <row r="14" spans="1:15" x14ac:dyDescent="0.25">
      <c r="A14" s="166" t="s">
        <v>49</v>
      </c>
      <c r="B14" s="167">
        <f t="shared" si="0"/>
        <v>13</v>
      </c>
      <c r="C14" s="168">
        <v>1</v>
      </c>
      <c r="D14" s="167">
        <v>2021</v>
      </c>
      <c r="E14" s="180">
        <f>'FS Jimbaran January 2021'!P24</f>
        <v>10599.999999999995</v>
      </c>
      <c r="F14" s="178">
        <f>'FS Jimbaran January 2021'!O24/'FS Jimbaran January 2021'!P24</f>
        <v>1206.5859849056615</v>
      </c>
      <c r="G14" s="180">
        <f>'FS Jimbaran January 2021'!AG24</f>
        <v>169.4301500000285</v>
      </c>
      <c r="H14" s="178">
        <f>'FS Jimbaran January 2021'!AH24/'FS Jimbaran January 2021'!AG24</f>
        <v>11094.539999999999</v>
      </c>
      <c r="I14" s="180">
        <f>'FS Jimbaran January 2021'!AJ24</f>
        <v>465</v>
      </c>
      <c r="J14" s="170">
        <f>'FS Jimbaran January 2021'!AK24/'FS Jimbaran January 2021'!AJ24</f>
        <v>8600</v>
      </c>
      <c r="K14" s="180">
        <f>'FS Jimbaran January 2021'!V24</f>
        <v>871</v>
      </c>
      <c r="L14" s="178">
        <f>'FS Jimbaran January 2021'!AA24/'FS Jimbaran January 2021'!V24</f>
        <v>2106.9977037887484</v>
      </c>
      <c r="M14" s="180">
        <v>10</v>
      </c>
      <c r="N14" s="180">
        <v>81</v>
      </c>
    </row>
    <row r="15" spans="1:15" x14ac:dyDescent="0.25">
      <c r="A15" s="166" t="s">
        <v>49</v>
      </c>
      <c r="B15" s="167">
        <f t="shared" si="0"/>
        <v>14</v>
      </c>
      <c r="C15" s="168">
        <v>1</v>
      </c>
      <c r="D15" s="167">
        <v>2021</v>
      </c>
      <c r="E15" s="180">
        <f>'FS Jimbaran January 2021'!P25</f>
        <v>14299.999999999978</v>
      </c>
      <c r="F15" s="178">
        <f>'FS Jimbaran January 2021'!O25/'FS Jimbaran January 2021'!P25</f>
        <v>1187.1994468531468</v>
      </c>
      <c r="G15" s="180">
        <f>'FS Jimbaran January 2021'!AG25</f>
        <v>162</v>
      </c>
      <c r="H15" s="178">
        <f>'FS Jimbaran January 2021'!AH25/'FS Jimbaran January 2021'!AG25</f>
        <v>11094.539999999999</v>
      </c>
      <c r="I15" s="180">
        <f>'FS Jimbaran January 2021'!AJ25</f>
        <v>444.9</v>
      </c>
      <c r="J15" s="170">
        <f>'FS Jimbaran January 2021'!AK25/'FS Jimbaran January 2021'!AJ25</f>
        <v>8600</v>
      </c>
      <c r="K15" s="180">
        <f>'FS Jimbaran January 2021'!V25</f>
        <v>879</v>
      </c>
      <c r="L15" s="178">
        <f>'FS Jimbaran January 2021'!AA25/'FS Jimbaran January 2021'!V25</f>
        <v>1932.8543799772469</v>
      </c>
      <c r="M15" s="180">
        <v>9</v>
      </c>
      <c r="N15" s="180">
        <v>82</v>
      </c>
    </row>
    <row r="16" spans="1:15" x14ac:dyDescent="0.25">
      <c r="A16" s="166" t="s">
        <v>49</v>
      </c>
      <c r="B16" s="167">
        <f t="shared" si="0"/>
        <v>15</v>
      </c>
      <c r="C16" s="168">
        <v>1</v>
      </c>
      <c r="D16" s="167">
        <v>2021</v>
      </c>
      <c r="E16" s="180">
        <f>'FS Jimbaran January 2021'!P26</f>
        <v>14299.999999999945</v>
      </c>
      <c r="F16" s="178">
        <f>'FS Jimbaran January 2021'!O26/'FS Jimbaran January 2021'!P26</f>
        <v>1175.7913804195809</v>
      </c>
      <c r="G16" s="180">
        <f>'FS Jimbaran January 2021'!AG26</f>
        <v>162</v>
      </c>
      <c r="H16" s="178">
        <f>'FS Jimbaran January 2021'!AH26/'FS Jimbaran January 2021'!AG26</f>
        <v>11094.539999999999</v>
      </c>
      <c r="I16" s="180">
        <f>'FS Jimbaran January 2021'!AJ26</f>
        <v>424.8</v>
      </c>
      <c r="J16" s="170">
        <f>'FS Jimbaran January 2021'!AK26/'FS Jimbaran January 2021'!AJ26</f>
        <v>8600</v>
      </c>
      <c r="K16" s="180">
        <f>'FS Jimbaran January 2021'!V26</f>
        <v>835</v>
      </c>
      <c r="L16" s="178">
        <f>'FS Jimbaran January 2021'!AA26/'FS Jimbaran January 2021'!V26</f>
        <v>2030.4299401197604</v>
      </c>
      <c r="M16" s="180">
        <v>9</v>
      </c>
      <c r="N16" s="180">
        <v>52</v>
      </c>
    </row>
    <row r="17" spans="1:14" x14ac:dyDescent="0.25">
      <c r="A17" s="166" t="s">
        <v>49</v>
      </c>
      <c r="B17" s="167">
        <f t="shared" si="0"/>
        <v>16</v>
      </c>
      <c r="C17" s="168">
        <v>1</v>
      </c>
      <c r="D17" s="167">
        <v>2021</v>
      </c>
      <c r="E17" s="180">
        <f>'FS Jimbaran January 2021'!P27</f>
        <v>12999.999999999993</v>
      </c>
      <c r="F17" s="178">
        <f>'FS Jimbaran January 2021'!O27/'FS Jimbaran January 2021'!P27</f>
        <v>1176.2477030769232</v>
      </c>
      <c r="G17" s="180">
        <f>'FS Jimbaran January 2021'!AG27</f>
        <v>124</v>
      </c>
      <c r="H17" s="178">
        <f>'FS Jimbaran January 2021'!AH27/'FS Jimbaran January 2021'!AG27</f>
        <v>11094.539999999999</v>
      </c>
      <c r="I17" s="180">
        <f>'FS Jimbaran January 2021'!AJ27</f>
        <v>455.8</v>
      </c>
      <c r="J17" s="170">
        <f>'FS Jimbaran January 2021'!AK27/'FS Jimbaran January 2021'!AJ27</f>
        <v>8600</v>
      </c>
      <c r="K17" s="180">
        <f>'FS Jimbaran January 2021'!V27</f>
        <v>863</v>
      </c>
      <c r="L17" s="178">
        <f>'FS Jimbaran January 2021'!AA27/'FS Jimbaran January 2021'!V27</f>
        <v>2040.9490150637312</v>
      </c>
      <c r="M17" s="180">
        <v>8</v>
      </c>
      <c r="N17" s="180">
        <v>68</v>
      </c>
    </row>
    <row r="18" spans="1:14" x14ac:dyDescent="0.25">
      <c r="A18" s="166" t="s">
        <v>49</v>
      </c>
      <c r="B18" s="167">
        <f t="shared" si="0"/>
        <v>17</v>
      </c>
      <c r="C18" s="168">
        <v>1</v>
      </c>
      <c r="D18" s="167">
        <v>2021</v>
      </c>
      <c r="E18" s="180">
        <f>'FS Jimbaran January 2021'!P28</f>
        <v>13340.0000000001</v>
      </c>
      <c r="F18" s="178">
        <f>'FS Jimbaran January 2021'!O28/'FS Jimbaran January 2021'!P28</f>
        <v>1182.955486506746</v>
      </c>
      <c r="G18" s="180">
        <f>'FS Jimbaran January 2021'!AG28</f>
        <v>112</v>
      </c>
      <c r="H18" s="178">
        <f>'FS Jimbaran January 2021'!AH28/'FS Jimbaran January 2021'!AG28</f>
        <v>11094.539999999999</v>
      </c>
      <c r="I18" s="180">
        <f>'FS Jimbaran January 2021'!AJ28</f>
        <v>441</v>
      </c>
      <c r="J18" s="170">
        <f>'FS Jimbaran January 2021'!AK28/'FS Jimbaran January 2021'!AJ28</f>
        <v>8600</v>
      </c>
      <c r="K18" s="180">
        <f>'FS Jimbaran January 2021'!V28</f>
        <v>921</v>
      </c>
      <c r="L18" s="178">
        <f>'FS Jimbaran January 2021'!AA28/'FS Jimbaran January 2021'!V28</f>
        <v>1828.5396308360478</v>
      </c>
      <c r="M18" s="180">
        <v>5</v>
      </c>
      <c r="N18" s="180">
        <v>83</v>
      </c>
    </row>
    <row r="19" spans="1:14" x14ac:dyDescent="0.25">
      <c r="A19" s="166" t="s">
        <v>49</v>
      </c>
      <c r="B19" s="167">
        <f t="shared" si="0"/>
        <v>18</v>
      </c>
      <c r="C19" s="168">
        <v>1</v>
      </c>
      <c r="D19" s="167">
        <v>2021</v>
      </c>
      <c r="E19" s="180">
        <f>'FS Jimbaran January 2021'!P29</f>
        <v>16159.999999999987</v>
      </c>
      <c r="F19" s="178">
        <f>'FS Jimbaran January 2021'!O29/'FS Jimbaran January 2021'!P29</f>
        <v>1169.0020748762374</v>
      </c>
      <c r="G19" s="180">
        <f>'FS Jimbaran January 2021'!AG29</f>
        <v>112</v>
      </c>
      <c r="H19" s="178">
        <f>'FS Jimbaran January 2021'!AH29/'FS Jimbaran January 2021'!AG29</f>
        <v>11094.539999999999</v>
      </c>
      <c r="I19" s="180">
        <f>'FS Jimbaran January 2021'!AJ29</f>
        <v>433.7</v>
      </c>
      <c r="J19" s="170">
        <f>'FS Jimbaran January 2021'!AK29/'FS Jimbaran January 2021'!AJ29</f>
        <v>8600</v>
      </c>
      <c r="K19" s="180">
        <f>'FS Jimbaran January 2021'!V29</f>
        <v>906</v>
      </c>
      <c r="L19" s="178">
        <f>'FS Jimbaran January 2021'!AA29/'FS Jimbaran January 2021'!V29</f>
        <v>1986.1390728476822</v>
      </c>
      <c r="M19" s="180">
        <v>5</v>
      </c>
      <c r="N19" s="180">
        <v>63</v>
      </c>
    </row>
    <row r="20" spans="1:14" x14ac:dyDescent="0.25">
      <c r="A20" s="166" t="s">
        <v>49</v>
      </c>
      <c r="B20" s="167">
        <f t="shared" si="0"/>
        <v>19</v>
      </c>
      <c r="C20" s="168">
        <v>1</v>
      </c>
      <c r="D20" s="167">
        <v>2021</v>
      </c>
      <c r="E20" s="180">
        <f>'FS Jimbaran January 2021'!P30</f>
        <v>13059.999999999985</v>
      </c>
      <c r="F20" s="178">
        <f>'FS Jimbaran January 2021'!O30/'FS Jimbaran January 2021'!P30</f>
        <v>1180.0040375191422</v>
      </c>
      <c r="G20" s="180">
        <f>'FS Jimbaran January 2021'!AG30</f>
        <v>112</v>
      </c>
      <c r="H20" s="178">
        <f>'FS Jimbaran January 2021'!AH30/'FS Jimbaran January 2021'!AG30</f>
        <v>11094.539999999999</v>
      </c>
      <c r="I20" s="180">
        <f>'FS Jimbaran January 2021'!AJ30</f>
        <v>453.1</v>
      </c>
      <c r="J20" s="170">
        <f>'FS Jimbaran January 2021'!AK30/'FS Jimbaran January 2021'!AJ30</f>
        <v>8600</v>
      </c>
      <c r="K20" s="180">
        <f>'FS Jimbaran January 2021'!V30</f>
        <v>896</v>
      </c>
      <c r="L20" s="178">
        <f>'FS Jimbaran January 2021'!AA30/'FS Jimbaran January 2021'!V30</f>
        <v>1983.421875</v>
      </c>
      <c r="M20" s="180">
        <v>4</v>
      </c>
      <c r="N20" s="180">
        <v>26</v>
      </c>
    </row>
    <row r="21" spans="1:14" x14ac:dyDescent="0.25">
      <c r="A21" s="166" t="s">
        <v>49</v>
      </c>
      <c r="B21" s="167">
        <f t="shared" si="0"/>
        <v>20</v>
      </c>
      <c r="C21" s="168">
        <v>1</v>
      </c>
      <c r="D21" s="167">
        <v>2021</v>
      </c>
      <c r="E21" s="180">
        <f>'FS Jimbaran January 2021'!P31</f>
        <v>10939.999999999935</v>
      </c>
      <c r="F21" s="178">
        <f>'FS Jimbaran January 2021'!O31/'FS Jimbaran January 2021'!P31</f>
        <v>1208.8518318098731</v>
      </c>
      <c r="G21" s="180">
        <f>'FS Jimbaran January 2021'!AG31</f>
        <v>62</v>
      </c>
      <c r="H21" s="178">
        <f>'FS Jimbaran January 2021'!AH31/'FS Jimbaran January 2021'!AG31</f>
        <v>11094.539999999999</v>
      </c>
      <c r="I21" s="180">
        <f>'FS Jimbaran January 2021'!AJ31</f>
        <v>450.4</v>
      </c>
      <c r="J21" s="170">
        <f>'FS Jimbaran January 2021'!AK31/'FS Jimbaran January 2021'!AJ31</f>
        <v>8600</v>
      </c>
      <c r="K21" s="180">
        <f>'FS Jimbaran January 2021'!V31</f>
        <v>956</v>
      </c>
      <c r="L21" s="178">
        <f>'FS Jimbaran January 2021'!AA31/'FS Jimbaran January 2021'!V31</f>
        <v>1852.378661087866</v>
      </c>
      <c r="M21" s="180">
        <v>0</v>
      </c>
      <c r="N21" s="180">
        <v>24</v>
      </c>
    </row>
    <row r="22" spans="1:14" x14ac:dyDescent="0.25">
      <c r="A22" s="166" t="s">
        <v>49</v>
      </c>
      <c r="B22" s="167">
        <f t="shared" si="0"/>
        <v>21</v>
      </c>
      <c r="C22" s="168">
        <v>1</v>
      </c>
      <c r="D22" s="167">
        <v>2021</v>
      </c>
      <c r="E22" s="180">
        <f>'FS Jimbaran January 2021'!P32</f>
        <v>13920.000000000058</v>
      </c>
      <c r="F22" s="178">
        <f>'FS Jimbaran January 2021'!O32/'FS Jimbaran January 2021'!P32</f>
        <v>1182.8875474137933</v>
      </c>
      <c r="G22" s="180">
        <f>'FS Jimbaran January 2021'!AG32</f>
        <v>112</v>
      </c>
      <c r="H22" s="178">
        <f>'FS Jimbaran January 2021'!AH32/'FS Jimbaran January 2021'!AG32</f>
        <v>11094.539999999999</v>
      </c>
      <c r="I22" s="180">
        <f>'FS Jimbaran January 2021'!AJ32</f>
        <v>485.6</v>
      </c>
      <c r="J22" s="170">
        <f>'FS Jimbaran January 2021'!AK32/'FS Jimbaran January 2021'!AJ32</f>
        <v>8600</v>
      </c>
      <c r="K22" s="180">
        <f>'FS Jimbaran January 2021'!V32</f>
        <v>949</v>
      </c>
      <c r="L22" s="178">
        <f>'FS Jimbaran January 2021'!AA32/'FS Jimbaran January 2021'!V32</f>
        <v>2065.423603793467</v>
      </c>
      <c r="M22" s="180">
        <v>2</v>
      </c>
      <c r="N22" s="180">
        <v>28</v>
      </c>
    </row>
    <row r="23" spans="1:14" x14ac:dyDescent="0.25">
      <c r="A23" s="166" t="s">
        <v>49</v>
      </c>
      <c r="B23" s="167">
        <f t="shared" si="0"/>
        <v>22</v>
      </c>
      <c r="C23" s="168">
        <v>1</v>
      </c>
      <c r="D23" s="167">
        <v>2021</v>
      </c>
      <c r="E23" s="180">
        <f>'FS Jimbaran January 2021'!P33</f>
        <v>13780.000000000025</v>
      </c>
      <c r="F23" s="178">
        <f>'FS Jimbaran January 2021'!O33/'FS Jimbaran January 2021'!P33</f>
        <v>1173.5958657474591</v>
      </c>
      <c r="G23" s="180">
        <f>'FS Jimbaran January 2021'!AG33</f>
        <v>112</v>
      </c>
      <c r="H23" s="178">
        <f>'FS Jimbaran January 2021'!AH33/'FS Jimbaran January 2021'!AG33</f>
        <v>11094.539999999999</v>
      </c>
      <c r="I23" s="180">
        <f>'FS Jimbaran January 2021'!AJ33</f>
        <v>457.5</v>
      </c>
      <c r="J23" s="170">
        <f>'FS Jimbaran January 2021'!AK33/'FS Jimbaran January 2021'!AJ33</f>
        <v>8600</v>
      </c>
      <c r="K23" s="180">
        <f>'FS Jimbaran January 2021'!V33</f>
        <v>853</v>
      </c>
      <c r="L23" s="178">
        <f>'FS Jimbaran January 2021'!AA33/'FS Jimbaran January 2021'!V33</f>
        <v>1792.4630715123094</v>
      </c>
      <c r="M23" s="180">
        <v>2</v>
      </c>
      <c r="N23" s="180">
        <v>28</v>
      </c>
    </row>
    <row r="24" spans="1:14" x14ac:dyDescent="0.25">
      <c r="A24" s="166" t="s">
        <v>49</v>
      </c>
      <c r="B24" s="167">
        <f t="shared" si="0"/>
        <v>23</v>
      </c>
      <c r="C24" s="168">
        <v>1</v>
      </c>
      <c r="D24" s="167">
        <v>2021</v>
      </c>
      <c r="E24" s="180">
        <f>'FS Jimbaran January 2021'!P34</f>
        <v>11959.999999999955</v>
      </c>
      <c r="F24" s="178">
        <f>'FS Jimbaran January 2021'!O34/'FS Jimbaran January 2021'!P34</f>
        <v>1181.2308787625432</v>
      </c>
      <c r="G24" s="180">
        <f>'FS Jimbaran January 2021'!AG34</f>
        <v>50</v>
      </c>
      <c r="H24" s="178">
        <f>'FS Jimbaran January 2021'!AH34/'FS Jimbaran January 2021'!AG34</f>
        <v>11094.54</v>
      </c>
      <c r="I24" s="180">
        <f>'FS Jimbaran January 2021'!AJ34</f>
        <v>434.1</v>
      </c>
      <c r="J24" s="170">
        <f>'FS Jimbaran January 2021'!AK34/'FS Jimbaran January 2021'!AJ34</f>
        <v>8600</v>
      </c>
      <c r="K24" s="180">
        <f>'FS Jimbaran January 2021'!V34</f>
        <v>980</v>
      </c>
      <c r="L24" s="178">
        <f>'FS Jimbaran January 2021'!AA34/'FS Jimbaran January 2021'!V34</f>
        <v>1818.7448979591836</v>
      </c>
      <c r="M24" s="180">
        <v>0</v>
      </c>
      <c r="N24" s="180">
        <v>28</v>
      </c>
    </row>
    <row r="25" spans="1:14" x14ac:dyDescent="0.25">
      <c r="A25" s="166" t="s">
        <v>49</v>
      </c>
      <c r="B25" s="167">
        <f t="shared" si="0"/>
        <v>24</v>
      </c>
      <c r="C25" s="168">
        <v>1</v>
      </c>
      <c r="D25" s="167">
        <v>2021</v>
      </c>
      <c r="E25" s="180">
        <f>'FS Jimbaran January 2021'!P35</f>
        <v>15100.000000000029</v>
      </c>
      <c r="F25" s="178">
        <f>'FS Jimbaran January 2021'!O35/'FS Jimbaran January 2021'!P35</f>
        <v>1166.7958807947018</v>
      </c>
      <c r="G25" s="180">
        <f>'FS Jimbaran January 2021'!AG35</f>
        <v>62</v>
      </c>
      <c r="H25" s="178">
        <f>'FS Jimbaran January 2021'!AH35/'FS Jimbaran January 2021'!AG35</f>
        <v>11094.539999999999</v>
      </c>
      <c r="I25" s="180">
        <f>'FS Jimbaran January 2021'!AJ35</f>
        <v>455.7</v>
      </c>
      <c r="J25" s="170">
        <f>'FS Jimbaran January 2021'!AK35/'FS Jimbaran January 2021'!AJ35</f>
        <v>8600</v>
      </c>
      <c r="K25" s="180">
        <f>'FS Jimbaran January 2021'!V35</f>
        <v>1003</v>
      </c>
      <c r="L25" s="178">
        <f>'FS Jimbaran January 2021'!AA35/'FS Jimbaran January 2021'!V35</f>
        <v>1875.2911266201395</v>
      </c>
      <c r="M25" s="180">
        <v>1</v>
      </c>
      <c r="N25" s="180">
        <v>43</v>
      </c>
    </row>
    <row r="26" spans="1:14" x14ac:dyDescent="0.25">
      <c r="A26" s="166" t="s">
        <v>49</v>
      </c>
      <c r="B26" s="167">
        <f>B25+1</f>
        <v>25</v>
      </c>
      <c r="C26" s="168">
        <v>1</v>
      </c>
      <c r="D26" s="167">
        <v>2021</v>
      </c>
      <c r="E26" s="180">
        <f>'FS Jimbaran January 2021'!P36</f>
        <v>12719.99999999996</v>
      </c>
      <c r="F26" s="178">
        <f>'FS Jimbaran January 2021'!O36/'FS Jimbaran January 2021'!P36</f>
        <v>1180.764771226415</v>
      </c>
      <c r="G26" s="180">
        <f>'FS Jimbaran January 2021'!AG36</f>
        <v>62</v>
      </c>
      <c r="H26" s="178">
        <f>'FS Jimbaran January 2021'!AH36/'FS Jimbaran January 2021'!AG36</f>
        <v>11094.539999999999</v>
      </c>
      <c r="I26" s="180">
        <f>'FS Jimbaran January 2021'!AJ36</f>
        <v>465.8</v>
      </c>
      <c r="J26" s="170">
        <f>'FS Jimbaran January 2021'!AK36/'FS Jimbaran January 2021'!AJ36</f>
        <v>8600</v>
      </c>
      <c r="K26" s="180">
        <f>'FS Jimbaran January 2021'!V36</f>
        <v>977</v>
      </c>
      <c r="L26" s="178">
        <f>'FS Jimbaran January 2021'!AA36/'FS Jimbaran January 2021'!V36</f>
        <v>1679.5138178096213</v>
      </c>
      <c r="M26" s="180">
        <v>3</v>
      </c>
      <c r="N26" s="180">
        <v>25</v>
      </c>
    </row>
    <row r="27" spans="1:14" x14ac:dyDescent="0.25">
      <c r="A27" s="166" t="s">
        <v>49</v>
      </c>
      <c r="B27" s="167">
        <f t="shared" si="0"/>
        <v>26</v>
      </c>
      <c r="C27" s="168">
        <v>1</v>
      </c>
      <c r="D27" s="167">
        <v>2021</v>
      </c>
      <c r="E27" s="180">
        <f>'FS Jimbaran January 2021'!P37</f>
        <v>11059.999999999967</v>
      </c>
      <c r="F27" s="178">
        <f>'FS Jimbaran January 2021'!O37/'FS Jimbaran January 2021'!P37</f>
        <v>1197.7025696202543</v>
      </c>
      <c r="G27" s="180">
        <f>'FS Jimbaran January 2021'!AG37</f>
        <v>62</v>
      </c>
      <c r="H27" s="178">
        <f>'FS Jimbaran January 2021'!AH37/'FS Jimbaran January 2021'!AG37</f>
        <v>11094.539999999999</v>
      </c>
      <c r="I27" s="180">
        <f>'FS Jimbaran January 2021'!AJ37</f>
        <v>457.1</v>
      </c>
      <c r="J27" s="170">
        <f>'FS Jimbaran January 2021'!AK37/'FS Jimbaran January 2021'!AJ37</f>
        <v>8600</v>
      </c>
      <c r="K27" s="180">
        <f>'FS Jimbaran January 2021'!V37</f>
        <v>986</v>
      </c>
      <c r="L27" s="178">
        <f>'FS Jimbaran January 2021'!AA37/'FS Jimbaran January 2021'!V37</f>
        <v>1792.8377281947262</v>
      </c>
      <c r="M27" s="180">
        <v>3</v>
      </c>
      <c r="N27" s="180">
        <v>47</v>
      </c>
    </row>
    <row r="28" spans="1:14" x14ac:dyDescent="0.25">
      <c r="A28" s="166" t="s">
        <v>49</v>
      </c>
      <c r="B28" s="167">
        <f t="shared" si="0"/>
        <v>27</v>
      </c>
      <c r="C28" s="168">
        <v>1</v>
      </c>
      <c r="D28" s="167">
        <v>2021</v>
      </c>
      <c r="E28" s="180">
        <f>'FS Jimbaran January 2021'!P38</f>
        <v>13500.000000000102</v>
      </c>
      <c r="F28" s="178">
        <f>'FS Jimbaran January 2021'!O38/'FS Jimbaran January 2021'!P38</f>
        <v>1180.2137666666661</v>
      </c>
      <c r="G28" s="180">
        <f>'FS Jimbaran January 2021'!AG38</f>
        <v>50</v>
      </c>
      <c r="H28" s="178">
        <f>'FS Jimbaran January 2021'!AH38/'FS Jimbaran January 2021'!AG38</f>
        <v>11094.54</v>
      </c>
      <c r="I28" s="180">
        <f>'FS Jimbaran January 2021'!AJ38</f>
        <v>476</v>
      </c>
      <c r="J28" s="170">
        <f>'FS Jimbaran January 2021'!AK38/'FS Jimbaran January 2021'!AJ38</f>
        <v>8600</v>
      </c>
      <c r="K28" s="180">
        <f>'FS Jimbaran January 2021'!V38</f>
        <v>1031</v>
      </c>
      <c r="L28" s="178">
        <f>'FS Jimbaran January 2021'!AA38/'FS Jimbaran January 2021'!V38</f>
        <v>1769.4519883608148</v>
      </c>
      <c r="M28" s="180">
        <v>3</v>
      </c>
      <c r="N28" s="180">
        <v>26</v>
      </c>
    </row>
    <row r="29" spans="1:14" x14ac:dyDescent="0.25">
      <c r="A29" s="166" t="s">
        <v>49</v>
      </c>
      <c r="B29" s="167">
        <f t="shared" si="0"/>
        <v>28</v>
      </c>
      <c r="C29" s="168">
        <v>1</v>
      </c>
      <c r="D29" s="167">
        <v>2021</v>
      </c>
      <c r="E29" s="180">
        <f>'FS Jimbaran January 2021'!P39</f>
        <v>16359.999999999847</v>
      </c>
      <c r="F29" s="178">
        <f>'FS Jimbaran January 2021'!O39/'FS Jimbaran January 2021'!P39</f>
        <v>1164.6826943765286</v>
      </c>
      <c r="G29" s="180">
        <f>'FS Jimbaran January 2021'!AG39</f>
        <v>50</v>
      </c>
      <c r="H29" s="178">
        <f>'FS Jimbaran January 2021'!AH39/'FS Jimbaran January 2021'!AG39</f>
        <v>11094.54</v>
      </c>
      <c r="I29" s="180">
        <f>'FS Jimbaran January 2021'!AJ39</f>
        <v>456</v>
      </c>
      <c r="J29" s="170">
        <f>'FS Jimbaran January 2021'!AK39/'FS Jimbaran January 2021'!AJ39</f>
        <v>8600</v>
      </c>
      <c r="K29" s="180">
        <f>'FS Jimbaran January 2021'!V39</f>
        <v>983</v>
      </c>
      <c r="L29" s="178">
        <f>'FS Jimbaran January 2021'!AA39/'FS Jimbaran January 2021'!V39</f>
        <v>1796.8474059003051</v>
      </c>
      <c r="M29" s="180">
        <v>3</v>
      </c>
      <c r="N29" s="180">
        <v>33</v>
      </c>
    </row>
    <row r="30" spans="1:14" x14ac:dyDescent="0.25">
      <c r="A30" s="166" t="s">
        <v>49</v>
      </c>
      <c r="B30" s="167">
        <f t="shared" si="0"/>
        <v>29</v>
      </c>
      <c r="C30" s="168">
        <v>1</v>
      </c>
      <c r="D30" s="167">
        <v>2021</v>
      </c>
      <c r="E30" s="180">
        <f>'FS Jimbaran January 2021'!P40</f>
        <v>11520.000000000024</v>
      </c>
      <c r="F30" s="178">
        <f>'FS Jimbaran January 2021'!O40/'FS Jimbaran January 2021'!P40</f>
        <v>1210.0284062499995</v>
      </c>
      <c r="G30" s="180">
        <f>'FS Jimbaran January 2021'!AG40</f>
        <v>62</v>
      </c>
      <c r="H30" s="178">
        <f>'FS Jimbaran January 2021'!AH40/'FS Jimbaran January 2021'!AG40</f>
        <v>11094.539999999999</v>
      </c>
      <c r="I30" s="180">
        <f>'FS Jimbaran January 2021'!AJ40</f>
        <v>456.3</v>
      </c>
      <c r="J30" s="170">
        <f>'FS Jimbaran January 2021'!AK40/'FS Jimbaran January 2021'!AJ40</f>
        <v>8600</v>
      </c>
      <c r="K30" s="180">
        <f>'FS Jimbaran January 2021'!V40</f>
        <v>990</v>
      </c>
      <c r="L30" s="178">
        <f>'FS Jimbaran January 2021'!AA40/'FS Jimbaran January 2021'!V40</f>
        <v>1893.6262626262626</v>
      </c>
      <c r="M30" s="180">
        <v>5</v>
      </c>
      <c r="N30" s="180">
        <v>12</v>
      </c>
    </row>
    <row r="31" spans="1:14" x14ac:dyDescent="0.25">
      <c r="A31" s="166" t="s">
        <v>49</v>
      </c>
      <c r="B31" s="167">
        <f t="shared" si="0"/>
        <v>30</v>
      </c>
      <c r="C31" s="168">
        <v>1</v>
      </c>
      <c r="D31" s="167">
        <v>2021</v>
      </c>
      <c r="E31" s="180">
        <f>'FS Jimbaran January 2021'!P41</f>
        <v>13480.000000000175</v>
      </c>
      <c r="F31" s="178">
        <f>'FS Jimbaran January 2021'!O41/'FS Jimbaran January 2021'!P41</f>
        <v>1183.5784295252213</v>
      </c>
      <c r="G31" s="180">
        <f>'FS Jimbaran January 2021'!AG41</f>
        <v>50</v>
      </c>
      <c r="H31" s="178">
        <f>'FS Jimbaran January 2021'!AH41/'FS Jimbaran January 2021'!AG41</f>
        <v>11094.54</v>
      </c>
      <c r="I31" s="180">
        <f>'FS Jimbaran January 2021'!AJ41</f>
        <v>454.9</v>
      </c>
      <c r="J31" s="170">
        <f>'FS Jimbaran January 2021'!AK41/'FS Jimbaran January 2021'!AJ41</f>
        <v>8600</v>
      </c>
      <c r="K31" s="180">
        <f>'FS Jimbaran January 2021'!V41</f>
        <v>998</v>
      </c>
      <c r="L31" s="178">
        <f>'FS Jimbaran January 2021'!AA41/'FS Jimbaran January 2021'!V41</f>
        <v>1847.2044088176353</v>
      </c>
      <c r="M31" s="180">
        <v>5</v>
      </c>
      <c r="N31" s="180">
        <v>56</v>
      </c>
    </row>
    <row r="32" spans="1:14" x14ac:dyDescent="0.25">
      <c r="A32" s="166" t="s">
        <v>49</v>
      </c>
      <c r="B32" s="167">
        <v>31</v>
      </c>
      <c r="C32" s="168">
        <v>1</v>
      </c>
      <c r="D32" s="167">
        <v>2021</v>
      </c>
      <c r="E32" s="180">
        <f>'FS Jimbaran January 2021'!P42</f>
        <v>13959.99999999994</v>
      </c>
      <c r="F32" s="178">
        <f>'FS Jimbaran January 2021'!O42/'FS Jimbaran January 2021'!P42</f>
        <v>1174.2005707736391</v>
      </c>
      <c r="G32" s="180">
        <f>'FS Jimbaran January 2021'!AG42</f>
        <v>50</v>
      </c>
      <c r="H32" s="178">
        <f>'FS Jimbaran January 2021'!AH42/'FS Jimbaran January 2021'!AG42</f>
        <v>11094.54</v>
      </c>
      <c r="I32" s="180">
        <f>'FS Jimbaran January 2021'!AJ42</f>
        <v>459.3</v>
      </c>
      <c r="J32" s="170">
        <f>'FS Jimbaran January 2021'!AK42/'FS Jimbaran January 2021'!AJ42</f>
        <v>8600</v>
      </c>
      <c r="K32" s="180">
        <f>'FS Jimbaran January 2021'!V42</f>
        <v>982</v>
      </c>
      <c r="L32" s="178">
        <f>'FS Jimbaran January 2021'!AA42/'FS Jimbaran January 2021'!V42</f>
        <v>1709.0549898167005</v>
      </c>
      <c r="M32" s="180">
        <v>4</v>
      </c>
      <c r="N32" s="180"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I77" sqref="I7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17.140625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6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81"/>
      <c r="X5" s="182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40" t="s">
        <v>53</v>
      </c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  <c r="AA7" s="241"/>
      <c r="AB7" s="241"/>
      <c r="AC7" s="241"/>
      <c r="AD7" s="241"/>
      <c r="AE7" s="241"/>
      <c r="AF7" s="241"/>
      <c r="AG7" s="241"/>
      <c r="AH7" s="241"/>
      <c r="AI7" s="241"/>
      <c r="AJ7" s="241"/>
      <c r="AK7" s="241"/>
      <c r="AL7" s="242"/>
      <c r="AM7" s="33"/>
    </row>
    <row r="8" spans="1:39" s="8" customFormat="1" ht="15.75" customHeight="1" thickBot="1" x14ac:dyDescent="0.3">
      <c r="A8" s="29"/>
      <c r="B8" s="243" t="s">
        <v>1</v>
      </c>
      <c r="C8" s="246" t="s">
        <v>2</v>
      </c>
      <c r="D8" s="249" t="s">
        <v>3</v>
      </c>
      <c r="E8" s="252" t="s">
        <v>34</v>
      </c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/>
      <c r="T8" s="252"/>
      <c r="U8" s="253"/>
      <c r="V8" s="254" t="s">
        <v>19</v>
      </c>
      <c r="W8" s="255"/>
      <c r="X8" s="255"/>
      <c r="Y8" s="255"/>
      <c r="Z8" s="255"/>
      <c r="AA8" s="255"/>
      <c r="AB8" s="256"/>
      <c r="AC8" s="257" t="s">
        <v>24</v>
      </c>
      <c r="AD8" s="257"/>
      <c r="AE8" s="257"/>
      <c r="AF8" s="257"/>
      <c r="AG8" s="257"/>
      <c r="AH8" s="257"/>
      <c r="AI8" s="257"/>
      <c r="AJ8" s="257"/>
      <c r="AK8" s="257"/>
      <c r="AL8" s="258"/>
      <c r="AM8" s="31"/>
    </row>
    <row r="9" spans="1:39" ht="15" customHeight="1" thickBot="1" x14ac:dyDescent="0.3">
      <c r="A9" s="32"/>
      <c r="B9" s="244"/>
      <c r="C9" s="247"/>
      <c r="D9" s="250"/>
      <c r="E9" s="259" t="s">
        <v>33</v>
      </c>
      <c r="F9" s="260"/>
      <c r="G9" s="260"/>
      <c r="H9" s="260"/>
      <c r="I9" s="261"/>
      <c r="J9" s="262" t="s">
        <v>5</v>
      </c>
      <c r="K9" s="262"/>
      <c r="L9" s="262"/>
      <c r="M9" s="262"/>
      <c r="N9" s="263"/>
      <c r="O9" s="249" t="s">
        <v>12</v>
      </c>
      <c r="P9" s="264" t="s">
        <v>32</v>
      </c>
      <c r="Q9" s="266" t="s">
        <v>52</v>
      </c>
      <c r="R9" s="232" t="s">
        <v>21</v>
      </c>
      <c r="S9" s="234" t="s">
        <v>13</v>
      </c>
      <c r="T9" s="236" t="s">
        <v>18</v>
      </c>
      <c r="U9" s="237"/>
      <c r="V9" s="56"/>
      <c r="W9" s="56" t="s">
        <v>4</v>
      </c>
      <c r="X9" s="56"/>
      <c r="Y9" s="57"/>
      <c r="Z9" s="187"/>
      <c r="AA9" s="238" t="s">
        <v>27</v>
      </c>
      <c r="AB9" s="239"/>
      <c r="AC9" s="257" t="s">
        <v>22</v>
      </c>
      <c r="AD9" s="257"/>
      <c r="AE9" s="257"/>
      <c r="AF9" s="257"/>
      <c r="AG9" s="257"/>
      <c r="AH9" s="257"/>
      <c r="AI9" s="258"/>
      <c r="AJ9" s="144" t="s">
        <v>20</v>
      </c>
      <c r="AK9" s="39"/>
      <c r="AL9" s="41"/>
      <c r="AM9" s="32"/>
    </row>
    <row r="10" spans="1:39" ht="61.5" customHeight="1" thickBot="1" x14ac:dyDescent="0.3">
      <c r="A10" s="30"/>
      <c r="B10" s="245"/>
      <c r="C10" s="248"/>
      <c r="D10" s="251"/>
      <c r="E10" s="102" t="s">
        <v>35</v>
      </c>
      <c r="F10" s="86" t="s">
        <v>6</v>
      </c>
      <c r="G10" s="137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7" t="s">
        <v>36</v>
      </c>
      <c r="M10" s="63" t="s">
        <v>6</v>
      </c>
      <c r="N10" s="95" t="s">
        <v>15</v>
      </c>
      <c r="O10" s="251"/>
      <c r="P10" s="265"/>
      <c r="Q10" s="267"/>
      <c r="R10" s="233"/>
      <c r="S10" s="235"/>
      <c r="T10" s="188" t="s">
        <v>16</v>
      </c>
      <c r="U10" s="25" t="s">
        <v>17</v>
      </c>
      <c r="V10" s="189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9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5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90"/>
      <c r="E11" s="191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2"/>
      <c r="R11" s="117"/>
      <c r="S11" s="193"/>
      <c r="T11" s="23"/>
      <c r="U11" s="26"/>
      <c r="V11" s="94"/>
      <c r="W11" s="20"/>
      <c r="X11" s="20"/>
      <c r="Y11" s="22"/>
      <c r="Z11" s="22"/>
      <c r="AA11" s="22"/>
      <c r="AB11" s="105"/>
      <c r="AC11" s="130"/>
      <c r="AD11" s="48"/>
      <c r="AE11" s="45"/>
      <c r="AF11" s="45"/>
      <c r="AG11" s="45"/>
      <c r="AH11" s="48"/>
      <c r="AI11" s="49"/>
      <c r="AJ11" s="146"/>
      <c r="AK11" s="45"/>
      <c r="AL11" s="53"/>
      <c r="AM11" s="30"/>
    </row>
    <row r="12" spans="1:39" x14ac:dyDescent="0.25">
      <c r="A12" s="36"/>
      <c r="B12" s="61">
        <v>1</v>
      </c>
      <c r="C12" s="155">
        <v>42</v>
      </c>
      <c r="D12" s="157">
        <v>423</v>
      </c>
      <c r="E12" s="109">
        <f>'[1]Jan 21'!E7</f>
        <v>12519.999999999982</v>
      </c>
      <c r="F12" s="3">
        <f>'[1]Jan 21'!F7*1.05</f>
        <v>13616363.87999998</v>
      </c>
      <c r="G12" s="38">
        <f>'[1]Jan 21'!I7</f>
        <v>2639.9999999999864</v>
      </c>
      <c r="H12" s="3">
        <f>'[1]Jan 21'!J7*1.05</f>
        <v>4306773.2399999779</v>
      </c>
      <c r="I12" s="106">
        <f>F12+H12</f>
        <v>17923137.11999996</v>
      </c>
      <c r="J12" s="109">
        <v>1580.0000000000055</v>
      </c>
      <c r="K12" s="3">
        <v>1718359.0200000058</v>
      </c>
      <c r="L12" s="194">
        <v>459.99999999999909</v>
      </c>
      <c r="M12" s="195">
        <v>750422.60999999847</v>
      </c>
      <c r="N12" s="97">
        <f>K12+M12</f>
        <v>2468781.6300000045</v>
      </c>
      <c r="O12" s="111">
        <f>N12+I12</f>
        <v>20391918.749999963</v>
      </c>
      <c r="P12" s="114">
        <f>L12+J12+G12+E12</f>
        <v>17199.999999999971</v>
      </c>
      <c r="Q12" s="139"/>
      <c r="R12" s="206"/>
      <c r="S12" s="211"/>
      <c r="T12" s="214"/>
      <c r="U12" s="217"/>
      <c r="V12" s="196">
        <f>Y12+W12</f>
        <v>934</v>
      </c>
      <c r="W12" s="3">
        <v>112</v>
      </c>
      <c r="X12" s="3">
        <v>2014320</v>
      </c>
      <c r="Y12" s="34">
        <v>822</v>
      </c>
      <c r="Z12" s="34">
        <v>393738</v>
      </c>
      <c r="AA12" s="34">
        <f t="shared" ref="AA12:AA42" si="0">Z12+X12</f>
        <v>2408058</v>
      </c>
      <c r="AB12" s="132">
        <f t="shared" ref="AB12:AB42" si="1">AA12/$AL$48</f>
        <v>185.57654886795638</v>
      </c>
      <c r="AC12" s="138">
        <v>0</v>
      </c>
      <c r="AD12" s="3">
        <v>0</v>
      </c>
      <c r="AE12" s="3">
        <v>250</v>
      </c>
      <c r="AF12" s="3">
        <v>24</v>
      </c>
      <c r="AG12" s="3">
        <f>SUM(AC12:AF12)</f>
        <v>274</v>
      </c>
      <c r="AH12" s="3">
        <v>3039903.96</v>
      </c>
      <c r="AI12" s="46">
        <f t="shared" ref="AI12:AI42" si="2">AH12/$AL$48</f>
        <v>234.26964208787084</v>
      </c>
      <c r="AJ12" s="147">
        <v>598</v>
      </c>
      <c r="AK12" s="3">
        <v>5142800</v>
      </c>
      <c r="AL12" s="42">
        <f t="shared" ref="AL12:AL42" si="3">AK12/$AL$48</f>
        <v>396.32894038188698</v>
      </c>
      <c r="AM12" s="7"/>
    </row>
    <row r="13" spans="1:39" x14ac:dyDescent="0.25">
      <c r="A13" s="36"/>
      <c r="B13" s="61">
        <v>2</v>
      </c>
      <c r="C13" s="155">
        <v>37</v>
      </c>
      <c r="D13" s="157">
        <v>341</v>
      </c>
      <c r="E13" s="109">
        <f>'[1]Jan 21'!E8</f>
        <v>12000</v>
      </c>
      <c r="F13" s="3">
        <f>'[1]Jan 21'!F8*1.05</f>
        <v>13050828</v>
      </c>
      <c r="G13" s="38">
        <f>'[1]Jan 21'!I8</f>
        <v>2439.9999999999977</v>
      </c>
      <c r="H13" s="3">
        <f>'[1]Jan 21'!J8*1.05</f>
        <v>3980502.5399999968</v>
      </c>
      <c r="I13" s="106">
        <f t="shared" ref="I13:I42" si="4">F13+H13</f>
        <v>17031330.539999995</v>
      </c>
      <c r="J13" s="109">
        <v>1619.9999999999975</v>
      </c>
      <c r="K13" s="3">
        <v>1761861.7799999972</v>
      </c>
      <c r="L13" s="194">
        <v>440.00000000000125</v>
      </c>
      <c r="M13" s="195">
        <v>717795.54000000202</v>
      </c>
      <c r="N13" s="97">
        <f t="shared" ref="N13:N42" si="5">K13+M13</f>
        <v>2479657.3199999994</v>
      </c>
      <c r="O13" s="111">
        <f t="shared" ref="O13:O42" si="6">N13+I13</f>
        <v>19510987.859999996</v>
      </c>
      <c r="P13" s="114">
        <f t="shared" ref="P13:P42" si="7">L13+J13+G13+E13</f>
        <v>16499.999999999996</v>
      </c>
      <c r="Q13" s="205"/>
      <c r="R13" s="207"/>
      <c r="S13" s="212"/>
      <c r="T13" s="215"/>
      <c r="U13" s="218"/>
      <c r="V13" s="196">
        <f t="shared" ref="V13:V42" si="8">Y13+W13</f>
        <v>945</v>
      </c>
      <c r="W13" s="3">
        <v>109</v>
      </c>
      <c r="X13" s="3">
        <v>1960365</v>
      </c>
      <c r="Y13" s="34">
        <v>836</v>
      </c>
      <c r="Z13" s="34">
        <v>400444</v>
      </c>
      <c r="AA13" s="34">
        <f t="shared" si="0"/>
        <v>2360809</v>
      </c>
      <c r="AB13" s="132">
        <f t="shared" si="1"/>
        <v>181.93531333398582</v>
      </c>
      <c r="AC13" s="138">
        <v>0</v>
      </c>
      <c r="AD13" s="3">
        <v>0</v>
      </c>
      <c r="AE13" s="3">
        <v>250</v>
      </c>
      <c r="AF13" s="3">
        <v>12</v>
      </c>
      <c r="AG13" s="3">
        <f t="shared" ref="AG13:AG42" si="9">SUM(AC13:AF13)</f>
        <v>262</v>
      </c>
      <c r="AH13" s="3">
        <v>2906769.48</v>
      </c>
      <c r="AI13" s="46">
        <f t="shared" si="2"/>
        <v>224.0096577628546</v>
      </c>
      <c r="AJ13" s="147">
        <v>589.1</v>
      </c>
      <c r="AK13" s="3">
        <v>5066260</v>
      </c>
      <c r="AL13" s="42">
        <f t="shared" si="3"/>
        <v>390.43039929593584</v>
      </c>
      <c r="AM13" s="7"/>
    </row>
    <row r="14" spans="1:39" x14ac:dyDescent="0.25">
      <c r="A14" s="36"/>
      <c r="B14" s="61">
        <v>3</v>
      </c>
      <c r="C14" s="155">
        <v>29</v>
      </c>
      <c r="D14" s="157">
        <v>252</v>
      </c>
      <c r="E14" s="109">
        <f>'[1]Jan 21'!E9</f>
        <v>10840.000000000033</v>
      </c>
      <c r="F14" s="3">
        <f>'[1]Jan 21'!F9*1.05</f>
        <v>11789247.960000034</v>
      </c>
      <c r="G14" s="38">
        <f>'[1]Jan 21'!I9</f>
        <v>480.00000000001819</v>
      </c>
      <c r="H14" s="3">
        <f>'[1]Jan 21'!J9*1.05</f>
        <v>783049.68000002974</v>
      </c>
      <c r="I14" s="106">
        <f t="shared" si="4"/>
        <v>12572297.640000064</v>
      </c>
      <c r="J14" s="109">
        <v>1799.9999999999973</v>
      </c>
      <c r="K14" s="3">
        <v>1957624.1999999972</v>
      </c>
      <c r="L14" s="194">
        <v>459.99999999999909</v>
      </c>
      <c r="M14" s="195">
        <v>750422.60999999847</v>
      </c>
      <c r="N14" s="97">
        <f t="shared" si="5"/>
        <v>2708046.8099999959</v>
      </c>
      <c r="O14" s="111">
        <f t="shared" si="6"/>
        <v>15280344.450000059</v>
      </c>
      <c r="P14" s="114">
        <f t="shared" si="7"/>
        <v>13580.000000000047</v>
      </c>
      <c r="Q14" s="205"/>
      <c r="R14" s="207"/>
      <c r="S14" s="212"/>
      <c r="T14" s="215"/>
      <c r="U14" s="218"/>
      <c r="V14" s="196">
        <f t="shared" si="8"/>
        <v>878</v>
      </c>
      <c r="W14" s="3">
        <v>107</v>
      </c>
      <c r="X14" s="3">
        <v>1924395</v>
      </c>
      <c r="Y14" s="34">
        <v>771</v>
      </c>
      <c r="Z14" s="34">
        <v>369309</v>
      </c>
      <c r="AA14" s="34">
        <f t="shared" si="0"/>
        <v>2293704</v>
      </c>
      <c r="AB14" s="132">
        <f t="shared" si="1"/>
        <v>176.76387879553857</v>
      </c>
      <c r="AC14" s="138">
        <v>0</v>
      </c>
      <c r="AD14" s="3">
        <v>0</v>
      </c>
      <c r="AE14" s="3">
        <v>200</v>
      </c>
      <c r="AF14" s="3">
        <v>12</v>
      </c>
      <c r="AG14" s="3">
        <f t="shared" si="9"/>
        <v>212</v>
      </c>
      <c r="AH14" s="3">
        <v>2352042.48</v>
      </c>
      <c r="AI14" s="46">
        <f t="shared" si="2"/>
        <v>181.25972307528693</v>
      </c>
      <c r="AJ14" s="147">
        <v>547.5</v>
      </c>
      <c r="AK14" s="3">
        <v>4708500</v>
      </c>
      <c r="AL14" s="42">
        <f t="shared" si="3"/>
        <v>362.85969039980455</v>
      </c>
      <c r="AM14" s="7"/>
    </row>
    <row r="15" spans="1:39" x14ac:dyDescent="0.25">
      <c r="A15" s="36"/>
      <c r="B15" s="61">
        <v>4</v>
      </c>
      <c r="C15" s="155">
        <v>23</v>
      </c>
      <c r="D15" s="157">
        <v>199</v>
      </c>
      <c r="E15" s="109">
        <f>'[1]Jan 21'!E10</f>
        <v>13079.999999999927</v>
      </c>
      <c r="F15" s="3">
        <f>'[1]Jan 21'!F10*1.05</f>
        <v>14225402.519999921</v>
      </c>
      <c r="G15" s="38">
        <f>'[1]Jan 21'!I10</f>
        <v>4079.9999999999841</v>
      </c>
      <c r="H15" s="3">
        <f>'[1]Jan 21'!J10*1.05</f>
        <v>6655922.2799999742</v>
      </c>
      <c r="I15" s="106">
        <f t="shared" si="4"/>
        <v>20881324.799999896</v>
      </c>
      <c r="J15" s="109">
        <v>1640.0000000000005</v>
      </c>
      <c r="K15" s="3">
        <v>1783613.1600000006</v>
      </c>
      <c r="L15" s="194">
        <v>320.00000000000028</v>
      </c>
      <c r="M15" s="195">
        <v>522033.1200000004</v>
      </c>
      <c r="N15" s="97">
        <f t="shared" si="5"/>
        <v>2305646.2800000012</v>
      </c>
      <c r="O15" s="111">
        <f t="shared" si="6"/>
        <v>23186971.079999898</v>
      </c>
      <c r="P15" s="114">
        <f t="shared" si="7"/>
        <v>19119.999999999913</v>
      </c>
      <c r="Q15" s="205"/>
      <c r="R15" s="207"/>
      <c r="S15" s="212"/>
      <c r="T15" s="215"/>
      <c r="U15" s="218"/>
      <c r="V15" s="196">
        <f t="shared" si="8"/>
        <v>917</v>
      </c>
      <c r="W15" s="3">
        <v>89</v>
      </c>
      <c r="X15" s="3">
        <v>1600665</v>
      </c>
      <c r="Y15" s="34">
        <v>828</v>
      </c>
      <c r="Z15" s="34">
        <v>396612</v>
      </c>
      <c r="AA15" s="34">
        <f t="shared" si="0"/>
        <v>1997277</v>
      </c>
      <c r="AB15" s="132">
        <f t="shared" si="1"/>
        <v>153.91978631467569</v>
      </c>
      <c r="AC15" s="138">
        <v>0</v>
      </c>
      <c r="AD15" s="3">
        <v>0</v>
      </c>
      <c r="AE15" s="3">
        <v>200</v>
      </c>
      <c r="AF15" s="3">
        <v>12</v>
      </c>
      <c r="AG15" s="3">
        <f t="shared" si="9"/>
        <v>212</v>
      </c>
      <c r="AH15" s="3">
        <v>2352042.48</v>
      </c>
      <c r="AI15" s="46">
        <f t="shared" si="2"/>
        <v>181.25972307528693</v>
      </c>
      <c r="AJ15" s="147">
        <v>527.6</v>
      </c>
      <c r="AK15" s="3">
        <v>4537360</v>
      </c>
      <c r="AL15" s="42">
        <f t="shared" si="3"/>
        <v>349.67081763458793</v>
      </c>
      <c r="AM15" s="7"/>
    </row>
    <row r="16" spans="1:39" x14ac:dyDescent="0.25">
      <c r="A16" s="36"/>
      <c r="B16" s="61">
        <v>5</v>
      </c>
      <c r="C16" s="155">
        <v>18</v>
      </c>
      <c r="D16" s="157">
        <v>137</v>
      </c>
      <c r="E16" s="109">
        <f>'[1]Jan 21'!E11</f>
        <v>10639.999999999985</v>
      </c>
      <c r="F16" s="3">
        <f>'[1]Jan 21'!F11*1.05</f>
        <v>11571734.159999983</v>
      </c>
      <c r="G16" s="38">
        <f>'[1]Jan 21'!I11</f>
        <v>2080.0000000000127</v>
      </c>
      <c r="H16" s="3">
        <f>'[1]Jan 21'!J11*1.05</f>
        <v>3393215.2800000212</v>
      </c>
      <c r="I16" s="106">
        <f t="shared" si="4"/>
        <v>14964949.440000005</v>
      </c>
      <c r="J16" s="109">
        <v>1600.0000000000014</v>
      </c>
      <c r="K16" s="3">
        <v>1740110.4000000015</v>
      </c>
      <c r="L16" s="194">
        <v>500</v>
      </c>
      <c r="M16" s="195">
        <v>815676.75</v>
      </c>
      <c r="N16" s="97">
        <f t="shared" si="5"/>
        <v>2555787.1500000013</v>
      </c>
      <c r="O16" s="111">
        <f t="shared" si="6"/>
        <v>17520736.590000007</v>
      </c>
      <c r="P16" s="114">
        <f t="shared" si="7"/>
        <v>14820</v>
      </c>
      <c r="Q16" s="205"/>
      <c r="R16" s="207"/>
      <c r="S16" s="212"/>
      <c r="T16" s="215"/>
      <c r="U16" s="218"/>
      <c r="V16" s="196">
        <f t="shared" si="8"/>
        <v>842</v>
      </c>
      <c r="W16" s="3">
        <v>109</v>
      </c>
      <c r="X16" s="3">
        <v>1960365</v>
      </c>
      <c r="Y16" s="34">
        <v>733</v>
      </c>
      <c r="Z16" s="34">
        <v>351107</v>
      </c>
      <c r="AA16" s="34">
        <f t="shared" si="0"/>
        <v>2311472</v>
      </c>
      <c r="AB16" s="132">
        <f t="shared" si="1"/>
        <v>178.13316646231647</v>
      </c>
      <c r="AC16" s="138">
        <v>0</v>
      </c>
      <c r="AD16" s="3">
        <v>0</v>
      </c>
      <c r="AE16" s="3">
        <v>200</v>
      </c>
      <c r="AF16" s="3">
        <v>12</v>
      </c>
      <c r="AG16" s="3">
        <f t="shared" si="9"/>
        <v>212</v>
      </c>
      <c r="AH16" s="3">
        <v>2352042.48</v>
      </c>
      <c r="AI16" s="46">
        <f t="shared" si="2"/>
        <v>181.25972307528693</v>
      </c>
      <c r="AJ16" s="147">
        <v>515.9</v>
      </c>
      <c r="AK16" s="3">
        <v>4436740</v>
      </c>
      <c r="AL16" s="42">
        <f t="shared" si="3"/>
        <v>341.91655575755101</v>
      </c>
      <c r="AM16" s="7"/>
    </row>
    <row r="17" spans="1:39" x14ac:dyDescent="0.25">
      <c r="A17" s="36"/>
      <c r="B17" s="61">
        <v>6</v>
      </c>
      <c r="C17" s="155">
        <v>14</v>
      </c>
      <c r="D17" s="157">
        <v>168</v>
      </c>
      <c r="E17" s="109">
        <f>'[1]Jan 21'!E12</f>
        <v>8000</v>
      </c>
      <c r="F17" s="3">
        <f>'[1]Jan 21'!F12*1.05</f>
        <v>8700552</v>
      </c>
      <c r="G17" s="38">
        <f>'[1]Jan 21'!I12</f>
        <v>2199.9999999999886</v>
      </c>
      <c r="H17" s="3">
        <f>'[1]Jan 21'!J12*1.05</f>
        <v>3588977.6999999816</v>
      </c>
      <c r="I17" s="106">
        <f t="shared" si="4"/>
        <v>12289529.699999981</v>
      </c>
      <c r="J17" s="109">
        <v>740.00000000000205</v>
      </c>
      <c r="K17" s="3">
        <v>804801.06000000215</v>
      </c>
      <c r="L17" s="194">
        <v>179.99999999999972</v>
      </c>
      <c r="M17" s="195">
        <v>293643.62999999954</v>
      </c>
      <c r="N17" s="97">
        <f t="shared" si="5"/>
        <v>1098444.6900000018</v>
      </c>
      <c r="O17" s="111">
        <f t="shared" si="6"/>
        <v>13387974.389999982</v>
      </c>
      <c r="P17" s="114">
        <f t="shared" si="7"/>
        <v>11119.999999999991</v>
      </c>
      <c r="Q17" s="205"/>
      <c r="R17" s="207"/>
      <c r="S17" s="212"/>
      <c r="T17" s="215" t="s">
        <v>83</v>
      </c>
      <c r="U17" s="218"/>
      <c r="V17" s="196">
        <f t="shared" si="8"/>
        <v>871</v>
      </c>
      <c r="W17" s="3">
        <v>110</v>
      </c>
      <c r="X17" s="3">
        <v>1978350</v>
      </c>
      <c r="Y17" s="34">
        <v>761</v>
      </c>
      <c r="Z17" s="34">
        <v>364519</v>
      </c>
      <c r="AA17" s="34">
        <f t="shared" si="0"/>
        <v>2342869</v>
      </c>
      <c r="AB17" s="132">
        <f t="shared" si="1"/>
        <v>180.55277051870016</v>
      </c>
      <c r="AC17" s="138">
        <v>0</v>
      </c>
      <c r="AD17" s="3">
        <v>0</v>
      </c>
      <c r="AE17" s="3">
        <v>200</v>
      </c>
      <c r="AF17" s="3">
        <v>12</v>
      </c>
      <c r="AG17" s="3">
        <f t="shared" si="9"/>
        <v>212</v>
      </c>
      <c r="AH17" s="3">
        <v>2352042.48</v>
      </c>
      <c r="AI17" s="46">
        <f t="shared" si="2"/>
        <v>181.25972307528693</v>
      </c>
      <c r="AJ17" s="147">
        <v>530.6</v>
      </c>
      <c r="AK17" s="3">
        <v>4563160</v>
      </c>
      <c r="AL17" s="42">
        <f t="shared" si="3"/>
        <v>351.65908991075122</v>
      </c>
      <c r="AM17" s="7"/>
    </row>
    <row r="18" spans="1:39" x14ac:dyDescent="0.25">
      <c r="A18" s="36"/>
      <c r="B18" s="61">
        <v>7</v>
      </c>
      <c r="C18" s="155">
        <v>14</v>
      </c>
      <c r="D18" s="157">
        <v>131</v>
      </c>
      <c r="E18" s="109">
        <f>'[1]Jan 21'!E13</f>
        <v>10759.999999999991</v>
      </c>
      <c r="F18" s="3">
        <f>'[1]Jan 21'!F13*1.05</f>
        <v>11702242.43999999</v>
      </c>
      <c r="G18" s="38">
        <f>'[1]Jan 21'!I13</f>
        <v>2120.0000000000045</v>
      </c>
      <c r="H18" s="3">
        <f>'[1]Jan 21'!J13*1.05</f>
        <v>3458469.4200000078</v>
      </c>
      <c r="I18" s="106">
        <f t="shared" si="4"/>
        <v>15160711.859999998</v>
      </c>
      <c r="J18" s="109">
        <v>1359.9999999999995</v>
      </c>
      <c r="K18" s="3">
        <v>1479093.8399999996</v>
      </c>
      <c r="L18" s="194">
        <v>339.99999999999989</v>
      </c>
      <c r="M18" s="195">
        <v>554660.18999999983</v>
      </c>
      <c r="N18" s="97">
        <f t="shared" si="5"/>
        <v>2033754.0299999993</v>
      </c>
      <c r="O18" s="111">
        <f t="shared" si="6"/>
        <v>17194465.889999997</v>
      </c>
      <c r="P18" s="114">
        <f t="shared" si="7"/>
        <v>14579.999999999995</v>
      </c>
      <c r="Q18" s="205"/>
      <c r="R18" s="207"/>
      <c r="S18" s="212"/>
      <c r="T18" s="215" t="s">
        <v>84</v>
      </c>
      <c r="U18" s="218"/>
      <c r="V18" s="196">
        <f t="shared" si="8"/>
        <v>880</v>
      </c>
      <c r="W18" s="3">
        <v>106</v>
      </c>
      <c r="X18" s="3">
        <v>1906410</v>
      </c>
      <c r="Y18" s="34">
        <v>774</v>
      </c>
      <c r="Z18" s="34">
        <v>370746</v>
      </c>
      <c r="AA18" s="34">
        <f t="shared" si="0"/>
        <v>2277156</v>
      </c>
      <c r="AB18" s="132">
        <f t="shared" si="1"/>
        <v>175.48861020538544</v>
      </c>
      <c r="AC18" s="138">
        <v>0</v>
      </c>
      <c r="AD18" s="3">
        <v>0</v>
      </c>
      <c r="AE18" s="3">
        <v>200</v>
      </c>
      <c r="AF18" s="3">
        <v>24</v>
      </c>
      <c r="AG18" s="3">
        <f t="shared" si="9"/>
        <v>224</v>
      </c>
      <c r="AH18" s="3">
        <v>2485176.96</v>
      </c>
      <c r="AI18" s="46">
        <f t="shared" si="2"/>
        <v>191.51970740030316</v>
      </c>
      <c r="AJ18" s="147">
        <v>572.70000000000005</v>
      </c>
      <c r="AK18" s="3">
        <v>4925220</v>
      </c>
      <c r="AL18" s="42">
        <f t="shared" si="3"/>
        <v>379.5611775195764</v>
      </c>
      <c r="AM18" s="7"/>
    </row>
    <row r="19" spans="1:39" x14ac:dyDescent="0.25">
      <c r="A19" s="36"/>
      <c r="B19" s="61">
        <v>8</v>
      </c>
      <c r="C19" s="155">
        <v>13</v>
      </c>
      <c r="D19" s="157">
        <v>125</v>
      </c>
      <c r="E19" s="109">
        <f>'[1]Jan 21'!E14</f>
        <v>10520.000000000095</v>
      </c>
      <c r="F19" s="3">
        <f>'[1]Jan 21'!F14*1.05</f>
        <v>11441225.880000103</v>
      </c>
      <c r="G19" s="38">
        <f>'[1]Jan 21'!I14</f>
        <v>1960.000000000008</v>
      </c>
      <c r="H19" s="3">
        <f>'[1]Jan 21'!J14*1.05</f>
        <v>3197452.8600000129</v>
      </c>
      <c r="I19" s="106">
        <f t="shared" si="4"/>
        <v>14638678.740000116</v>
      </c>
      <c r="J19" s="109">
        <v>1259.999999999998</v>
      </c>
      <c r="K19" s="3">
        <v>1370336.9399999978</v>
      </c>
      <c r="L19" s="194">
        <v>300.00000000000068</v>
      </c>
      <c r="M19" s="195">
        <v>489406.05000000109</v>
      </c>
      <c r="N19" s="97">
        <f t="shared" si="5"/>
        <v>1859742.9899999988</v>
      </c>
      <c r="O19" s="111">
        <f t="shared" si="6"/>
        <v>16498421.730000114</v>
      </c>
      <c r="P19" s="114">
        <f t="shared" si="7"/>
        <v>14040.000000000102</v>
      </c>
      <c r="Q19" s="205"/>
      <c r="R19" s="207"/>
      <c r="S19" s="212"/>
      <c r="T19" s="215" t="s">
        <v>85</v>
      </c>
      <c r="U19" s="218"/>
      <c r="V19" s="196">
        <f t="shared" si="8"/>
        <v>845</v>
      </c>
      <c r="W19" s="3">
        <v>67</v>
      </c>
      <c r="X19" s="3">
        <v>1204995</v>
      </c>
      <c r="Y19" s="34">
        <v>778</v>
      </c>
      <c r="Z19" s="34">
        <v>372662</v>
      </c>
      <c r="AA19" s="34">
        <f t="shared" si="0"/>
        <v>1577657</v>
      </c>
      <c r="AB19" s="132">
        <f t="shared" si="1"/>
        <v>121.5818478447668</v>
      </c>
      <c r="AC19" s="138">
        <v>0</v>
      </c>
      <c r="AD19" s="3">
        <v>0</v>
      </c>
      <c r="AE19" s="3">
        <v>200</v>
      </c>
      <c r="AF19" s="3">
        <v>24</v>
      </c>
      <c r="AG19" s="3">
        <f t="shared" si="9"/>
        <v>224</v>
      </c>
      <c r="AH19" s="3">
        <v>2485176.96</v>
      </c>
      <c r="AI19" s="46">
        <f t="shared" si="2"/>
        <v>191.51970740030316</v>
      </c>
      <c r="AJ19" s="147">
        <v>566.1</v>
      </c>
      <c r="AK19" s="3">
        <v>4868460</v>
      </c>
      <c r="AL19" s="42">
        <f t="shared" si="3"/>
        <v>375.18697851201711</v>
      </c>
      <c r="AM19" s="7"/>
    </row>
    <row r="20" spans="1:39" x14ac:dyDescent="0.25">
      <c r="A20" s="36"/>
      <c r="B20" s="61">
        <v>9</v>
      </c>
      <c r="C20" s="155">
        <v>11</v>
      </c>
      <c r="D20" s="157">
        <v>146</v>
      </c>
      <c r="E20" s="109">
        <f>'[1]Jan 21'!E15</f>
        <v>10239.999999999894</v>
      </c>
      <c r="F20" s="3">
        <f>'[1]Jan 21'!F15*1.05</f>
        <v>11136706.559999887</v>
      </c>
      <c r="G20" s="38">
        <f>'[1]Jan 21'!I15</f>
        <v>2159.9999999999964</v>
      </c>
      <c r="H20" s="3">
        <f>'[1]Jan 21'!J15*1.05</f>
        <v>3523723.5599999945</v>
      </c>
      <c r="I20" s="106">
        <f t="shared" si="4"/>
        <v>14660430.119999882</v>
      </c>
      <c r="J20" s="109">
        <v>1219.9999999999989</v>
      </c>
      <c r="K20" s="3">
        <v>1326834.1799999988</v>
      </c>
      <c r="L20" s="194">
        <v>320.00000000000028</v>
      </c>
      <c r="M20" s="195">
        <v>522033.1200000004</v>
      </c>
      <c r="N20" s="97">
        <f t="shared" si="5"/>
        <v>1848867.2999999991</v>
      </c>
      <c r="O20" s="111">
        <f t="shared" si="6"/>
        <v>16509297.419999881</v>
      </c>
      <c r="P20" s="114">
        <f t="shared" si="7"/>
        <v>13939.999999999891</v>
      </c>
      <c r="Q20" s="205"/>
      <c r="R20" s="207"/>
      <c r="S20" s="212"/>
      <c r="T20" s="215" t="s">
        <v>86</v>
      </c>
      <c r="U20" s="218"/>
      <c r="V20" s="196">
        <f t="shared" si="8"/>
        <v>867</v>
      </c>
      <c r="W20" s="3">
        <v>76</v>
      </c>
      <c r="X20" s="3">
        <v>1366860</v>
      </c>
      <c r="Y20" s="34">
        <v>791</v>
      </c>
      <c r="Z20" s="34">
        <v>378889</v>
      </c>
      <c r="AA20" s="34">
        <f t="shared" si="0"/>
        <v>1745749</v>
      </c>
      <c r="AB20" s="132">
        <f t="shared" si="1"/>
        <v>134.5358270480553</v>
      </c>
      <c r="AC20" s="138">
        <v>0</v>
      </c>
      <c r="AD20" s="3">
        <v>0</v>
      </c>
      <c r="AE20" s="3">
        <v>200</v>
      </c>
      <c r="AF20" s="3">
        <v>12</v>
      </c>
      <c r="AG20" s="3">
        <f t="shared" si="9"/>
        <v>212</v>
      </c>
      <c r="AH20" s="3">
        <v>2352042.48</v>
      </c>
      <c r="AI20" s="46">
        <f t="shared" si="2"/>
        <v>181.25972307528693</v>
      </c>
      <c r="AJ20" s="147">
        <v>500</v>
      </c>
      <c r="AK20" s="3">
        <v>4300000</v>
      </c>
      <c r="AL20" s="42">
        <f t="shared" si="3"/>
        <v>331.37871269388546</v>
      </c>
      <c r="AM20" s="7"/>
    </row>
    <row r="21" spans="1:39" x14ac:dyDescent="0.25">
      <c r="A21" s="36"/>
      <c r="B21" s="61">
        <v>10</v>
      </c>
      <c r="C21" s="155">
        <v>10</v>
      </c>
      <c r="D21" s="157">
        <v>116</v>
      </c>
      <c r="E21" s="109">
        <f>'[1]Jan 21'!E16</f>
        <v>10240.000000000009</v>
      </c>
      <c r="F21" s="3">
        <f>'[1]Jan 21'!F16*1.05</f>
        <v>11136706.56000001</v>
      </c>
      <c r="G21" s="38">
        <f>'[1]Jan 21'!I16</f>
        <v>2039.999999999992</v>
      </c>
      <c r="H21" s="3">
        <f>'[1]Jan 21'!J16*1.05</f>
        <v>3327961.1399999871</v>
      </c>
      <c r="I21" s="106">
        <f t="shared" si="4"/>
        <v>14464667.699999997</v>
      </c>
      <c r="J21" s="109">
        <v>1240.000000000002</v>
      </c>
      <c r="K21" s="3">
        <v>1348585.5600000022</v>
      </c>
      <c r="L21" s="194">
        <v>279.99999999999937</v>
      </c>
      <c r="M21" s="195">
        <v>456778.97999999893</v>
      </c>
      <c r="N21" s="97">
        <f t="shared" si="5"/>
        <v>1805364.540000001</v>
      </c>
      <c r="O21" s="111">
        <f t="shared" si="6"/>
        <v>16270032.239999998</v>
      </c>
      <c r="P21" s="114">
        <f t="shared" si="7"/>
        <v>13800.000000000004</v>
      </c>
      <c r="Q21" s="205"/>
      <c r="R21" s="207"/>
      <c r="S21" s="212"/>
      <c r="T21" s="215"/>
      <c r="U21" s="218"/>
      <c r="V21" s="196">
        <f t="shared" si="8"/>
        <v>900</v>
      </c>
      <c r="W21" s="3">
        <v>71</v>
      </c>
      <c r="X21" s="3">
        <v>1276935</v>
      </c>
      <c r="Y21" s="34">
        <v>829</v>
      </c>
      <c r="Z21" s="34">
        <v>397091</v>
      </c>
      <c r="AA21" s="34">
        <f t="shared" si="0"/>
        <v>1674026</v>
      </c>
      <c r="AB21" s="132">
        <f t="shared" si="1"/>
        <v>129.0085071851382</v>
      </c>
      <c r="AC21" s="138">
        <v>0</v>
      </c>
      <c r="AD21" s="3">
        <v>0</v>
      </c>
      <c r="AE21" s="3">
        <v>200</v>
      </c>
      <c r="AF21" s="3">
        <v>12</v>
      </c>
      <c r="AG21" s="3">
        <f t="shared" si="9"/>
        <v>212</v>
      </c>
      <c r="AH21" s="3">
        <v>2352042.48</v>
      </c>
      <c r="AI21" s="46">
        <f t="shared" si="2"/>
        <v>181.25972307528693</v>
      </c>
      <c r="AJ21" s="147">
        <v>479.3</v>
      </c>
      <c r="AK21" s="3">
        <v>4121980</v>
      </c>
      <c r="AL21" s="42">
        <f t="shared" si="3"/>
        <v>317.65963398835856</v>
      </c>
      <c r="AM21" s="7"/>
    </row>
    <row r="22" spans="1:39" x14ac:dyDescent="0.25">
      <c r="A22" s="36"/>
      <c r="B22" s="61">
        <v>11</v>
      </c>
      <c r="C22" s="155">
        <v>11</v>
      </c>
      <c r="D22" s="157">
        <v>79</v>
      </c>
      <c r="E22" s="109">
        <f>'[1]Jan 21'!E17</f>
        <v>12920.000000000073</v>
      </c>
      <c r="F22" s="3">
        <f>'[1]Jan 21'!F17*1.05</f>
        <v>14051391.480000079</v>
      </c>
      <c r="G22" s="38">
        <f>'[1]Jan 21'!I17</f>
        <v>2159.9999999999964</v>
      </c>
      <c r="H22" s="3">
        <f>'[1]Jan 21'!J17*1.05</f>
        <v>3523723.5599999945</v>
      </c>
      <c r="I22" s="106">
        <f t="shared" si="4"/>
        <v>17575115.040000074</v>
      </c>
      <c r="J22" s="109">
        <v>1500</v>
      </c>
      <c r="K22" s="3">
        <v>1631353.5</v>
      </c>
      <c r="L22" s="194">
        <v>300.00000000000068</v>
      </c>
      <c r="M22" s="195">
        <v>489406.05000000109</v>
      </c>
      <c r="N22" s="97">
        <f t="shared" si="5"/>
        <v>2120759.5500000012</v>
      </c>
      <c r="O22" s="111">
        <f t="shared" si="6"/>
        <v>19695874.590000074</v>
      </c>
      <c r="P22" s="114">
        <f t="shared" si="7"/>
        <v>16880.000000000069</v>
      </c>
      <c r="Q22" s="205"/>
      <c r="R22" s="207"/>
      <c r="S22" s="212"/>
      <c r="T22" s="215"/>
      <c r="U22" s="218"/>
      <c r="V22" s="196">
        <f t="shared" si="8"/>
        <v>869</v>
      </c>
      <c r="W22" s="3">
        <v>75</v>
      </c>
      <c r="X22" s="3">
        <v>1348875</v>
      </c>
      <c r="Y22" s="34">
        <v>794</v>
      </c>
      <c r="Z22" s="34">
        <v>380326</v>
      </c>
      <c r="AA22" s="34">
        <f t="shared" si="0"/>
        <v>1729201</v>
      </c>
      <c r="AB22" s="132">
        <f t="shared" si="1"/>
        <v>133.26055845790219</v>
      </c>
      <c r="AC22" s="138">
        <v>0</v>
      </c>
      <c r="AD22" s="3">
        <v>0</v>
      </c>
      <c r="AE22" s="3">
        <v>200</v>
      </c>
      <c r="AF22" s="3">
        <v>24</v>
      </c>
      <c r="AG22" s="3">
        <f t="shared" si="9"/>
        <v>224</v>
      </c>
      <c r="AH22" s="3">
        <v>2485176.96</v>
      </c>
      <c r="AI22" s="46">
        <f t="shared" si="2"/>
        <v>191.51970740030316</v>
      </c>
      <c r="AJ22" s="147">
        <v>475.2</v>
      </c>
      <c r="AK22" s="3">
        <v>4086720</v>
      </c>
      <c r="AL22" s="42">
        <f t="shared" si="3"/>
        <v>314.94232854426872</v>
      </c>
      <c r="AM22" s="7"/>
    </row>
    <row r="23" spans="1:39" x14ac:dyDescent="0.25">
      <c r="A23" s="36"/>
      <c r="B23" s="61">
        <v>12</v>
      </c>
      <c r="C23" s="155">
        <v>10</v>
      </c>
      <c r="D23" s="157">
        <v>85</v>
      </c>
      <c r="E23" s="109">
        <f>'[1]Jan 21'!E18</f>
        <v>10600.000000000022</v>
      </c>
      <c r="F23" s="3">
        <f>'[1]Jan 21'!F18*1.05</f>
        <v>11528231.400000025</v>
      </c>
      <c r="G23" s="38">
        <f>'[1]Jan 21'!I18</f>
        <v>2159.9999999999964</v>
      </c>
      <c r="H23" s="3">
        <f>'[1]Jan 21'!J18*1.05</f>
        <v>3523723.5599999945</v>
      </c>
      <c r="I23" s="106">
        <f t="shared" si="4"/>
        <v>15051954.96000002</v>
      </c>
      <c r="J23" s="109">
        <v>1200.0000000000027</v>
      </c>
      <c r="K23" s="3">
        <v>1305082.8000000031</v>
      </c>
      <c r="L23" s="194">
        <v>319.99999999999852</v>
      </c>
      <c r="M23" s="195">
        <v>522033.11999999761</v>
      </c>
      <c r="N23" s="97">
        <f t="shared" si="5"/>
        <v>1827115.9200000006</v>
      </c>
      <c r="O23" s="111">
        <f t="shared" si="6"/>
        <v>16879070.880000021</v>
      </c>
      <c r="P23" s="114">
        <f t="shared" si="7"/>
        <v>14280.00000000002</v>
      </c>
      <c r="Q23" s="205"/>
      <c r="R23" s="207"/>
      <c r="S23" s="212"/>
      <c r="T23" s="215"/>
      <c r="U23" s="218"/>
      <c r="V23" s="196">
        <f t="shared" si="8"/>
        <v>860</v>
      </c>
      <c r="W23" s="3">
        <v>76</v>
      </c>
      <c r="X23" s="3">
        <v>1366860</v>
      </c>
      <c r="Y23" s="34">
        <v>784</v>
      </c>
      <c r="Z23" s="34">
        <v>375536</v>
      </c>
      <c r="AA23" s="34">
        <f t="shared" si="0"/>
        <v>1742396</v>
      </c>
      <c r="AB23" s="132">
        <f t="shared" si="1"/>
        <v>134.27742871697097</v>
      </c>
      <c r="AC23" s="138">
        <v>0</v>
      </c>
      <c r="AD23" s="3">
        <v>0</v>
      </c>
      <c r="AE23" s="3">
        <v>150</v>
      </c>
      <c r="AF23" s="3">
        <v>12</v>
      </c>
      <c r="AG23" s="3">
        <f t="shared" si="9"/>
        <v>162</v>
      </c>
      <c r="AH23" s="3">
        <v>1797315.48</v>
      </c>
      <c r="AI23" s="46">
        <f t="shared" si="2"/>
        <v>138.50978838771925</v>
      </c>
      <c r="AJ23" s="147">
        <v>471</v>
      </c>
      <c r="AK23" s="3">
        <v>4050600</v>
      </c>
      <c r="AL23" s="42">
        <f t="shared" si="3"/>
        <v>312.1587473576401</v>
      </c>
      <c r="AM23" s="7"/>
    </row>
    <row r="24" spans="1:39" x14ac:dyDescent="0.25">
      <c r="A24" s="36"/>
      <c r="B24" s="61">
        <v>13</v>
      </c>
      <c r="C24" s="155">
        <v>10</v>
      </c>
      <c r="D24" s="157">
        <v>81</v>
      </c>
      <c r="E24" s="109">
        <f>'[1]Jan 21'!E19</f>
        <v>7399.9999999999773</v>
      </c>
      <c r="F24" s="3">
        <f>'[1]Jan 21'!F19*1.05</f>
        <v>8048010.5999999745</v>
      </c>
      <c r="G24" s="38">
        <f>'[1]Jan 21'!I19</f>
        <v>2040.0000000000205</v>
      </c>
      <c r="H24" s="3">
        <f>'[1]Jan 21'!J19*1.05</f>
        <v>3327961.1400000337</v>
      </c>
      <c r="I24" s="106">
        <f t="shared" si="4"/>
        <v>11375971.740000008</v>
      </c>
      <c r="J24" s="109">
        <v>879.99999999999545</v>
      </c>
      <c r="K24" s="3">
        <v>957060.71999999508</v>
      </c>
      <c r="L24" s="194">
        <v>280.00000000000114</v>
      </c>
      <c r="M24" s="195">
        <v>456778.9800000019</v>
      </c>
      <c r="N24" s="97">
        <f t="shared" si="5"/>
        <v>1413839.6999999969</v>
      </c>
      <c r="O24" s="111">
        <f t="shared" si="6"/>
        <v>12789811.440000005</v>
      </c>
      <c r="P24" s="114">
        <f t="shared" si="7"/>
        <v>10599.999999999995</v>
      </c>
      <c r="Q24" s="205"/>
      <c r="R24" s="207"/>
      <c r="S24" s="212"/>
      <c r="T24" s="215"/>
      <c r="U24" s="218"/>
      <c r="V24" s="196">
        <f t="shared" si="8"/>
        <v>871</v>
      </c>
      <c r="W24" s="3">
        <v>81</v>
      </c>
      <c r="X24" s="3">
        <v>1456785</v>
      </c>
      <c r="Y24" s="34">
        <v>790</v>
      </c>
      <c r="Z24" s="34">
        <v>378410</v>
      </c>
      <c r="AA24" s="34">
        <f t="shared" si="0"/>
        <v>1835195</v>
      </c>
      <c r="AB24" s="132">
        <f t="shared" si="1"/>
        <v>141.42896666098954</v>
      </c>
      <c r="AC24" s="138">
        <v>7.4301500000285161</v>
      </c>
      <c r="AD24" s="3">
        <v>0</v>
      </c>
      <c r="AE24" s="3">
        <v>150</v>
      </c>
      <c r="AF24" s="3">
        <v>12</v>
      </c>
      <c r="AG24" s="3">
        <f t="shared" si="9"/>
        <v>169.4301500000285</v>
      </c>
      <c r="AH24" s="3">
        <v>1879749.5763813162</v>
      </c>
      <c r="AI24" s="46">
        <f t="shared" si="2"/>
        <v>144.86255693212024</v>
      </c>
      <c r="AJ24" s="147">
        <v>465</v>
      </c>
      <c r="AK24" s="3">
        <v>3999000</v>
      </c>
      <c r="AL24" s="42">
        <f t="shared" si="3"/>
        <v>308.18220280531347</v>
      </c>
      <c r="AM24" s="7"/>
    </row>
    <row r="25" spans="1:39" x14ac:dyDescent="0.25">
      <c r="A25" s="36"/>
      <c r="B25" s="61">
        <v>14</v>
      </c>
      <c r="C25" s="155">
        <v>9</v>
      </c>
      <c r="D25" s="157">
        <v>82</v>
      </c>
      <c r="E25" s="109">
        <f>'[1]Jan 21'!E20</f>
        <v>10519.999999999982</v>
      </c>
      <c r="F25" s="3">
        <f>'[1]Jan 21'!F20*1.05</f>
        <v>11441225.87999998</v>
      </c>
      <c r="G25" s="38">
        <f>'[1]Jan 21'!I20</f>
        <v>2319.9999999999932</v>
      </c>
      <c r="H25" s="3">
        <f>'[1]Jan 21'!J20*1.05</f>
        <v>3784740.1199999894</v>
      </c>
      <c r="I25" s="106">
        <f t="shared" si="4"/>
        <v>15225965.99999997</v>
      </c>
      <c r="J25" s="109">
        <v>1160.0000000000036</v>
      </c>
      <c r="K25" s="3">
        <v>1261580.040000004</v>
      </c>
      <c r="L25" s="194">
        <v>299.99999999999892</v>
      </c>
      <c r="M25" s="195">
        <v>489406.0499999983</v>
      </c>
      <c r="N25" s="97">
        <f t="shared" si="5"/>
        <v>1750986.0900000022</v>
      </c>
      <c r="O25" s="111">
        <f t="shared" si="6"/>
        <v>16976952.089999974</v>
      </c>
      <c r="P25" s="114">
        <f t="shared" si="7"/>
        <v>14299.999999999978</v>
      </c>
      <c r="Q25" s="205"/>
      <c r="R25" s="207"/>
      <c r="S25" s="212"/>
      <c r="T25" s="215"/>
      <c r="U25" s="218"/>
      <c r="V25" s="196">
        <f t="shared" si="8"/>
        <v>879</v>
      </c>
      <c r="W25" s="3">
        <v>73</v>
      </c>
      <c r="X25" s="3">
        <v>1312905</v>
      </c>
      <c r="Y25" s="34">
        <v>806</v>
      </c>
      <c r="Z25" s="34">
        <v>386074</v>
      </c>
      <c r="AA25" s="34">
        <f t="shared" si="0"/>
        <v>1698979</v>
      </c>
      <c r="AB25" s="132">
        <f t="shared" si="1"/>
        <v>130.93150556138252</v>
      </c>
      <c r="AC25" s="138">
        <v>0</v>
      </c>
      <c r="AD25" s="3">
        <v>0</v>
      </c>
      <c r="AE25" s="3">
        <v>150</v>
      </c>
      <c r="AF25" s="3">
        <v>12</v>
      </c>
      <c r="AG25" s="3">
        <f t="shared" si="9"/>
        <v>162</v>
      </c>
      <c r="AH25" s="3">
        <v>1797315.48</v>
      </c>
      <c r="AI25" s="46">
        <f t="shared" si="2"/>
        <v>138.50978838771925</v>
      </c>
      <c r="AJ25" s="147">
        <v>444.9</v>
      </c>
      <c r="AK25" s="3">
        <v>3826140</v>
      </c>
      <c r="AL25" s="42">
        <f t="shared" si="3"/>
        <v>294.86077855501929</v>
      </c>
      <c r="AM25" s="7"/>
    </row>
    <row r="26" spans="1:39" x14ac:dyDescent="0.25">
      <c r="A26" s="36"/>
      <c r="B26" s="61">
        <v>15</v>
      </c>
      <c r="C26" s="155">
        <v>9</v>
      </c>
      <c r="D26" s="157">
        <v>52</v>
      </c>
      <c r="E26" s="109">
        <f>'[1]Jan 21'!E21</f>
        <v>10679.999999999949</v>
      </c>
      <c r="F26" s="3">
        <f>'[1]Jan 21'!F21*1.05</f>
        <v>11615236.919999944</v>
      </c>
      <c r="G26" s="38">
        <f>'[1]Jan 21'!I21</f>
        <v>2000</v>
      </c>
      <c r="H26" s="3">
        <f>'[1]Jan 21'!J21*1.05</f>
        <v>3262707</v>
      </c>
      <c r="I26" s="106">
        <f t="shared" si="4"/>
        <v>14877943.919999944</v>
      </c>
      <c r="J26" s="109">
        <v>1299.9999999999973</v>
      </c>
      <c r="K26" s="3">
        <v>1413839.6999999972</v>
      </c>
      <c r="L26" s="194">
        <v>320.00000000000028</v>
      </c>
      <c r="M26" s="195">
        <v>522033.1200000004</v>
      </c>
      <c r="N26" s="97">
        <f t="shared" si="5"/>
        <v>1935872.8199999975</v>
      </c>
      <c r="O26" s="111">
        <f t="shared" si="6"/>
        <v>16813816.739999942</v>
      </c>
      <c r="P26" s="114">
        <f t="shared" si="7"/>
        <v>14299.999999999945</v>
      </c>
      <c r="Q26" s="205"/>
      <c r="R26" s="207"/>
      <c r="S26" s="212"/>
      <c r="T26" s="215"/>
      <c r="U26" s="218"/>
      <c r="V26" s="196">
        <f t="shared" si="8"/>
        <v>835</v>
      </c>
      <c r="W26" s="3">
        <v>74</v>
      </c>
      <c r="X26" s="3">
        <v>1330890</v>
      </c>
      <c r="Y26" s="34">
        <v>761</v>
      </c>
      <c r="Z26" s="34">
        <v>364519</v>
      </c>
      <c r="AA26" s="34">
        <f t="shared" si="0"/>
        <v>1695409</v>
      </c>
      <c r="AB26" s="132">
        <f t="shared" si="1"/>
        <v>130.65638416502969</v>
      </c>
      <c r="AC26" s="138">
        <v>0</v>
      </c>
      <c r="AD26" s="3">
        <v>0</v>
      </c>
      <c r="AE26" s="3">
        <v>150</v>
      </c>
      <c r="AF26" s="3">
        <v>12</v>
      </c>
      <c r="AG26" s="3">
        <f t="shared" si="9"/>
        <v>162</v>
      </c>
      <c r="AH26" s="3">
        <v>1797315.48</v>
      </c>
      <c r="AI26" s="46">
        <f t="shared" si="2"/>
        <v>138.50978838771925</v>
      </c>
      <c r="AJ26" s="147">
        <v>424.8</v>
      </c>
      <c r="AK26" s="3">
        <v>3653280</v>
      </c>
      <c r="AL26" s="42">
        <f t="shared" si="3"/>
        <v>281.53935430472507</v>
      </c>
      <c r="AM26" s="7"/>
    </row>
    <row r="27" spans="1:39" x14ac:dyDescent="0.25">
      <c r="A27" s="36"/>
      <c r="B27" s="61">
        <v>16</v>
      </c>
      <c r="C27" s="155">
        <v>8</v>
      </c>
      <c r="D27" s="157">
        <v>68</v>
      </c>
      <c r="E27" s="109">
        <f>'[1]Jan 21'!E22</f>
        <v>9639.9999999999854</v>
      </c>
      <c r="F27" s="3">
        <f>'[1]Jan 21'!F22*1.05</f>
        <v>10484165.159999983</v>
      </c>
      <c r="G27" s="38">
        <f>'[1]Jan 21'!I22</f>
        <v>1840.0000000000034</v>
      </c>
      <c r="H27" s="3">
        <f>'[1]Jan 21'!J22*1.05</f>
        <v>3001690.440000006</v>
      </c>
      <c r="I27" s="106">
        <f t="shared" si="4"/>
        <v>13485855.59999999</v>
      </c>
      <c r="J27" s="109">
        <v>1240.000000000002</v>
      </c>
      <c r="K27" s="3">
        <v>1348585.5600000022</v>
      </c>
      <c r="L27" s="194">
        <v>280.00000000000114</v>
      </c>
      <c r="M27" s="195">
        <v>456778.9800000019</v>
      </c>
      <c r="N27" s="97">
        <f t="shared" si="5"/>
        <v>1805364.540000004</v>
      </c>
      <c r="O27" s="111">
        <f t="shared" si="6"/>
        <v>15291220.139999995</v>
      </c>
      <c r="P27" s="114">
        <f t="shared" si="7"/>
        <v>12999.999999999993</v>
      </c>
      <c r="Q27" s="205"/>
      <c r="R27" s="207"/>
      <c r="S27" s="212"/>
      <c r="T27" s="215"/>
      <c r="U27" s="218"/>
      <c r="V27" s="196">
        <f t="shared" si="8"/>
        <v>863</v>
      </c>
      <c r="W27" s="3">
        <v>77</v>
      </c>
      <c r="X27" s="3">
        <v>1384845</v>
      </c>
      <c r="Y27" s="34">
        <v>786</v>
      </c>
      <c r="Z27" s="34">
        <v>376494</v>
      </c>
      <c r="AA27" s="34">
        <f t="shared" si="0"/>
        <v>1761339</v>
      </c>
      <c r="AB27" s="132">
        <f t="shared" si="1"/>
        <v>135.73726754361292</v>
      </c>
      <c r="AC27" s="138">
        <v>0</v>
      </c>
      <c r="AD27" s="3">
        <v>0</v>
      </c>
      <c r="AE27" s="3">
        <v>100</v>
      </c>
      <c r="AF27" s="3">
        <v>24</v>
      </c>
      <c r="AG27" s="3">
        <f t="shared" si="9"/>
        <v>124</v>
      </c>
      <c r="AH27" s="3">
        <v>1375722.96</v>
      </c>
      <c r="AI27" s="46">
        <f t="shared" si="2"/>
        <v>106.01983802516783</v>
      </c>
      <c r="AJ27" s="147">
        <v>455.8</v>
      </c>
      <c r="AK27" s="3">
        <v>3919880</v>
      </c>
      <c r="AL27" s="42">
        <f t="shared" si="3"/>
        <v>302.08483449174599</v>
      </c>
      <c r="AM27" s="7"/>
    </row>
    <row r="28" spans="1:39" x14ac:dyDescent="0.25">
      <c r="A28" s="36"/>
      <c r="B28" s="61">
        <v>17</v>
      </c>
      <c r="C28" s="155">
        <v>5</v>
      </c>
      <c r="D28" s="157">
        <v>83</v>
      </c>
      <c r="E28" s="109">
        <f>'[1]Jan 21'!E23</f>
        <v>9640.0000000001</v>
      </c>
      <c r="F28" s="3">
        <f>'[1]Jan 21'!F23*1.05</f>
        <v>10484165.16000011</v>
      </c>
      <c r="G28" s="38">
        <f>'[1]Jan 21'!I23</f>
        <v>2000</v>
      </c>
      <c r="H28" s="3">
        <f>'[1]Jan 21'!J23*1.05</f>
        <v>3262707</v>
      </c>
      <c r="I28" s="106">
        <f t="shared" si="4"/>
        <v>13746872.16000011</v>
      </c>
      <c r="J28" s="109">
        <v>1359.9999999999995</v>
      </c>
      <c r="K28" s="3">
        <v>1479093.8399999996</v>
      </c>
      <c r="L28" s="194">
        <v>339.99999999999989</v>
      </c>
      <c r="M28" s="195">
        <v>554660.18999999983</v>
      </c>
      <c r="N28" s="97">
        <f t="shared" si="5"/>
        <v>2033754.0299999993</v>
      </c>
      <c r="O28" s="111">
        <f t="shared" si="6"/>
        <v>15780626.190000109</v>
      </c>
      <c r="P28" s="114">
        <f t="shared" si="7"/>
        <v>13340.0000000001</v>
      </c>
      <c r="Q28" s="205"/>
      <c r="R28" s="207"/>
      <c r="S28" s="212"/>
      <c r="T28" s="215"/>
      <c r="U28" s="218"/>
      <c r="V28" s="196">
        <f t="shared" si="8"/>
        <v>921</v>
      </c>
      <c r="W28" s="3">
        <v>71</v>
      </c>
      <c r="X28" s="3">
        <v>1276935</v>
      </c>
      <c r="Y28" s="34">
        <v>850</v>
      </c>
      <c r="Z28" s="34">
        <v>407150</v>
      </c>
      <c r="AA28" s="34">
        <f t="shared" si="0"/>
        <v>1684085</v>
      </c>
      <c r="AB28" s="132">
        <f t="shared" si="1"/>
        <v>129.78370217839117</v>
      </c>
      <c r="AC28" s="138">
        <v>0</v>
      </c>
      <c r="AD28" s="3">
        <v>0</v>
      </c>
      <c r="AE28" s="3">
        <v>100</v>
      </c>
      <c r="AF28" s="3">
        <v>12</v>
      </c>
      <c r="AG28" s="3">
        <f t="shared" si="9"/>
        <v>112</v>
      </c>
      <c r="AH28" s="3">
        <v>1242588.48</v>
      </c>
      <c r="AI28" s="46">
        <f t="shared" si="2"/>
        <v>95.759853700151581</v>
      </c>
      <c r="AJ28" s="147">
        <v>441</v>
      </c>
      <c r="AK28" s="3">
        <v>3792600</v>
      </c>
      <c r="AL28" s="42">
        <f t="shared" si="3"/>
        <v>292.27602459600695</v>
      </c>
      <c r="AM28" s="7"/>
    </row>
    <row r="29" spans="1:39" x14ac:dyDescent="0.25">
      <c r="A29" s="36"/>
      <c r="B29" s="61">
        <v>18</v>
      </c>
      <c r="C29" s="155">
        <v>5</v>
      </c>
      <c r="D29" s="157">
        <v>63</v>
      </c>
      <c r="E29" s="109">
        <f>'[1]Jan 21'!E24</f>
        <v>11879.999999999996</v>
      </c>
      <c r="F29" s="3">
        <f>'[1]Jan 21'!F24*1.05</f>
        <v>12920319.719999997</v>
      </c>
      <c r="G29" s="38">
        <f>'[1]Jan 21'!I24</f>
        <v>2039.999999999992</v>
      </c>
      <c r="H29" s="3">
        <f>'[1]Jan 21'!J24*1.05</f>
        <v>3327961.1399999871</v>
      </c>
      <c r="I29" s="106">
        <f t="shared" si="4"/>
        <v>16248280.859999985</v>
      </c>
      <c r="J29" s="109">
        <v>1859.9999999999995</v>
      </c>
      <c r="K29" s="3">
        <v>2022878.3399999996</v>
      </c>
      <c r="L29" s="194">
        <v>379.99999999999898</v>
      </c>
      <c r="M29" s="195">
        <v>619914.32999999833</v>
      </c>
      <c r="N29" s="97">
        <f t="shared" si="5"/>
        <v>2642792.6699999981</v>
      </c>
      <c r="O29" s="111">
        <f t="shared" si="6"/>
        <v>18891073.529999983</v>
      </c>
      <c r="P29" s="114">
        <f t="shared" si="7"/>
        <v>16159.999999999987</v>
      </c>
      <c r="Q29" s="205"/>
      <c r="R29" s="207"/>
      <c r="S29" s="212"/>
      <c r="T29" s="215"/>
      <c r="U29" s="218"/>
      <c r="V29" s="196">
        <f t="shared" si="8"/>
        <v>906</v>
      </c>
      <c r="W29" s="3">
        <v>78</v>
      </c>
      <c r="X29" s="3">
        <v>1402830</v>
      </c>
      <c r="Y29" s="34">
        <v>828</v>
      </c>
      <c r="Z29" s="34">
        <v>396612</v>
      </c>
      <c r="AA29" s="34">
        <f t="shared" si="0"/>
        <v>1799442</v>
      </c>
      <c r="AB29" s="132">
        <f t="shared" si="1"/>
        <v>138.67366826216525</v>
      </c>
      <c r="AC29" s="138">
        <v>0</v>
      </c>
      <c r="AD29" s="3">
        <v>0</v>
      </c>
      <c r="AE29" s="3">
        <v>100</v>
      </c>
      <c r="AF29" s="3">
        <v>12</v>
      </c>
      <c r="AG29" s="3">
        <f t="shared" si="9"/>
        <v>112</v>
      </c>
      <c r="AH29" s="3">
        <v>1242588.48</v>
      </c>
      <c r="AI29" s="46">
        <f t="shared" si="2"/>
        <v>95.759853700151581</v>
      </c>
      <c r="AJ29" s="147">
        <v>433.7</v>
      </c>
      <c r="AK29" s="3">
        <v>3729820</v>
      </c>
      <c r="AL29" s="42">
        <f t="shared" si="3"/>
        <v>287.43789539067626</v>
      </c>
      <c r="AM29" s="7"/>
    </row>
    <row r="30" spans="1:39" x14ac:dyDescent="0.25">
      <c r="A30" s="36"/>
      <c r="B30" s="61">
        <v>19</v>
      </c>
      <c r="C30" s="155">
        <v>4</v>
      </c>
      <c r="D30" s="157">
        <v>26</v>
      </c>
      <c r="E30" s="109">
        <f>'[1]Jan 21'!E25</f>
        <v>9759.9999999999909</v>
      </c>
      <c r="F30" s="3">
        <f>'[1]Jan 21'!F25*1.05</f>
        <v>10614673.43999999</v>
      </c>
      <c r="G30" s="38">
        <f>'[1]Jan 21'!I25</f>
        <v>1879.9999999999955</v>
      </c>
      <c r="H30" s="3">
        <f>'[1]Jan 21'!J25*1.05</f>
        <v>3066944.5799999931</v>
      </c>
      <c r="I30" s="106">
        <f t="shared" si="4"/>
        <v>13681618.019999983</v>
      </c>
      <c r="J30" s="109">
        <v>1079.9999999999982</v>
      </c>
      <c r="K30" s="3">
        <v>1174574.5199999979</v>
      </c>
      <c r="L30" s="194">
        <v>339.99999999999989</v>
      </c>
      <c r="M30" s="195">
        <v>554660.18999999983</v>
      </c>
      <c r="N30" s="97">
        <f t="shared" si="5"/>
        <v>1729234.7099999976</v>
      </c>
      <c r="O30" s="111">
        <f t="shared" si="6"/>
        <v>15410852.72999998</v>
      </c>
      <c r="P30" s="114">
        <f t="shared" si="7"/>
        <v>13059.999999999985</v>
      </c>
      <c r="Q30" s="205"/>
      <c r="R30" s="207"/>
      <c r="S30" s="212"/>
      <c r="T30" s="215"/>
      <c r="U30" s="218"/>
      <c r="V30" s="196">
        <f t="shared" si="8"/>
        <v>896</v>
      </c>
      <c r="W30" s="3">
        <v>77</v>
      </c>
      <c r="X30" s="3">
        <v>1384845</v>
      </c>
      <c r="Y30" s="34">
        <v>819</v>
      </c>
      <c r="Z30" s="34">
        <v>392301</v>
      </c>
      <c r="AA30" s="34">
        <f t="shared" si="0"/>
        <v>1777146</v>
      </c>
      <c r="AB30" s="132">
        <f t="shared" si="1"/>
        <v>136.95543110443901</v>
      </c>
      <c r="AC30" s="138">
        <v>0</v>
      </c>
      <c r="AD30" s="3">
        <v>0</v>
      </c>
      <c r="AE30" s="3">
        <v>100</v>
      </c>
      <c r="AF30" s="3">
        <v>12</v>
      </c>
      <c r="AG30" s="3">
        <f t="shared" si="9"/>
        <v>112</v>
      </c>
      <c r="AH30" s="3">
        <v>1242588.48</v>
      </c>
      <c r="AI30" s="46">
        <f t="shared" si="2"/>
        <v>95.759853700151581</v>
      </c>
      <c r="AJ30" s="147">
        <v>453.1</v>
      </c>
      <c r="AK30" s="3">
        <v>3896660</v>
      </c>
      <c r="AL30" s="42">
        <f t="shared" si="3"/>
        <v>300.29538944319899</v>
      </c>
      <c r="AM30" s="7"/>
    </row>
    <row r="31" spans="1:39" x14ac:dyDescent="0.25">
      <c r="A31" s="36"/>
      <c r="B31" s="61">
        <v>20</v>
      </c>
      <c r="C31" s="155">
        <v>0</v>
      </c>
      <c r="D31" s="157">
        <v>24</v>
      </c>
      <c r="E31" s="109">
        <f>'[1]Jan 21'!E26</f>
        <v>7199.9999999999318</v>
      </c>
      <c r="F31" s="3">
        <f>'[1]Jan 21'!F26*1.05</f>
        <v>7830496.7999999262</v>
      </c>
      <c r="G31" s="38">
        <f>'[1]Jan 21'!I26</f>
        <v>2120.0000000000045</v>
      </c>
      <c r="H31" s="3">
        <f>'[1]Jan 21'!J26*1.05</f>
        <v>3458469.4200000078</v>
      </c>
      <c r="I31" s="106">
        <f t="shared" si="4"/>
        <v>11288966.219999934</v>
      </c>
      <c r="J31" s="109">
        <v>1299.9999999999973</v>
      </c>
      <c r="K31" s="3">
        <v>1413839.6999999972</v>
      </c>
      <c r="L31" s="194">
        <v>320.00000000000028</v>
      </c>
      <c r="M31" s="195">
        <v>522033.1200000004</v>
      </c>
      <c r="N31" s="97">
        <f t="shared" si="5"/>
        <v>1935872.8199999975</v>
      </c>
      <c r="O31" s="111">
        <f t="shared" si="6"/>
        <v>13224839.039999932</v>
      </c>
      <c r="P31" s="114">
        <f t="shared" si="7"/>
        <v>10939.999999999935</v>
      </c>
      <c r="Q31" s="205"/>
      <c r="R31" s="208"/>
      <c r="S31" s="212"/>
      <c r="T31" s="215"/>
      <c r="U31" s="218"/>
      <c r="V31" s="196">
        <f t="shared" si="8"/>
        <v>956</v>
      </c>
      <c r="W31" s="3">
        <v>75</v>
      </c>
      <c r="X31" s="3">
        <v>1348875</v>
      </c>
      <c r="Y31" s="34">
        <v>881</v>
      </c>
      <c r="Z31" s="34">
        <v>421999</v>
      </c>
      <c r="AA31" s="34">
        <f t="shared" si="0"/>
        <v>1770874</v>
      </c>
      <c r="AB31" s="132">
        <f t="shared" si="1"/>
        <v>136.47208057280736</v>
      </c>
      <c r="AC31" s="138">
        <v>0</v>
      </c>
      <c r="AD31" s="3">
        <v>0</v>
      </c>
      <c r="AE31" s="3">
        <v>50</v>
      </c>
      <c r="AF31" s="3">
        <v>12</v>
      </c>
      <c r="AG31" s="3">
        <f t="shared" si="9"/>
        <v>62</v>
      </c>
      <c r="AH31" s="3">
        <v>687861.48</v>
      </c>
      <c r="AI31" s="46">
        <f t="shared" si="2"/>
        <v>53.009919012583914</v>
      </c>
      <c r="AJ31" s="147">
        <v>450.4</v>
      </c>
      <c r="AK31" s="3">
        <v>3873440</v>
      </c>
      <c r="AL31" s="42">
        <f t="shared" si="3"/>
        <v>298.50594439465203</v>
      </c>
      <c r="AM31" s="7"/>
    </row>
    <row r="32" spans="1:39" x14ac:dyDescent="0.25">
      <c r="A32" s="36"/>
      <c r="B32" s="61">
        <v>21</v>
      </c>
      <c r="C32" s="155">
        <v>2</v>
      </c>
      <c r="D32" s="157">
        <v>28</v>
      </c>
      <c r="E32" s="109">
        <f>'[1]Jan 21'!E27</f>
        <v>10080.00000000004</v>
      </c>
      <c r="F32" s="3">
        <f>'[1]Jan 21'!F27*1.05</f>
        <v>10962695.520000044</v>
      </c>
      <c r="G32" s="38">
        <f>'[1]Jan 21'!I27</f>
        <v>2080.0000000000127</v>
      </c>
      <c r="H32" s="3">
        <f>'[1]Jan 21'!J27*1.05</f>
        <v>3393215.2800000212</v>
      </c>
      <c r="I32" s="106">
        <f t="shared" si="4"/>
        <v>14355910.800000066</v>
      </c>
      <c r="J32" s="109">
        <v>1400.0000000000057</v>
      </c>
      <c r="K32" s="3">
        <v>1522596.6000000061</v>
      </c>
      <c r="L32" s="194">
        <v>359.99999999999943</v>
      </c>
      <c r="M32" s="195">
        <v>587287.25999999908</v>
      </c>
      <c r="N32" s="97">
        <f t="shared" si="5"/>
        <v>2109883.860000005</v>
      </c>
      <c r="O32" s="111">
        <f t="shared" si="6"/>
        <v>16465794.660000071</v>
      </c>
      <c r="P32" s="114">
        <f t="shared" si="7"/>
        <v>13920.000000000058</v>
      </c>
      <c r="Q32" s="205"/>
      <c r="R32" s="208"/>
      <c r="S32" s="212"/>
      <c r="T32" s="215"/>
      <c r="U32" s="218"/>
      <c r="V32" s="196">
        <f t="shared" si="8"/>
        <v>949</v>
      </c>
      <c r="W32" s="3">
        <v>86</v>
      </c>
      <c r="X32" s="3">
        <v>1546710</v>
      </c>
      <c r="Y32" s="34">
        <v>863</v>
      </c>
      <c r="Z32" s="34">
        <v>413377</v>
      </c>
      <c r="AA32" s="34">
        <f t="shared" si="0"/>
        <v>1960087</v>
      </c>
      <c r="AB32" s="132">
        <f t="shared" si="1"/>
        <v>151.0537457739581</v>
      </c>
      <c r="AC32" s="138">
        <v>0</v>
      </c>
      <c r="AD32" s="3">
        <v>0</v>
      </c>
      <c r="AE32" s="3">
        <v>100</v>
      </c>
      <c r="AF32" s="3">
        <v>12</v>
      </c>
      <c r="AG32" s="3">
        <f t="shared" si="9"/>
        <v>112</v>
      </c>
      <c r="AH32" s="3">
        <v>1242588.48</v>
      </c>
      <c r="AI32" s="46">
        <f t="shared" si="2"/>
        <v>95.759853700151581</v>
      </c>
      <c r="AJ32" s="147">
        <v>485.6</v>
      </c>
      <c r="AK32" s="3">
        <v>4176160</v>
      </c>
      <c r="AL32" s="42">
        <f t="shared" si="3"/>
        <v>321.83500576830153</v>
      </c>
      <c r="AM32" s="7"/>
    </row>
    <row r="33" spans="1:39" x14ac:dyDescent="0.25">
      <c r="A33" s="36"/>
      <c r="B33" s="61">
        <v>22</v>
      </c>
      <c r="C33" s="155">
        <v>2</v>
      </c>
      <c r="D33" s="157">
        <v>28</v>
      </c>
      <c r="E33" s="109">
        <f>'[1]Jan 21'!E28</f>
        <v>10200.000000000045</v>
      </c>
      <c r="F33" s="3">
        <f>'[1]Jan 21'!F28*1.05</f>
        <v>11093203.800000049</v>
      </c>
      <c r="G33" s="38">
        <f>'[1]Jan 21'!I28</f>
        <v>1839.999999999975</v>
      </c>
      <c r="H33" s="3">
        <f>'[1]Jan 21'!J28*1.05</f>
        <v>3001690.4399999594</v>
      </c>
      <c r="I33" s="106">
        <f t="shared" si="4"/>
        <v>14094894.24000001</v>
      </c>
      <c r="J33" s="109">
        <v>1400.0000000000057</v>
      </c>
      <c r="K33" s="3">
        <v>1522596.6000000061</v>
      </c>
      <c r="L33" s="194">
        <v>339.99999999999989</v>
      </c>
      <c r="M33" s="195">
        <v>554660.18999999983</v>
      </c>
      <c r="N33" s="97">
        <f t="shared" si="5"/>
        <v>2077256.7900000061</v>
      </c>
      <c r="O33" s="111">
        <f t="shared" si="6"/>
        <v>16172151.030000016</v>
      </c>
      <c r="P33" s="114">
        <f t="shared" si="7"/>
        <v>13780.000000000025</v>
      </c>
      <c r="Q33" s="205"/>
      <c r="R33" s="208"/>
      <c r="S33" s="212"/>
      <c r="T33" s="215"/>
      <c r="U33" s="218"/>
      <c r="V33" s="196">
        <f t="shared" si="8"/>
        <v>853</v>
      </c>
      <c r="W33" s="3">
        <v>64</v>
      </c>
      <c r="X33" s="3">
        <v>1151040</v>
      </c>
      <c r="Y33" s="34">
        <v>789</v>
      </c>
      <c r="Z33" s="34">
        <v>377931</v>
      </c>
      <c r="AA33" s="34">
        <f t="shared" si="0"/>
        <v>1528971</v>
      </c>
      <c r="AB33" s="132">
        <f t="shared" si="1"/>
        <v>117.82987016890296</v>
      </c>
      <c r="AC33" s="138">
        <v>0</v>
      </c>
      <c r="AD33" s="3">
        <v>0</v>
      </c>
      <c r="AE33" s="3">
        <v>100</v>
      </c>
      <c r="AF33" s="3">
        <v>12</v>
      </c>
      <c r="AG33" s="3">
        <f t="shared" si="9"/>
        <v>112</v>
      </c>
      <c r="AH33" s="3">
        <v>1242588.48</v>
      </c>
      <c r="AI33" s="46">
        <f t="shared" si="2"/>
        <v>95.759853700151581</v>
      </c>
      <c r="AJ33" s="147">
        <v>457.5</v>
      </c>
      <c r="AK33" s="3">
        <v>3934500</v>
      </c>
      <c r="AL33" s="42">
        <f t="shared" si="3"/>
        <v>303.21152211490516</v>
      </c>
      <c r="AM33" s="7"/>
    </row>
    <row r="34" spans="1:39" x14ac:dyDescent="0.25">
      <c r="A34" s="36"/>
      <c r="B34" s="61">
        <v>23</v>
      </c>
      <c r="C34" s="155">
        <v>0</v>
      </c>
      <c r="D34" s="157">
        <v>28</v>
      </c>
      <c r="E34" s="109">
        <f>'[1]Jan 21'!E29</f>
        <v>8559.9999999999454</v>
      </c>
      <c r="F34" s="3">
        <f>'[1]Jan 21'!F29*1.05</f>
        <v>9309590.639999941</v>
      </c>
      <c r="G34" s="38">
        <f>'[1]Jan 21'!I29</f>
        <v>1760.0000000000193</v>
      </c>
      <c r="H34" s="3">
        <f>'[1]Jan 21'!J29*1.05</f>
        <v>2871182.1600000318</v>
      </c>
      <c r="I34" s="106">
        <f t="shared" si="4"/>
        <v>12180772.799999973</v>
      </c>
      <c r="J34" s="109">
        <v>1339.9999999999891</v>
      </c>
      <c r="K34" s="3">
        <v>1457342.4599999881</v>
      </c>
      <c r="L34" s="194">
        <v>300.00000000000068</v>
      </c>
      <c r="M34" s="195">
        <v>489406.05000000109</v>
      </c>
      <c r="N34" s="97">
        <f t="shared" si="5"/>
        <v>1946748.5099999891</v>
      </c>
      <c r="O34" s="111">
        <f t="shared" si="6"/>
        <v>14127521.309999961</v>
      </c>
      <c r="P34" s="114">
        <f t="shared" si="7"/>
        <v>11959.999999999955</v>
      </c>
      <c r="Q34" s="205"/>
      <c r="R34" s="208"/>
      <c r="S34" s="212"/>
      <c r="T34" s="215"/>
      <c r="U34" s="218"/>
      <c r="V34" s="196">
        <f t="shared" si="8"/>
        <v>980</v>
      </c>
      <c r="W34" s="3">
        <v>75</v>
      </c>
      <c r="X34" s="3">
        <v>1348875</v>
      </c>
      <c r="Y34" s="34">
        <v>905</v>
      </c>
      <c r="Z34" s="34">
        <v>433495</v>
      </c>
      <c r="AA34" s="34">
        <f t="shared" si="0"/>
        <v>1782370</v>
      </c>
      <c r="AB34" s="132">
        <f t="shared" si="1"/>
        <v>137.35801770795362</v>
      </c>
      <c r="AC34" s="138">
        <v>0</v>
      </c>
      <c r="AD34" s="3">
        <v>0</v>
      </c>
      <c r="AE34" s="3">
        <v>50</v>
      </c>
      <c r="AF34" s="3">
        <v>0</v>
      </c>
      <c r="AG34" s="3">
        <f t="shared" si="9"/>
        <v>50</v>
      </c>
      <c r="AH34" s="3">
        <v>554727</v>
      </c>
      <c r="AI34" s="46">
        <f t="shared" si="2"/>
        <v>42.749934687567674</v>
      </c>
      <c r="AJ34" s="147">
        <v>434.1</v>
      </c>
      <c r="AK34" s="3">
        <v>3733260</v>
      </c>
      <c r="AL34" s="42">
        <f t="shared" si="3"/>
        <v>287.70299836083132</v>
      </c>
      <c r="AM34" s="7"/>
    </row>
    <row r="35" spans="1:39" x14ac:dyDescent="0.25">
      <c r="A35" s="36"/>
      <c r="B35" s="61">
        <v>24</v>
      </c>
      <c r="C35" s="155">
        <v>1</v>
      </c>
      <c r="D35" s="157">
        <v>43</v>
      </c>
      <c r="E35" s="109">
        <f>'[1]Jan 21'!E30</f>
        <v>11600.000000000022</v>
      </c>
      <c r="F35" s="3">
        <f>'[1]Jan 21'!F30*1.05</f>
        <v>12615800.400000025</v>
      </c>
      <c r="G35" s="38">
        <f>'[1]Jan 21'!I30</f>
        <v>1879.9999999999955</v>
      </c>
      <c r="H35" s="3">
        <f>'[1]Jan 21'!J30*1.05</f>
        <v>3066944.5799999931</v>
      </c>
      <c r="I35" s="106">
        <f t="shared" si="4"/>
        <v>15682744.980000017</v>
      </c>
      <c r="J35" s="109">
        <v>1300.0000000000114</v>
      </c>
      <c r="K35" s="3">
        <v>1413839.7000000123</v>
      </c>
      <c r="L35" s="194">
        <v>320.00000000000028</v>
      </c>
      <c r="M35" s="195">
        <v>522033.1200000004</v>
      </c>
      <c r="N35" s="97">
        <f t="shared" si="5"/>
        <v>1935872.8200000126</v>
      </c>
      <c r="O35" s="111">
        <f t="shared" si="6"/>
        <v>17618617.800000031</v>
      </c>
      <c r="P35" s="114">
        <f t="shared" si="7"/>
        <v>15100.000000000029</v>
      </c>
      <c r="Q35" s="205"/>
      <c r="R35" s="208"/>
      <c r="S35" s="212"/>
      <c r="T35" s="215"/>
      <c r="U35" s="218"/>
      <c r="V35" s="196">
        <f t="shared" si="8"/>
        <v>1003</v>
      </c>
      <c r="W35" s="3">
        <v>80</v>
      </c>
      <c r="X35" s="3">
        <v>1438800</v>
      </c>
      <c r="Y35" s="34">
        <v>923</v>
      </c>
      <c r="Z35" s="34">
        <v>442117</v>
      </c>
      <c r="AA35" s="34">
        <f t="shared" si="0"/>
        <v>1880917</v>
      </c>
      <c r="AB35" s="132">
        <f t="shared" si="1"/>
        <v>144.95252421954532</v>
      </c>
      <c r="AC35" s="138">
        <v>0</v>
      </c>
      <c r="AD35" s="3">
        <v>0</v>
      </c>
      <c r="AE35" s="3">
        <v>50</v>
      </c>
      <c r="AF35" s="3">
        <v>12</v>
      </c>
      <c r="AG35" s="3">
        <f t="shared" si="9"/>
        <v>62</v>
      </c>
      <c r="AH35" s="3">
        <v>687861.48</v>
      </c>
      <c r="AI35" s="46">
        <f t="shared" si="2"/>
        <v>53.009919012583914</v>
      </c>
      <c r="AJ35" s="147">
        <v>455.7</v>
      </c>
      <c r="AK35" s="3">
        <v>3919020</v>
      </c>
      <c r="AL35" s="42">
        <f t="shared" si="3"/>
        <v>302.01855874920722</v>
      </c>
      <c r="AM35" s="7"/>
    </row>
    <row r="36" spans="1:39" x14ac:dyDescent="0.25">
      <c r="A36" s="36"/>
      <c r="B36" s="61">
        <v>25</v>
      </c>
      <c r="C36" s="155">
        <v>3</v>
      </c>
      <c r="D36" s="157">
        <v>25</v>
      </c>
      <c r="E36" s="109">
        <f>'[1]Jan 21'!E31</f>
        <v>9279.9999999999727</v>
      </c>
      <c r="F36" s="3">
        <f>'[1]Jan 21'!F31*1.05</f>
        <v>10092640.319999969</v>
      </c>
      <c r="G36" s="38">
        <f>'[1]Jan 21'!I31</f>
        <v>1879.9999999999955</v>
      </c>
      <c r="H36" s="3">
        <f>'[1]Jan 21'!J31*1.05</f>
        <v>3066944.5799999931</v>
      </c>
      <c r="I36" s="106">
        <f t="shared" si="4"/>
        <v>13159584.899999961</v>
      </c>
      <c r="J36" s="109">
        <v>1259.9999999999909</v>
      </c>
      <c r="K36" s="3">
        <v>1370336.9399999902</v>
      </c>
      <c r="L36" s="194">
        <v>300.00000000000068</v>
      </c>
      <c r="M36" s="195">
        <v>489406.05000000109</v>
      </c>
      <c r="N36" s="97">
        <f t="shared" si="5"/>
        <v>1859742.9899999914</v>
      </c>
      <c r="O36" s="111">
        <f t="shared" si="6"/>
        <v>15019327.889999952</v>
      </c>
      <c r="P36" s="114">
        <f t="shared" si="7"/>
        <v>12719.99999999996</v>
      </c>
      <c r="Q36" s="205"/>
      <c r="R36" s="208"/>
      <c r="S36" s="212"/>
      <c r="T36" s="215"/>
      <c r="U36" s="218"/>
      <c r="V36" s="196">
        <f t="shared" si="8"/>
        <v>977</v>
      </c>
      <c r="W36" s="3">
        <v>67</v>
      </c>
      <c r="X36" s="3">
        <v>1204995</v>
      </c>
      <c r="Y36" s="34">
        <v>910</v>
      </c>
      <c r="Z36" s="34">
        <v>435890</v>
      </c>
      <c r="AA36" s="34">
        <f t="shared" si="0"/>
        <v>1640885</v>
      </c>
      <c r="AB36" s="132">
        <f t="shared" si="1"/>
        <v>126.45450208807121</v>
      </c>
      <c r="AC36" s="138">
        <v>0</v>
      </c>
      <c r="AD36" s="3">
        <v>0</v>
      </c>
      <c r="AE36" s="3">
        <v>50</v>
      </c>
      <c r="AF36" s="3">
        <v>12</v>
      </c>
      <c r="AG36" s="3">
        <f t="shared" si="9"/>
        <v>62</v>
      </c>
      <c r="AH36" s="3">
        <v>687861.48</v>
      </c>
      <c r="AI36" s="46">
        <f t="shared" si="2"/>
        <v>53.009919012583914</v>
      </c>
      <c r="AJ36" s="147">
        <v>465.8</v>
      </c>
      <c r="AK36" s="3">
        <v>4005880</v>
      </c>
      <c r="AL36" s="42">
        <f t="shared" si="3"/>
        <v>308.71240874562369</v>
      </c>
      <c r="AM36" s="7"/>
    </row>
    <row r="37" spans="1:39" x14ac:dyDescent="0.25">
      <c r="A37" s="36"/>
      <c r="B37" s="61">
        <v>26</v>
      </c>
      <c r="C37" s="155">
        <v>3</v>
      </c>
      <c r="D37" s="157">
        <v>47</v>
      </c>
      <c r="E37" s="109">
        <f>'[1]Jan 21'!E32</f>
        <v>7559.9999999999454</v>
      </c>
      <c r="F37" s="3">
        <f>'[1]Jan 21'!F32*1.05</f>
        <v>8222021.6399999401</v>
      </c>
      <c r="G37" s="38">
        <f>'[1]Jan 21'!I32</f>
        <v>1920.0000000000159</v>
      </c>
      <c r="H37" s="3">
        <f>'[1]Jan 21'!J32*1.05</f>
        <v>3132198.7200000263</v>
      </c>
      <c r="I37" s="106">
        <f t="shared" si="4"/>
        <v>11354220.359999966</v>
      </c>
      <c r="J37" s="109">
        <v>1260.000000000005</v>
      </c>
      <c r="K37" s="3">
        <v>1370336.9400000055</v>
      </c>
      <c r="L37" s="194">
        <v>320.00000000000028</v>
      </c>
      <c r="M37" s="195">
        <v>522033.1200000004</v>
      </c>
      <c r="N37" s="97">
        <f t="shared" si="5"/>
        <v>1892370.0600000059</v>
      </c>
      <c r="O37" s="111">
        <f t="shared" si="6"/>
        <v>13246590.419999972</v>
      </c>
      <c r="P37" s="114">
        <f t="shared" si="7"/>
        <v>11059.999999999967</v>
      </c>
      <c r="Q37" s="205"/>
      <c r="R37" s="208"/>
      <c r="S37" s="212"/>
      <c r="T37" s="215"/>
      <c r="U37" s="218"/>
      <c r="V37" s="196">
        <f t="shared" si="8"/>
        <v>986</v>
      </c>
      <c r="W37" s="3">
        <v>74</v>
      </c>
      <c r="X37" s="3">
        <v>1330890</v>
      </c>
      <c r="Y37" s="34">
        <v>912</v>
      </c>
      <c r="Z37" s="34">
        <v>436848</v>
      </c>
      <c r="AA37" s="34">
        <f t="shared" si="0"/>
        <v>1767738</v>
      </c>
      <c r="AB37" s="132">
        <f t="shared" si="1"/>
        <v>136.23040530699154</v>
      </c>
      <c r="AC37" s="138">
        <v>0</v>
      </c>
      <c r="AD37" s="3">
        <v>0</v>
      </c>
      <c r="AE37" s="3">
        <v>50</v>
      </c>
      <c r="AF37" s="3">
        <v>12</v>
      </c>
      <c r="AG37" s="3">
        <f t="shared" si="9"/>
        <v>62</v>
      </c>
      <c r="AH37" s="3">
        <v>687861.48</v>
      </c>
      <c r="AI37" s="46">
        <f t="shared" si="2"/>
        <v>53.009919012583914</v>
      </c>
      <c r="AJ37" s="147">
        <v>457.1</v>
      </c>
      <c r="AK37" s="3">
        <v>3931060</v>
      </c>
      <c r="AL37" s="42">
        <f t="shared" si="3"/>
        <v>302.94641914475005</v>
      </c>
      <c r="AM37" s="7"/>
    </row>
    <row r="38" spans="1:39" x14ac:dyDescent="0.25">
      <c r="A38" s="36"/>
      <c r="B38" s="61">
        <v>27</v>
      </c>
      <c r="C38" s="155">
        <v>3</v>
      </c>
      <c r="D38" s="157">
        <v>26</v>
      </c>
      <c r="E38" s="109">
        <f>'[1]Jan 21'!E33</f>
        <v>9880.0000000001091</v>
      </c>
      <c r="F38" s="3">
        <f>'[1]Jan 21'!F33*1.05</f>
        <v>10745181.720000118</v>
      </c>
      <c r="G38" s="38">
        <f>'[1]Jan 21'!I33</f>
        <v>2000</v>
      </c>
      <c r="H38" s="3">
        <f>'[1]Jan 21'!J33*1.05</f>
        <v>3262707</v>
      </c>
      <c r="I38" s="106">
        <f t="shared" si="4"/>
        <v>14007888.720000118</v>
      </c>
      <c r="J38" s="109">
        <v>1319.9999999999932</v>
      </c>
      <c r="K38" s="3">
        <v>1435591.0799999926</v>
      </c>
      <c r="L38" s="194">
        <v>300.00000000000068</v>
      </c>
      <c r="M38" s="195">
        <v>489406.05000000109</v>
      </c>
      <c r="N38" s="97">
        <f t="shared" si="5"/>
        <v>1924997.1299999938</v>
      </c>
      <c r="O38" s="111">
        <f t="shared" si="6"/>
        <v>15932885.850000111</v>
      </c>
      <c r="P38" s="114">
        <f t="shared" si="7"/>
        <v>13500.000000000102</v>
      </c>
      <c r="Q38" s="205"/>
      <c r="R38" s="208"/>
      <c r="S38" s="212"/>
      <c r="T38" s="215"/>
      <c r="U38" s="218"/>
      <c r="V38" s="196">
        <f t="shared" si="8"/>
        <v>1031</v>
      </c>
      <c r="W38" s="3">
        <v>76</v>
      </c>
      <c r="X38" s="3">
        <v>1366860</v>
      </c>
      <c r="Y38" s="34">
        <v>955</v>
      </c>
      <c r="Z38" s="34">
        <v>457445</v>
      </c>
      <c r="AA38" s="34">
        <f t="shared" si="0"/>
        <v>1824305</v>
      </c>
      <c r="AB38" s="132">
        <f t="shared" si="1"/>
        <v>140.58973080488806</v>
      </c>
      <c r="AC38" s="138">
        <v>0</v>
      </c>
      <c r="AD38" s="3">
        <v>0</v>
      </c>
      <c r="AE38" s="3">
        <v>50</v>
      </c>
      <c r="AF38" s="3">
        <v>0</v>
      </c>
      <c r="AG38" s="3">
        <f t="shared" si="9"/>
        <v>50</v>
      </c>
      <c r="AH38" s="3">
        <v>554727</v>
      </c>
      <c r="AI38" s="46">
        <f t="shared" si="2"/>
        <v>42.749934687567674</v>
      </c>
      <c r="AJ38" s="147">
        <v>476</v>
      </c>
      <c r="AK38" s="3">
        <v>4093600</v>
      </c>
      <c r="AL38" s="42">
        <f t="shared" si="3"/>
        <v>315.47253448457894</v>
      </c>
      <c r="AM38" s="7"/>
    </row>
    <row r="39" spans="1:39" x14ac:dyDescent="0.25">
      <c r="A39" s="36"/>
      <c r="B39" s="61">
        <v>28</v>
      </c>
      <c r="C39" s="155">
        <v>3</v>
      </c>
      <c r="D39" s="157">
        <v>33</v>
      </c>
      <c r="E39" s="109">
        <f>'[1]Jan 21'!E34</f>
        <v>12919.999999999845</v>
      </c>
      <c r="F39" s="3">
        <f>'[1]Jan 21'!F34*1.05</f>
        <v>14051391.479999833</v>
      </c>
      <c r="G39" s="38">
        <f>'[1]Jan 21'!I34</f>
        <v>2000</v>
      </c>
      <c r="H39" s="3">
        <f>'[1]Jan 21'!J34*1.05</f>
        <v>3262707</v>
      </c>
      <c r="I39" s="106">
        <f t="shared" si="4"/>
        <v>17314098.479999833</v>
      </c>
      <c r="J39" s="109">
        <v>1120.0000000000045</v>
      </c>
      <c r="K39" s="3">
        <v>1218077.2800000052</v>
      </c>
      <c r="L39" s="194">
        <v>319.9999999999967</v>
      </c>
      <c r="M39" s="195">
        <v>522033.11999999464</v>
      </c>
      <c r="N39" s="97">
        <f t="shared" si="5"/>
        <v>1740110.4</v>
      </c>
      <c r="O39" s="111">
        <f t="shared" si="6"/>
        <v>19054208.879999831</v>
      </c>
      <c r="P39" s="114">
        <f t="shared" si="7"/>
        <v>16359.999999999847</v>
      </c>
      <c r="Q39" s="205" t="s">
        <v>80</v>
      </c>
      <c r="R39" s="230" t="s">
        <v>82</v>
      </c>
      <c r="S39" s="212"/>
      <c r="T39" s="215"/>
      <c r="U39" s="218"/>
      <c r="V39" s="196">
        <f t="shared" si="8"/>
        <v>983</v>
      </c>
      <c r="W39" s="3">
        <v>74</v>
      </c>
      <c r="X39" s="3">
        <v>1330890</v>
      </c>
      <c r="Y39" s="34">
        <v>909</v>
      </c>
      <c r="Z39" s="34">
        <v>435411</v>
      </c>
      <c r="AA39" s="34">
        <f t="shared" si="0"/>
        <v>1766301</v>
      </c>
      <c r="AB39" s="132">
        <f t="shared" si="1"/>
        <v>136.11966316509827</v>
      </c>
      <c r="AC39" s="138">
        <v>0</v>
      </c>
      <c r="AD39" s="3">
        <v>0</v>
      </c>
      <c r="AE39" s="3">
        <v>50</v>
      </c>
      <c r="AF39" s="3">
        <v>0</v>
      </c>
      <c r="AG39" s="3">
        <f t="shared" si="9"/>
        <v>50</v>
      </c>
      <c r="AH39" s="3">
        <v>554727</v>
      </c>
      <c r="AI39" s="46">
        <f t="shared" si="2"/>
        <v>42.749934687567674</v>
      </c>
      <c r="AJ39" s="147">
        <v>456</v>
      </c>
      <c r="AK39" s="3">
        <v>3921600</v>
      </c>
      <c r="AL39" s="42">
        <f t="shared" si="3"/>
        <v>302.21738597682355</v>
      </c>
      <c r="AM39" s="7"/>
    </row>
    <row r="40" spans="1:39" x14ac:dyDescent="0.25">
      <c r="A40" s="36"/>
      <c r="B40" s="61">
        <v>29</v>
      </c>
      <c r="C40" s="155">
        <v>5</v>
      </c>
      <c r="D40" s="157">
        <v>12</v>
      </c>
      <c r="E40" s="109">
        <f>'[1]Jan 21'!E35</f>
        <v>7720.0000000000273</v>
      </c>
      <c r="F40" s="3">
        <f>'[1]Jan 21'!F35*1.05</f>
        <v>8396032.6800000295</v>
      </c>
      <c r="G40" s="38">
        <f>'[1]Jan 21'!I35</f>
        <v>2159.9999999999964</v>
      </c>
      <c r="H40" s="3">
        <f>'[1]Jan 21'!J35*1.05</f>
        <v>3523723.5599999945</v>
      </c>
      <c r="I40" s="106">
        <f t="shared" si="4"/>
        <v>11919756.240000024</v>
      </c>
      <c r="J40" s="109">
        <v>1300</v>
      </c>
      <c r="K40" s="3">
        <v>1491523.1999999976</v>
      </c>
      <c r="L40" s="194">
        <v>339.99999999999989</v>
      </c>
      <c r="M40" s="195">
        <v>528247.79999999981</v>
      </c>
      <c r="N40" s="97">
        <f t="shared" si="5"/>
        <v>2019770.9999999974</v>
      </c>
      <c r="O40" s="111">
        <f t="shared" si="6"/>
        <v>13939527.240000023</v>
      </c>
      <c r="P40" s="114">
        <f t="shared" si="7"/>
        <v>11520.000000000024</v>
      </c>
      <c r="Q40" s="229" t="s">
        <v>81</v>
      </c>
      <c r="R40" s="231" t="s">
        <v>81</v>
      </c>
      <c r="S40" s="212"/>
      <c r="T40" s="215"/>
      <c r="U40" s="218"/>
      <c r="V40" s="196">
        <f t="shared" si="8"/>
        <v>990</v>
      </c>
      <c r="W40" s="3">
        <v>80</v>
      </c>
      <c r="X40" s="3">
        <v>1438800</v>
      </c>
      <c r="Y40" s="34">
        <v>910</v>
      </c>
      <c r="Z40" s="34">
        <v>435890</v>
      </c>
      <c r="AA40" s="34">
        <f t="shared" si="0"/>
        <v>1874690</v>
      </c>
      <c r="AB40" s="132">
        <f t="shared" si="1"/>
        <v>144.47264160467444</v>
      </c>
      <c r="AC40" s="138">
        <v>0</v>
      </c>
      <c r="AD40" s="3">
        <v>0</v>
      </c>
      <c r="AE40" s="3">
        <v>50</v>
      </c>
      <c r="AF40" s="3">
        <v>12</v>
      </c>
      <c r="AG40" s="3">
        <f t="shared" si="9"/>
        <v>62</v>
      </c>
      <c r="AH40" s="3">
        <v>687861.48</v>
      </c>
      <c r="AI40" s="46">
        <f t="shared" si="2"/>
        <v>53.009919012583914</v>
      </c>
      <c r="AJ40" s="147">
        <v>456.3</v>
      </c>
      <c r="AK40" s="3">
        <v>3924180</v>
      </c>
      <c r="AL40" s="42">
        <f t="shared" si="3"/>
        <v>302.41621320443983</v>
      </c>
      <c r="AM40" s="7"/>
    </row>
    <row r="41" spans="1:39" x14ac:dyDescent="0.25">
      <c r="A41" s="36"/>
      <c r="B41" s="61">
        <v>30</v>
      </c>
      <c r="C41" s="155">
        <v>5</v>
      </c>
      <c r="D41" s="157">
        <v>56</v>
      </c>
      <c r="E41" s="109">
        <f>'[1]Jan 21'!E36</f>
        <v>9800.0000000001819</v>
      </c>
      <c r="F41" s="3">
        <f>'[1]Jan 21'!F36*1.05</f>
        <v>10658176.200000199</v>
      </c>
      <c r="G41" s="38">
        <f>'[1]Jan 21'!I36</f>
        <v>2039.999999999992</v>
      </c>
      <c r="H41" s="3">
        <f>'[1]Jan 21'!J36*1.05</f>
        <v>3327961.1399999871</v>
      </c>
      <c r="I41" s="106">
        <f t="shared" si="4"/>
        <v>13986137.340000186</v>
      </c>
      <c r="J41" s="109">
        <v>1299.9999999999973</v>
      </c>
      <c r="K41" s="3">
        <v>1413839.6999999972</v>
      </c>
      <c r="L41" s="194">
        <v>340.00000000000341</v>
      </c>
      <c r="M41" s="195">
        <v>554660.19000000553</v>
      </c>
      <c r="N41" s="97">
        <f t="shared" si="5"/>
        <v>1968499.8900000027</v>
      </c>
      <c r="O41" s="111">
        <f t="shared" si="6"/>
        <v>15954637.230000189</v>
      </c>
      <c r="P41" s="114">
        <f t="shared" si="7"/>
        <v>13480.000000000175</v>
      </c>
      <c r="Q41" s="205"/>
      <c r="R41" s="209"/>
      <c r="S41" s="212"/>
      <c r="T41" s="215"/>
      <c r="U41" s="218"/>
      <c r="V41" s="196">
        <f t="shared" si="8"/>
        <v>998</v>
      </c>
      <c r="W41" s="3">
        <v>78</v>
      </c>
      <c r="X41" s="3">
        <v>1402830</v>
      </c>
      <c r="Y41" s="34">
        <v>920</v>
      </c>
      <c r="Z41" s="34">
        <v>440680</v>
      </c>
      <c r="AA41" s="34">
        <f t="shared" si="0"/>
        <v>1843510</v>
      </c>
      <c r="AB41" s="132">
        <f t="shared" si="1"/>
        <v>142.06976061355925</v>
      </c>
      <c r="AC41" s="138">
        <v>0</v>
      </c>
      <c r="AD41" s="3">
        <v>0</v>
      </c>
      <c r="AE41" s="3">
        <v>50</v>
      </c>
      <c r="AF41" s="3">
        <v>0</v>
      </c>
      <c r="AG41" s="3">
        <f t="shared" si="9"/>
        <v>50</v>
      </c>
      <c r="AH41" s="3">
        <v>554727</v>
      </c>
      <c r="AI41" s="46">
        <f t="shared" si="2"/>
        <v>42.749934687567674</v>
      </c>
      <c r="AJ41" s="147">
        <v>454.9</v>
      </c>
      <c r="AK41" s="3">
        <v>3912140</v>
      </c>
      <c r="AL41" s="42">
        <f t="shared" si="3"/>
        <v>301.48835280889699</v>
      </c>
      <c r="AM41" s="7"/>
    </row>
    <row r="42" spans="1:39" x14ac:dyDescent="0.25">
      <c r="A42" s="36"/>
      <c r="B42" s="61">
        <v>31</v>
      </c>
      <c r="C42" s="183">
        <v>4</v>
      </c>
      <c r="D42" s="184">
        <v>115</v>
      </c>
      <c r="E42" s="109">
        <f>'[1]Jan 21'!E37</f>
        <v>10319.999999999936</v>
      </c>
      <c r="F42" s="3">
        <f>'[1]Jan 21'!F37*1.05</f>
        <v>11223712.079999931</v>
      </c>
      <c r="G42" s="38">
        <f>'[1]Jan 21'!I37</f>
        <v>2000</v>
      </c>
      <c r="H42" s="3">
        <f>'[1]Jan 21'!J37*1.05</f>
        <v>3262707</v>
      </c>
      <c r="I42" s="106">
        <f t="shared" si="4"/>
        <v>14486419.079999931</v>
      </c>
      <c r="J42" s="109">
        <v>1320.0000000000073</v>
      </c>
      <c r="K42" s="3">
        <v>1408246.4880000078</v>
      </c>
      <c r="L42" s="194">
        <v>319.9999999999967</v>
      </c>
      <c r="M42" s="195">
        <v>497174.3999999949</v>
      </c>
      <c r="N42" s="97">
        <f t="shared" si="5"/>
        <v>1905420.8880000026</v>
      </c>
      <c r="O42" s="111">
        <f t="shared" si="6"/>
        <v>16391839.967999933</v>
      </c>
      <c r="P42" s="114">
        <f t="shared" si="7"/>
        <v>13959.99999999994</v>
      </c>
      <c r="Q42" s="205"/>
      <c r="R42" s="209"/>
      <c r="S42" s="212"/>
      <c r="T42" s="215"/>
      <c r="U42" s="218"/>
      <c r="V42" s="196">
        <f t="shared" si="8"/>
        <v>982</v>
      </c>
      <c r="W42" s="3">
        <v>69</v>
      </c>
      <c r="X42" s="3">
        <v>1240965</v>
      </c>
      <c r="Y42" s="34">
        <v>913</v>
      </c>
      <c r="Z42" s="34">
        <v>437327</v>
      </c>
      <c r="AA42" s="34">
        <f t="shared" si="0"/>
        <v>1678292</v>
      </c>
      <c r="AB42" s="132">
        <f t="shared" si="1"/>
        <v>129.33726569405729</v>
      </c>
      <c r="AC42" s="138">
        <v>0</v>
      </c>
      <c r="AD42" s="3">
        <v>0</v>
      </c>
      <c r="AE42" s="3">
        <v>50</v>
      </c>
      <c r="AF42" s="3">
        <v>0</v>
      </c>
      <c r="AG42" s="3">
        <f t="shared" si="9"/>
        <v>50</v>
      </c>
      <c r="AH42" s="3">
        <v>554727</v>
      </c>
      <c r="AI42" s="46">
        <f t="shared" si="2"/>
        <v>42.749934687567674</v>
      </c>
      <c r="AJ42" s="147">
        <v>459.3</v>
      </c>
      <c r="AK42" s="3">
        <v>3949980</v>
      </c>
      <c r="AL42" s="42">
        <f t="shared" si="3"/>
        <v>304.40448548060317</v>
      </c>
      <c r="AM42" s="7"/>
    </row>
    <row r="43" spans="1:39" ht="16.5" thickBot="1" x14ac:dyDescent="0.3">
      <c r="A43" s="36"/>
      <c r="B43" s="126"/>
      <c r="C43" s="156"/>
      <c r="D43" s="158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5"/>
      <c r="R43" s="210"/>
      <c r="S43" s="213"/>
      <c r="T43" s="216"/>
      <c r="U43" s="219"/>
      <c r="V43" s="196"/>
      <c r="W43" s="3"/>
      <c r="X43" s="3"/>
      <c r="Y43" s="34"/>
      <c r="Z43" s="34"/>
      <c r="AA43" s="18"/>
      <c r="AB43" s="133"/>
      <c r="AC43" s="131"/>
      <c r="AD43" s="3"/>
      <c r="AE43" s="2"/>
      <c r="AF43" s="2"/>
      <c r="AG43" s="2"/>
      <c r="AH43" s="3"/>
      <c r="AI43" s="46"/>
      <c r="AJ43" s="147"/>
      <c r="AK43" s="3"/>
      <c r="AL43" s="42"/>
      <c r="AM43" s="7"/>
    </row>
    <row r="44" spans="1:39" s="8" customFormat="1" ht="4.5" customHeight="1" x14ac:dyDescent="0.25">
      <c r="A44" s="15"/>
      <c r="B44" s="121"/>
      <c r="C44" s="122"/>
      <c r="D44" s="122"/>
      <c r="E44" s="120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4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1"/>
      <c r="C45" s="122"/>
      <c r="D45" s="122"/>
      <c r="E45" s="120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4"/>
      <c r="W45" s="15"/>
      <c r="X45" s="15"/>
      <c r="Y45" s="15"/>
      <c r="Z45" s="15"/>
      <c r="AA45" s="15"/>
      <c r="AB45" s="135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3"/>
      <c r="C46" s="124"/>
      <c r="D46" s="124"/>
      <c r="E46" s="125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7"/>
      <c r="V46" s="136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8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313</v>
      </c>
      <c r="D47" s="73">
        <f>SUM(D12:D43)</f>
        <v>3122</v>
      </c>
      <c r="E47" s="73">
        <f>SUM(E12:E43)</f>
        <v>316999.99999999994</v>
      </c>
      <c r="F47" s="73">
        <f>SUM(F12:F43)</f>
        <v>344759373.00000006</v>
      </c>
      <c r="G47" s="73">
        <f>SUM(G12:G43)</f>
        <v>64319.999999999993</v>
      </c>
      <c r="H47" s="73">
        <f t="shared" ref="H47:O47" si="10">SUM(H12:H43)</f>
        <v>104928657.11999997</v>
      </c>
      <c r="I47" s="73">
        <f t="shared" si="10"/>
        <v>449688030.12</v>
      </c>
      <c r="J47" s="73">
        <f t="shared" si="10"/>
        <v>41260.000000000015</v>
      </c>
      <c r="K47" s="73">
        <f t="shared" si="10"/>
        <v>44923435.847999997</v>
      </c>
      <c r="L47" s="73">
        <f t="shared" si="10"/>
        <v>10339.999999999996</v>
      </c>
      <c r="M47" s="73">
        <f t="shared" si="10"/>
        <v>16816924.079999994</v>
      </c>
      <c r="N47" s="73">
        <f t="shared" si="10"/>
        <v>61740359.928000018</v>
      </c>
      <c r="O47" s="73">
        <f t="shared" si="10"/>
        <v>511428390.04799986</v>
      </c>
      <c r="P47" s="85">
        <f>SUM(P12:P43)</f>
        <v>432919.99999999994</v>
      </c>
      <c r="Q47" s="198">
        <f>'Electricity Residences Jan 2021'!C27</f>
        <v>41503</v>
      </c>
      <c r="R47" s="127">
        <f>'Electricity Residences Jan 2021'!C28</f>
        <v>69793604</v>
      </c>
      <c r="S47" s="119">
        <f>Q47+P47</f>
        <v>474422.99999999994</v>
      </c>
      <c r="T47" s="116">
        <f>R47+O47</f>
        <v>581221994.04799986</v>
      </c>
      <c r="U47" s="141">
        <f>T47/AL48</f>
        <v>44791.766552790541</v>
      </c>
      <c r="V47" s="186">
        <f>SUM(V12:V42)</f>
        <v>28467</v>
      </c>
      <c r="W47" s="55">
        <f>SUM(W12:W42)</f>
        <v>2536</v>
      </c>
      <c r="X47" s="55">
        <f t="shared" ref="X47:Z47" si="11">SUM(X12:X42)</f>
        <v>45609960</v>
      </c>
      <c r="Y47" s="55">
        <f t="shared" si="11"/>
        <v>25931</v>
      </c>
      <c r="Z47" s="55">
        <f t="shared" si="11"/>
        <v>12420949</v>
      </c>
      <c r="AA47" s="140">
        <f>SUM(AA12:AA42)</f>
        <v>58030909</v>
      </c>
      <c r="AB47" s="128">
        <f>AA47/$AL$48</f>
        <v>4472.1413769479095</v>
      </c>
      <c r="AC47" s="47">
        <f>SUM(AC12:AC41)</f>
        <v>7.4301500000285161</v>
      </c>
      <c r="AD47" s="142">
        <f>SUM(AD12:AD41)</f>
        <v>0</v>
      </c>
      <c r="AE47" s="47">
        <f>SUM(AE12:AE42)</f>
        <v>4000</v>
      </c>
      <c r="AF47" s="47">
        <f>SUM(AF12:AF42)</f>
        <v>372</v>
      </c>
      <c r="AG47" s="47">
        <f>SUM(AG12:AG42)</f>
        <v>4379.4301500000283</v>
      </c>
      <c r="AH47" s="152">
        <f>SUM(AH12:AH43)</f>
        <v>48587762.976381287</v>
      </c>
      <c r="AI47" s="153">
        <f>AH47/$AL$48</f>
        <v>3744.4070576253162</v>
      </c>
      <c r="AJ47" s="149">
        <f>SUM(AJ12:AJ43)</f>
        <v>15000</v>
      </c>
      <c r="AK47" s="150">
        <f>SUM(AK12:AK43)</f>
        <v>129000000</v>
      </c>
      <c r="AL47" s="151">
        <f>AK47/AL48</f>
        <v>9941.3613808165628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8"/>
      <c r="S48" s="14"/>
      <c r="T48" s="84" t="s">
        <v>29</v>
      </c>
      <c r="U48" s="159">
        <f>U47/S47</f>
        <v>9.4413143023821672E-2</v>
      </c>
      <c r="V48" s="11"/>
      <c r="W48" s="11"/>
      <c r="X48" s="11"/>
      <c r="Y48" s="143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4">
        <v>12976.09</v>
      </c>
      <c r="AM48" s="27"/>
    </row>
    <row r="49" spans="1:39" s="204" customFormat="1" x14ac:dyDescent="0.25">
      <c r="A49" s="199"/>
      <c r="B49" s="199"/>
      <c r="C49" s="17"/>
      <c r="D49" s="200"/>
      <c r="E49" s="17"/>
      <c r="F49" s="17"/>
      <c r="G49" s="200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8"/>
      <c r="S49" s="14"/>
      <c r="T49" s="17"/>
      <c r="U49" s="201"/>
      <c r="V49" s="200"/>
      <c r="W49" s="200"/>
      <c r="X49" s="200"/>
      <c r="Y49" s="202"/>
      <c r="Z49" s="17"/>
      <c r="AA49" s="200"/>
      <c r="AB49" s="200"/>
      <c r="AC49" s="200"/>
      <c r="AD49" s="17"/>
      <c r="AE49" s="200"/>
      <c r="AF49" s="200"/>
      <c r="AG49" s="17"/>
      <c r="AH49" s="17"/>
      <c r="AI49" s="200"/>
      <c r="AJ49" s="118"/>
      <c r="AK49" s="200"/>
      <c r="AL49" s="203"/>
      <c r="AM49" s="199"/>
    </row>
    <row r="50" spans="1:39" s="279" customFormat="1" x14ac:dyDescent="0.25">
      <c r="A50" s="278"/>
      <c r="B50" s="278"/>
      <c r="E50" s="280"/>
      <c r="F50" s="281"/>
      <c r="G50" s="280"/>
      <c r="I50" s="280"/>
      <c r="J50" s="280"/>
      <c r="K50" s="280"/>
      <c r="L50" s="280"/>
      <c r="M50" s="280"/>
      <c r="N50" s="282"/>
      <c r="O50" s="283"/>
      <c r="P50" s="284"/>
      <c r="R50" s="285"/>
      <c r="S50" s="286"/>
      <c r="Y50" s="287"/>
      <c r="Z50" s="288"/>
      <c r="AB50" s="289"/>
      <c r="AJ50" s="285"/>
      <c r="AL50" s="290"/>
      <c r="AM50" s="278"/>
    </row>
    <row r="51" spans="1:39" s="293" customFormat="1" x14ac:dyDescent="0.25">
      <c r="A51" s="291"/>
      <c r="B51" s="291"/>
      <c r="C51" s="292"/>
      <c r="E51" s="292"/>
      <c r="F51" s="292"/>
      <c r="H51" s="292"/>
      <c r="L51" s="292"/>
      <c r="M51" s="294"/>
      <c r="N51" s="295"/>
      <c r="P51" s="295"/>
      <c r="R51" s="296"/>
      <c r="AD51" s="292"/>
      <c r="AH51" s="292"/>
      <c r="AJ51" s="296"/>
      <c r="AL51" s="297"/>
      <c r="AM51" s="291"/>
    </row>
    <row r="52" spans="1:39" s="293" customFormat="1" x14ac:dyDescent="0.25">
      <c r="A52" s="291"/>
      <c r="B52" s="291"/>
      <c r="C52" s="292"/>
      <c r="E52" s="292"/>
      <c r="F52" s="292"/>
      <c r="H52" s="292"/>
      <c r="L52" s="292"/>
      <c r="M52" s="294"/>
      <c r="N52" s="295"/>
      <c r="P52" s="295"/>
      <c r="R52" s="296"/>
      <c r="AD52" s="292"/>
      <c r="AH52" s="292"/>
      <c r="AJ52" s="296"/>
      <c r="AL52" s="297"/>
      <c r="AM52" s="291"/>
    </row>
    <row r="53" spans="1:39" s="293" customFormat="1" x14ac:dyDescent="0.25">
      <c r="A53" s="291"/>
      <c r="B53" s="291"/>
      <c r="C53" s="292"/>
      <c r="E53" s="292"/>
      <c r="F53" s="292"/>
      <c r="H53" s="292"/>
      <c r="L53" s="292"/>
      <c r="M53" s="294"/>
      <c r="N53" s="295" t="s">
        <v>46</v>
      </c>
      <c r="P53" s="295"/>
      <c r="R53" s="296"/>
      <c r="AD53" s="292"/>
      <c r="AH53" s="292"/>
      <c r="AJ53" s="296"/>
      <c r="AL53" s="297"/>
      <c r="AM53" s="291"/>
    </row>
    <row r="54" spans="1:39" s="293" customFormat="1" x14ac:dyDescent="0.25">
      <c r="A54" s="291"/>
      <c r="B54" s="291"/>
      <c r="C54" s="292"/>
      <c r="E54" s="292"/>
      <c r="F54" s="292"/>
      <c r="H54" s="292"/>
      <c r="L54" s="292"/>
      <c r="M54" s="294"/>
      <c r="N54" s="295"/>
      <c r="P54" s="295"/>
      <c r="R54" s="296"/>
      <c r="AD54" s="292"/>
      <c r="AH54" s="292"/>
      <c r="AJ54" s="296"/>
      <c r="AL54" s="297"/>
      <c r="AM54" s="291"/>
    </row>
    <row r="55" spans="1:39" s="293" customFormat="1" x14ac:dyDescent="0.25">
      <c r="A55" s="291"/>
      <c r="B55" s="291"/>
      <c r="C55" s="292"/>
      <c r="E55" s="292"/>
      <c r="F55" s="292"/>
      <c r="H55" s="292"/>
      <c r="L55" s="292"/>
      <c r="M55" s="294"/>
      <c r="N55" s="295"/>
      <c r="P55" s="295"/>
      <c r="R55" s="296"/>
      <c r="AD55" s="292"/>
      <c r="AH55" s="292"/>
      <c r="AJ55" s="296"/>
      <c r="AL55" s="297"/>
      <c r="AM55" s="291"/>
    </row>
    <row r="56" spans="1:39" s="293" customFormat="1" x14ac:dyDescent="0.25">
      <c r="A56" s="291"/>
      <c r="B56" s="291"/>
      <c r="C56" s="292"/>
      <c r="E56" s="292"/>
      <c r="F56" s="292"/>
      <c r="H56" s="292"/>
      <c r="L56" s="292"/>
      <c r="M56" s="294"/>
      <c r="N56" s="295"/>
      <c r="P56" s="295"/>
      <c r="R56" s="296"/>
      <c r="AD56" s="292"/>
      <c r="AH56" s="292"/>
      <c r="AJ56" s="296"/>
      <c r="AL56" s="297"/>
      <c r="AM56" s="291"/>
    </row>
    <row r="57" spans="1:39" s="293" customFormat="1" x14ac:dyDescent="0.25">
      <c r="A57" s="291"/>
      <c r="B57" s="291"/>
      <c r="C57" s="292"/>
      <c r="E57" s="292"/>
      <c r="F57" s="292"/>
      <c r="H57" s="292"/>
      <c r="L57" s="292"/>
      <c r="M57" s="294"/>
      <c r="N57" s="295"/>
      <c r="P57" s="295"/>
      <c r="R57" s="296"/>
      <c r="AD57" s="292"/>
      <c r="AH57" s="292"/>
      <c r="AJ57" s="296"/>
      <c r="AL57" s="297"/>
      <c r="AM57" s="291"/>
    </row>
    <row r="58" spans="1:39" s="293" customFormat="1" x14ac:dyDescent="0.25">
      <c r="A58" s="291"/>
      <c r="B58" s="291"/>
      <c r="C58" s="292"/>
      <c r="E58" s="292"/>
      <c r="F58" s="292"/>
      <c r="H58" s="292"/>
      <c r="L58" s="292"/>
      <c r="M58" s="294"/>
      <c r="N58" s="295"/>
      <c r="P58" s="295"/>
      <c r="R58" s="296"/>
      <c r="AD58" s="292"/>
      <c r="AH58" s="292"/>
      <c r="AJ58" s="296"/>
      <c r="AL58" s="297"/>
      <c r="AM58" s="291"/>
    </row>
    <row r="59" spans="1:39" s="293" customFormat="1" x14ac:dyDescent="0.25">
      <c r="A59" s="291"/>
      <c r="B59" s="291"/>
      <c r="C59" s="292"/>
      <c r="E59" s="292"/>
      <c r="F59" s="292"/>
      <c r="H59" s="292"/>
      <c r="L59" s="292"/>
      <c r="M59" s="294"/>
      <c r="N59" s="295"/>
      <c r="P59" s="295"/>
      <c r="R59" s="296"/>
      <c r="AD59" s="292"/>
      <c r="AH59" s="292"/>
      <c r="AJ59" s="296"/>
      <c r="AL59" s="297"/>
      <c r="AM59" s="291"/>
    </row>
    <row r="60" spans="1:39" s="293" customFormat="1" x14ac:dyDescent="0.25">
      <c r="A60" s="291"/>
      <c r="B60" s="291"/>
      <c r="C60" s="292"/>
      <c r="E60" s="292"/>
      <c r="F60" s="292"/>
      <c r="H60" s="292"/>
      <c r="L60" s="292"/>
      <c r="M60" s="294"/>
      <c r="N60" s="295"/>
      <c r="P60" s="295"/>
      <c r="R60" s="296"/>
      <c r="AD60" s="292"/>
      <c r="AH60" s="292"/>
      <c r="AJ60" s="296"/>
      <c r="AL60" s="297"/>
      <c r="AM60" s="291"/>
    </row>
    <row r="61" spans="1:39" s="293" customFormat="1" x14ac:dyDescent="0.25">
      <c r="A61" s="291"/>
      <c r="B61" s="291"/>
      <c r="C61" s="292"/>
      <c r="E61" s="292"/>
      <c r="F61" s="292"/>
      <c r="H61" s="292"/>
      <c r="L61" s="292"/>
      <c r="M61" s="294"/>
      <c r="N61" s="295"/>
      <c r="P61" s="295"/>
      <c r="R61" s="296"/>
      <c r="AD61" s="292"/>
      <c r="AH61" s="292"/>
      <c r="AJ61" s="296"/>
      <c r="AL61" s="297"/>
      <c r="AM61" s="291"/>
    </row>
    <row r="62" spans="1:39" s="293" customFormat="1" x14ac:dyDescent="0.25">
      <c r="A62" s="291"/>
      <c r="B62" s="291"/>
      <c r="C62" s="292"/>
      <c r="E62" s="292"/>
      <c r="F62" s="292"/>
      <c r="H62" s="292"/>
      <c r="L62" s="292"/>
      <c r="M62" s="294"/>
      <c r="N62" s="295"/>
      <c r="P62" s="295"/>
      <c r="R62" s="296"/>
      <c r="AD62" s="292"/>
      <c r="AH62" s="292"/>
      <c r="AJ62" s="296"/>
      <c r="AL62" s="297"/>
      <c r="AM62" s="291"/>
    </row>
    <row r="63" spans="1:39" s="293" customFormat="1" x14ac:dyDescent="0.25">
      <c r="A63" s="291"/>
      <c r="B63" s="291"/>
      <c r="C63" s="292"/>
      <c r="E63" s="292"/>
      <c r="F63" s="292"/>
      <c r="H63" s="292"/>
      <c r="L63" s="292"/>
      <c r="M63" s="294"/>
      <c r="N63" s="295"/>
      <c r="P63" s="295"/>
      <c r="R63" s="296"/>
      <c r="AD63" s="292"/>
      <c r="AH63" s="292"/>
      <c r="AJ63" s="296"/>
      <c r="AL63" s="297"/>
      <c r="AM63" s="291"/>
    </row>
    <row r="64" spans="1:39" s="293" customFormat="1" x14ac:dyDescent="0.25">
      <c r="A64" s="291"/>
      <c r="B64" s="291"/>
      <c r="C64" s="292"/>
      <c r="E64" s="292"/>
      <c r="F64" s="292"/>
      <c r="H64" s="292"/>
      <c r="L64" s="292"/>
      <c r="M64" s="294"/>
      <c r="N64" s="295"/>
      <c r="P64" s="295"/>
      <c r="R64" s="296"/>
      <c r="AD64" s="292"/>
      <c r="AH64" s="292"/>
      <c r="AJ64" s="296"/>
      <c r="AL64" s="297"/>
      <c r="AM64" s="291"/>
    </row>
    <row r="65" spans="1:39" s="293" customFormat="1" x14ac:dyDescent="0.25">
      <c r="A65" s="291"/>
      <c r="B65" s="291"/>
      <c r="C65" s="292"/>
      <c r="E65" s="292"/>
      <c r="F65" s="292"/>
      <c r="H65" s="292"/>
      <c r="L65" s="292"/>
      <c r="M65" s="294"/>
      <c r="N65" s="295"/>
      <c r="P65" s="295"/>
      <c r="R65" s="296"/>
      <c r="AD65" s="292"/>
      <c r="AH65" s="292"/>
      <c r="AJ65" s="296"/>
      <c r="AL65" s="297"/>
      <c r="AM65" s="291"/>
    </row>
    <row r="66" spans="1:39" s="293" customFormat="1" x14ac:dyDescent="0.25">
      <c r="A66" s="291"/>
      <c r="B66" s="291"/>
      <c r="C66" s="292"/>
      <c r="E66" s="292"/>
      <c r="F66" s="292"/>
      <c r="H66" s="292"/>
      <c r="L66" s="292"/>
      <c r="M66" s="294"/>
      <c r="N66" s="295"/>
      <c r="P66" s="295"/>
      <c r="R66" s="296"/>
      <c r="AD66" s="292"/>
      <c r="AH66" s="292"/>
      <c r="AJ66" s="296"/>
      <c r="AL66" s="297"/>
      <c r="AM66" s="291"/>
    </row>
    <row r="67" spans="1:39" s="293" customFormat="1" x14ac:dyDescent="0.25">
      <c r="A67" s="291"/>
      <c r="B67" s="291"/>
      <c r="C67" s="292"/>
      <c r="E67" s="292"/>
      <c r="F67" s="292"/>
      <c r="H67" s="292"/>
      <c r="L67" s="292"/>
      <c r="M67" s="294"/>
      <c r="N67" s="295"/>
      <c r="P67" s="295"/>
      <c r="R67" s="296"/>
      <c r="AD67" s="292"/>
      <c r="AH67" s="292"/>
      <c r="AJ67" s="296"/>
      <c r="AL67" s="297"/>
      <c r="AM67" s="291"/>
    </row>
    <row r="68" spans="1:39" s="293" customFormat="1" x14ac:dyDescent="0.25">
      <c r="A68" s="291"/>
      <c r="B68" s="291"/>
      <c r="C68" s="292"/>
      <c r="E68" s="292"/>
      <c r="F68" s="292"/>
      <c r="H68" s="292"/>
      <c r="L68" s="292"/>
      <c r="M68" s="294"/>
      <c r="N68" s="295"/>
      <c r="P68" s="295"/>
      <c r="R68" s="296"/>
      <c r="AD68" s="292"/>
      <c r="AH68" s="292"/>
      <c r="AJ68" s="296"/>
      <c r="AL68" s="297"/>
      <c r="AM68" s="291"/>
    </row>
    <row r="69" spans="1:39" s="293" customFormat="1" x14ac:dyDescent="0.25">
      <c r="A69" s="291"/>
      <c r="B69" s="291"/>
      <c r="C69" s="292"/>
      <c r="E69" s="292"/>
      <c r="F69" s="292"/>
      <c r="H69" s="292"/>
      <c r="L69" s="292"/>
      <c r="M69" s="294"/>
      <c r="N69" s="295"/>
      <c r="P69" s="295"/>
      <c r="R69" s="296"/>
      <c r="AD69" s="292"/>
      <c r="AH69" s="292"/>
      <c r="AJ69" s="296"/>
      <c r="AL69" s="297"/>
      <c r="AM69" s="291"/>
    </row>
    <row r="70" spans="1:39" s="293" customFormat="1" x14ac:dyDescent="0.25">
      <c r="A70" s="291"/>
      <c r="B70" s="291"/>
      <c r="C70" s="292"/>
      <c r="E70" s="292"/>
      <c r="F70" s="292"/>
      <c r="H70" s="292"/>
      <c r="L70" s="292"/>
      <c r="M70" s="294"/>
      <c r="N70" s="295"/>
      <c r="P70" s="295"/>
      <c r="R70" s="296"/>
      <c r="AD70" s="292"/>
      <c r="AH70" s="292"/>
      <c r="AJ70" s="296"/>
      <c r="AL70" s="297"/>
      <c r="AM70" s="291"/>
    </row>
    <row r="71" spans="1:39" s="293" customFormat="1" x14ac:dyDescent="0.25">
      <c r="A71" s="291"/>
      <c r="B71" s="291"/>
      <c r="C71" s="292"/>
      <c r="E71" s="292"/>
      <c r="F71" s="292"/>
      <c r="H71" s="292"/>
      <c r="L71" s="292"/>
      <c r="M71" s="294"/>
      <c r="N71" s="295"/>
      <c r="P71" s="295"/>
      <c r="R71" s="296"/>
      <c r="AD71" s="292"/>
      <c r="AH71" s="292"/>
      <c r="AJ71" s="296"/>
      <c r="AL71" s="297"/>
      <c r="AM71" s="291"/>
    </row>
    <row r="72" spans="1:39" s="293" customFormat="1" x14ac:dyDescent="0.25">
      <c r="A72" s="291"/>
      <c r="B72" s="291"/>
      <c r="C72" s="292"/>
      <c r="E72" s="292"/>
      <c r="F72" s="292"/>
      <c r="H72" s="292"/>
      <c r="L72" s="292"/>
      <c r="M72" s="294"/>
      <c r="N72" s="295"/>
      <c r="P72" s="295"/>
      <c r="R72" s="296"/>
      <c r="AD72" s="292"/>
      <c r="AH72" s="292"/>
      <c r="AJ72" s="296"/>
      <c r="AL72" s="297"/>
      <c r="AM72" s="291"/>
    </row>
    <row r="73" spans="1:39" s="293" customFormat="1" x14ac:dyDescent="0.25">
      <c r="A73" s="291"/>
      <c r="B73" s="291"/>
      <c r="C73" s="292"/>
      <c r="E73" s="292"/>
      <c r="F73" s="292"/>
      <c r="H73" s="292"/>
      <c r="L73" s="292"/>
      <c r="M73" s="294"/>
      <c r="N73" s="295"/>
      <c r="P73" s="295"/>
      <c r="R73" s="296"/>
      <c r="AD73" s="292"/>
      <c r="AH73" s="292"/>
      <c r="AJ73" s="296"/>
      <c r="AL73" s="297"/>
      <c r="AM73" s="291"/>
    </row>
    <row r="74" spans="1:39" s="293" customFormat="1" x14ac:dyDescent="0.25">
      <c r="A74" s="291"/>
      <c r="B74" s="291"/>
      <c r="C74" s="292"/>
      <c r="E74" s="292"/>
      <c r="F74" s="292"/>
      <c r="H74" s="292"/>
      <c r="L74" s="292"/>
      <c r="M74" s="294"/>
      <c r="N74" s="295"/>
      <c r="P74" s="295"/>
      <c r="R74" s="296"/>
      <c r="AD74" s="292"/>
      <c r="AH74" s="292"/>
      <c r="AJ74" s="296"/>
      <c r="AL74" s="297"/>
      <c r="AM74" s="291"/>
    </row>
    <row r="75" spans="1:39" s="293" customFormat="1" x14ac:dyDescent="0.25">
      <c r="A75" s="291"/>
      <c r="B75" s="291"/>
      <c r="C75" s="292"/>
      <c r="E75" s="292"/>
      <c r="F75" s="292"/>
      <c r="H75" s="292"/>
      <c r="L75" s="292"/>
      <c r="M75" s="294"/>
      <c r="N75" s="295"/>
      <c r="P75" s="295"/>
      <c r="R75" s="296"/>
      <c r="AD75" s="292"/>
      <c r="AH75" s="292"/>
      <c r="AJ75" s="296"/>
      <c r="AL75" s="297"/>
      <c r="AM75" s="291"/>
    </row>
    <row r="76" spans="1:39" s="293" customFormat="1" x14ac:dyDescent="0.25">
      <c r="A76" s="291"/>
      <c r="B76" s="291"/>
      <c r="C76" s="292"/>
      <c r="E76" s="292"/>
      <c r="F76" s="292"/>
      <c r="H76" s="292"/>
      <c r="L76" s="292"/>
      <c r="M76" s="294"/>
      <c r="N76" s="295"/>
      <c r="P76" s="295"/>
      <c r="R76" s="296"/>
      <c r="AD76" s="292"/>
      <c r="AH76" s="292"/>
      <c r="AJ76" s="296"/>
      <c r="AL76" s="297"/>
      <c r="AM76" s="291"/>
    </row>
    <row r="77" spans="1:39" s="293" customFormat="1" x14ac:dyDescent="0.25">
      <c r="A77" s="291"/>
      <c r="B77" s="291"/>
      <c r="C77" s="292"/>
      <c r="E77" s="292"/>
      <c r="F77" s="292"/>
      <c r="H77" s="292"/>
      <c r="L77" s="292"/>
      <c r="M77" s="294"/>
      <c r="N77" s="295"/>
      <c r="P77" s="295"/>
      <c r="R77" s="296"/>
      <c r="AD77" s="292"/>
      <c r="AH77" s="292"/>
      <c r="AJ77" s="296"/>
      <c r="AL77" s="297"/>
      <c r="AM77" s="291"/>
    </row>
    <row r="78" spans="1:39" s="293" customFormat="1" x14ac:dyDescent="0.25">
      <c r="A78" s="291"/>
      <c r="B78" s="291"/>
      <c r="C78" s="292"/>
      <c r="E78" s="292"/>
      <c r="F78" s="292"/>
      <c r="H78" s="292"/>
      <c r="L78" s="292"/>
      <c r="M78" s="294"/>
      <c r="N78" s="295"/>
      <c r="P78" s="295"/>
      <c r="R78" s="296"/>
      <c r="AD78" s="292"/>
      <c r="AH78" s="292"/>
      <c r="AJ78" s="296"/>
      <c r="AL78" s="297"/>
      <c r="AM78" s="291"/>
    </row>
    <row r="79" spans="1:39" s="293" customFormat="1" x14ac:dyDescent="0.25">
      <c r="A79" s="291"/>
      <c r="B79" s="291"/>
      <c r="C79" s="292"/>
      <c r="E79" s="292"/>
      <c r="F79" s="292"/>
      <c r="H79" s="292"/>
      <c r="L79" s="292"/>
      <c r="M79" s="294"/>
      <c r="N79" s="295"/>
      <c r="P79" s="295"/>
      <c r="R79" s="296"/>
      <c r="AD79" s="292"/>
      <c r="AH79" s="292"/>
      <c r="AJ79" s="296"/>
      <c r="AL79" s="297"/>
      <c r="AM79" s="291"/>
    </row>
    <row r="80" spans="1:39" s="293" customFormat="1" x14ac:dyDescent="0.25">
      <c r="A80" s="291"/>
      <c r="B80" s="291"/>
      <c r="C80" s="292"/>
      <c r="E80" s="292"/>
      <c r="F80" s="292"/>
      <c r="H80" s="292"/>
      <c r="L80" s="292"/>
      <c r="M80" s="294"/>
      <c r="N80" s="295"/>
      <c r="P80" s="295"/>
      <c r="R80" s="296"/>
      <c r="AD80" s="292"/>
      <c r="AH80" s="292"/>
      <c r="AJ80" s="296"/>
      <c r="AL80" s="297"/>
      <c r="AM80" s="291"/>
    </row>
    <row r="81" spans="1:39" s="293" customFormat="1" x14ac:dyDescent="0.25">
      <c r="A81" s="291"/>
      <c r="B81" s="291"/>
      <c r="C81" s="292"/>
      <c r="E81" s="292"/>
      <c r="F81" s="292"/>
      <c r="H81" s="292"/>
      <c r="L81" s="292"/>
      <c r="M81" s="294"/>
      <c r="N81" s="295"/>
      <c r="P81" s="295"/>
      <c r="R81" s="296"/>
      <c r="AD81" s="292"/>
      <c r="AH81" s="292"/>
      <c r="AJ81" s="296"/>
      <c r="AL81" s="297"/>
      <c r="AM81" s="291"/>
    </row>
    <row r="82" spans="1:39" s="293" customFormat="1" x14ac:dyDescent="0.25">
      <c r="A82" s="291"/>
      <c r="B82" s="291"/>
      <c r="C82" s="292"/>
      <c r="E82" s="292"/>
      <c r="F82" s="292"/>
      <c r="H82" s="292"/>
      <c r="L82" s="292"/>
      <c r="M82" s="294"/>
      <c r="N82" s="295"/>
      <c r="P82" s="295"/>
      <c r="R82" s="296"/>
      <c r="AD82" s="292"/>
      <c r="AH82" s="292"/>
      <c r="AJ82" s="296"/>
      <c r="AL82" s="297"/>
      <c r="AM82" s="291"/>
    </row>
    <row r="83" spans="1:39" s="293" customFormat="1" x14ac:dyDescent="0.25">
      <c r="A83" s="291"/>
      <c r="B83" s="291"/>
      <c r="C83" s="292"/>
      <c r="E83" s="292"/>
      <c r="F83" s="292"/>
      <c r="H83" s="292"/>
      <c r="L83" s="292"/>
      <c r="M83" s="294"/>
      <c r="N83" s="295"/>
      <c r="P83" s="295"/>
      <c r="R83" s="296"/>
      <c r="AD83" s="292"/>
      <c r="AH83" s="292"/>
      <c r="AJ83" s="296"/>
      <c r="AL83" s="297"/>
      <c r="AM83" s="291"/>
    </row>
    <row r="84" spans="1:39" s="293" customFormat="1" x14ac:dyDescent="0.25">
      <c r="A84" s="291"/>
      <c r="B84" s="291"/>
      <c r="C84" s="292"/>
      <c r="E84" s="292"/>
      <c r="F84" s="292"/>
      <c r="H84" s="292"/>
      <c r="L84" s="292"/>
      <c r="M84" s="294"/>
      <c r="N84" s="295"/>
      <c r="P84" s="295"/>
      <c r="R84" s="296"/>
      <c r="AD84" s="292"/>
      <c r="AH84" s="292"/>
      <c r="AJ84" s="296"/>
      <c r="AL84" s="297"/>
      <c r="AM84" s="291"/>
    </row>
    <row r="85" spans="1:39" s="293" customFormat="1" x14ac:dyDescent="0.25">
      <c r="A85" s="291"/>
      <c r="B85" s="291"/>
      <c r="C85" s="292"/>
      <c r="E85" s="292"/>
      <c r="F85" s="292"/>
      <c r="H85" s="292"/>
      <c r="L85" s="292"/>
      <c r="M85" s="294"/>
      <c r="N85" s="295"/>
      <c r="P85" s="295"/>
      <c r="R85" s="296"/>
      <c r="AD85" s="292"/>
      <c r="AH85" s="292"/>
      <c r="AJ85" s="296"/>
      <c r="AL85" s="297"/>
      <c r="AM85" s="291"/>
    </row>
    <row r="86" spans="1:39" s="293" customFormat="1" x14ac:dyDescent="0.25">
      <c r="A86" s="291"/>
      <c r="B86" s="291"/>
      <c r="C86" s="292"/>
      <c r="E86" s="292"/>
      <c r="F86" s="292"/>
      <c r="H86" s="292"/>
      <c r="L86" s="292"/>
      <c r="M86" s="294"/>
      <c r="N86" s="295"/>
      <c r="P86" s="295"/>
      <c r="R86" s="296"/>
      <c r="AD86" s="292"/>
      <c r="AH86" s="292"/>
      <c r="AJ86" s="296"/>
      <c r="AL86" s="297"/>
      <c r="AM86" s="291"/>
    </row>
    <row r="87" spans="1:39" s="293" customFormat="1" x14ac:dyDescent="0.25">
      <c r="A87" s="291"/>
      <c r="B87" s="291"/>
      <c r="C87" s="292"/>
      <c r="E87" s="292"/>
      <c r="F87" s="292"/>
      <c r="H87" s="292"/>
      <c r="L87" s="292"/>
      <c r="M87" s="294"/>
      <c r="N87" s="295"/>
      <c r="P87" s="295"/>
      <c r="R87" s="296"/>
      <c r="AD87" s="292"/>
      <c r="AH87" s="292"/>
      <c r="AJ87" s="296"/>
      <c r="AL87" s="297"/>
      <c r="AM87" s="291"/>
    </row>
    <row r="88" spans="1:39" s="293" customFormat="1" x14ac:dyDescent="0.25">
      <c r="A88" s="291"/>
      <c r="B88" s="291"/>
      <c r="C88" s="292"/>
      <c r="E88" s="292"/>
      <c r="F88" s="292"/>
      <c r="H88" s="292"/>
      <c r="L88" s="292"/>
      <c r="M88" s="294"/>
      <c r="N88" s="295"/>
      <c r="P88" s="295"/>
      <c r="R88" s="296"/>
      <c r="AD88" s="292"/>
      <c r="AH88" s="292"/>
      <c r="AJ88" s="296"/>
      <c r="AL88" s="297"/>
      <c r="AM88" s="291"/>
    </row>
    <row r="89" spans="1:39" s="293" customFormat="1" x14ac:dyDescent="0.25">
      <c r="A89" s="291"/>
      <c r="B89" s="291"/>
      <c r="C89" s="292"/>
      <c r="E89" s="292"/>
      <c r="F89" s="292"/>
      <c r="H89" s="292"/>
      <c r="L89" s="292"/>
      <c r="M89" s="294"/>
      <c r="N89" s="295"/>
      <c r="P89" s="295"/>
      <c r="R89" s="296"/>
      <c r="AD89" s="292"/>
      <c r="AH89" s="292"/>
      <c r="AJ89" s="296"/>
      <c r="AL89" s="297"/>
      <c r="AM89" s="291"/>
    </row>
    <row r="90" spans="1:39" s="293" customFormat="1" x14ac:dyDescent="0.25">
      <c r="A90" s="291"/>
      <c r="B90" s="291"/>
      <c r="C90" s="292"/>
      <c r="E90" s="292"/>
      <c r="F90" s="292"/>
      <c r="H90" s="292"/>
      <c r="L90" s="292"/>
      <c r="M90" s="294"/>
      <c r="N90" s="295"/>
      <c r="P90" s="295"/>
      <c r="R90" s="296"/>
      <c r="AD90" s="292"/>
      <c r="AH90" s="292"/>
      <c r="AJ90" s="296"/>
      <c r="AL90" s="297"/>
      <c r="AM90" s="291"/>
    </row>
    <row r="91" spans="1:39" s="293" customFormat="1" x14ac:dyDescent="0.25">
      <c r="A91" s="291"/>
      <c r="B91" s="291"/>
      <c r="C91" s="292"/>
      <c r="E91" s="292"/>
      <c r="F91" s="292"/>
      <c r="H91" s="292"/>
      <c r="L91" s="292"/>
      <c r="M91" s="294"/>
      <c r="N91" s="295"/>
      <c r="P91" s="295"/>
      <c r="R91" s="296"/>
      <c r="AD91" s="292"/>
      <c r="AH91" s="292"/>
      <c r="AJ91" s="296"/>
      <c r="AL91" s="297"/>
      <c r="AM91" s="291"/>
    </row>
    <row r="92" spans="1:39" s="293" customFormat="1" x14ac:dyDescent="0.25">
      <c r="A92" s="291"/>
      <c r="B92" s="291"/>
      <c r="C92" s="292"/>
      <c r="E92" s="292"/>
      <c r="F92" s="292"/>
      <c r="H92" s="292"/>
      <c r="L92" s="292"/>
      <c r="M92" s="294"/>
      <c r="N92" s="295"/>
      <c r="P92" s="295"/>
      <c r="R92" s="296"/>
      <c r="AD92" s="292"/>
      <c r="AH92" s="292"/>
      <c r="AJ92" s="296"/>
      <c r="AL92" s="297"/>
      <c r="AM92" s="291"/>
    </row>
    <row r="93" spans="1:39" s="293" customFormat="1" x14ac:dyDescent="0.25">
      <c r="A93" s="291"/>
      <c r="B93" s="291"/>
      <c r="C93" s="292"/>
      <c r="E93" s="292"/>
      <c r="F93" s="292"/>
      <c r="H93" s="292"/>
      <c r="L93" s="292"/>
      <c r="M93" s="294"/>
      <c r="N93" s="295"/>
      <c r="P93" s="295"/>
      <c r="R93" s="296"/>
      <c r="AD93" s="292"/>
      <c r="AH93" s="292"/>
      <c r="AJ93" s="296"/>
      <c r="AL93" s="297"/>
      <c r="AM93" s="291"/>
    </row>
    <row r="94" spans="1:39" s="293" customFormat="1" x14ac:dyDescent="0.25">
      <c r="A94" s="291"/>
      <c r="B94" s="291"/>
      <c r="C94" s="292"/>
      <c r="E94" s="292"/>
      <c r="F94" s="292"/>
      <c r="H94" s="292"/>
      <c r="L94" s="292"/>
      <c r="M94" s="294"/>
      <c r="N94" s="295"/>
      <c r="P94" s="295"/>
      <c r="R94" s="296"/>
      <c r="AD94" s="292"/>
      <c r="AH94" s="292"/>
      <c r="AJ94" s="296"/>
      <c r="AL94" s="297"/>
      <c r="AM94" s="291"/>
    </row>
    <row r="95" spans="1:39" s="293" customFormat="1" x14ac:dyDescent="0.25">
      <c r="A95" s="291"/>
      <c r="B95" s="291"/>
      <c r="C95" s="292"/>
      <c r="E95" s="292"/>
      <c r="F95" s="292"/>
      <c r="H95" s="292"/>
      <c r="L95" s="292"/>
      <c r="M95" s="294"/>
      <c r="N95" s="295"/>
      <c r="P95" s="295"/>
      <c r="R95" s="296"/>
      <c r="AD95" s="292"/>
      <c r="AH95" s="292"/>
      <c r="AJ95" s="296"/>
      <c r="AL95" s="297"/>
      <c r="AM95" s="291"/>
    </row>
    <row r="96" spans="1:39" s="293" customFormat="1" x14ac:dyDescent="0.25">
      <c r="A96" s="291"/>
      <c r="B96" s="291"/>
      <c r="C96" s="292"/>
      <c r="E96" s="292"/>
      <c r="F96" s="292"/>
      <c r="H96" s="292"/>
      <c r="L96" s="292"/>
      <c r="M96" s="294"/>
      <c r="N96" s="295"/>
      <c r="P96" s="295"/>
      <c r="R96" s="296"/>
      <c r="AD96" s="292"/>
      <c r="AH96" s="292"/>
      <c r="AJ96" s="296"/>
      <c r="AL96" s="297"/>
      <c r="AM96" s="291"/>
    </row>
    <row r="97" spans="1:39" s="293" customFormat="1" x14ac:dyDescent="0.25">
      <c r="A97" s="291"/>
      <c r="B97" s="291"/>
      <c r="C97" s="292"/>
      <c r="E97" s="292"/>
      <c r="F97" s="292"/>
      <c r="H97" s="292"/>
      <c r="L97" s="292"/>
      <c r="M97" s="294"/>
      <c r="N97" s="295"/>
      <c r="P97" s="295"/>
      <c r="R97" s="296"/>
      <c r="AD97" s="292"/>
      <c r="AH97" s="292"/>
      <c r="AJ97" s="296"/>
      <c r="AL97" s="297"/>
      <c r="AM97" s="291"/>
    </row>
    <row r="98" spans="1:39" s="293" customFormat="1" x14ac:dyDescent="0.25">
      <c r="A98" s="291"/>
      <c r="B98" s="291"/>
      <c r="C98" s="292"/>
      <c r="E98" s="292"/>
      <c r="F98" s="292"/>
      <c r="H98" s="292"/>
      <c r="L98" s="292"/>
      <c r="M98" s="294"/>
      <c r="N98" s="295"/>
      <c r="P98" s="295"/>
      <c r="R98" s="296"/>
      <c r="AD98" s="292"/>
      <c r="AH98" s="292"/>
      <c r="AJ98" s="296"/>
      <c r="AL98" s="297"/>
      <c r="AM98" s="291"/>
    </row>
    <row r="99" spans="1:39" s="293" customFormat="1" x14ac:dyDescent="0.25">
      <c r="A99" s="291"/>
      <c r="B99" s="291"/>
      <c r="C99" s="292"/>
      <c r="E99" s="292"/>
      <c r="F99" s="292"/>
      <c r="H99" s="292"/>
      <c r="L99" s="292"/>
      <c r="M99" s="294"/>
      <c r="N99" s="295"/>
      <c r="P99" s="295"/>
      <c r="R99" s="296"/>
      <c r="AD99" s="292"/>
      <c r="AH99" s="292"/>
      <c r="AJ99" s="296"/>
      <c r="AL99" s="297"/>
      <c r="AM99" s="291"/>
    </row>
    <row r="100" spans="1:39" s="293" customFormat="1" x14ac:dyDescent="0.25">
      <c r="A100" s="291"/>
      <c r="B100" s="291"/>
      <c r="C100" s="292"/>
      <c r="E100" s="292"/>
      <c r="F100" s="292"/>
      <c r="H100" s="292"/>
      <c r="L100" s="292"/>
      <c r="M100" s="294"/>
      <c r="N100" s="295"/>
      <c r="P100" s="295"/>
      <c r="R100" s="296"/>
      <c r="AD100" s="292"/>
      <c r="AH100" s="292"/>
      <c r="AJ100" s="296"/>
      <c r="AL100" s="297"/>
      <c r="AM100" s="291"/>
    </row>
    <row r="101" spans="1:39" s="293" customFormat="1" x14ac:dyDescent="0.25">
      <c r="A101" s="291"/>
      <c r="B101" s="291"/>
      <c r="C101" s="292"/>
      <c r="E101" s="292"/>
      <c r="F101" s="292"/>
      <c r="H101" s="292"/>
      <c r="L101" s="292"/>
      <c r="M101" s="294"/>
      <c r="N101" s="295"/>
      <c r="P101" s="295"/>
      <c r="R101" s="296"/>
      <c r="AD101" s="292"/>
      <c r="AH101" s="292"/>
      <c r="AJ101" s="296"/>
      <c r="AL101" s="297"/>
      <c r="AM101" s="291"/>
    </row>
    <row r="102" spans="1:39" s="293" customFormat="1" x14ac:dyDescent="0.25">
      <c r="A102" s="291"/>
      <c r="B102" s="291"/>
      <c r="C102" s="292"/>
      <c r="E102" s="292"/>
      <c r="F102" s="292"/>
      <c r="H102" s="292"/>
      <c r="L102" s="292"/>
      <c r="M102" s="294"/>
      <c r="N102" s="295"/>
      <c r="P102" s="295"/>
      <c r="R102" s="296"/>
      <c r="AD102" s="292"/>
      <c r="AH102" s="292"/>
      <c r="AJ102" s="296"/>
      <c r="AL102" s="297"/>
      <c r="AM102" s="291"/>
    </row>
    <row r="103" spans="1:39" s="293" customFormat="1" x14ac:dyDescent="0.25">
      <c r="A103" s="291"/>
      <c r="B103" s="291"/>
      <c r="C103" s="292"/>
      <c r="E103" s="292"/>
      <c r="F103" s="292"/>
      <c r="H103" s="292"/>
      <c r="L103" s="292"/>
      <c r="M103" s="294"/>
      <c r="N103" s="295"/>
      <c r="P103" s="295"/>
      <c r="R103" s="296"/>
      <c r="AD103" s="292"/>
      <c r="AH103" s="292"/>
      <c r="AJ103" s="296"/>
      <c r="AL103" s="297"/>
      <c r="AM103" s="291"/>
    </row>
    <row r="104" spans="1:39" s="293" customFormat="1" x14ac:dyDescent="0.25">
      <c r="A104" s="291"/>
      <c r="B104" s="291"/>
      <c r="C104" s="292"/>
      <c r="E104" s="292"/>
      <c r="F104" s="292"/>
      <c r="H104" s="292"/>
      <c r="L104" s="292"/>
      <c r="M104" s="294"/>
      <c r="N104" s="295"/>
      <c r="P104" s="295"/>
      <c r="R104" s="296"/>
      <c r="AD104" s="292"/>
      <c r="AH104" s="292"/>
      <c r="AJ104" s="296"/>
      <c r="AL104" s="297"/>
      <c r="AM104" s="291"/>
    </row>
    <row r="105" spans="1:39" s="293" customFormat="1" x14ac:dyDescent="0.25">
      <c r="A105" s="291"/>
      <c r="B105" s="291"/>
      <c r="C105" s="292"/>
      <c r="E105" s="292"/>
      <c r="F105" s="292"/>
      <c r="H105" s="292"/>
      <c r="L105" s="292"/>
      <c r="M105" s="294"/>
      <c r="N105" s="295"/>
      <c r="P105" s="295"/>
      <c r="R105" s="296"/>
      <c r="AD105" s="292"/>
      <c r="AH105" s="292"/>
      <c r="AJ105" s="296"/>
      <c r="AL105" s="297"/>
      <c r="AM105" s="291"/>
    </row>
    <row r="106" spans="1:39" s="293" customFormat="1" x14ac:dyDescent="0.25">
      <c r="A106" s="291"/>
      <c r="B106" s="291"/>
      <c r="C106" s="292"/>
      <c r="E106" s="292"/>
      <c r="F106" s="292"/>
      <c r="H106" s="292"/>
      <c r="L106" s="292"/>
      <c r="M106" s="294"/>
      <c r="N106" s="295"/>
      <c r="P106" s="295"/>
      <c r="R106" s="296"/>
      <c r="AD106" s="292"/>
      <c r="AH106" s="292"/>
      <c r="AJ106" s="296"/>
      <c r="AL106" s="297"/>
      <c r="AM106" s="291"/>
    </row>
    <row r="107" spans="1:39" s="293" customFormat="1" x14ac:dyDescent="0.25">
      <c r="A107" s="291"/>
      <c r="B107" s="291"/>
      <c r="C107" s="292"/>
      <c r="E107" s="292"/>
      <c r="F107" s="292"/>
      <c r="H107" s="292"/>
      <c r="L107" s="292"/>
      <c r="M107" s="294"/>
      <c r="N107" s="295"/>
      <c r="P107" s="295"/>
      <c r="R107" s="296"/>
      <c r="AD107" s="292"/>
      <c r="AH107" s="292"/>
      <c r="AJ107" s="296"/>
      <c r="AL107" s="297"/>
      <c r="AM107" s="291"/>
    </row>
    <row r="108" spans="1:39" s="293" customFormat="1" x14ac:dyDescent="0.25">
      <c r="A108" s="291"/>
      <c r="B108" s="291"/>
      <c r="C108" s="292"/>
      <c r="E108" s="292"/>
      <c r="F108" s="292"/>
      <c r="H108" s="292"/>
      <c r="L108" s="292"/>
      <c r="M108" s="294"/>
      <c r="N108" s="295"/>
      <c r="P108" s="295"/>
      <c r="R108" s="296"/>
      <c r="AD108" s="292"/>
      <c r="AH108" s="292"/>
      <c r="AJ108" s="296"/>
      <c r="AL108" s="297"/>
      <c r="AM108" s="291"/>
    </row>
    <row r="109" spans="1:39" s="293" customFormat="1" x14ac:dyDescent="0.25">
      <c r="A109" s="291"/>
      <c r="B109" s="291"/>
      <c r="C109" s="292"/>
      <c r="E109" s="292"/>
      <c r="F109" s="292"/>
      <c r="H109" s="292"/>
      <c r="L109" s="292"/>
      <c r="M109" s="294"/>
      <c r="N109" s="295"/>
      <c r="P109" s="295"/>
      <c r="R109" s="296"/>
      <c r="AD109" s="292"/>
      <c r="AH109" s="292"/>
      <c r="AJ109" s="296"/>
      <c r="AL109" s="297"/>
      <c r="AM109" s="291"/>
    </row>
    <row r="110" spans="1:39" s="293" customFormat="1" x14ac:dyDescent="0.25">
      <c r="A110" s="291"/>
      <c r="B110" s="291"/>
      <c r="C110" s="292"/>
      <c r="E110" s="292"/>
      <c r="F110" s="292"/>
      <c r="H110" s="292"/>
      <c r="L110" s="292"/>
      <c r="M110" s="294"/>
      <c r="N110" s="295"/>
      <c r="P110" s="295"/>
      <c r="R110" s="296"/>
      <c r="AD110" s="292"/>
      <c r="AH110" s="292"/>
      <c r="AJ110" s="296"/>
      <c r="AL110" s="297"/>
      <c r="AM110" s="291"/>
    </row>
    <row r="111" spans="1:39" s="293" customFormat="1" x14ac:dyDescent="0.25">
      <c r="A111" s="291"/>
      <c r="B111" s="291"/>
      <c r="C111" s="292"/>
      <c r="E111" s="292"/>
      <c r="F111" s="292"/>
      <c r="H111" s="292"/>
      <c r="L111" s="292"/>
      <c r="M111" s="294"/>
      <c r="N111" s="295"/>
      <c r="P111" s="295"/>
      <c r="R111" s="296"/>
      <c r="AD111" s="292"/>
      <c r="AH111" s="292"/>
      <c r="AJ111" s="296"/>
      <c r="AL111" s="297"/>
      <c r="AM111" s="291"/>
    </row>
    <row r="112" spans="1:39" s="293" customFormat="1" x14ac:dyDescent="0.25">
      <c r="A112" s="291"/>
      <c r="B112" s="291"/>
      <c r="C112" s="292"/>
      <c r="E112" s="292"/>
      <c r="F112" s="292"/>
      <c r="H112" s="292"/>
      <c r="L112" s="292"/>
      <c r="M112" s="294"/>
      <c r="N112" s="295"/>
      <c r="P112" s="295"/>
      <c r="R112" s="296"/>
      <c r="AD112" s="292"/>
      <c r="AH112" s="292"/>
      <c r="AJ112" s="296"/>
      <c r="AL112" s="297"/>
      <c r="AM112" s="291"/>
    </row>
    <row r="113" spans="1:39" s="293" customFormat="1" x14ac:dyDescent="0.25">
      <c r="A113" s="291"/>
      <c r="B113" s="291"/>
      <c r="C113" s="292"/>
      <c r="E113" s="292"/>
      <c r="F113" s="292"/>
      <c r="H113" s="292"/>
      <c r="L113" s="292"/>
      <c r="M113" s="294"/>
      <c r="N113" s="295"/>
      <c r="P113" s="295"/>
      <c r="R113" s="296"/>
      <c r="AD113" s="292"/>
      <c r="AH113" s="292"/>
      <c r="AJ113" s="296"/>
      <c r="AL113" s="297"/>
      <c r="AM113" s="291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40" location="'Electricity Residences Jan 2021'!A1" display="'Electricity Residences Jan 2021'!A1"/>
    <hyperlink ref="R40" location="'Electricity Residences Jan 2021'!A1" display="'Electricity Residences Jan 2021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39" sqref="C39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8" t="s">
        <v>28</v>
      </c>
    </row>
    <row r="2" spans="1:3" ht="18.75" x14ac:dyDescent="0.3">
      <c r="A2" s="268">
        <v>44197</v>
      </c>
      <c r="B2" s="269"/>
      <c r="C2" s="269"/>
    </row>
    <row r="3" spans="1:3" x14ac:dyDescent="0.25">
      <c r="A3" s="271" t="s">
        <v>1</v>
      </c>
      <c r="B3" s="270" t="s">
        <v>2</v>
      </c>
      <c r="C3" s="270" t="s">
        <v>3</v>
      </c>
    </row>
    <row r="4" spans="1:3" x14ac:dyDescent="0.25">
      <c r="A4" s="271"/>
      <c r="B4" s="270"/>
      <c r="C4" s="270"/>
    </row>
    <row r="5" spans="1:3" x14ac:dyDescent="0.25">
      <c r="A5" s="271"/>
      <c r="B5" s="270"/>
      <c r="C5" s="270"/>
    </row>
    <row r="6" spans="1:3" x14ac:dyDescent="0.25">
      <c r="A6" s="2">
        <v>1</v>
      </c>
      <c r="B6" s="2">
        <v>42</v>
      </c>
      <c r="C6" s="2">
        <v>423</v>
      </c>
    </row>
    <row r="7" spans="1:3" x14ac:dyDescent="0.25">
      <c r="A7" s="2">
        <v>2</v>
      </c>
      <c r="B7" s="2">
        <v>37</v>
      </c>
      <c r="C7" s="2">
        <v>341</v>
      </c>
    </row>
    <row r="8" spans="1:3" x14ac:dyDescent="0.25">
      <c r="A8" s="2">
        <f>A7+1</f>
        <v>3</v>
      </c>
      <c r="B8" s="2">
        <v>29</v>
      </c>
      <c r="C8" s="2">
        <v>252</v>
      </c>
    </row>
    <row r="9" spans="1:3" x14ac:dyDescent="0.25">
      <c r="A9" s="2">
        <f>A8+1</f>
        <v>4</v>
      </c>
      <c r="B9" s="2">
        <v>23</v>
      </c>
      <c r="C9" s="2">
        <v>199</v>
      </c>
    </row>
    <row r="10" spans="1:3" x14ac:dyDescent="0.25">
      <c r="A10" s="2">
        <f t="shared" ref="A10:A36" si="0">A9+1</f>
        <v>5</v>
      </c>
      <c r="B10" s="2">
        <v>18</v>
      </c>
      <c r="C10" s="2">
        <v>137</v>
      </c>
    </row>
    <row r="11" spans="1:3" x14ac:dyDescent="0.25">
      <c r="A11" s="2">
        <f t="shared" si="0"/>
        <v>6</v>
      </c>
      <c r="B11" s="2">
        <v>14</v>
      </c>
      <c r="C11" s="2">
        <v>168</v>
      </c>
    </row>
    <row r="12" spans="1:3" x14ac:dyDescent="0.25">
      <c r="A12" s="2">
        <f t="shared" si="0"/>
        <v>7</v>
      </c>
      <c r="B12" s="2">
        <v>14</v>
      </c>
      <c r="C12" s="2">
        <v>131</v>
      </c>
    </row>
    <row r="13" spans="1:3" x14ac:dyDescent="0.25">
      <c r="A13" s="2">
        <f t="shared" si="0"/>
        <v>8</v>
      </c>
      <c r="B13" s="2">
        <v>13</v>
      </c>
      <c r="C13" s="2">
        <v>125</v>
      </c>
    </row>
    <row r="14" spans="1:3" x14ac:dyDescent="0.25">
      <c r="A14" s="2">
        <f t="shared" si="0"/>
        <v>9</v>
      </c>
      <c r="B14" s="2">
        <v>11</v>
      </c>
      <c r="C14" s="2">
        <v>146</v>
      </c>
    </row>
    <row r="15" spans="1:3" x14ac:dyDescent="0.25">
      <c r="A15" s="2">
        <f t="shared" si="0"/>
        <v>10</v>
      </c>
      <c r="B15" s="2">
        <v>10</v>
      </c>
      <c r="C15" s="2">
        <v>116</v>
      </c>
    </row>
    <row r="16" spans="1:3" x14ac:dyDescent="0.25">
      <c r="A16" s="2">
        <f t="shared" si="0"/>
        <v>11</v>
      </c>
      <c r="B16" s="2">
        <v>11</v>
      </c>
      <c r="C16" s="2">
        <v>79</v>
      </c>
    </row>
    <row r="17" spans="1:3" x14ac:dyDescent="0.25">
      <c r="A17" s="2">
        <f t="shared" si="0"/>
        <v>12</v>
      </c>
      <c r="B17" s="2">
        <v>10</v>
      </c>
      <c r="C17" s="2">
        <v>85</v>
      </c>
    </row>
    <row r="18" spans="1:3" x14ac:dyDescent="0.25">
      <c r="A18" s="2">
        <f t="shared" si="0"/>
        <v>13</v>
      </c>
      <c r="B18" s="2">
        <v>10</v>
      </c>
      <c r="C18" s="2">
        <v>81</v>
      </c>
    </row>
    <row r="19" spans="1:3" x14ac:dyDescent="0.25">
      <c r="A19" s="2">
        <f t="shared" si="0"/>
        <v>14</v>
      </c>
      <c r="B19" s="2">
        <v>9</v>
      </c>
      <c r="C19" s="2">
        <v>82</v>
      </c>
    </row>
    <row r="20" spans="1:3" x14ac:dyDescent="0.25">
      <c r="A20" s="2">
        <f t="shared" si="0"/>
        <v>15</v>
      </c>
      <c r="B20" s="2">
        <v>9</v>
      </c>
      <c r="C20" s="2">
        <v>52</v>
      </c>
    </row>
    <row r="21" spans="1:3" x14ac:dyDescent="0.25">
      <c r="A21" s="2">
        <f t="shared" si="0"/>
        <v>16</v>
      </c>
      <c r="B21" s="2">
        <v>8</v>
      </c>
      <c r="C21" s="2">
        <v>68</v>
      </c>
    </row>
    <row r="22" spans="1:3" x14ac:dyDescent="0.25">
      <c r="A22" s="2">
        <f t="shared" si="0"/>
        <v>17</v>
      </c>
      <c r="B22" s="2">
        <v>5</v>
      </c>
      <c r="C22" s="2">
        <v>83</v>
      </c>
    </row>
    <row r="23" spans="1:3" x14ac:dyDescent="0.25">
      <c r="A23" s="2">
        <f t="shared" si="0"/>
        <v>18</v>
      </c>
      <c r="B23" s="2">
        <v>5</v>
      </c>
      <c r="C23" s="2">
        <v>63</v>
      </c>
    </row>
    <row r="24" spans="1:3" x14ac:dyDescent="0.25">
      <c r="A24" s="2">
        <f t="shared" si="0"/>
        <v>19</v>
      </c>
      <c r="B24" s="2">
        <v>4</v>
      </c>
      <c r="C24" s="2">
        <v>26</v>
      </c>
    </row>
    <row r="25" spans="1:3" x14ac:dyDescent="0.25">
      <c r="A25" s="2">
        <f t="shared" si="0"/>
        <v>20</v>
      </c>
      <c r="B25" s="2" t="s">
        <v>54</v>
      </c>
      <c r="C25" s="2">
        <v>24</v>
      </c>
    </row>
    <row r="26" spans="1:3" x14ac:dyDescent="0.25">
      <c r="A26" s="2">
        <f t="shared" si="0"/>
        <v>21</v>
      </c>
      <c r="B26" s="2">
        <v>2</v>
      </c>
      <c r="C26" s="2">
        <v>28</v>
      </c>
    </row>
    <row r="27" spans="1:3" x14ac:dyDescent="0.25">
      <c r="A27" s="2">
        <f t="shared" si="0"/>
        <v>22</v>
      </c>
      <c r="B27" s="2">
        <v>2</v>
      </c>
      <c r="C27" s="2">
        <v>28</v>
      </c>
    </row>
    <row r="28" spans="1:3" x14ac:dyDescent="0.25">
      <c r="A28" s="2">
        <f t="shared" si="0"/>
        <v>23</v>
      </c>
      <c r="B28" s="2" t="s">
        <v>54</v>
      </c>
      <c r="C28" s="2">
        <v>28</v>
      </c>
    </row>
    <row r="29" spans="1:3" x14ac:dyDescent="0.25">
      <c r="A29" s="2">
        <f t="shared" si="0"/>
        <v>24</v>
      </c>
      <c r="B29" s="2">
        <v>1</v>
      </c>
      <c r="C29" s="2">
        <v>43</v>
      </c>
    </row>
    <row r="30" spans="1:3" x14ac:dyDescent="0.25">
      <c r="A30" s="2">
        <f t="shared" si="0"/>
        <v>25</v>
      </c>
      <c r="B30" s="2">
        <v>3</v>
      </c>
      <c r="C30" s="2">
        <v>25</v>
      </c>
    </row>
    <row r="31" spans="1:3" x14ac:dyDescent="0.25">
      <c r="A31" s="2">
        <f t="shared" si="0"/>
        <v>26</v>
      </c>
      <c r="B31" s="2">
        <v>3</v>
      </c>
      <c r="C31" s="2">
        <v>47</v>
      </c>
    </row>
    <row r="32" spans="1:3" x14ac:dyDescent="0.25">
      <c r="A32" s="2">
        <f t="shared" si="0"/>
        <v>27</v>
      </c>
      <c r="B32" s="2">
        <v>3</v>
      </c>
      <c r="C32" s="2">
        <v>26</v>
      </c>
    </row>
    <row r="33" spans="1:3" x14ac:dyDescent="0.25">
      <c r="A33" s="2">
        <f t="shared" si="0"/>
        <v>28</v>
      </c>
      <c r="B33" s="2">
        <v>3</v>
      </c>
      <c r="C33" s="2">
        <v>33</v>
      </c>
    </row>
    <row r="34" spans="1:3" x14ac:dyDescent="0.25">
      <c r="A34" s="2">
        <f t="shared" si="0"/>
        <v>29</v>
      </c>
      <c r="B34" s="2">
        <v>5</v>
      </c>
      <c r="C34" s="2">
        <v>12</v>
      </c>
    </row>
    <row r="35" spans="1:3" x14ac:dyDescent="0.25">
      <c r="A35" s="2">
        <f t="shared" si="0"/>
        <v>30</v>
      </c>
      <c r="B35" s="2">
        <v>5</v>
      </c>
      <c r="C35" s="2">
        <v>56</v>
      </c>
    </row>
    <row r="36" spans="1:3" x14ac:dyDescent="0.25">
      <c r="A36" s="2">
        <f t="shared" si="0"/>
        <v>31</v>
      </c>
      <c r="B36" s="2">
        <v>4</v>
      </c>
      <c r="C36" s="2">
        <v>115</v>
      </c>
    </row>
    <row r="38" spans="1:3" x14ac:dyDescent="0.25">
      <c r="B38" s="6">
        <f>SUM(B6:B36)</f>
        <v>313</v>
      </c>
      <c r="C38" s="6">
        <f>SUM(C6:C36)</f>
        <v>3122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28"/>
  <sheetViews>
    <sheetView workbookViewId="0">
      <selection activeCell="I15" sqref="I15"/>
    </sheetView>
  </sheetViews>
  <sheetFormatPr defaultRowHeight="15" x14ac:dyDescent="0.25"/>
  <cols>
    <col min="1" max="1" width="14.7109375" bestFit="1" customWidth="1"/>
    <col min="2" max="2" width="30.140625" bestFit="1" customWidth="1"/>
    <col min="3" max="3" width="15.28515625" bestFit="1" customWidth="1"/>
  </cols>
  <sheetData>
    <row r="4" spans="1:3" ht="15.75" thickBot="1" x14ac:dyDescent="0.3"/>
    <row r="5" spans="1:3" x14ac:dyDescent="0.25">
      <c r="A5" s="272" t="s">
        <v>55</v>
      </c>
      <c r="B5" s="273"/>
      <c r="C5" s="220" t="s">
        <v>79</v>
      </c>
    </row>
    <row r="6" spans="1:3" x14ac:dyDescent="0.25">
      <c r="A6" s="221" t="s">
        <v>56</v>
      </c>
      <c r="B6" s="2" t="s">
        <v>57</v>
      </c>
      <c r="C6" s="222">
        <v>1969</v>
      </c>
    </row>
    <row r="7" spans="1:3" x14ac:dyDescent="0.25">
      <c r="A7" s="221"/>
      <c r="B7" s="2" t="s">
        <v>58</v>
      </c>
      <c r="C7" s="223">
        <v>2986845</v>
      </c>
    </row>
    <row r="8" spans="1:3" x14ac:dyDescent="0.25">
      <c r="A8" s="224" t="s">
        <v>59</v>
      </c>
      <c r="B8" s="2" t="s">
        <v>60</v>
      </c>
      <c r="C8" s="222">
        <v>4524</v>
      </c>
    </row>
    <row r="9" spans="1:3" x14ac:dyDescent="0.25">
      <c r="A9" s="224"/>
      <c r="B9" s="2" t="s">
        <v>58</v>
      </c>
      <c r="C9" s="223">
        <v>7516196</v>
      </c>
    </row>
    <row r="10" spans="1:3" x14ac:dyDescent="0.25">
      <c r="A10" s="224" t="s">
        <v>61</v>
      </c>
      <c r="B10" s="2" t="s">
        <v>62</v>
      </c>
      <c r="C10" s="222">
        <v>1443</v>
      </c>
    </row>
    <row r="11" spans="1:3" x14ac:dyDescent="0.25">
      <c r="A11" s="224"/>
      <c r="B11" s="2" t="s">
        <v>58</v>
      </c>
      <c r="C11" s="223">
        <v>3522178</v>
      </c>
    </row>
    <row r="12" spans="1:3" x14ac:dyDescent="0.25">
      <c r="A12" s="224" t="s">
        <v>63</v>
      </c>
      <c r="B12" s="2" t="s">
        <v>64</v>
      </c>
      <c r="C12" s="222">
        <v>7475</v>
      </c>
    </row>
    <row r="13" spans="1:3" x14ac:dyDescent="0.25">
      <c r="A13" s="224"/>
      <c r="B13" s="2" t="s">
        <v>58</v>
      </c>
      <c r="C13" s="223">
        <v>12419003</v>
      </c>
    </row>
    <row r="14" spans="1:3" x14ac:dyDescent="0.25">
      <c r="A14" s="224" t="s">
        <v>65</v>
      </c>
      <c r="B14" s="2" t="s">
        <v>66</v>
      </c>
      <c r="C14" s="222">
        <v>7146</v>
      </c>
    </row>
    <row r="15" spans="1:3" x14ac:dyDescent="0.25">
      <c r="A15" s="224"/>
      <c r="B15" s="2" t="s">
        <v>58</v>
      </c>
      <c r="C15" s="223">
        <v>11872400</v>
      </c>
    </row>
    <row r="16" spans="1:3" x14ac:dyDescent="0.25">
      <c r="A16" s="224" t="s">
        <v>67</v>
      </c>
      <c r="B16" s="2" t="s">
        <v>68</v>
      </c>
      <c r="C16" s="222">
        <v>4760</v>
      </c>
    </row>
    <row r="17" spans="1:3" x14ac:dyDescent="0.25">
      <c r="A17" s="224"/>
      <c r="B17" s="2" t="s">
        <v>58</v>
      </c>
      <c r="C17" s="223">
        <v>7908288</v>
      </c>
    </row>
    <row r="18" spans="1:3" x14ac:dyDescent="0.25">
      <c r="A18" s="224" t="s">
        <v>69</v>
      </c>
      <c r="B18" s="2" t="s">
        <v>70</v>
      </c>
      <c r="C18" s="222">
        <v>3585</v>
      </c>
    </row>
    <row r="19" spans="1:3" x14ac:dyDescent="0.25">
      <c r="A19" s="224"/>
      <c r="B19" s="2" t="s">
        <v>58</v>
      </c>
      <c r="C19" s="223">
        <v>5956138</v>
      </c>
    </row>
    <row r="20" spans="1:3" x14ac:dyDescent="0.25">
      <c r="A20" s="224" t="s">
        <v>71</v>
      </c>
      <c r="B20" s="2" t="s">
        <v>72</v>
      </c>
      <c r="C20" s="222">
        <v>2731</v>
      </c>
    </row>
    <row r="21" spans="1:3" x14ac:dyDescent="0.25">
      <c r="A21" s="224"/>
      <c r="B21" s="2" t="s">
        <v>58</v>
      </c>
      <c r="C21" s="223">
        <v>4537298</v>
      </c>
    </row>
    <row r="22" spans="1:3" x14ac:dyDescent="0.25">
      <c r="A22" s="224" t="s">
        <v>73</v>
      </c>
      <c r="B22" s="2" t="s">
        <v>74</v>
      </c>
      <c r="C22" s="222">
        <v>5221</v>
      </c>
    </row>
    <row r="23" spans="1:3" x14ac:dyDescent="0.25">
      <c r="A23" s="224"/>
      <c r="B23" s="2" t="s">
        <v>58</v>
      </c>
      <c r="C23" s="223">
        <v>8674196</v>
      </c>
    </row>
    <row r="24" spans="1:3" x14ac:dyDescent="0.25">
      <c r="A24" s="224" t="s">
        <v>75</v>
      </c>
      <c r="B24" s="2" t="s">
        <v>76</v>
      </c>
      <c r="C24" s="222">
        <v>2649</v>
      </c>
    </row>
    <row r="25" spans="1:3" x14ac:dyDescent="0.25">
      <c r="A25" s="225"/>
      <c r="B25" s="2" t="s">
        <v>58</v>
      </c>
      <c r="C25" s="223">
        <v>4401062</v>
      </c>
    </row>
    <row r="26" spans="1:3" ht="15.75" thickBot="1" x14ac:dyDescent="0.3">
      <c r="A26" s="226"/>
      <c r="B26" s="98"/>
      <c r="C26" s="108"/>
    </row>
    <row r="27" spans="1:3" x14ac:dyDescent="0.25">
      <c r="A27" s="274" t="s">
        <v>77</v>
      </c>
      <c r="B27" s="275"/>
      <c r="C27" s="227">
        <f>C6+C8+C10+C12+C14+C16+C18+C20+C22+C24</f>
        <v>41503</v>
      </c>
    </row>
    <row r="28" spans="1:3" ht="15.75" thickBot="1" x14ac:dyDescent="0.3">
      <c r="A28" s="276" t="s">
        <v>78</v>
      </c>
      <c r="B28" s="277"/>
      <c r="C28" s="228">
        <f>C7+C9+C11+C13+C15+C17+C19+C21+C23+C25</f>
        <v>69793604</v>
      </c>
    </row>
  </sheetData>
  <mergeCells count="3">
    <mergeCell ref="A5:B5"/>
    <mergeCell ref="A27:B27"/>
    <mergeCell ref="A28:B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d2f2222-2bff-489f-89bb-9539c67e7b9c"/>
    <ds:schemaRef ds:uri="http://purl.org/dc/terms/"/>
    <ds:schemaRef ds:uri="http://schemas.openxmlformats.org/package/2006/metadata/core-properties"/>
    <ds:schemaRef ds:uri="77842aba-bda6-4832-96cd-e75cb532429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January 2021</vt:lpstr>
      <vt:lpstr>RNs &amp; Covers January 2021</vt:lpstr>
      <vt:lpstr>Electricity Residences Jan 2021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2021-02-08T12:13:23Z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