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-120" yWindow="0" windowWidth="20730" windowHeight="11040" activeTab="2"/>
  </bookViews>
  <sheets>
    <sheet name="TOTAL" sheetId="4" r:id="rId1"/>
    <sheet name="Electricity" sheetId="1" r:id="rId2"/>
    <sheet name="Water" sheetId="3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40" i="3" l="1"/>
  <c r="K33" i="4"/>
  <c r="J33" i="4"/>
  <c r="I33" i="4"/>
  <c r="I38" i="1" l="1"/>
  <c r="B38" i="1"/>
  <c r="C38" i="1"/>
  <c r="D38" i="1"/>
  <c r="I39" i="1"/>
  <c r="H37" i="1"/>
  <c r="G37" i="1"/>
  <c r="I37" i="1" s="1"/>
  <c r="F37" i="1"/>
  <c r="E37" i="1"/>
  <c r="J37" i="1" s="1"/>
  <c r="H36" i="1"/>
  <c r="G36" i="1"/>
  <c r="I36" i="1" s="1"/>
  <c r="F36" i="1"/>
  <c r="E36" i="1"/>
  <c r="J36" i="1" s="1"/>
  <c r="H35" i="1"/>
  <c r="G35" i="1"/>
  <c r="I35" i="1" s="1"/>
  <c r="F35" i="1"/>
  <c r="E35" i="1"/>
  <c r="J35" i="1" s="1"/>
  <c r="H34" i="1"/>
  <c r="G34" i="1"/>
  <c r="I34" i="1" s="1"/>
  <c r="F34" i="1"/>
  <c r="E34" i="1"/>
  <c r="J34" i="1" s="1"/>
  <c r="H33" i="1"/>
  <c r="G33" i="1"/>
  <c r="I33" i="1" s="1"/>
  <c r="F33" i="1"/>
  <c r="E33" i="1"/>
  <c r="J33" i="1" s="1"/>
  <c r="H32" i="1"/>
  <c r="G32" i="1"/>
  <c r="I32" i="1" s="1"/>
  <c r="F32" i="1"/>
  <c r="E32" i="1"/>
  <c r="J32" i="1" s="1"/>
  <c r="H31" i="1"/>
  <c r="G31" i="1"/>
  <c r="I31" i="1" s="1"/>
  <c r="F31" i="1"/>
  <c r="E31" i="1"/>
  <c r="J31" i="1" s="1"/>
  <c r="H30" i="1"/>
  <c r="G30" i="1"/>
  <c r="I30" i="1" s="1"/>
  <c r="F30" i="1"/>
  <c r="E30" i="1"/>
  <c r="J30" i="1" s="1"/>
  <c r="H29" i="1"/>
  <c r="G29" i="1"/>
  <c r="I29" i="1" s="1"/>
  <c r="F29" i="1"/>
  <c r="E29" i="1"/>
  <c r="J29" i="1" s="1"/>
  <c r="H28" i="1"/>
  <c r="G28" i="1"/>
  <c r="I28" i="1" s="1"/>
  <c r="F28" i="1"/>
  <c r="E28" i="1"/>
  <c r="J28" i="1" s="1"/>
  <c r="H27" i="1"/>
  <c r="G27" i="1"/>
  <c r="I27" i="1" s="1"/>
  <c r="F27" i="1"/>
  <c r="E27" i="1"/>
  <c r="J27" i="1" s="1"/>
  <c r="H26" i="1"/>
  <c r="G26" i="1"/>
  <c r="I26" i="1" s="1"/>
  <c r="F26" i="1"/>
  <c r="E26" i="1"/>
  <c r="J26" i="1" s="1"/>
  <c r="H25" i="1"/>
  <c r="G25" i="1"/>
  <c r="F25" i="1"/>
  <c r="I25" i="1" s="1"/>
  <c r="E25" i="1"/>
  <c r="J25" i="1" s="1"/>
  <c r="H24" i="1"/>
  <c r="G24" i="1"/>
  <c r="F24" i="1"/>
  <c r="E24" i="1"/>
  <c r="J24" i="1" s="1"/>
  <c r="H23" i="1"/>
  <c r="G23" i="1"/>
  <c r="F23" i="1"/>
  <c r="E23" i="1"/>
  <c r="J23" i="1" s="1"/>
  <c r="H22" i="1"/>
  <c r="G22" i="1"/>
  <c r="F22" i="1"/>
  <c r="E22" i="1"/>
  <c r="J22" i="1" s="1"/>
  <c r="H21" i="1"/>
  <c r="G21" i="1"/>
  <c r="I21" i="1" s="1"/>
  <c r="F21" i="1"/>
  <c r="E21" i="1"/>
  <c r="J21" i="1" s="1"/>
  <c r="H20" i="1"/>
  <c r="G20" i="1"/>
  <c r="I20" i="1" s="1"/>
  <c r="F20" i="1"/>
  <c r="E20" i="1"/>
  <c r="J20" i="1" s="1"/>
  <c r="H19" i="1"/>
  <c r="G19" i="1"/>
  <c r="I19" i="1" s="1"/>
  <c r="F19" i="1"/>
  <c r="E19" i="1"/>
  <c r="J19" i="1" s="1"/>
  <c r="H18" i="1"/>
  <c r="G18" i="1"/>
  <c r="I18" i="1" s="1"/>
  <c r="F18" i="1"/>
  <c r="E18" i="1"/>
  <c r="J18" i="1" s="1"/>
  <c r="H17" i="1"/>
  <c r="G17" i="1"/>
  <c r="F17" i="1"/>
  <c r="I17" i="1" s="1"/>
  <c r="E17" i="1"/>
  <c r="J17" i="1" s="1"/>
  <c r="H16" i="1"/>
  <c r="G16" i="1"/>
  <c r="F16" i="1"/>
  <c r="E16" i="1"/>
  <c r="J16" i="1" s="1"/>
  <c r="H15" i="1"/>
  <c r="G15" i="1"/>
  <c r="I15" i="1" s="1"/>
  <c r="F15" i="1"/>
  <c r="E15" i="1"/>
  <c r="J15" i="1" s="1"/>
  <c r="H14" i="1"/>
  <c r="G14" i="1"/>
  <c r="I14" i="1" s="1"/>
  <c r="F14" i="1"/>
  <c r="E14" i="1"/>
  <c r="J14" i="1" s="1"/>
  <c r="H13" i="1"/>
  <c r="G13" i="1"/>
  <c r="I13" i="1" s="1"/>
  <c r="F13" i="1"/>
  <c r="E13" i="1"/>
  <c r="J13" i="1" s="1"/>
  <c r="H12" i="1"/>
  <c r="G12" i="1"/>
  <c r="I12" i="1" s="1"/>
  <c r="F12" i="1"/>
  <c r="E12" i="1"/>
  <c r="J12" i="1" s="1"/>
  <c r="H11" i="1"/>
  <c r="G11" i="1"/>
  <c r="I11" i="1" s="1"/>
  <c r="F11" i="1"/>
  <c r="E11" i="1"/>
  <c r="J11" i="1" s="1"/>
  <c r="H10" i="1"/>
  <c r="G10" i="1"/>
  <c r="I10" i="1" s="1"/>
  <c r="F10" i="1"/>
  <c r="E10" i="1"/>
  <c r="J10" i="1" s="1"/>
  <c r="H9" i="1"/>
  <c r="G9" i="1"/>
  <c r="I9" i="1" s="1"/>
  <c r="F9" i="1"/>
  <c r="E9" i="1"/>
  <c r="J9" i="1" s="1"/>
  <c r="H8" i="1"/>
  <c r="G8" i="1"/>
  <c r="I8" i="1" s="1"/>
  <c r="F8" i="1"/>
  <c r="E8" i="1"/>
  <c r="J8" i="1" s="1"/>
  <c r="H7" i="1"/>
  <c r="H38" i="1" s="1"/>
  <c r="G7" i="1"/>
  <c r="G38" i="1" s="1"/>
  <c r="F7" i="1"/>
  <c r="F38" i="1" s="1"/>
  <c r="E7" i="1"/>
  <c r="J7" i="1" s="1"/>
  <c r="J38" i="1" s="1"/>
  <c r="I7" i="1" l="1"/>
  <c r="I16" i="1"/>
  <c r="I22" i="1"/>
  <c r="I23" i="1"/>
  <c r="I24" i="1"/>
  <c r="E38" i="1"/>
  <c r="G32" i="4"/>
  <c r="F32" i="4"/>
  <c r="E32" i="4"/>
  <c r="I41" i="1" l="1"/>
  <c r="I43" i="1" s="1"/>
  <c r="G2" i="4"/>
  <c r="G3" i="4"/>
  <c r="I44" i="1" l="1"/>
  <c r="I45" i="1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31" i="4" l="1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E2" i="4" l="1"/>
  <c r="F10" i="4" l="1"/>
  <c r="F2" i="4"/>
  <c r="E3" i="4"/>
  <c r="F3" i="4"/>
  <c r="E4" i="4"/>
  <c r="F4" i="4"/>
  <c r="E5" i="4"/>
  <c r="E6" i="4"/>
  <c r="F6" i="4"/>
  <c r="E7" i="4"/>
  <c r="F7" i="4"/>
  <c r="E8" i="4"/>
  <c r="F8" i="4"/>
  <c r="E9" i="4"/>
  <c r="E10" i="4"/>
  <c r="E11" i="4"/>
  <c r="F11" i="4"/>
  <c r="E12" i="4"/>
  <c r="F12" i="4"/>
  <c r="E13" i="4"/>
  <c r="E14" i="4"/>
  <c r="F14" i="4"/>
  <c r="E15" i="4"/>
  <c r="F15" i="4"/>
  <c r="E16" i="4"/>
  <c r="F16" i="4"/>
  <c r="E17" i="4"/>
  <c r="E18" i="4"/>
  <c r="F18" i="4"/>
  <c r="E19" i="4"/>
  <c r="F19" i="4"/>
  <c r="E20" i="4"/>
  <c r="E21" i="4"/>
  <c r="E22" i="4"/>
  <c r="E23" i="4"/>
  <c r="E24" i="4"/>
  <c r="F24" i="4"/>
  <c r="E25" i="4"/>
  <c r="E26" i="4"/>
  <c r="E27" i="4"/>
  <c r="E28" i="4"/>
  <c r="F28" i="4"/>
  <c r="E29" i="4"/>
  <c r="E30" i="4"/>
  <c r="E31" i="4"/>
  <c r="F20" i="4"/>
  <c r="F21" i="4"/>
  <c r="F25" i="4"/>
  <c r="F29" i="4"/>
  <c r="F5" i="4"/>
  <c r="F9" i="4"/>
  <c r="F13" i="4"/>
  <c r="F17" i="4"/>
  <c r="F22" i="4"/>
  <c r="F26" i="4"/>
  <c r="F30" i="4"/>
  <c r="F23" i="4"/>
  <c r="F27" i="4"/>
  <c r="F31" i="4"/>
</calcChain>
</file>

<file path=xl/comments1.xml><?xml version="1.0" encoding="utf-8"?>
<comments xmlns="http://schemas.openxmlformats.org/spreadsheetml/2006/main">
  <authors>
    <author>Author</author>
  </authors>
  <commentList>
    <comment ref="M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 residence guest </t>
        </r>
      </text>
    </comment>
    <comment ref="N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incude outsider</t>
        </r>
      </text>
    </comment>
    <comment ref="F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H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C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 meter 26/5/18
</t>
        </r>
      </text>
    </comment>
    <comment ref="AI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นำจะส่งไปใช้ 2ที่คือ สปากับอรายเวอร์ศาลาตั้งแต่ปากทางออกไปถึงถนนใหญ่</t>
        </r>
      </text>
    </comment>
    <comment ref="R8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HK left 703 bathtub tap open since 21 Jan</t>
        </r>
      </text>
    </comment>
  </commentList>
</comments>
</file>

<file path=xl/sharedStrings.xml><?xml version="1.0" encoding="utf-8"?>
<sst xmlns="http://schemas.openxmlformats.org/spreadsheetml/2006/main" count="130" uniqueCount="72">
  <si>
    <t>Site Name</t>
  </si>
  <si>
    <t>Day</t>
  </si>
  <si>
    <t>Month</t>
  </si>
  <si>
    <t>Year</t>
  </si>
  <si>
    <t>Total Electricity Kwh</t>
  </si>
  <si>
    <t>Electricity Tariff ($/Kwh)</t>
  </si>
  <si>
    <r>
      <t xml:space="preserve">Water Utility </t>
    </r>
    <r>
      <rPr>
        <b/>
        <sz val="11"/>
        <color rgb="FFFF0000"/>
        <rFont val="Calibri"/>
        <family val="2"/>
        <scheme val="minor"/>
      </rPr>
      <t>Supply</t>
    </r>
    <r>
      <rPr>
        <b/>
        <sz val="11"/>
        <color theme="1"/>
        <rFont val="Calibri"/>
        <family val="2"/>
        <scheme val="minor"/>
      </rPr>
      <t xml:space="preserve"> (m3) m3</t>
    </r>
  </si>
  <si>
    <t>Water Utility Supply (m3) $/m3</t>
  </si>
  <si>
    <t xml:space="preserve">Room Nights </t>
  </si>
  <si>
    <t>Total Guests</t>
  </si>
  <si>
    <t>Food Covers</t>
  </si>
  <si>
    <t>Koh Samui</t>
  </si>
  <si>
    <t>Power Distribution log Sheet</t>
  </si>
  <si>
    <t>Villa</t>
  </si>
  <si>
    <t xml:space="preserve">Date </t>
  </si>
  <si>
    <t>Kwh A</t>
  </si>
  <si>
    <t>Kwh B</t>
  </si>
  <si>
    <t>Kwh C</t>
  </si>
  <si>
    <t>Total</t>
  </si>
  <si>
    <t>Cost A</t>
  </si>
  <si>
    <t>Cost B</t>
  </si>
  <si>
    <t>Cost C</t>
  </si>
  <si>
    <t>Cost/Day</t>
  </si>
  <si>
    <t>FT.Cost</t>
  </si>
  <si>
    <t>Room Nights</t>
  </si>
  <si>
    <t>On Peak</t>
  </si>
  <si>
    <t>Off  Peak</t>
  </si>
  <si>
    <t>Holiday</t>
  </si>
  <si>
    <t>Kwh</t>
  </si>
  <si>
    <t>Date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</si>
  <si>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</si>
  <si>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Engineering Department</t>
  </si>
  <si>
    <t>Water Meter  Log Sheet Villas Zone</t>
  </si>
  <si>
    <t xml:space="preserve">Every Sunday HK Drain all Villas &amp; PA </t>
  </si>
  <si>
    <t>**new**</t>
  </si>
  <si>
    <t>old name coco rum</t>
  </si>
  <si>
    <t>Main Kit</t>
  </si>
  <si>
    <t>Unit</t>
  </si>
  <si>
    <t>Arrival sala</t>
  </si>
  <si>
    <t>Soi   100</t>
  </si>
  <si>
    <t>Soi 200</t>
  </si>
  <si>
    <t>Soi 300</t>
  </si>
  <si>
    <t>Soi 400</t>
  </si>
  <si>
    <t>Soi 500</t>
  </si>
  <si>
    <t>Soi 600</t>
  </si>
  <si>
    <t>Soi 700</t>
  </si>
  <si>
    <t xml:space="preserve">      Soi 800     3 room</t>
  </si>
  <si>
    <t>soi 900-901</t>
  </si>
  <si>
    <t>soi 902-907</t>
  </si>
  <si>
    <t xml:space="preserve">soi 908-910 Water supply from Soi 500 </t>
  </si>
  <si>
    <r>
      <t>All Soi Consumption M</t>
    </r>
    <r>
      <rPr>
        <b/>
        <vertAlign val="superscript"/>
        <sz val="10"/>
        <rFont val="Calibri"/>
        <family val="2"/>
        <scheme val="minor"/>
      </rPr>
      <t>3</t>
    </r>
  </si>
  <si>
    <t>Pla Pla</t>
  </si>
  <si>
    <t>Pla Pla2</t>
  </si>
  <si>
    <t xml:space="preserve">(Meter Tag Coco rum ) under CoCoRum for the Bar &amp; MP </t>
  </si>
  <si>
    <t>Spa</t>
  </si>
  <si>
    <t>Beach House &amp; kid club</t>
  </si>
  <si>
    <t xml:space="preserve"> GM Executive  Office </t>
  </si>
  <si>
    <t xml:space="preserve">Library Toilets </t>
  </si>
  <si>
    <t>Fitness</t>
  </si>
  <si>
    <t xml:space="preserve">Retail Shop Toielts </t>
  </si>
  <si>
    <t>Main Pool</t>
  </si>
  <si>
    <t xml:space="preserve">Total Villa Consumption </t>
  </si>
  <si>
    <t>Occ%</t>
  </si>
  <si>
    <t>Remark</t>
  </si>
  <si>
    <t xml:space="preserve">             Peak Demand</t>
  </si>
  <si>
    <t>Time</t>
  </si>
  <si>
    <t xml:space="preserve">Service  </t>
  </si>
  <si>
    <t xml:space="preserve">Electric Cost </t>
  </si>
  <si>
    <t>FT cost</t>
  </si>
  <si>
    <t>Baht</t>
  </si>
  <si>
    <t>Vat  7%</t>
  </si>
  <si>
    <t>Peak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</si>
</sst>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B1mmm\-yy"/>
    <numFmt numFmtId="165" formatCode="_-* #,##0.00_-;\-* #,##0.00_-;_-* &quot;-&quot;??_-;_-@_-"/>
    <numFmt numFmtId="166" formatCode="_-* #,##0.0000_-;\-* #,##0.0000_-;_-* &quot;-&quot;??_-;_-@_-"/>
    <numFmt numFmtId="167" formatCode="[$-1010409]d\ mmmm\ yyyy;@"/>
    <numFmt numFmtId="168" formatCode="_(* #,##0_);_(* \(#,##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b/>
      <u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75BA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DE9D9"/>
        <bgColor rgb="FF000000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83">
    <xf numFmtId="0" fontId="0" fillId="0" borderId="0" xfId="0"/>
    <xf numFmtId="0" fontId="3" fillId="0" borderId="0" xfId="2" applyFont="1"/>
    <xf numFmtId="0" fontId="5" fillId="0" borderId="0" xfId="2" applyFont="1" applyAlignment="1">
      <alignment horizontal="center"/>
    </xf>
    <xf numFmtId="0" fontId="3" fillId="5" borderId="2" xfId="2" applyFont="1" applyFill="1" applyBorder="1" applyAlignment="1">
      <alignment horizontal="center" vertical="center"/>
    </xf>
    <xf numFmtId="0" fontId="3" fillId="5" borderId="6" xfId="2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horizontal="center" vertical="center"/>
    </xf>
    <xf numFmtId="0" fontId="3" fillId="5" borderId="10" xfId="2" applyFont="1" applyFill="1" applyBorder="1" applyAlignment="1">
      <alignment horizontal="center" vertical="center"/>
    </xf>
    <xf numFmtId="166" fontId="3" fillId="7" borderId="12" xfId="1" applyNumberFormat="1" applyFont="1" applyFill="1" applyBorder="1" applyAlignment="1">
      <alignment horizontal="center" vertical="center"/>
    </xf>
    <xf numFmtId="0" fontId="3" fillId="8" borderId="13" xfId="2" applyFont="1" applyFill="1" applyBorder="1" applyAlignment="1">
      <alignment horizontal="center" vertical="center"/>
    </xf>
    <xf numFmtId="0" fontId="9" fillId="0" borderId="0" xfId="2" applyFont="1"/>
    <xf numFmtId="0" fontId="8" fillId="0" borderId="0" xfId="2" applyFont="1"/>
    <xf numFmtId="165" fontId="8" fillId="0" borderId="0" xfId="1" applyNumberFormat="1" applyFont="1"/>
    <xf numFmtId="0" fontId="3" fillId="0" borderId="0" xfId="2" applyFont="1" applyAlignment="1">
      <alignment horizontal="center"/>
    </xf>
    <xf numFmtId="165" fontId="8" fillId="0" borderId="0" xfId="2" applyNumberFormat="1" applyFont="1"/>
    <xf numFmtId="0" fontId="3" fillId="0" borderId="6" xfId="2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3" fillId="0" borderId="6" xfId="1" quotePrefix="1" applyNumberFormat="1" applyFont="1" applyBorder="1" applyAlignment="1"/>
    <xf numFmtId="0" fontId="8" fillId="0" borderId="0" xfId="2" quotePrefix="1" applyFont="1"/>
    <xf numFmtId="165" fontId="3" fillId="0" borderId="0" xfId="1" applyNumberFormat="1" applyFont="1" applyAlignment="1"/>
    <xf numFmtId="9" fontId="3" fillId="0" borderId="0" xfId="2" applyNumberFormat="1" applyFont="1" applyAlignment="1">
      <alignment horizontal="center"/>
    </xf>
    <xf numFmtId="0" fontId="11" fillId="0" borderId="0" xfId="2" applyFont="1" applyAlignment="1">
      <alignment horizontal="right"/>
    </xf>
    <xf numFmtId="0" fontId="11" fillId="0" borderId="0" xfId="2" applyFont="1"/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14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wrapText="1"/>
    </xf>
    <xf numFmtId="0" fontId="21" fillId="13" borderId="0" xfId="0" applyFont="1" applyFill="1" applyAlignment="1">
      <alignment horizontal="center" wrapText="1"/>
    </xf>
    <xf numFmtId="0" fontId="24" fillId="2" borderId="16" xfId="0" applyFont="1" applyFill="1" applyBorder="1" applyAlignment="1">
      <alignment horizontal="center" vertical="center" wrapText="1"/>
    </xf>
    <xf numFmtId="0" fontId="24" fillId="15" borderId="16" xfId="0" applyFont="1" applyFill="1" applyBorder="1" applyAlignment="1">
      <alignment horizontal="center" vertical="center" wrapText="1"/>
    </xf>
    <xf numFmtId="0" fontId="24" fillId="13" borderId="16" xfId="0" applyFont="1" applyFill="1" applyBorder="1" applyAlignment="1">
      <alignment horizontal="center" vertical="center" wrapText="1"/>
    </xf>
    <xf numFmtId="0" fontId="24" fillId="8" borderId="16" xfId="0" applyFont="1" applyFill="1" applyBorder="1" applyAlignment="1">
      <alignment horizontal="center" vertical="center" wrapText="1"/>
    </xf>
    <xf numFmtId="0" fontId="24" fillId="10" borderId="16" xfId="0" applyFont="1" applyFill="1" applyBorder="1" applyAlignment="1">
      <alignment horizontal="center" vertical="center" wrapText="1"/>
    </xf>
    <xf numFmtId="0" fontId="24" fillId="11" borderId="16" xfId="0" applyFont="1" applyFill="1" applyBorder="1" applyAlignment="1">
      <alignment horizontal="center" vertical="center" wrapText="1"/>
    </xf>
    <xf numFmtId="0" fontId="24" fillId="12" borderId="16" xfId="0" applyFont="1" applyFill="1" applyBorder="1" applyAlignment="1">
      <alignment horizontal="center" vertical="center" wrapText="1"/>
    </xf>
    <xf numFmtId="0" fontId="24" fillId="9" borderId="16" xfId="0" applyFont="1" applyFill="1" applyBorder="1" applyAlignment="1">
      <alignment horizontal="center" vertical="center" wrapText="1"/>
    </xf>
    <xf numFmtId="0" fontId="24" fillId="16" borderId="16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0" fontId="24" fillId="18" borderId="16" xfId="0" applyFont="1" applyFill="1" applyBorder="1" applyAlignment="1">
      <alignment horizontal="center" vertical="center" wrapText="1"/>
    </xf>
    <xf numFmtId="0" fontId="24" fillId="19" borderId="16" xfId="0" applyFont="1" applyFill="1" applyBorder="1" applyAlignment="1">
      <alignment horizontal="center" vertical="center" wrapText="1"/>
    </xf>
    <xf numFmtId="0" fontId="24" fillId="20" borderId="16" xfId="0" applyFont="1" applyFill="1" applyBorder="1" applyAlignment="1">
      <alignment horizontal="center" vertical="center" wrapText="1"/>
    </xf>
    <xf numFmtId="0" fontId="24" fillId="20" borderId="17" xfId="0" applyFont="1" applyFill="1" applyBorder="1" applyAlignment="1">
      <alignment horizontal="center" vertical="center" wrapText="1"/>
    </xf>
    <xf numFmtId="0" fontId="24" fillId="21" borderId="16" xfId="0" applyFont="1" applyFill="1" applyBorder="1" applyAlignment="1">
      <alignment horizontal="center" vertical="center" wrapText="1"/>
    </xf>
    <xf numFmtId="0" fontId="25" fillId="22" borderId="16" xfId="0" applyFont="1" applyFill="1" applyBorder="1" applyAlignment="1">
      <alignment horizontal="left" vertical="center" wrapText="1" indent="1"/>
    </xf>
    <xf numFmtId="0" fontId="24" fillId="22" borderId="16" xfId="0" applyFont="1" applyFill="1" applyBorder="1" applyAlignment="1">
      <alignment horizontal="center" vertical="center" wrapText="1"/>
    </xf>
    <xf numFmtId="0" fontId="24" fillId="23" borderId="16" xfId="0" applyFont="1" applyFill="1" applyBorder="1" applyAlignment="1">
      <alignment horizontal="center" vertical="center" wrapText="1"/>
    </xf>
    <xf numFmtId="0" fontId="24" fillId="24" borderId="16" xfId="0" applyFont="1" applyFill="1" applyBorder="1" applyAlignment="1">
      <alignment horizontal="center" vertical="center" wrapText="1"/>
    </xf>
    <xf numFmtId="0" fontId="24" fillId="25" borderId="16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17" fillId="13" borderId="19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4" fillId="26" borderId="16" xfId="0" applyFont="1" applyFill="1" applyBorder="1" applyAlignment="1">
      <alignment horizontal="center"/>
    </xf>
    <xf numFmtId="0" fontId="14" fillId="26" borderId="20" xfId="0" applyFont="1" applyFill="1" applyBorder="1" applyAlignment="1">
      <alignment horizontal="center"/>
    </xf>
    <xf numFmtId="2" fontId="14" fillId="26" borderId="21" xfId="0" applyNumberFormat="1" applyFont="1" applyFill="1" applyBorder="1" applyAlignment="1">
      <alignment horizontal="center" vertical="center"/>
    </xf>
    <xf numFmtId="0" fontId="14" fillId="0" borderId="0" xfId="0" applyFont="1"/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16" fillId="0" borderId="6" xfId="3" applyFont="1" applyBorder="1" applyAlignment="1">
      <alignment horizontal="center" vertical="center"/>
    </xf>
    <xf numFmtId="0" fontId="19" fillId="0" borderId="6" xfId="3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2" fontId="19" fillId="0" borderId="6" xfId="3" applyNumberFormat="1" applyFont="1" applyBorder="1" applyAlignment="1">
      <alignment horizontal="center" vertical="center" wrapText="1"/>
    </xf>
    <xf numFmtId="0" fontId="19" fillId="0" borderId="6" xfId="3" applyFont="1" applyBorder="1" applyAlignment="1">
      <alignment horizontal="center" vertical="center" wrapText="1"/>
    </xf>
    <xf numFmtId="0" fontId="2" fillId="0" borderId="0" xfId="3"/>
    <xf numFmtId="0" fontId="35" fillId="0" borderId="6" xfId="3" applyFont="1" applyBorder="1" applyAlignment="1">
      <alignment horizontal="center"/>
    </xf>
    <xf numFmtId="0" fontId="16" fillId="0" borderId="6" xfId="3" applyFont="1" applyBorder="1" applyAlignment="1">
      <alignment horizontal="center"/>
    </xf>
    <xf numFmtId="0" fontId="19" fillId="0" borderId="6" xfId="3" applyFont="1" applyBorder="1" applyAlignment="1">
      <alignment horizontal="center"/>
    </xf>
    <xf numFmtId="1" fontId="2" fillId="0" borderId="6" xfId="3" applyNumberFormat="1" applyBorder="1" applyAlignment="1">
      <alignment horizontal="center"/>
    </xf>
    <xf numFmtId="2" fontId="15" fillId="0" borderId="6" xfId="3" applyNumberFormat="1" applyFont="1" applyBorder="1" applyAlignment="1">
      <alignment horizontal="center"/>
    </xf>
    <xf numFmtId="1" fontId="15" fillId="0" borderId="6" xfId="3" applyNumberFormat="1" applyFont="1" applyBorder="1" applyAlignment="1">
      <alignment horizontal="center"/>
    </xf>
    <xf numFmtId="4" fontId="7" fillId="16" borderId="6" xfId="2" applyNumberFormat="1" applyFont="1" applyFill="1" applyBorder="1" applyAlignment="1">
      <alignment horizontal="center"/>
    </xf>
    <xf numFmtId="4" fontId="2" fillId="16" borderId="13" xfId="2" applyNumberFormat="1" applyFill="1" applyBorder="1" applyAlignment="1">
      <alignment horizontal="center" wrapText="1"/>
    </xf>
    <xf numFmtId="4" fontId="2" fillId="16" borderId="6" xfId="2" applyNumberFormat="1" applyFill="1" applyBorder="1" applyAlignment="1">
      <alignment horizontal="center" wrapText="1"/>
    </xf>
    <xf numFmtId="4" fontId="2" fillId="16" borderId="6" xfId="2" applyNumberFormat="1" applyFill="1" applyBorder="1" applyAlignment="1">
      <alignment horizontal="center" vertical="center" wrapText="1"/>
    </xf>
    <xf numFmtId="4" fontId="2" fillId="16" borderId="6" xfId="2" applyNumberForma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4" fontId="3" fillId="0" borderId="0" xfId="2" applyNumberFormat="1" applyFont="1"/>
    <xf numFmtId="0" fontId="27" fillId="0" borderId="27" xfId="0" applyFont="1" applyBorder="1" applyAlignment="1">
      <alignment horizontal="center"/>
    </xf>
    <xf numFmtId="4" fontId="36" fillId="28" borderId="29" xfId="0" applyNumberFormat="1" applyFont="1" applyFill="1" applyBorder="1"/>
    <xf numFmtId="4" fontId="36" fillId="29" borderId="29" xfId="0" applyNumberFormat="1" applyFont="1" applyFill="1" applyBorder="1"/>
    <xf numFmtId="0" fontId="36" fillId="29" borderId="29" xfId="0" applyFont="1" applyFill="1" applyBorder="1"/>
    <xf numFmtId="4" fontId="7" fillId="30" borderId="29" xfId="0" applyNumberFormat="1" applyFont="1" applyFill="1" applyBorder="1" applyAlignment="1">
      <alignment horizontal="center" vertical="center"/>
    </xf>
    <xf numFmtId="0" fontId="2" fillId="31" borderId="29" xfId="0" applyFont="1" applyFill="1" applyBorder="1"/>
    <xf numFmtId="4" fontId="36" fillId="28" borderId="23" xfId="0" applyNumberFormat="1" applyFont="1" applyFill="1" applyBorder="1"/>
    <xf numFmtId="4" fontId="36" fillId="29" borderId="23" xfId="0" applyNumberFormat="1" applyFont="1" applyFill="1" applyBorder="1"/>
    <xf numFmtId="0" fontId="36" fillId="29" borderId="23" xfId="0" applyFont="1" applyFill="1" applyBorder="1"/>
    <xf numFmtId="4" fontId="7" fillId="30" borderId="23" xfId="0" applyNumberFormat="1" applyFont="1" applyFill="1" applyBorder="1" applyAlignment="1">
      <alignment horizontal="center" vertical="center"/>
    </xf>
    <xf numFmtId="0" fontId="2" fillId="31" borderId="23" xfId="0" applyFont="1" applyFill="1" applyBorder="1"/>
    <xf numFmtId="4" fontId="10" fillId="28" borderId="23" xfId="0" applyNumberFormat="1" applyFont="1" applyFill="1" applyBorder="1"/>
    <xf numFmtId="0" fontId="27" fillId="0" borderId="26" xfId="0" applyFont="1" applyBorder="1" applyAlignment="1">
      <alignment horizontal="center"/>
    </xf>
    <xf numFmtId="4" fontId="2" fillId="27" borderId="23" xfId="0" applyNumberFormat="1" applyFont="1" applyFill="1" applyBorder="1" applyAlignment="1">
      <alignment horizontal="right"/>
    </xf>
    <xf numFmtId="0" fontId="2" fillId="27" borderId="23" xfId="0" applyFont="1" applyFill="1" applyBorder="1" applyAlignment="1">
      <alignment horizontal="right" wrapText="1"/>
    </xf>
    <xf numFmtId="0" fontId="2" fillId="27" borderId="23" xfId="0" applyFont="1" applyFill="1" applyBorder="1" applyAlignment="1">
      <alignment horizontal="right"/>
    </xf>
    <xf numFmtId="4" fontId="2" fillId="27" borderId="23" xfId="0" applyNumberFormat="1" applyFont="1" applyFill="1" applyBorder="1" applyAlignment="1">
      <alignment horizontal="right" wrapText="1"/>
    </xf>
    <xf numFmtId="0" fontId="2" fillId="27" borderId="25" xfId="0" applyFont="1" applyFill="1" applyBorder="1" applyAlignment="1">
      <alignment horizontal="right"/>
    </xf>
    <xf numFmtId="0" fontId="2" fillId="27" borderId="29" xfId="0" applyFont="1" applyFill="1" applyBorder="1" applyAlignment="1">
      <alignment horizontal="right"/>
    </xf>
    <xf numFmtId="4" fontId="2" fillId="27" borderId="29" xfId="0" applyNumberFormat="1" applyFont="1" applyFill="1" applyBorder="1" applyAlignment="1">
      <alignment horizontal="right" wrapText="1"/>
    </xf>
    <xf numFmtId="0" fontId="2" fillId="27" borderId="23" xfId="0" applyFont="1" applyFill="1" applyBorder="1" applyAlignment="1">
      <alignment horizontal="right" vertical="center" wrapText="1"/>
    </xf>
    <xf numFmtId="0" fontId="38" fillId="20" borderId="16" xfId="0" applyFont="1" applyFill="1" applyBorder="1" applyAlignment="1">
      <alignment horizontal="center" vertical="center" wrapText="1"/>
    </xf>
    <xf numFmtId="168" fontId="17" fillId="0" borderId="0" xfId="0" applyNumberFormat="1" applyFont="1" applyAlignment="1">
      <alignment horizontal="center"/>
    </xf>
    <xf numFmtId="0" fontId="3" fillId="0" borderId="30" xfId="2" applyFont="1" applyBorder="1" applyAlignment="1">
      <alignment horizontal="center"/>
    </xf>
    <xf numFmtId="165" fontId="3" fillId="0" borderId="31" xfId="1" applyNumberFormat="1" applyFont="1" applyBorder="1"/>
    <xf numFmtId="165" fontId="6" fillId="0" borderId="31" xfId="1" applyNumberFormat="1" applyFont="1" applyBorder="1"/>
    <xf numFmtId="0" fontId="27" fillId="0" borderId="33" xfId="0" applyFont="1" applyBorder="1" applyAlignment="1">
      <alignment horizontal="center"/>
    </xf>
    <xf numFmtId="0" fontId="23" fillId="14" borderId="6" xfId="0" applyFont="1" applyFill="1" applyBorder="1" applyAlignment="1">
      <alignment horizontal="center"/>
    </xf>
    <xf numFmtId="0" fontId="17" fillId="0" borderId="6" xfId="0" applyFont="1" applyBorder="1" applyAlignment="1">
      <alignment horizontal="center"/>
    </xf>
    <xf numFmtId="4" fontId="7" fillId="14" borderId="6" xfId="2" applyNumberFormat="1" applyFont="1" applyFill="1" applyBorder="1" applyAlignment="1">
      <alignment horizontal="center"/>
    </xf>
    <xf numFmtId="4" fontId="2" fillId="14" borderId="13" xfId="2" applyNumberFormat="1" applyFill="1" applyBorder="1" applyAlignment="1">
      <alignment horizontal="center" wrapText="1"/>
    </xf>
    <xf numFmtId="4" fontId="2" fillId="14" borderId="6" xfId="2" applyNumberFormat="1" applyFill="1" applyBorder="1" applyAlignment="1">
      <alignment horizontal="center" wrapText="1"/>
    </xf>
    <xf numFmtId="4" fontId="2" fillId="14" borderId="6" xfId="2" applyNumberFormat="1" applyFill="1" applyBorder="1" applyAlignment="1">
      <alignment horizontal="center" vertical="center" wrapText="1"/>
    </xf>
    <xf numFmtId="4" fontId="2" fillId="14" borderId="6" xfId="2" applyNumberFormat="1" applyFill="1" applyBorder="1" applyAlignment="1">
      <alignment horizontal="center"/>
    </xf>
    <xf numFmtId="4" fontId="2" fillId="27" borderId="23" xfId="0" applyNumberFormat="1" applyFont="1" applyFill="1" applyBorder="1" applyAlignment="1">
      <alignment horizontal="right" vertical="center"/>
    </xf>
    <xf numFmtId="4" fontId="36" fillId="28" borderId="23" xfId="0" applyNumberFormat="1" applyFont="1" applyFill="1" applyBorder="1" applyAlignment="1">
      <alignment vertical="center"/>
    </xf>
    <xf numFmtId="4" fontId="36" fillId="29" borderId="23" xfId="0" applyNumberFormat="1" applyFont="1" applyFill="1" applyBorder="1" applyAlignment="1">
      <alignment vertical="center"/>
    </xf>
    <xf numFmtId="0" fontId="36" fillId="29" borderId="23" xfId="0" applyFont="1" applyFill="1" applyBorder="1" applyAlignment="1">
      <alignment vertical="center"/>
    </xf>
    <xf numFmtId="0" fontId="2" fillId="31" borderId="23" xfId="0" applyFont="1" applyFill="1" applyBorder="1" applyAlignment="1">
      <alignment vertical="center"/>
    </xf>
    <xf numFmtId="0" fontId="3" fillId="14" borderId="0" xfId="2" applyFont="1" applyFill="1" applyAlignment="1">
      <alignment vertical="center"/>
    </xf>
    <xf numFmtId="0" fontId="3" fillId="0" borderId="0" xfId="2" applyFont="1" applyAlignment="1">
      <alignment vertical="center"/>
    </xf>
    <xf numFmtId="165" fontId="8" fillId="14" borderId="0" xfId="2" applyNumberFormat="1" applyFont="1" applyFill="1"/>
    <xf numFmtId="43" fontId="3" fillId="0" borderId="14" xfId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/>
    </xf>
    <xf numFmtId="167" fontId="3" fillId="0" borderId="15" xfId="2" applyNumberFormat="1" applyFont="1" applyBorder="1" applyAlignment="1">
      <alignment horizontal="center"/>
    </xf>
    <xf numFmtId="14" fontId="3" fillId="0" borderId="14" xfId="2" applyNumberFormat="1" applyFont="1" applyBorder="1" applyAlignment="1">
      <alignment horizontal="center"/>
    </xf>
    <xf numFmtId="14" fontId="3" fillId="0" borderId="15" xfId="2" applyNumberFormat="1" applyFont="1" applyBorder="1" applyAlignment="1">
      <alignment horizontal="center"/>
    </xf>
    <xf numFmtId="0" fontId="3" fillId="4" borderId="2" xfId="2" applyFont="1" applyFill="1" applyBorder="1" applyAlignment="1">
      <alignment horizontal="center" vertical="center"/>
    </xf>
    <xf numFmtId="0" fontId="3" fillId="4" borderId="6" xfId="2" applyFont="1" applyFill="1" applyBorder="1" applyAlignment="1">
      <alignment horizontal="center" vertical="center"/>
    </xf>
    <xf numFmtId="164" fontId="4" fillId="0" borderId="0" xfId="2" applyNumberFormat="1" applyFont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3" fillId="16" borderId="3" xfId="2" applyFont="1" applyFill="1" applyBorder="1" applyAlignment="1">
      <alignment horizontal="center" vertical="center"/>
    </xf>
    <xf numFmtId="0" fontId="3" fillId="16" borderId="7" xfId="2" applyFont="1" applyFill="1" applyBorder="1" applyAlignment="1">
      <alignment horizontal="center" vertical="center"/>
    </xf>
    <xf numFmtId="0" fontId="3" fillId="16" borderId="11" xfId="2" applyFont="1" applyFill="1" applyBorder="1" applyAlignment="1">
      <alignment horizontal="center" vertical="center"/>
    </xf>
    <xf numFmtId="0" fontId="3" fillId="6" borderId="3" xfId="2" applyFont="1" applyFill="1" applyBorder="1" applyAlignment="1">
      <alignment horizontal="center" vertical="center"/>
    </xf>
    <xf numFmtId="0" fontId="3" fillId="6" borderId="7" xfId="2" applyFont="1" applyFill="1" applyBorder="1" applyAlignment="1">
      <alignment horizontal="center" vertical="center"/>
    </xf>
    <xf numFmtId="0" fontId="3" fillId="6" borderId="11" xfId="2" applyFont="1" applyFill="1" applyBorder="1" applyAlignment="1">
      <alignment horizontal="center" vertical="center"/>
    </xf>
    <xf numFmtId="165" fontId="3" fillId="7" borderId="4" xfId="1" applyNumberFormat="1" applyFont="1" applyFill="1" applyBorder="1" applyAlignment="1">
      <alignment horizontal="center" vertical="center"/>
    </xf>
    <xf numFmtId="165" fontId="3" fillId="7" borderId="8" xfId="1" applyNumberFormat="1" applyFont="1" applyFill="1" applyBorder="1" applyAlignment="1">
      <alignment horizontal="center" vertical="center"/>
    </xf>
    <xf numFmtId="0" fontId="19" fillId="13" borderId="6" xfId="0" applyFont="1" applyFill="1" applyBorder="1" applyAlignment="1">
      <alignment horizontal="center"/>
    </xf>
    <xf numFmtId="164" fontId="20" fillId="0" borderId="0" xfId="0" applyNumberFormat="1" applyFont="1" applyAlignment="1">
      <alignment horizontal="left"/>
    </xf>
    <xf numFmtId="4" fontId="2" fillId="0" borderId="0" xfId="3" applyNumberFormat="1"/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" fontId="2" fillId="0" borderId="0" xfId="3" applyNumberFormat="1"/>
    <xf numFmtId="168" fontId="2" fillId="14" borderId="28" xfId="1" applyNumberFormat="1" applyFont="1" applyFill="1" applyBorder="1" applyAlignment="1">
      <alignment horizontal="center"/>
    </xf>
    <xf numFmtId="0" fontId="27" fillId="14" borderId="27" xfId="0" applyFont="1" applyFill="1" applyBorder="1" applyAlignment="1">
      <alignment horizontal="center"/>
    </xf>
    <xf numFmtId="0" fontId="17" fillId="14" borderId="0" xfId="0" applyFont="1" applyFill="1" applyAlignment="1">
      <alignment horizontal="center"/>
    </xf>
    <xf numFmtId="168" fontId="37" fillId="14" borderId="28" xfId="1" applyNumberFormat="1" applyFont="1" applyFill="1" applyBorder="1" applyAlignment="1">
      <alignment horizontal="center"/>
    </xf>
    <xf numFmtId="168" fontId="2" fillId="14" borderId="24" xfId="1" applyNumberFormat="1" applyFont="1" applyFill="1" applyBorder="1" applyAlignment="1">
      <alignment horizontal="center"/>
    </xf>
    <xf numFmtId="168" fontId="24" fillId="14" borderId="28" xfId="0" applyNumberFormat="1" applyFont="1" applyFill="1" applyBorder="1" applyAlignment="1">
      <alignment horizontal="center"/>
    </xf>
    <xf numFmtId="2" fontId="17" fillId="14" borderId="22" xfId="0" applyNumberFormat="1" applyFont="1" applyFill="1" applyBorder="1" applyAlignment="1">
      <alignment horizontal="center" vertical="center"/>
    </xf>
    <xf numFmtId="0" fontId="17" fillId="14" borderId="6" xfId="0" applyFont="1" applyFill="1" applyBorder="1"/>
    <xf numFmtId="0" fontId="17" fillId="14" borderId="0" xfId="0" applyFont="1" applyFill="1"/>
    <xf numFmtId="0" fontId="27" fillId="14" borderId="24" xfId="0" applyFont="1" applyFill="1" applyBorder="1" applyAlignment="1">
      <alignment horizontal="center"/>
    </xf>
    <xf numFmtId="168" fontId="37" fillId="14" borderId="24" xfId="1" applyNumberFormat="1" applyFont="1" applyFill="1" applyBorder="1" applyAlignment="1">
      <alignment horizontal="center"/>
    </xf>
    <xf numFmtId="168" fontId="2" fillId="14" borderId="26" xfId="1" applyNumberFormat="1" applyFont="1" applyFill="1" applyBorder="1" applyAlignment="1">
      <alignment horizontal="center"/>
    </xf>
    <xf numFmtId="0" fontId="27" fillId="14" borderId="26" xfId="0" applyFont="1" applyFill="1" applyBorder="1" applyAlignment="1">
      <alignment horizontal="center"/>
    </xf>
    <xf numFmtId="0" fontId="27" fillId="14" borderId="33" xfId="0" applyFont="1" applyFill="1" applyBorder="1" applyAlignment="1">
      <alignment horizontal="center"/>
    </xf>
    <xf numFmtId="168" fontId="2" fillId="14" borderId="33" xfId="1" applyNumberFormat="1" applyFont="1" applyFill="1" applyBorder="1" applyAlignment="1">
      <alignment horizontal="center"/>
    </xf>
    <xf numFmtId="0" fontId="27" fillId="14" borderId="6" xfId="0" applyFont="1" applyFill="1" applyBorder="1" applyAlignment="1">
      <alignment horizontal="center"/>
    </xf>
    <xf numFmtId="0" fontId="17" fillId="14" borderId="6" xfId="0" applyFont="1" applyFill="1" applyBorder="1" applyAlignment="1">
      <alignment horizontal="center"/>
    </xf>
    <xf numFmtId="168" fontId="2" fillId="14" borderId="6" xfId="1" applyNumberFormat="1" applyFont="1" applyFill="1" applyBorder="1" applyAlignment="1">
      <alignment horizontal="center"/>
    </xf>
    <xf numFmtId="0" fontId="27" fillId="14" borderId="34" xfId="0" applyFont="1" applyFill="1" applyBorder="1" applyAlignment="1">
      <alignment horizontal="center"/>
    </xf>
    <xf numFmtId="168" fontId="24" fillId="14" borderId="32" xfId="0" applyNumberFormat="1" applyFont="1" applyFill="1" applyBorder="1" applyAlignment="1">
      <alignment horizontal="center"/>
    </xf>
    <xf numFmtId="168" fontId="17" fillId="0" borderId="6" xfId="0" applyNumberFormat="1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3"/>
    <cellStyle name="Normal 3" xfId="2"/>
  </cellStyles>
  <dxfs count="3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36566</xdr:colOff>
      <xdr:row>1</xdr:row>
      <xdr:rowOff>44742</xdr:rowOff>
    </xdr:from>
    <xdr:to>
      <xdr:col>2</xdr:col>
      <xdr:colOff>531660</xdr:colOff>
      <xdr:row>5</xdr:row>
      <xdr:rowOff>23973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14693" b="8456"/>
        <a:stretch>
          <a:fillRect/>
        </a:stretch>
      </xdr:blipFill>
      <xdr:spPr bwMode="auto">
        <a:xfrm>
          <a:off x="36566" y="0"/>
          <a:ext cx="1495219" cy="23973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pane ySplit="1" topLeftCell="A2" activePane="bottomLeft" state="frozen"/>
      <selection pane="bottomLeft" activeCell="G33" sqref="G33"/>
    </sheetView>
  </sheetViews>
  <sheetFormatPr defaultRowHeight="12.75" x14ac:dyDescent="0.2"/>
  <cols>
    <col min="1" max="1" width="23" style="74" bestFit="1" customWidth="1"/>
    <col min="2" max="4" width="9.140625" style="74"/>
    <col min="5" max="5" width="10.7109375" style="74" customWidth="1"/>
    <col min="6" max="6" width="12.140625" style="74" customWidth="1"/>
    <col min="7" max="7" width="10.85546875" style="74" customWidth="1"/>
    <col min="8" max="8" width="11.28515625" style="74" customWidth="1"/>
    <col min="9" max="16384" width="9.140625" style="74"/>
  </cols>
  <sheetData>
    <row r="1" spans="1:11" ht="60" x14ac:dyDescent="0.2">
      <c r="A1" s="69" t="s">
        <v>0</v>
      </c>
      <c r="B1" s="69" t="s">
        <v>1</v>
      </c>
      <c r="C1" s="70" t="s">
        <v>2</v>
      </c>
      <c r="D1" s="69" t="s">
        <v>3</v>
      </c>
      <c r="E1" s="71" t="s">
        <v>4</v>
      </c>
      <c r="F1" s="72" t="s">
        <v>5</v>
      </c>
      <c r="G1" s="71" t="s">
        <v>6</v>
      </c>
      <c r="H1" s="73" t="s">
        <v>7</v>
      </c>
      <c r="I1" s="71" t="s">
        <v>8</v>
      </c>
      <c r="J1" s="71" t="s">
        <v>9</v>
      </c>
      <c r="K1" s="71" t="s">
        <v>10</v>
      </c>
    </row>
    <row r="2" spans="1:11" ht="15" x14ac:dyDescent="0.25">
      <c r="A2" s="75" t="s">
        <v>11</v>
      </c>
      <c r="B2" s="76">
        <v>1</v>
      </c>
      <c r="C2" s="77">
        <v>3</v>
      </c>
      <c r="D2" s="76">
        <v>2022</v>
      </c>
      <c r="E2" s="78">
        <f>Electricity!E7</f>
        <v>9054.74</v>
      </c>
      <c r="F2" s="79">
        <f>Electricity!I7/Electricity!E7</f>
        <v>3.6414247119188405</v>
      </c>
      <c r="G2" s="78">
        <f>Water!AW9</f>
        <v>37</v>
      </c>
      <c r="H2" s="80">
        <v>60</v>
      </c>
      <c r="I2" s="117">
        <v>17</v>
      </c>
      <c r="J2" s="117">
        <v>44</v>
      </c>
      <c r="K2" s="118">
        <v>103</v>
      </c>
    </row>
    <row r="3" spans="1:11" ht="15" x14ac:dyDescent="0.25">
      <c r="A3" s="75" t="s">
        <v>11</v>
      </c>
      <c r="B3" s="76">
        <f>B2+1</f>
        <v>2</v>
      </c>
      <c r="C3" s="77">
        <v>3</v>
      </c>
      <c r="D3" s="76">
        <v>2022</v>
      </c>
      <c r="E3" s="78">
        <f>Electricity!E8</f>
        <v>8598.99</v>
      </c>
      <c r="F3" s="79">
        <f>Electricity!I8/Electricity!E8</f>
        <v>3.6472782306991873</v>
      </c>
      <c r="G3" s="78">
        <f>Water!AW10</f>
        <v>41</v>
      </c>
      <c r="H3" s="80">
        <v>60</v>
      </c>
      <c r="I3" s="117">
        <v>22</v>
      </c>
      <c r="J3" s="117">
        <v>54</v>
      </c>
      <c r="K3" s="119">
        <v>128</v>
      </c>
    </row>
    <row r="4" spans="1:11" ht="15" x14ac:dyDescent="0.25">
      <c r="A4" s="75" t="s">
        <v>11</v>
      </c>
      <c r="B4" s="76">
        <f t="shared" ref="B4:B32" si="0">B3+1</f>
        <v>3</v>
      </c>
      <c r="C4" s="77">
        <v>3</v>
      </c>
      <c r="D4" s="76">
        <v>2022</v>
      </c>
      <c r="E4" s="78">
        <f>Electricity!E9</f>
        <v>9444.0299999999988</v>
      </c>
      <c r="F4" s="79">
        <f>Electricity!I9/Electricity!E9</f>
        <v>3.6355971055788689</v>
      </c>
      <c r="G4" s="78">
        <f>Water!AW11</f>
        <v>51</v>
      </c>
      <c r="H4" s="80">
        <v>60</v>
      </c>
      <c r="I4" s="117">
        <v>24</v>
      </c>
      <c r="J4" s="117">
        <v>60</v>
      </c>
      <c r="K4" s="120">
        <v>138</v>
      </c>
    </row>
    <row r="5" spans="1:11" ht="15" x14ac:dyDescent="0.25">
      <c r="A5" s="75" t="s">
        <v>11</v>
      </c>
      <c r="B5" s="76">
        <f t="shared" si="0"/>
        <v>4</v>
      </c>
      <c r="C5" s="77">
        <v>3</v>
      </c>
      <c r="D5" s="76">
        <v>2022</v>
      </c>
      <c r="E5" s="78">
        <f>Electricity!E10</f>
        <v>9486.9700000000012</v>
      </c>
      <c r="F5" s="79">
        <f>Electricity!I10/Electricity!E10</f>
        <v>3.6342211862164633</v>
      </c>
      <c r="G5" s="78">
        <f>Water!AW12</f>
        <v>70</v>
      </c>
      <c r="H5" s="80">
        <v>60</v>
      </c>
      <c r="I5" s="117">
        <v>24</v>
      </c>
      <c r="J5" s="117">
        <v>51</v>
      </c>
      <c r="K5" s="120">
        <v>133</v>
      </c>
    </row>
    <row r="6" spans="1:11" ht="15" x14ac:dyDescent="0.25">
      <c r="A6" s="75" t="s">
        <v>11</v>
      </c>
      <c r="B6" s="76">
        <f t="shared" si="0"/>
        <v>5</v>
      </c>
      <c r="C6" s="77">
        <v>3</v>
      </c>
      <c r="D6" s="76">
        <v>2022</v>
      </c>
      <c r="E6" s="78">
        <f>Electricity!E11</f>
        <v>9248.98</v>
      </c>
      <c r="F6" s="79">
        <f>Electricity!I11/Electricity!E11</f>
        <v>2.6036999999999999</v>
      </c>
      <c r="G6" s="78">
        <f>Water!AW13</f>
        <v>54</v>
      </c>
      <c r="H6" s="80">
        <v>60</v>
      </c>
      <c r="I6" s="117">
        <v>23</v>
      </c>
      <c r="J6" s="117">
        <v>57</v>
      </c>
      <c r="K6" s="117">
        <v>162</v>
      </c>
    </row>
    <row r="7" spans="1:11" ht="15" x14ac:dyDescent="0.25">
      <c r="A7" s="75" t="s">
        <v>11</v>
      </c>
      <c r="B7" s="76">
        <f t="shared" si="0"/>
        <v>6</v>
      </c>
      <c r="C7" s="77">
        <v>3</v>
      </c>
      <c r="D7" s="76">
        <v>2022</v>
      </c>
      <c r="E7" s="78">
        <f>Electricity!E12</f>
        <v>9424</v>
      </c>
      <c r="F7" s="79">
        <f>Electricity!I12/Electricity!E12</f>
        <v>2.6036999999999999</v>
      </c>
      <c r="G7" s="78">
        <f>Water!AW14</f>
        <v>77</v>
      </c>
      <c r="H7" s="80">
        <v>60</v>
      </c>
      <c r="I7" s="119">
        <v>18</v>
      </c>
      <c r="J7" s="119">
        <v>45</v>
      </c>
      <c r="K7" s="119">
        <v>123</v>
      </c>
    </row>
    <row r="8" spans="1:11" ht="15" x14ac:dyDescent="0.25">
      <c r="A8" s="75" t="s">
        <v>11</v>
      </c>
      <c r="B8" s="76">
        <f t="shared" si="0"/>
        <v>7</v>
      </c>
      <c r="C8" s="77">
        <v>3</v>
      </c>
      <c r="D8" s="76">
        <v>2022</v>
      </c>
      <c r="E8" s="78">
        <f>Electricity!E13</f>
        <v>9524.44</v>
      </c>
      <c r="F8" s="79">
        <f>Electricity!I13/Electricity!E13</f>
        <v>3.6312255294799489</v>
      </c>
      <c r="G8" s="78">
        <f>Water!AW15</f>
        <v>68</v>
      </c>
      <c r="H8" s="80">
        <v>60</v>
      </c>
      <c r="I8" s="119">
        <v>19</v>
      </c>
      <c r="J8" s="119">
        <v>49</v>
      </c>
      <c r="K8" s="119">
        <v>133</v>
      </c>
    </row>
    <row r="9" spans="1:11" ht="15" x14ac:dyDescent="0.25">
      <c r="A9" s="75" t="s">
        <v>11</v>
      </c>
      <c r="B9" s="76">
        <f t="shared" si="0"/>
        <v>8</v>
      </c>
      <c r="C9" s="77">
        <v>3</v>
      </c>
      <c r="D9" s="76">
        <v>2022</v>
      </c>
      <c r="E9" s="78">
        <f>Electricity!E14</f>
        <v>8616.74</v>
      </c>
      <c r="F9" s="79">
        <f>Electricity!I14/Electricity!E14</f>
        <v>3.5947502148144195</v>
      </c>
      <c r="G9" s="78">
        <f>Water!AW16</f>
        <v>64</v>
      </c>
      <c r="H9" s="80">
        <v>60</v>
      </c>
      <c r="I9" s="119">
        <v>19</v>
      </c>
      <c r="J9" s="119">
        <v>47</v>
      </c>
      <c r="K9" s="119">
        <v>104</v>
      </c>
    </row>
    <row r="10" spans="1:11" ht="15" x14ac:dyDescent="0.25">
      <c r="A10" s="75" t="s">
        <v>11</v>
      </c>
      <c r="B10" s="76">
        <f t="shared" si="0"/>
        <v>9</v>
      </c>
      <c r="C10" s="77">
        <v>3</v>
      </c>
      <c r="D10" s="76">
        <v>2022</v>
      </c>
      <c r="E10" s="78">
        <f>Electricity!E15</f>
        <v>8858.2900000000009</v>
      </c>
      <c r="F10" s="79">
        <f>Electricity!I15/Electricity!E15</f>
        <v>3.6352863641854127</v>
      </c>
      <c r="G10" s="78">
        <f>Water!AW17</f>
        <v>56</v>
      </c>
      <c r="H10" s="80">
        <v>60</v>
      </c>
      <c r="I10" s="119">
        <v>20</v>
      </c>
      <c r="J10" s="119">
        <v>49</v>
      </c>
      <c r="K10" s="121">
        <v>123</v>
      </c>
    </row>
    <row r="11" spans="1:11" ht="15" x14ac:dyDescent="0.25">
      <c r="A11" s="75" t="s">
        <v>11</v>
      </c>
      <c r="B11" s="76">
        <f t="shared" si="0"/>
        <v>10</v>
      </c>
      <c r="C11" s="77">
        <v>3</v>
      </c>
      <c r="D11" s="76">
        <v>2022</v>
      </c>
      <c r="E11" s="78">
        <f>Electricity!E16</f>
        <v>9150.2199999999993</v>
      </c>
      <c r="F11" s="79">
        <f>Electricity!I16/Electricity!E16</f>
        <v>3.6208943212294358</v>
      </c>
      <c r="G11" s="78">
        <f>Water!AW18</f>
        <v>68</v>
      </c>
      <c r="H11" s="80">
        <v>60</v>
      </c>
      <c r="I11" s="119">
        <v>21</v>
      </c>
      <c r="J11" s="119">
        <v>56</v>
      </c>
      <c r="K11" s="119">
        <v>132</v>
      </c>
    </row>
    <row r="12" spans="1:11" ht="15" x14ac:dyDescent="0.25">
      <c r="A12" s="75" t="s">
        <v>11</v>
      </c>
      <c r="B12" s="76">
        <f t="shared" si="0"/>
        <v>11</v>
      </c>
      <c r="C12" s="77">
        <v>3</v>
      </c>
      <c r="D12" s="76">
        <v>2022</v>
      </c>
      <c r="E12" s="78">
        <f>Electricity!E17</f>
        <v>9531.5</v>
      </c>
      <c r="F12" s="79">
        <f>Electricity!I17/Electricity!E17</f>
        <v>3.6129855025966533</v>
      </c>
      <c r="G12" s="78">
        <f>Water!AW19</f>
        <v>46</v>
      </c>
      <c r="H12" s="80">
        <v>60</v>
      </c>
      <c r="I12" s="119">
        <v>18</v>
      </c>
      <c r="J12" s="119">
        <v>53</v>
      </c>
      <c r="K12" s="119">
        <v>121</v>
      </c>
    </row>
    <row r="13" spans="1:11" ht="15" x14ac:dyDescent="0.25">
      <c r="A13" s="75" t="s">
        <v>11</v>
      </c>
      <c r="B13" s="76">
        <f t="shared" si="0"/>
        <v>12</v>
      </c>
      <c r="C13" s="77">
        <v>3</v>
      </c>
      <c r="D13" s="76">
        <v>2022</v>
      </c>
      <c r="E13" s="78">
        <f>Electricity!E18</f>
        <v>9991.8700000000008</v>
      </c>
      <c r="F13" s="79">
        <f>Electricity!I18/Electricity!E18</f>
        <v>2.6036999999999999</v>
      </c>
      <c r="G13" s="78">
        <f>Water!AW20</f>
        <v>46</v>
      </c>
      <c r="H13" s="80">
        <v>60</v>
      </c>
      <c r="I13" s="119">
        <v>22</v>
      </c>
      <c r="J13" s="119">
        <v>66</v>
      </c>
      <c r="K13" s="119">
        <v>139</v>
      </c>
    </row>
    <row r="14" spans="1:11" ht="15" x14ac:dyDescent="0.25">
      <c r="A14" s="75" t="s">
        <v>11</v>
      </c>
      <c r="B14" s="76">
        <f t="shared" si="0"/>
        <v>13</v>
      </c>
      <c r="C14" s="77">
        <v>3</v>
      </c>
      <c r="D14" s="76">
        <v>2022</v>
      </c>
      <c r="E14" s="78">
        <f>Electricity!E19</f>
        <v>10877.85</v>
      </c>
      <c r="F14" s="79">
        <f>Electricity!I19/Electricity!E19</f>
        <v>2.6036999999999999</v>
      </c>
      <c r="G14" s="78">
        <f>Water!AW21</f>
        <v>100</v>
      </c>
      <c r="H14" s="80">
        <v>60</v>
      </c>
      <c r="I14" s="117">
        <v>42</v>
      </c>
      <c r="J14" s="117">
        <v>96</v>
      </c>
      <c r="K14" s="119">
        <v>194</v>
      </c>
    </row>
    <row r="15" spans="1:11" ht="15" x14ac:dyDescent="0.25">
      <c r="A15" s="75" t="s">
        <v>11</v>
      </c>
      <c r="B15" s="76">
        <f t="shared" si="0"/>
        <v>14</v>
      </c>
      <c r="C15" s="77">
        <v>3</v>
      </c>
      <c r="D15" s="76">
        <v>2022</v>
      </c>
      <c r="E15" s="78">
        <f>Electricity!E20</f>
        <v>10855.28</v>
      </c>
      <c r="F15" s="79">
        <f>Electricity!I20/Electricity!E20</f>
        <v>3.6073085545467278</v>
      </c>
      <c r="G15" s="78">
        <f>Water!AW22</f>
        <v>81</v>
      </c>
      <c r="H15" s="80">
        <v>60</v>
      </c>
      <c r="I15" s="119">
        <v>38</v>
      </c>
      <c r="J15" s="119">
        <v>92</v>
      </c>
      <c r="K15" s="119">
        <v>168</v>
      </c>
    </row>
    <row r="16" spans="1:11" ht="15" x14ac:dyDescent="0.25">
      <c r="A16" s="75" t="s">
        <v>11</v>
      </c>
      <c r="B16" s="76">
        <f t="shared" si="0"/>
        <v>15</v>
      </c>
      <c r="C16" s="77">
        <v>3</v>
      </c>
      <c r="D16" s="76">
        <v>2022</v>
      </c>
      <c r="E16" s="78">
        <f>Electricity!E21</f>
        <v>10174.49</v>
      </c>
      <c r="F16" s="79">
        <f>Electricity!I21/Electricity!E21</f>
        <v>3.6345996065650468</v>
      </c>
      <c r="G16" s="78">
        <f>Water!AW23</f>
        <v>90</v>
      </c>
      <c r="H16" s="80">
        <v>60</v>
      </c>
      <c r="I16" s="121">
        <v>20</v>
      </c>
      <c r="J16" s="121">
        <v>53</v>
      </c>
      <c r="K16" s="119">
        <v>166</v>
      </c>
    </row>
    <row r="17" spans="1:11" ht="15" x14ac:dyDescent="0.25">
      <c r="A17" s="75" t="s">
        <v>11</v>
      </c>
      <c r="B17" s="76">
        <f t="shared" si="0"/>
        <v>16</v>
      </c>
      <c r="C17" s="77">
        <v>3</v>
      </c>
      <c r="D17" s="76">
        <v>2022</v>
      </c>
      <c r="E17" s="78">
        <f>Electricity!E22</f>
        <v>9592.66</v>
      </c>
      <c r="F17" s="79">
        <f>Electricity!I22/Electricity!E22</f>
        <v>3.6353948362602235</v>
      </c>
      <c r="G17" s="78">
        <f>Water!AW24</f>
        <v>77</v>
      </c>
      <c r="H17" s="80">
        <v>60</v>
      </c>
      <c r="I17" s="121">
        <v>21</v>
      </c>
      <c r="J17" s="121">
        <v>56</v>
      </c>
      <c r="K17" s="121">
        <v>141</v>
      </c>
    </row>
    <row r="18" spans="1:11" ht="15" x14ac:dyDescent="0.25">
      <c r="A18" s="75" t="s">
        <v>11</v>
      </c>
      <c r="B18" s="76">
        <f t="shared" si="0"/>
        <v>17</v>
      </c>
      <c r="C18" s="77">
        <v>3</v>
      </c>
      <c r="D18" s="76">
        <v>2022</v>
      </c>
      <c r="E18" s="78">
        <f>Electricity!E23</f>
        <v>10005.469999999999</v>
      </c>
      <c r="F18" s="79">
        <f>Electricity!I23/Electricity!E23</f>
        <v>3.633431877263138</v>
      </c>
      <c r="G18" s="78">
        <f>Water!AW25</f>
        <v>68</v>
      </c>
      <c r="H18" s="80">
        <v>60</v>
      </c>
      <c r="I18" s="117">
        <v>12</v>
      </c>
      <c r="J18" s="117">
        <v>46</v>
      </c>
      <c r="K18" s="121">
        <v>146</v>
      </c>
    </row>
    <row r="19" spans="1:11" ht="15" x14ac:dyDescent="0.25">
      <c r="A19" s="75" t="s">
        <v>11</v>
      </c>
      <c r="B19" s="76">
        <f t="shared" si="0"/>
        <v>18</v>
      </c>
      <c r="C19" s="77">
        <v>3</v>
      </c>
      <c r="D19" s="76">
        <v>2022</v>
      </c>
      <c r="E19" s="78">
        <f>Electricity!E24</f>
        <v>9737.06</v>
      </c>
      <c r="F19" s="79">
        <f>Electricity!I24/Electricity!E24</f>
        <v>3.6803748151906226</v>
      </c>
      <c r="G19" s="78">
        <f>Water!AW26</f>
        <v>61</v>
      </c>
      <c r="H19" s="80">
        <v>60</v>
      </c>
      <c r="I19" s="117">
        <v>37</v>
      </c>
      <c r="J19" s="117">
        <v>101</v>
      </c>
      <c r="K19" s="121">
        <v>142</v>
      </c>
    </row>
    <row r="20" spans="1:11" ht="15" x14ac:dyDescent="0.25">
      <c r="A20" s="75" t="s">
        <v>11</v>
      </c>
      <c r="B20" s="76">
        <f t="shared" si="0"/>
        <v>19</v>
      </c>
      <c r="C20" s="77">
        <v>3</v>
      </c>
      <c r="D20" s="76">
        <v>2022</v>
      </c>
      <c r="E20" s="78">
        <f>Electricity!E25</f>
        <v>11789.67</v>
      </c>
      <c r="F20" s="79">
        <f>Electricity!I25/Electricity!E25</f>
        <v>2.6036999999999999</v>
      </c>
      <c r="G20" s="78">
        <f>Water!AW27</f>
        <v>86</v>
      </c>
      <c r="H20" s="80">
        <v>60</v>
      </c>
      <c r="I20" s="117">
        <v>48</v>
      </c>
      <c r="J20" s="117">
        <v>129</v>
      </c>
      <c r="K20" s="121">
        <v>304</v>
      </c>
    </row>
    <row r="21" spans="1:11" ht="15" x14ac:dyDescent="0.25">
      <c r="A21" s="75" t="s">
        <v>11</v>
      </c>
      <c r="B21" s="76">
        <f t="shared" si="0"/>
        <v>20</v>
      </c>
      <c r="C21" s="77">
        <v>3</v>
      </c>
      <c r="D21" s="76">
        <v>2022</v>
      </c>
      <c r="E21" s="78">
        <f>Electricity!E26</f>
        <v>11615.84</v>
      </c>
      <c r="F21" s="79">
        <f>Electricity!I26/Electricity!E26</f>
        <v>2.6036999999999999</v>
      </c>
      <c r="G21" s="78">
        <f>Water!AW28</f>
        <v>74</v>
      </c>
      <c r="H21" s="80">
        <v>60</v>
      </c>
      <c r="I21" s="119">
        <v>36</v>
      </c>
      <c r="J21" s="119">
        <v>88</v>
      </c>
      <c r="K21" s="119">
        <v>264</v>
      </c>
    </row>
    <row r="22" spans="1:11" ht="15" x14ac:dyDescent="0.25">
      <c r="A22" s="75" t="s">
        <v>11</v>
      </c>
      <c r="B22" s="76">
        <f t="shared" si="0"/>
        <v>21</v>
      </c>
      <c r="C22" s="77">
        <v>3</v>
      </c>
      <c r="D22" s="76">
        <v>2022</v>
      </c>
      <c r="E22" s="78">
        <f>Electricity!E27</f>
        <v>10528.44</v>
      </c>
      <c r="F22" s="79">
        <f>Electricity!I27/Electricity!E27</f>
        <v>3.6506212979320773</v>
      </c>
      <c r="G22" s="78">
        <f>Water!AW29</f>
        <v>74</v>
      </c>
      <c r="H22" s="80">
        <v>60</v>
      </c>
      <c r="I22" s="121">
        <v>23</v>
      </c>
      <c r="J22" s="121">
        <v>82</v>
      </c>
      <c r="K22" s="119">
        <v>218</v>
      </c>
    </row>
    <row r="23" spans="1:11" ht="15" x14ac:dyDescent="0.25">
      <c r="A23" s="75" t="s">
        <v>11</v>
      </c>
      <c r="B23" s="76">
        <f t="shared" si="0"/>
        <v>22</v>
      </c>
      <c r="C23" s="77">
        <v>3</v>
      </c>
      <c r="D23" s="76">
        <v>2022</v>
      </c>
      <c r="E23" s="78">
        <f>Electricity!E28</f>
        <v>9798.2999999999993</v>
      </c>
      <c r="F23" s="79">
        <f>Electricity!I28/Electricity!E28</f>
        <v>3.6458759527673172</v>
      </c>
      <c r="G23" s="78">
        <f>Water!AW30</f>
        <v>64</v>
      </c>
      <c r="H23" s="80">
        <v>60</v>
      </c>
      <c r="I23" s="117">
        <v>24</v>
      </c>
      <c r="J23" s="121">
        <v>75</v>
      </c>
      <c r="K23" s="121">
        <v>210</v>
      </c>
    </row>
    <row r="24" spans="1:11" ht="15" x14ac:dyDescent="0.25">
      <c r="A24" s="75" t="s">
        <v>11</v>
      </c>
      <c r="B24" s="76">
        <f t="shared" si="0"/>
        <v>23</v>
      </c>
      <c r="C24" s="77">
        <v>3</v>
      </c>
      <c r="D24" s="76">
        <v>2022</v>
      </c>
      <c r="E24" s="78">
        <f>Electricity!E29</f>
        <v>9489.7200000000012</v>
      </c>
      <c r="F24" s="79">
        <f>Electricity!I29/Electricity!E29</f>
        <v>3.6232521429504767</v>
      </c>
      <c r="G24" s="78">
        <f>Water!AW31</f>
        <v>46</v>
      </c>
      <c r="H24" s="80">
        <v>60</v>
      </c>
      <c r="I24" s="119">
        <v>19</v>
      </c>
      <c r="J24" s="119">
        <v>55</v>
      </c>
      <c r="K24" s="121">
        <v>166</v>
      </c>
    </row>
    <row r="25" spans="1:11" ht="15" x14ac:dyDescent="0.25">
      <c r="A25" s="75" t="s">
        <v>11</v>
      </c>
      <c r="B25" s="76">
        <f t="shared" si="0"/>
        <v>24</v>
      </c>
      <c r="C25" s="77">
        <v>3</v>
      </c>
      <c r="D25" s="76">
        <v>2022</v>
      </c>
      <c r="E25" s="78">
        <f>Electricity!E30</f>
        <v>9842.31</v>
      </c>
      <c r="F25" s="79">
        <f>Electricity!I30/Electricity!E30</f>
        <v>3.6024442114706816</v>
      </c>
      <c r="G25" s="78">
        <f>Water!AW32</f>
        <v>35</v>
      </c>
      <c r="H25" s="80">
        <v>60</v>
      </c>
      <c r="I25" s="119">
        <v>20</v>
      </c>
      <c r="J25" s="119">
        <v>48</v>
      </c>
      <c r="K25" s="121">
        <v>150</v>
      </c>
    </row>
    <row r="26" spans="1:11" ht="15" x14ac:dyDescent="0.25">
      <c r="A26" s="75" t="s">
        <v>11</v>
      </c>
      <c r="B26" s="76">
        <f>B25+1</f>
        <v>25</v>
      </c>
      <c r="C26" s="77">
        <v>3</v>
      </c>
      <c r="D26" s="76">
        <v>2022</v>
      </c>
      <c r="E26" s="78">
        <f>Electricity!E31</f>
        <v>10483.200000000001</v>
      </c>
      <c r="F26" s="79">
        <f>Electricity!I31/Electricity!E31</f>
        <v>3.6197900648656902</v>
      </c>
      <c r="G26" s="78">
        <f>Water!AW33</f>
        <v>165</v>
      </c>
      <c r="H26" s="80">
        <v>60</v>
      </c>
      <c r="I26" s="119">
        <v>25</v>
      </c>
      <c r="J26" s="119">
        <v>74</v>
      </c>
      <c r="K26" s="121">
        <v>130</v>
      </c>
    </row>
    <row r="27" spans="1:11" ht="15" x14ac:dyDescent="0.25">
      <c r="A27" s="75" t="s">
        <v>11</v>
      </c>
      <c r="B27" s="76">
        <f t="shared" si="0"/>
        <v>26</v>
      </c>
      <c r="C27" s="77">
        <v>3</v>
      </c>
      <c r="D27" s="76">
        <v>2022</v>
      </c>
      <c r="E27" s="78">
        <f>Electricity!E32</f>
        <v>10770.22</v>
      </c>
      <c r="F27" s="79">
        <f>Electricity!I32/Electricity!E32</f>
        <v>2.6036999999999999</v>
      </c>
      <c r="G27" s="78">
        <f>Water!AW34</f>
        <v>49</v>
      </c>
      <c r="H27" s="80">
        <v>60</v>
      </c>
      <c r="I27" s="119">
        <v>26</v>
      </c>
      <c r="J27" s="119">
        <v>75</v>
      </c>
      <c r="K27" s="121">
        <v>222</v>
      </c>
    </row>
    <row r="28" spans="1:11" ht="15" x14ac:dyDescent="0.25">
      <c r="A28" s="75" t="s">
        <v>11</v>
      </c>
      <c r="B28" s="76">
        <f t="shared" si="0"/>
        <v>27</v>
      </c>
      <c r="C28" s="77">
        <v>3</v>
      </c>
      <c r="D28" s="76">
        <v>2022</v>
      </c>
      <c r="E28" s="78">
        <f>Electricity!E33</f>
        <v>11291.12</v>
      </c>
      <c r="F28" s="79">
        <f>Electricity!I33/Electricity!E33</f>
        <v>2.6036999999999999</v>
      </c>
      <c r="G28" s="78">
        <f>Water!AW35</f>
        <v>70</v>
      </c>
      <c r="H28" s="80">
        <v>60</v>
      </c>
      <c r="I28" s="119">
        <v>33</v>
      </c>
      <c r="J28" s="119">
        <v>91</v>
      </c>
      <c r="K28" s="121">
        <v>233</v>
      </c>
    </row>
    <row r="29" spans="1:11" ht="15" x14ac:dyDescent="0.25">
      <c r="A29" s="75" t="s">
        <v>11</v>
      </c>
      <c r="B29" s="76">
        <f t="shared" si="0"/>
        <v>28</v>
      </c>
      <c r="C29" s="77">
        <v>3</v>
      </c>
      <c r="D29" s="76">
        <v>2022</v>
      </c>
      <c r="E29" s="78">
        <f>Electricity!E34</f>
        <v>11492.87</v>
      </c>
      <c r="F29" s="79">
        <f>Electricity!I34/Electricity!E34</f>
        <v>3.6045211529409107</v>
      </c>
      <c r="G29" s="78">
        <f>Water!AW36</f>
        <v>59</v>
      </c>
      <c r="H29" s="80">
        <v>60</v>
      </c>
      <c r="I29" s="119">
        <v>26</v>
      </c>
      <c r="J29" s="119">
        <v>75</v>
      </c>
      <c r="K29" s="121">
        <v>222</v>
      </c>
    </row>
    <row r="30" spans="1:11" ht="15" x14ac:dyDescent="0.25">
      <c r="A30" s="75" t="s">
        <v>11</v>
      </c>
      <c r="B30" s="76">
        <f t="shared" si="0"/>
        <v>29</v>
      </c>
      <c r="C30" s="77">
        <v>3</v>
      </c>
      <c r="D30" s="76">
        <v>2022</v>
      </c>
      <c r="E30" s="78">
        <f>Electricity!E35</f>
        <v>11226.5</v>
      </c>
      <c r="F30" s="79">
        <f>Electricity!I35/Electricity!E35</f>
        <v>3.6242362736382665</v>
      </c>
      <c r="G30" s="78">
        <f>Water!AW37</f>
        <v>83</v>
      </c>
      <c r="H30" s="80">
        <v>60</v>
      </c>
      <c r="I30" s="119">
        <v>24</v>
      </c>
      <c r="J30" s="119">
        <v>71</v>
      </c>
      <c r="K30" s="119">
        <v>170</v>
      </c>
    </row>
    <row r="31" spans="1:11" ht="15" x14ac:dyDescent="0.25">
      <c r="A31" s="75" t="s">
        <v>11</v>
      </c>
      <c r="B31" s="76">
        <f t="shared" si="0"/>
        <v>30</v>
      </c>
      <c r="C31" s="77">
        <v>3</v>
      </c>
      <c r="D31" s="76">
        <v>2022</v>
      </c>
      <c r="E31" s="78">
        <f>Electricity!E36</f>
        <v>10849.21</v>
      </c>
      <c r="F31" s="79">
        <f>Electricity!I36/Electricity!E36</f>
        <v>3.628736046126861</v>
      </c>
      <c r="G31" s="78">
        <f>Water!AW38</f>
        <v>36</v>
      </c>
      <c r="H31" s="80">
        <v>60</v>
      </c>
      <c r="I31" s="119">
        <v>27</v>
      </c>
      <c r="J31" s="119">
        <v>77</v>
      </c>
      <c r="K31" s="119">
        <v>194</v>
      </c>
    </row>
    <row r="32" spans="1:11" ht="16.5" customHeight="1" x14ac:dyDescent="0.25">
      <c r="A32" s="75" t="s">
        <v>11</v>
      </c>
      <c r="B32" s="76">
        <f t="shared" si="0"/>
        <v>31</v>
      </c>
      <c r="C32" s="77">
        <v>3</v>
      </c>
      <c r="D32" s="76">
        <v>2022</v>
      </c>
      <c r="E32" s="78">
        <f>Electricity!E37</f>
        <v>11102.82</v>
      </c>
      <c r="F32" s="79">
        <f>Electricity!I37/Electricity!E37</f>
        <v>3.6414711536348428</v>
      </c>
      <c r="G32" s="78">
        <f>Water!AW39</f>
        <v>63</v>
      </c>
      <c r="H32" s="80">
        <v>60</v>
      </c>
      <c r="I32" s="119">
        <v>23</v>
      </c>
      <c r="J32" s="119">
        <v>63</v>
      </c>
      <c r="K32" s="119">
        <v>187</v>
      </c>
    </row>
    <row r="33" spans="7:11" x14ac:dyDescent="0.2">
      <c r="G33" s="161"/>
      <c r="I33" s="158">
        <f>SUM(I2:I32)</f>
        <v>771</v>
      </c>
      <c r="J33" s="158">
        <f>SUM(J2:J32)</f>
        <v>2078</v>
      </c>
      <c r="K33" s="158">
        <f>SUM(K2:K32)</f>
        <v>5166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N46"/>
  <sheetViews>
    <sheetView zoomScaleNormal="100" workbookViewId="0">
      <pane ySplit="6" topLeftCell="A7" activePane="bottomLeft" state="frozen"/>
      <selection pane="bottomLeft" activeCell="C39" sqref="C39"/>
    </sheetView>
  </sheetViews>
  <sheetFormatPr defaultRowHeight="12.75" x14ac:dyDescent="0.2"/>
  <cols>
    <col min="1" max="1" width="7.28515625" style="1" customWidth="1"/>
    <col min="2" max="8" width="13.140625" style="1" customWidth="1"/>
    <col min="9" max="9" width="13.85546875" style="1" bestFit="1" customWidth="1"/>
    <col min="10" max="10" width="13.140625" style="1" customWidth="1"/>
    <col min="11" max="11" width="9.140625" style="1"/>
    <col min="12" max="14" width="12.5703125" style="1" bestFit="1" customWidth="1"/>
    <col min="15" max="16384" width="9.140625" style="1"/>
  </cols>
  <sheetData>
    <row r="2" spans="1:14" x14ac:dyDescent="0.2">
      <c r="A2" s="1" t="s">
        <v>12</v>
      </c>
    </row>
    <row r="3" spans="1:14" ht="19.5" customHeight="1" x14ac:dyDescent="0.25">
      <c r="A3" s="138">
        <v>44621</v>
      </c>
      <c r="B3" s="138"/>
      <c r="J3" s="2" t="s">
        <v>13</v>
      </c>
    </row>
    <row r="4" spans="1:14" x14ac:dyDescent="0.2">
      <c r="A4" s="139" t="s">
        <v>14</v>
      </c>
      <c r="B4" s="142" t="s">
        <v>15</v>
      </c>
      <c r="C4" s="142" t="s">
        <v>16</v>
      </c>
      <c r="D4" s="145" t="s">
        <v>17</v>
      </c>
      <c r="E4" s="136" t="s">
        <v>18</v>
      </c>
      <c r="F4" s="3" t="s">
        <v>19</v>
      </c>
      <c r="G4" s="3" t="s">
        <v>20</v>
      </c>
      <c r="H4" s="3" t="s">
        <v>21</v>
      </c>
      <c r="I4" s="151" t="s">
        <v>22</v>
      </c>
      <c r="J4" s="154" t="s">
        <v>23</v>
      </c>
      <c r="L4" s="148" t="s">
        <v>24</v>
      </c>
      <c r="M4" s="148" t="s">
        <v>9</v>
      </c>
      <c r="N4" s="148" t="s">
        <v>10</v>
      </c>
    </row>
    <row r="5" spans="1:14" x14ac:dyDescent="0.2">
      <c r="A5" s="140"/>
      <c r="B5" s="143"/>
      <c r="C5" s="143"/>
      <c r="D5" s="146"/>
      <c r="E5" s="137"/>
      <c r="F5" s="4" t="s">
        <v>25</v>
      </c>
      <c r="G5" s="4" t="s">
        <v>26</v>
      </c>
      <c r="H5" s="4" t="s">
        <v>27</v>
      </c>
      <c r="I5" s="152"/>
      <c r="J5" s="155"/>
      <c r="L5" s="149"/>
      <c r="M5" s="149"/>
      <c r="N5" s="149"/>
    </row>
    <row r="6" spans="1:14" ht="13.5" thickBot="1" x14ac:dyDescent="0.25">
      <c r="A6" s="141"/>
      <c r="B6" s="144"/>
      <c r="C6" s="144"/>
      <c r="D6" s="147"/>
      <c r="E6" s="5" t="s">
        <v>28</v>
      </c>
      <c r="F6" s="6">
        <v>4.1839000000000004</v>
      </c>
      <c r="G6" s="6">
        <v>2.6036999999999999</v>
      </c>
      <c r="H6" s="6">
        <v>2.0603699999999998</v>
      </c>
      <c r="I6" s="153"/>
      <c r="J6" s="7">
        <v>1.3899999999999999E-2</v>
      </c>
      <c r="L6" s="150"/>
      <c r="M6" s="150"/>
      <c r="N6" s="150"/>
    </row>
    <row r="7" spans="1:14" x14ac:dyDescent="0.2">
      <c r="A7" s="8">
        <v>1</v>
      </c>
      <c r="B7" s="106">
        <v>5946.29</v>
      </c>
      <c r="C7" s="106">
        <v>3108.45</v>
      </c>
      <c r="D7" s="107"/>
      <c r="E7" s="89">
        <f>+B7+C7+D7</f>
        <v>9054.74</v>
      </c>
      <c r="F7" s="91">
        <f>+B7*4.1839</f>
        <v>24878.682731000001</v>
      </c>
      <c r="G7" s="91">
        <f>+C7*2.6037</f>
        <v>8093.4712649999992</v>
      </c>
      <c r="H7" s="90">
        <f>+D7*2.6037</f>
        <v>0</v>
      </c>
      <c r="I7" s="92">
        <f>F7+G7+H7</f>
        <v>32972.153996000001</v>
      </c>
      <c r="J7" s="93">
        <f>+E7*-0.1243</f>
        <v>-1125.5041819999999</v>
      </c>
      <c r="L7" s="81">
        <v>17</v>
      </c>
      <c r="M7" s="81">
        <v>44</v>
      </c>
      <c r="N7" s="82">
        <v>103</v>
      </c>
    </row>
    <row r="8" spans="1:14" x14ac:dyDescent="0.2">
      <c r="A8" s="8">
        <v>2</v>
      </c>
      <c r="B8" s="101">
        <v>5678.85</v>
      </c>
      <c r="C8" s="101">
        <v>2920.14</v>
      </c>
      <c r="D8" s="102"/>
      <c r="E8" s="94">
        <f>+B8+C8+D8</f>
        <v>8598.99</v>
      </c>
      <c r="F8" s="95">
        <f t="shared" ref="F8:F37" si="0">+B8*4.1839</f>
        <v>23759.740515000005</v>
      </c>
      <c r="G8" s="95">
        <f t="shared" ref="G8:H37" si="1">+C8*2.6037</f>
        <v>7603.1685179999995</v>
      </c>
      <c r="H8" s="96">
        <f t="shared" si="1"/>
        <v>0</v>
      </c>
      <c r="I8" s="97">
        <f t="shared" ref="I8:I37" si="2">F8+G8+H8</f>
        <v>31362.909033000004</v>
      </c>
      <c r="J8" s="98">
        <f t="shared" ref="J8:J37" si="3">+E8*-0.1243</f>
        <v>-1068.8544569999999</v>
      </c>
      <c r="L8" s="81">
        <v>22</v>
      </c>
      <c r="M8" s="81">
        <v>54</v>
      </c>
      <c r="N8" s="83">
        <v>128</v>
      </c>
    </row>
    <row r="9" spans="1:14" ht="12.75" customHeight="1" x14ac:dyDescent="0.2">
      <c r="A9" s="8">
        <v>3</v>
      </c>
      <c r="B9" s="101">
        <v>6167.11</v>
      </c>
      <c r="C9" s="101">
        <v>3276.92</v>
      </c>
      <c r="D9" s="108"/>
      <c r="E9" s="99">
        <f>+B9+C9+D9</f>
        <v>9444.0299999999988</v>
      </c>
      <c r="F9" s="95">
        <f t="shared" si="0"/>
        <v>25802.571529000001</v>
      </c>
      <c r="G9" s="95">
        <f t="shared" si="1"/>
        <v>8532.1166040000007</v>
      </c>
      <c r="H9" s="96">
        <f t="shared" si="1"/>
        <v>0</v>
      </c>
      <c r="I9" s="97">
        <f t="shared" si="2"/>
        <v>34334.688133000003</v>
      </c>
      <c r="J9" s="98">
        <f t="shared" si="3"/>
        <v>-1173.8929289999999</v>
      </c>
      <c r="L9" s="81">
        <v>24</v>
      </c>
      <c r="M9" s="81">
        <v>60</v>
      </c>
      <c r="N9" s="84">
        <v>138</v>
      </c>
    </row>
    <row r="10" spans="1:14" ht="12.75" customHeight="1" x14ac:dyDescent="0.2">
      <c r="A10" s="8">
        <v>4</v>
      </c>
      <c r="B10" s="101">
        <v>6186.89</v>
      </c>
      <c r="C10" s="101">
        <v>3300.08</v>
      </c>
      <c r="D10" s="103"/>
      <c r="E10" s="99">
        <f t="shared" ref="E10:E37" si="4">+B10+C10+D10</f>
        <v>9486.9700000000012</v>
      </c>
      <c r="F10" s="95">
        <f t="shared" si="0"/>
        <v>25885.329071000004</v>
      </c>
      <c r="G10" s="95">
        <f t="shared" si="1"/>
        <v>8592.4182959999998</v>
      </c>
      <c r="H10" s="96">
        <f t="shared" si="1"/>
        <v>0</v>
      </c>
      <c r="I10" s="97">
        <f t="shared" si="2"/>
        <v>34477.747367000004</v>
      </c>
      <c r="J10" s="98">
        <f t="shared" si="3"/>
        <v>-1179.2303710000001</v>
      </c>
      <c r="L10" s="81">
        <v>24</v>
      </c>
      <c r="M10" s="81">
        <v>51</v>
      </c>
      <c r="N10" s="84">
        <v>133</v>
      </c>
    </row>
    <row r="11" spans="1:14" x14ac:dyDescent="0.2">
      <c r="A11" s="8">
        <v>5</v>
      </c>
      <c r="B11" s="101"/>
      <c r="C11" s="101"/>
      <c r="D11" s="102">
        <v>9248.98</v>
      </c>
      <c r="E11" s="99">
        <f t="shared" si="4"/>
        <v>9248.98</v>
      </c>
      <c r="F11" s="95">
        <f t="shared" si="0"/>
        <v>0</v>
      </c>
      <c r="G11" s="95">
        <f t="shared" si="1"/>
        <v>0</v>
      </c>
      <c r="H11" s="96">
        <f t="shared" si="1"/>
        <v>24081.569226</v>
      </c>
      <c r="I11" s="97">
        <f t="shared" si="2"/>
        <v>24081.569226</v>
      </c>
      <c r="J11" s="98">
        <f t="shared" si="3"/>
        <v>-1149.6482139999998</v>
      </c>
      <c r="L11" s="81">
        <v>23</v>
      </c>
      <c r="M11" s="81">
        <v>57</v>
      </c>
      <c r="N11" s="81">
        <v>162</v>
      </c>
    </row>
    <row r="12" spans="1:14" x14ac:dyDescent="0.2">
      <c r="A12" s="8">
        <v>6</v>
      </c>
      <c r="B12" s="101"/>
      <c r="C12" s="101"/>
      <c r="D12" s="102">
        <v>9424</v>
      </c>
      <c r="E12" s="99">
        <f t="shared" si="4"/>
        <v>9424</v>
      </c>
      <c r="F12" s="95">
        <f>+B12*4.1839</f>
        <v>0</v>
      </c>
      <c r="G12" s="95">
        <f t="shared" si="1"/>
        <v>0</v>
      </c>
      <c r="H12" s="96">
        <f t="shared" si="1"/>
        <v>24537.268799999998</v>
      </c>
      <c r="I12" s="97">
        <f t="shared" si="2"/>
        <v>24537.268799999998</v>
      </c>
      <c r="J12" s="98">
        <f t="shared" si="3"/>
        <v>-1171.4032</v>
      </c>
      <c r="L12" s="83">
        <v>18</v>
      </c>
      <c r="M12" s="83">
        <v>45</v>
      </c>
      <c r="N12" s="83">
        <v>123</v>
      </c>
    </row>
    <row r="13" spans="1:14" x14ac:dyDescent="0.2">
      <c r="A13" s="8">
        <v>7</v>
      </c>
      <c r="B13" s="103">
        <v>6193.27</v>
      </c>
      <c r="C13" s="103">
        <v>3331.17</v>
      </c>
      <c r="D13" s="104"/>
      <c r="E13" s="99">
        <f t="shared" si="4"/>
        <v>9524.44</v>
      </c>
      <c r="F13" s="96">
        <f t="shared" si="0"/>
        <v>25912.022353000004</v>
      </c>
      <c r="G13" s="96">
        <f t="shared" si="1"/>
        <v>8673.3673290000006</v>
      </c>
      <c r="H13" s="95">
        <f t="shared" si="1"/>
        <v>0</v>
      </c>
      <c r="I13" s="97">
        <f t="shared" si="2"/>
        <v>34585.389682000008</v>
      </c>
      <c r="J13" s="98">
        <f t="shared" si="3"/>
        <v>-1183.887892</v>
      </c>
      <c r="L13" s="83">
        <v>19</v>
      </c>
      <c r="M13" s="83">
        <v>49</v>
      </c>
      <c r="N13" s="83">
        <v>133</v>
      </c>
    </row>
    <row r="14" spans="1:14" x14ac:dyDescent="0.2">
      <c r="A14" s="8">
        <v>8</v>
      </c>
      <c r="B14" s="103">
        <v>5404.14</v>
      </c>
      <c r="C14" s="103">
        <v>3212.6</v>
      </c>
      <c r="D14" s="104"/>
      <c r="E14" s="99">
        <f t="shared" si="4"/>
        <v>8616.74</v>
      </c>
      <c r="F14" s="96">
        <f t="shared" si="0"/>
        <v>22610.381346000002</v>
      </c>
      <c r="G14" s="96">
        <f t="shared" si="1"/>
        <v>8364.6466199999995</v>
      </c>
      <c r="H14" s="95">
        <f t="shared" si="1"/>
        <v>0</v>
      </c>
      <c r="I14" s="97">
        <f t="shared" si="2"/>
        <v>30975.027966000001</v>
      </c>
      <c r="J14" s="98">
        <f t="shared" si="3"/>
        <v>-1071.060782</v>
      </c>
      <c r="L14" s="83">
        <v>19</v>
      </c>
      <c r="M14" s="83">
        <v>47</v>
      </c>
      <c r="N14" s="83">
        <v>104</v>
      </c>
    </row>
    <row r="15" spans="1:14" x14ac:dyDescent="0.2">
      <c r="A15" s="8">
        <v>9</v>
      </c>
      <c r="B15" s="101">
        <v>5782.87</v>
      </c>
      <c r="C15" s="101">
        <v>3075.42</v>
      </c>
      <c r="D15" s="103"/>
      <c r="E15" s="99">
        <f t="shared" si="4"/>
        <v>8858.2900000000009</v>
      </c>
      <c r="F15" s="95">
        <f t="shared" si="0"/>
        <v>24194.949793000003</v>
      </c>
      <c r="G15" s="95">
        <f t="shared" si="1"/>
        <v>8007.4710539999996</v>
      </c>
      <c r="H15" s="96">
        <f t="shared" si="1"/>
        <v>0</v>
      </c>
      <c r="I15" s="97">
        <f t="shared" si="2"/>
        <v>32202.420847000001</v>
      </c>
      <c r="J15" s="98">
        <f t="shared" si="3"/>
        <v>-1101.0854470000002</v>
      </c>
      <c r="L15" s="83">
        <v>20</v>
      </c>
      <c r="M15" s="83">
        <v>49</v>
      </c>
      <c r="N15" s="85">
        <v>123</v>
      </c>
    </row>
    <row r="16" spans="1:14" x14ac:dyDescent="0.2">
      <c r="A16" s="8">
        <v>10</v>
      </c>
      <c r="B16" s="101">
        <v>5890.11</v>
      </c>
      <c r="C16" s="101">
        <v>3260.11</v>
      </c>
      <c r="D16" s="102"/>
      <c r="E16" s="99">
        <f t="shared" si="4"/>
        <v>9150.2199999999993</v>
      </c>
      <c r="F16" s="95">
        <f t="shared" si="0"/>
        <v>24643.631229000002</v>
      </c>
      <c r="G16" s="95">
        <f t="shared" si="1"/>
        <v>8488.3484069999995</v>
      </c>
      <c r="H16" s="96">
        <f t="shared" si="1"/>
        <v>0</v>
      </c>
      <c r="I16" s="97">
        <f t="shared" si="2"/>
        <v>33131.979636000004</v>
      </c>
      <c r="J16" s="98">
        <f t="shared" si="3"/>
        <v>-1137.3723459999999</v>
      </c>
      <c r="L16" s="83">
        <v>21</v>
      </c>
      <c r="M16" s="83">
        <v>56</v>
      </c>
      <c r="N16" s="83">
        <v>132</v>
      </c>
    </row>
    <row r="17" spans="1:14" x14ac:dyDescent="0.2">
      <c r="A17" s="8">
        <v>11</v>
      </c>
      <c r="B17" s="101">
        <v>6087.84</v>
      </c>
      <c r="C17" s="101">
        <v>3443.66</v>
      </c>
      <c r="D17" s="103"/>
      <c r="E17" s="94">
        <f t="shared" si="4"/>
        <v>9531.5</v>
      </c>
      <c r="F17" s="95">
        <f t="shared" si="0"/>
        <v>25470.913776000001</v>
      </c>
      <c r="G17" s="95">
        <f t="shared" si="1"/>
        <v>8966.2575419999994</v>
      </c>
      <c r="H17" s="96">
        <f t="shared" si="1"/>
        <v>0</v>
      </c>
      <c r="I17" s="97">
        <f t="shared" si="2"/>
        <v>34437.171318000001</v>
      </c>
      <c r="J17" s="98">
        <f t="shared" si="3"/>
        <v>-1184.7654499999999</v>
      </c>
      <c r="L17" s="83">
        <v>18</v>
      </c>
      <c r="M17" s="83">
        <v>53</v>
      </c>
      <c r="N17" s="83">
        <v>121</v>
      </c>
    </row>
    <row r="18" spans="1:14" s="9" customFormat="1" x14ac:dyDescent="0.2">
      <c r="A18" s="8">
        <v>12</v>
      </c>
      <c r="B18" s="103"/>
      <c r="C18" s="103"/>
      <c r="D18" s="101">
        <v>9991.8700000000008</v>
      </c>
      <c r="E18" s="94">
        <f t="shared" si="4"/>
        <v>9991.8700000000008</v>
      </c>
      <c r="F18" s="96">
        <f t="shared" si="0"/>
        <v>0</v>
      </c>
      <c r="G18" s="96">
        <f t="shared" si="1"/>
        <v>0</v>
      </c>
      <c r="H18" s="95">
        <f t="shared" si="1"/>
        <v>26015.831919</v>
      </c>
      <c r="I18" s="97">
        <f t="shared" si="2"/>
        <v>26015.831919</v>
      </c>
      <c r="J18" s="98">
        <f t="shared" si="3"/>
        <v>-1241.9894409999999</v>
      </c>
      <c r="L18" s="83">
        <v>22</v>
      </c>
      <c r="M18" s="83">
        <v>66</v>
      </c>
      <c r="N18" s="83">
        <v>139</v>
      </c>
    </row>
    <row r="19" spans="1:14" s="9" customFormat="1" x14ac:dyDescent="0.2">
      <c r="A19" s="8">
        <v>13</v>
      </c>
      <c r="B19" s="101"/>
      <c r="C19" s="101"/>
      <c r="D19" s="102">
        <v>10877.85</v>
      </c>
      <c r="E19" s="99">
        <f t="shared" si="4"/>
        <v>10877.85</v>
      </c>
      <c r="F19" s="95">
        <f t="shared" si="0"/>
        <v>0</v>
      </c>
      <c r="G19" s="95">
        <f t="shared" si="1"/>
        <v>0</v>
      </c>
      <c r="H19" s="96">
        <f t="shared" si="1"/>
        <v>28322.658045</v>
      </c>
      <c r="I19" s="97">
        <f t="shared" si="2"/>
        <v>28322.658045</v>
      </c>
      <c r="J19" s="98">
        <f t="shared" si="3"/>
        <v>-1352.116755</v>
      </c>
      <c r="L19" s="81">
        <v>42</v>
      </c>
      <c r="M19" s="81">
        <v>96</v>
      </c>
      <c r="N19" s="83">
        <v>194</v>
      </c>
    </row>
    <row r="20" spans="1:14" s="9" customFormat="1" x14ac:dyDescent="0.2">
      <c r="A20" s="8">
        <v>14</v>
      </c>
      <c r="B20" s="103">
        <v>6894.35</v>
      </c>
      <c r="C20" s="103">
        <v>3960.93</v>
      </c>
      <c r="D20" s="104"/>
      <c r="E20" s="99">
        <f t="shared" si="4"/>
        <v>10855.28</v>
      </c>
      <c r="F20" s="96">
        <f t="shared" si="0"/>
        <v>28845.270965000003</v>
      </c>
      <c r="G20" s="96">
        <f t="shared" si="1"/>
        <v>10313.073440999999</v>
      </c>
      <c r="H20" s="95">
        <f t="shared" si="1"/>
        <v>0</v>
      </c>
      <c r="I20" s="97">
        <f t="shared" si="2"/>
        <v>39158.344406000004</v>
      </c>
      <c r="J20" s="98">
        <f t="shared" si="3"/>
        <v>-1349.3113040000001</v>
      </c>
      <c r="L20" s="83">
        <v>38</v>
      </c>
      <c r="M20" s="83">
        <v>92</v>
      </c>
      <c r="N20" s="83">
        <v>168</v>
      </c>
    </row>
    <row r="21" spans="1:14" s="9" customFormat="1" x14ac:dyDescent="0.2">
      <c r="A21" s="8">
        <v>15</v>
      </c>
      <c r="B21" s="103">
        <v>6637.69</v>
      </c>
      <c r="C21" s="103">
        <v>3536.8</v>
      </c>
      <c r="D21" s="104"/>
      <c r="E21" s="99">
        <f t="shared" si="4"/>
        <v>10174.49</v>
      </c>
      <c r="F21" s="96">
        <f t="shared" si="0"/>
        <v>27771.431191</v>
      </c>
      <c r="G21" s="96">
        <f t="shared" si="1"/>
        <v>9208.766160000001</v>
      </c>
      <c r="H21" s="95">
        <f t="shared" si="1"/>
        <v>0</v>
      </c>
      <c r="I21" s="97">
        <f t="shared" si="2"/>
        <v>36980.197351000003</v>
      </c>
      <c r="J21" s="98">
        <f t="shared" si="3"/>
        <v>-1264.6891069999999</v>
      </c>
      <c r="L21" s="85">
        <v>20</v>
      </c>
      <c r="M21" s="85">
        <v>53</v>
      </c>
      <c r="N21" s="83">
        <v>166</v>
      </c>
    </row>
    <row r="22" spans="1:14" x14ac:dyDescent="0.2">
      <c r="A22" s="8">
        <v>16</v>
      </c>
      <c r="B22" s="101">
        <v>6262.94</v>
      </c>
      <c r="C22" s="101">
        <v>3329.72</v>
      </c>
      <c r="D22" s="103"/>
      <c r="E22" s="99">
        <f t="shared" si="4"/>
        <v>9592.66</v>
      </c>
      <c r="F22" s="95">
        <f t="shared" si="0"/>
        <v>26203.514665999999</v>
      </c>
      <c r="G22" s="95">
        <f t="shared" si="1"/>
        <v>8669.5919639999993</v>
      </c>
      <c r="H22" s="96">
        <f t="shared" si="1"/>
        <v>0</v>
      </c>
      <c r="I22" s="97">
        <f t="shared" si="2"/>
        <v>34873.106629999995</v>
      </c>
      <c r="J22" s="98">
        <f t="shared" si="3"/>
        <v>-1192.3676379999999</v>
      </c>
      <c r="L22" s="85">
        <v>21</v>
      </c>
      <c r="M22" s="85">
        <v>56</v>
      </c>
      <c r="N22" s="85">
        <v>141</v>
      </c>
    </row>
    <row r="23" spans="1:14" x14ac:dyDescent="0.2">
      <c r="A23" s="8">
        <v>17</v>
      </c>
      <c r="B23" s="101">
        <v>6520.03</v>
      </c>
      <c r="C23" s="101">
        <v>3485.44</v>
      </c>
      <c r="D23" s="103"/>
      <c r="E23" s="99">
        <f t="shared" si="4"/>
        <v>10005.469999999999</v>
      </c>
      <c r="F23" s="95">
        <f t="shared" si="0"/>
        <v>27279.153517000002</v>
      </c>
      <c r="G23" s="95">
        <f t="shared" si="1"/>
        <v>9075.0401280000005</v>
      </c>
      <c r="H23" s="96">
        <f t="shared" si="1"/>
        <v>0</v>
      </c>
      <c r="I23" s="97">
        <f t="shared" si="2"/>
        <v>36354.193645000007</v>
      </c>
      <c r="J23" s="98">
        <f t="shared" si="3"/>
        <v>-1243.6799209999999</v>
      </c>
      <c r="L23" s="81">
        <v>12</v>
      </c>
      <c r="M23" s="81">
        <v>46</v>
      </c>
      <c r="N23" s="85">
        <v>146</v>
      </c>
    </row>
    <row r="24" spans="1:14" x14ac:dyDescent="0.2">
      <c r="A24" s="8">
        <v>18</v>
      </c>
      <c r="B24" s="101">
        <v>6634.38</v>
      </c>
      <c r="C24" s="101">
        <v>3102.68</v>
      </c>
      <c r="D24" s="105"/>
      <c r="E24" s="94">
        <f t="shared" si="4"/>
        <v>9737.06</v>
      </c>
      <c r="F24" s="95">
        <f t="shared" si="0"/>
        <v>27757.582482000002</v>
      </c>
      <c r="G24" s="95">
        <f t="shared" si="1"/>
        <v>8078.4479159999992</v>
      </c>
      <c r="H24" s="96">
        <f>+D24*2.6037</f>
        <v>0</v>
      </c>
      <c r="I24" s="97">
        <f t="shared" si="2"/>
        <v>35836.030398000003</v>
      </c>
      <c r="J24" s="98">
        <f t="shared" si="3"/>
        <v>-1210.316558</v>
      </c>
      <c r="L24" s="81">
        <v>37</v>
      </c>
      <c r="M24" s="81">
        <v>101</v>
      </c>
      <c r="N24" s="85">
        <v>142</v>
      </c>
    </row>
    <row r="25" spans="1:14" x14ac:dyDescent="0.2">
      <c r="A25" s="8">
        <v>19</v>
      </c>
      <c r="B25" s="101"/>
      <c r="C25" s="101"/>
      <c r="D25" s="102">
        <v>11789.67</v>
      </c>
      <c r="E25" s="94">
        <f t="shared" si="4"/>
        <v>11789.67</v>
      </c>
      <c r="F25" s="95">
        <f t="shared" si="0"/>
        <v>0</v>
      </c>
      <c r="G25" s="95">
        <f t="shared" si="1"/>
        <v>0</v>
      </c>
      <c r="H25" s="96">
        <f>+D25*2.6037</f>
        <v>30696.763779000001</v>
      </c>
      <c r="I25" s="97">
        <f t="shared" si="2"/>
        <v>30696.763779000001</v>
      </c>
      <c r="J25" s="98">
        <f t="shared" si="3"/>
        <v>-1465.4559809999998</v>
      </c>
      <c r="L25" s="81">
        <v>48</v>
      </c>
      <c r="M25" s="81">
        <v>129</v>
      </c>
      <c r="N25" s="85">
        <v>304</v>
      </c>
    </row>
    <row r="26" spans="1:14" x14ac:dyDescent="0.2">
      <c r="A26" s="8">
        <v>20</v>
      </c>
      <c r="B26" s="101"/>
      <c r="C26" s="101"/>
      <c r="D26" s="103">
        <v>11615.84</v>
      </c>
      <c r="E26" s="94">
        <f t="shared" si="4"/>
        <v>11615.84</v>
      </c>
      <c r="F26" s="95">
        <f t="shared" si="0"/>
        <v>0</v>
      </c>
      <c r="G26" s="95">
        <f t="shared" si="1"/>
        <v>0</v>
      </c>
      <c r="H26" s="96">
        <f t="shared" si="1"/>
        <v>30244.162607999999</v>
      </c>
      <c r="I26" s="97">
        <f t="shared" si="2"/>
        <v>30244.162607999999</v>
      </c>
      <c r="J26" s="98">
        <f t="shared" si="3"/>
        <v>-1443.8489119999999</v>
      </c>
      <c r="L26" s="83">
        <v>36</v>
      </c>
      <c r="M26" s="83">
        <v>88</v>
      </c>
      <c r="N26" s="83">
        <v>264</v>
      </c>
    </row>
    <row r="27" spans="1:14" x14ac:dyDescent="0.2">
      <c r="A27" s="8">
        <v>21</v>
      </c>
      <c r="B27" s="103">
        <v>6975.35</v>
      </c>
      <c r="C27" s="103">
        <v>3553.09</v>
      </c>
      <c r="D27" s="101"/>
      <c r="E27" s="94">
        <f t="shared" si="4"/>
        <v>10528.44</v>
      </c>
      <c r="F27" s="96">
        <f t="shared" si="0"/>
        <v>29184.166865000003</v>
      </c>
      <c r="G27" s="96">
        <f t="shared" si="1"/>
        <v>9251.1804329999995</v>
      </c>
      <c r="H27" s="95">
        <f t="shared" si="1"/>
        <v>0</v>
      </c>
      <c r="I27" s="97">
        <f t="shared" si="2"/>
        <v>38435.347298000001</v>
      </c>
      <c r="J27" s="98">
        <f t="shared" si="3"/>
        <v>-1308.6850919999999</v>
      </c>
      <c r="L27" s="85">
        <v>23</v>
      </c>
      <c r="M27" s="85">
        <v>82</v>
      </c>
      <c r="N27" s="83">
        <v>218</v>
      </c>
    </row>
    <row r="28" spans="1:14" x14ac:dyDescent="0.2">
      <c r="A28" s="8">
        <v>22</v>
      </c>
      <c r="B28" s="103">
        <v>6462.19</v>
      </c>
      <c r="C28" s="103">
        <v>3336.11</v>
      </c>
      <c r="D28" s="104"/>
      <c r="E28" s="94">
        <f t="shared" si="4"/>
        <v>9798.2999999999993</v>
      </c>
      <c r="F28" s="96">
        <f t="shared" si="0"/>
        <v>27037.156741000003</v>
      </c>
      <c r="G28" s="96">
        <f t="shared" si="1"/>
        <v>8686.2296069999993</v>
      </c>
      <c r="H28" s="95">
        <f t="shared" si="1"/>
        <v>0</v>
      </c>
      <c r="I28" s="97">
        <f t="shared" si="2"/>
        <v>35723.386348</v>
      </c>
      <c r="J28" s="98">
        <f t="shared" si="3"/>
        <v>-1217.92869</v>
      </c>
      <c r="L28" s="81">
        <v>24</v>
      </c>
      <c r="M28" s="85">
        <v>75</v>
      </c>
      <c r="N28" s="85">
        <v>210</v>
      </c>
    </row>
    <row r="29" spans="1:14" x14ac:dyDescent="0.2">
      <c r="A29" s="8">
        <v>23</v>
      </c>
      <c r="B29" s="101">
        <v>6122.81</v>
      </c>
      <c r="C29" s="101">
        <v>3366.91</v>
      </c>
      <c r="D29" s="105"/>
      <c r="E29" s="99">
        <f t="shared" si="4"/>
        <v>9489.7200000000012</v>
      </c>
      <c r="F29" s="95">
        <f t="shared" si="0"/>
        <v>25617.224759000004</v>
      </c>
      <c r="G29" s="95">
        <f t="shared" si="1"/>
        <v>8766.4235669999998</v>
      </c>
      <c r="H29" s="96">
        <f t="shared" si="1"/>
        <v>0</v>
      </c>
      <c r="I29" s="97">
        <f t="shared" si="2"/>
        <v>34383.648326000002</v>
      </c>
      <c r="J29" s="98">
        <f t="shared" si="3"/>
        <v>-1179.5721960000001</v>
      </c>
      <c r="L29" s="83">
        <v>19</v>
      </c>
      <c r="M29" s="83">
        <v>55</v>
      </c>
      <c r="N29" s="85">
        <v>166</v>
      </c>
    </row>
    <row r="30" spans="1:14" x14ac:dyDescent="0.2">
      <c r="A30" s="8">
        <v>24</v>
      </c>
      <c r="B30" s="101">
        <v>6220.7</v>
      </c>
      <c r="C30" s="101">
        <v>3621.61</v>
      </c>
      <c r="D30" s="103"/>
      <c r="E30" s="99">
        <f t="shared" si="4"/>
        <v>9842.31</v>
      </c>
      <c r="F30" s="95">
        <f t="shared" si="0"/>
        <v>26026.786730000003</v>
      </c>
      <c r="G30" s="95">
        <f t="shared" si="1"/>
        <v>9429.5859569999993</v>
      </c>
      <c r="H30" s="96">
        <f t="shared" si="1"/>
        <v>0</v>
      </c>
      <c r="I30" s="97">
        <f t="shared" si="2"/>
        <v>35456.372687000003</v>
      </c>
      <c r="J30" s="98">
        <f t="shared" si="3"/>
        <v>-1223.3991329999999</v>
      </c>
      <c r="L30" s="83">
        <v>20</v>
      </c>
      <c r="M30" s="83">
        <v>48</v>
      </c>
      <c r="N30" s="85">
        <v>150</v>
      </c>
    </row>
    <row r="31" spans="1:14" x14ac:dyDescent="0.2">
      <c r="A31" s="8">
        <v>25</v>
      </c>
      <c r="B31" s="101">
        <v>6740.84</v>
      </c>
      <c r="C31" s="101">
        <v>3742.36</v>
      </c>
      <c r="D31" s="103"/>
      <c r="E31" s="94">
        <f t="shared" si="4"/>
        <v>10483.200000000001</v>
      </c>
      <c r="F31" s="95">
        <f t="shared" si="0"/>
        <v>28203.000476000005</v>
      </c>
      <c r="G31" s="95">
        <f t="shared" si="1"/>
        <v>9743.9827320000004</v>
      </c>
      <c r="H31" s="96">
        <f t="shared" si="1"/>
        <v>0</v>
      </c>
      <c r="I31" s="97">
        <f t="shared" si="2"/>
        <v>37946.983208000005</v>
      </c>
      <c r="J31" s="98">
        <f t="shared" si="3"/>
        <v>-1303.06176</v>
      </c>
      <c r="L31" s="83">
        <v>25</v>
      </c>
      <c r="M31" s="83">
        <v>74</v>
      </c>
      <c r="N31" s="85">
        <v>130</v>
      </c>
    </row>
    <row r="32" spans="1:14" x14ac:dyDescent="0.2">
      <c r="A32" s="8">
        <v>26</v>
      </c>
      <c r="B32" s="101"/>
      <c r="C32" s="101"/>
      <c r="D32" s="102">
        <v>10770.22</v>
      </c>
      <c r="E32" s="94">
        <f t="shared" si="4"/>
        <v>10770.22</v>
      </c>
      <c r="F32" s="95">
        <f t="shared" si="0"/>
        <v>0</v>
      </c>
      <c r="G32" s="95">
        <f t="shared" si="1"/>
        <v>0</v>
      </c>
      <c r="H32" s="96">
        <f t="shared" si="1"/>
        <v>28042.421813999998</v>
      </c>
      <c r="I32" s="97">
        <f t="shared" si="2"/>
        <v>28042.421813999998</v>
      </c>
      <c r="J32" s="98">
        <f t="shared" si="3"/>
        <v>-1338.7383459999999</v>
      </c>
      <c r="L32" s="83">
        <v>26</v>
      </c>
      <c r="M32" s="83">
        <v>75</v>
      </c>
      <c r="N32" s="85">
        <v>222</v>
      </c>
    </row>
    <row r="33" spans="1:14" x14ac:dyDescent="0.2">
      <c r="A33" s="8">
        <v>27</v>
      </c>
      <c r="B33" s="101"/>
      <c r="C33" s="101"/>
      <c r="D33" s="102">
        <v>11291.12</v>
      </c>
      <c r="E33" s="94">
        <f t="shared" si="4"/>
        <v>11291.12</v>
      </c>
      <c r="F33" s="95">
        <f t="shared" si="0"/>
        <v>0</v>
      </c>
      <c r="G33" s="95">
        <f t="shared" si="1"/>
        <v>0</v>
      </c>
      <c r="H33" s="96">
        <f t="shared" si="1"/>
        <v>29398.689144</v>
      </c>
      <c r="I33" s="97">
        <f t="shared" si="2"/>
        <v>29398.689144</v>
      </c>
      <c r="J33" s="98">
        <f t="shared" si="3"/>
        <v>-1403.486216</v>
      </c>
      <c r="L33" s="83">
        <v>33</v>
      </c>
      <c r="M33" s="83">
        <v>91</v>
      </c>
      <c r="N33" s="85">
        <v>233</v>
      </c>
    </row>
    <row r="34" spans="1:14" x14ac:dyDescent="0.2">
      <c r="A34" s="8">
        <v>28</v>
      </c>
      <c r="B34" s="101">
        <v>7279.02</v>
      </c>
      <c r="C34" s="101">
        <v>4213.8500000000004</v>
      </c>
      <c r="D34" s="102"/>
      <c r="E34" s="94">
        <f t="shared" si="4"/>
        <v>11492.87</v>
      </c>
      <c r="F34" s="95">
        <f t="shared" si="0"/>
        <v>30454.691778000004</v>
      </c>
      <c r="G34" s="95">
        <f t="shared" si="1"/>
        <v>10971.601245</v>
      </c>
      <c r="H34" s="96">
        <f t="shared" si="1"/>
        <v>0</v>
      </c>
      <c r="I34" s="97">
        <f t="shared" si="2"/>
        <v>41426.293023000006</v>
      </c>
      <c r="J34" s="98">
        <f t="shared" si="3"/>
        <v>-1428.5637409999999</v>
      </c>
      <c r="L34" s="83">
        <v>26</v>
      </c>
      <c r="M34" s="83">
        <v>75</v>
      </c>
      <c r="N34" s="85">
        <v>222</v>
      </c>
    </row>
    <row r="35" spans="1:14" x14ac:dyDescent="0.2">
      <c r="A35" s="8">
        <v>29</v>
      </c>
      <c r="B35" s="101">
        <v>7250.38</v>
      </c>
      <c r="C35" s="101">
        <v>3976.12</v>
      </c>
      <c r="D35" s="102"/>
      <c r="E35" s="94">
        <f t="shared" si="4"/>
        <v>11226.5</v>
      </c>
      <c r="F35" s="95">
        <f t="shared" si="0"/>
        <v>30334.864882000002</v>
      </c>
      <c r="G35" s="95">
        <f t="shared" si="1"/>
        <v>10352.623643999999</v>
      </c>
      <c r="H35" s="96">
        <f t="shared" si="1"/>
        <v>0</v>
      </c>
      <c r="I35" s="97">
        <f t="shared" si="2"/>
        <v>40687.488526000001</v>
      </c>
      <c r="J35" s="98">
        <f t="shared" si="3"/>
        <v>-1395.4539499999998</v>
      </c>
      <c r="L35" s="83">
        <v>24</v>
      </c>
      <c r="M35" s="83">
        <v>71</v>
      </c>
      <c r="N35" s="83">
        <v>170</v>
      </c>
    </row>
    <row r="36" spans="1:14" x14ac:dyDescent="0.2">
      <c r="A36" s="8">
        <v>30</v>
      </c>
      <c r="B36" s="101">
        <v>7037.61</v>
      </c>
      <c r="C36" s="101">
        <v>3811.6</v>
      </c>
      <c r="D36" s="102"/>
      <c r="E36" s="94">
        <f t="shared" si="4"/>
        <v>10849.21</v>
      </c>
      <c r="F36" s="95">
        <f t="shared" si="0"/>
        <v>29444.656479000001</v>
      </c>
      <c r="G36" s="95">
        <f t="shared" si="1"/>
        <v>9924.2629199999992</v>
      </c>
      <c r="H36" s="96">
        <f t="shared" si="1"/>
        <v>0</v>
      </c>
      <c r="I36" s="97">
        <f>F36+G36+H36</f>
        <v>39368.919398999999</v>
      </c>
      <c r="J36" s="98">
        <f t="shared" si="3"/>
        <v>-1348.5568029999997</v>
      </c>
      <c r="L36" s="83">
        <v>27</v>
      </c>
      <c r="M36" s="83">
        <v>77</v>
      </c>
      <c r="N36" s="83">
        <v>194</v>
      </c>
    </row>
    <row r="37" spans="1:14" s="128" customFormat="1" ht="14.25" customHeight="1" x14ac:dyDescent="0.25">
      <c r="A37" s="8">
        <v>31</v>
      </c>
      <c r="B37" s="122">
        <v>7291.6</v>
      </c>
      <c r="C37" s="122">
        <v>3811.22</v>
      </c>
      <c r="D37" s="108"/>
      <c r="E37" s="123">
        <f t="shared" si="4"/>
        <v>11102.82</v>
      </c>
      <c r="F37" s="124">
        <f t="shared" si="0"/>
        <v>30507.325240000006</v>
      </c>
      <c r="G37" s="124">
        <f t="shared" si="1"/>
        <v>9923.2735139999986</v>
      </c>
      <c r="H37" s="125">
        <f t="shared" si="1"/>
        <v>0</v>
      </c>
      <c r="I37" s="97">
        <f t="shared" si="2"/>
        <v>40430.598754000006</v>
      </c>
      <c r="J37" s="126">
        <f t="shared" si="3"/>
        <v>-1380.080526</v>
      </c>
      <c r="K37" s="127"/>
      <c r="L37" s="84">
        <v>23</v>
      </c>
      <c r="M37" s="84">
        <v>63</v>
      </c>
      <c r="N37" s="84">
        <v>187</v>
      </c>
    </row>
    <row r="38" spans="1:14" ht="13.5" thickBot="1" x14ac:dyDescent="0.25">
      <c r="A38" s="111" t="s">
        <v>18</v>
      </c>
      <c r="B38" s="112">
        <f t="shared" ref="B38:J38" si="5">SUM(B6:B36)</f>
        <v>140375.66</v>
      </c>
      <c r="C38" s="112">
        <f t="shared" si="5"/>
        <v>75965.770000000019</v>
      </c>
      <c r="D38" s="113">
        <f t="shared" si="5"/>
        <v>85009.549999999988</v>
      </c>
      <c r="E38" s="112">
        <f t="shared" si="5"/>
        <v>301350.98000000004</v>
      </c>
      <c r="F38" s="112">
        <f>SUM(F6:F36)</f>
        <v>587321.90777400008</v>
      </c>
      <c r="G38" s="112">
        <f>SUM(G6:G36)</f>
        <v>197794.679049</v>
      </c>
      <c r="H38" s="112">
        <f>SUM(H6:H36)</f>
        <v>221341.425705</v>
      </c>
      <c r="I38" s="112">
        <f>SUM(I7:I37)</f>
        <v>1046879.763312</v>
      </c>
      <c r="J38" s="112">
        <f t="shared" si="5"/>
        <v>-37457.912913999993</v>
      </c>
      <c r="L38" s="87"/>
      <c r="M38" s="87"/>
      <c r="N38" s="87"/>
    </row>
    <row r="39" spans="1:14" ht="13.5" thickTop="1" x14ac:dyDescent="0.2">
      <c r="A39" s="10"/>
      <c r="B39" s="10"/>
      <c r="C39" s="10"/>
      <c r="D39" s="10"/>
      <c r="E39" s="11"/>
      <c r="F39" s="10"/>
      <c r="G39" s="12" t="s">
        <v>71</v>
      </c>
      <c r="H39" s="12"/>
      <c r="I39" s="13">
        <f>A41*132.93</f>
        <v>0</v>
      </c>
      <c r="J39" s="10"/>
    </row>
    <row r="40" spans="1:14" x14ac:dyDescent="0.2">
      <c r="A40" s="10" t="s">
        <v>64</v>
      </c>
      <c r="B40" s="10"/>
      <c r="C40" s="10" t="s">
        <v>29</v>
      </c>
      <c r="D40" s="10"/>
      <c r="E40" s="11" t="s">
        <v>65</v>
      </c>
      <c r="F40" s="10"/>
      <c r="G40" s="12" t="s">
        <v>66</v>
      </c>
      <c r="H40" s="12"/>
      <c r="I40" s="13">
        <v>312.24</v>
      </c>
      <c r="J40" s="11"/>
    </row>
    <row r="41" spans="1:14" x14ac:dyDescent="0.2">
      <c r="A41" s="14"/>
      <c r="B41" s="14"/>
      <c r="C41" s="134"/>
      <c r="D41" s="135"/>
      <c r="E41" s="15">
        <v>18.3</v>
      </c>
      <c r="F41" s="10"/>
      <c r="G41" s="12" t="s">
        <v>67</v>
      </c>
      <c r="H41" s="12"/>
      <c r="I41" s="129">
        <f>SUM(I38:I40)</f>
        <v>1047192.003312</v>
      </c>
      <c r="J41" s="11"/>
    </row>
    <row r="42" spans="1:14" x14ac:dyDescent="0.2">
      <c r="A42" s="130"/>
      <c r="B42" s="131"/>
      <c r="C42" s="132"/>
      <c r="D42" s="133"/>
      <c r="E42" s="16"/>
      <c r="F42" s="10"/>
      <c r="G42" s="12" t="s">
        <v>68</v>
      </c>
      <c r="H42" s="12"/>
      <c r="I42" s="13">
        <v>-38838.007339999989</v>
      </c>
      <c r="J42" s="10"/>
    </row>
    <row r="43" spans="1:14" x14ac:dyDescent="0.2">
      <c r="A43" s="12"/>
      <c r="B43" s="12"/>
      <c r="C43" s="12"/>
      <c r="E43" s="10"/>
      <c r="F43" s="10"/>
      <c r="G43" s="12" t="s">
        <v>69</v>
      </c>
      <c r="H43" s="12"/>
      <c r="I43" s="129">
        <f>SUM(I41:I42)</f>
        <v>1008353.9959719999</v>
      </c>
      <c r="J43" s="11"/>
    </row>
    <row r="44" spans="1:14" x14ac:dyDescent="0.2">
      <c r="D44" s="17"/>
      <c r="E44" s="18"/>
      <c r="F44" s="10"/>
      <c r="G44" s="12" t="s">
        <v>70</v>
      </c>
      <c r="H44" s="12"/>
      <c r="I44" s="129">
        <f>I43*0.07</f>
        <v>70584.779718040008</v>
      </c>
      <c r="J44" s="11"/>
    </row>
    <row r="45" spans="1:14" x14ac:dyDescent="0.2">
      <c r="A45" s="10"/>
      <c r="B45" s="10"/>
      <c r="C45" s="10"/>
      <c r="D45" s="10"/>
      <c r="E45" s="11"/>
      <c r="F45" s="10"/>
      <c r="G45" s="19" t="s">
        <v>18</v>
      </c>
      <c r="H45" s="12"/>
      <c r="I45" s="129">
        <f>SUM(I43:I44)</f>
        <v>1078938.7756900399</v>
      </c>
      <c r="J45" s="11"/>
    </row>
    <row r="46" spans="1:14" x14ac:dyDescent="0.2">
      <c r="C46" s="20"/>
      <c r="D46" s="21"/>
      <c r="E46" s="21"/>
      <c r="F46" s="21"/>
      <c r="G46" s="21"/>
      <c r="H46" s="21"/>
      <c r="I46" s="21"/>
    </row>
  </sheetData>
  <mergeCells count="14">
    <mergeCell ref="L4:L6"/>
    <mergeCell ref="M4:M6"/>
    <mergeCell ref="N4:N6"/>
    <mergeCell ref="I4:I6"/>
    <mergeCell ref="J4:J5"/>
    <mergeCell ref="A42:B42"/>
    <mergeCell ref="C42:D42"/>
    <mergeCell ref="C41:D41"/>
    <mergeCell ref="E4:E5"/>
    <mergeCell ref="A3:B3"/>
    <mergeCell ref="A4:A6"/>
    <mergeCell ref="B4:B6"/>
    <mergeCell ref="C4:C6"/>
    <mergeCell ref="D4:D6"/>
  </mergeCells>
  <pageMargins left="0.7" right="0.7" top="0.75" bottom="0.75" header="0.3" footer="0.3"/>
  <pageSetup paperSize="9" scale="13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AZ54"/>
  <sheetViews>
    <sheetView tabSelected="1" topLeftCell="A6" zoomScale="70" zoomScaleNormal="70" workbookViewId="0">
      <pane xSplit="1" ySplit="3" topLeftCell="B9" activePane="bottomRight" state="frozen"/>
      <selection pane="topRight" activeCell="B6" sqref="B6"/>
      <selection pane="bottomLeft" activeCell="A9" sqref="A9"/>
      <selection pane="bottomRight" activeCell="AW41" sqref="AW41"/>
    </sheetView>
  </sheetViews>
  <sheetFormatPr defaultColWidth="9.85546875" defaultRowHeight="15" x14ac:dyDescent="0.25"/>
  <cols>
    <col min="1" max="1" width="5.85546875" style="22" customWidth="1"/>
    <col min="2" max="2" width="9.140625" style="22" customWidth="1"/>
    <col min="3" max="3" width="10" style="22" customWidth="1"/>
    <col min="4" max="4" width="9.140625" style="22" customWidth="1"/>
    <col min="5" max="5" width="10" style="22" customWidth="1"/>
    <col min="6" max="19" width="9.140625" style="22" customWidth="1"/>
    <col min="20" max="20" width="8.140625" style="22" customWidth="1"/>
    <col min="21" max="25" width="9.140625" style="22" customWidth="1"/>
    <col min="26" max="26" width="11.42578125" style="22" customWidth="1"/>
    <col min="27" max="27" width="9.140625" style="22" customWidth="1"/>
    <col min="28" max="28" width="12.28515625" style="22" customWidth="1"/>
    <col min="29" max="30" width="9.140625" style="22" customWidth="1"/>
    <col min="31" max="32" width="7.7109375" style="22" hidden="1" customWidth="1"/>
    <col min="33" max="33" width="12.42578125" style="22" customWidth="1"/>
    <col min="34" max="36" width="9.140625" style="22" customWidth="1"/>
    <col min="37" max="37" width="10.42578125" style="22" customWidth="1"/>
    <col min="38" max="48" width="9.140625" style="22" customWidth="1"/>
    <col min="49" max="49" width="16.42578125" style="22" customWidth="1"/>
    <col min="50" max="50" width="9.140625" style="23" hidden="1" customWidth="1"/>
    <col min="51" max="51" width="0" hidden="1" customWidth="1"/>
    <col min="52" max="16384" width="9.85546875" style="23"/>
  </cols>
  <sheetData>
    <row r="1" spans="1:52" ht="15" hidden="1" customHeight="1" x14ac:dyDescent="0.25"/>
    <row r="2" spans="1:52" ht="15" hidden="1" customHeight="1" x14ac:dyDescent="0.25">
      <c r="A2" s="22" t="s">
        <v>30</v>
      </c>
    </row>
    <row r="3" spans="1:52" ht="15" hidden="1" customHeight="1" x14ac:dyDescent="0.25">
      <c r="D3" s="24" t="s">
        <v>31</v>
      </c>
      <c r="E3" s="25"/>
      <c r="F3" s="23"/>
    </row>
    <row r="4" spans="1:52" ht="15" hidden="1" customHeight="1" x14ac:dyDescent="0.25">
      <c r="D4" s="24" t="s">
        <v>32</v>
      </c>
      <c r="E4" s="25"/>
      <c r="F4" s="23"/>
      <c r="I4" s="156" t="s">
        <v>33</v>
      </c>
      <c r="J4" s="156"/>
      <c r="K4" s="156"/>
      <c r="L4" s="156"/>
      <c r="M4" s="156"/>
      <c r="N4" s="156"/>
      <c r="O4" s="156"/>
      <c r="P4" s="156"/>
      <c r="Q4" s="156"/>
      <c r="R4" s="156"/>
    </row>
    <row r="5" spans="1:52" ht="15" hidden="1" customHeight="1" x14ac:dyDescent="0.25"/>
    <row r="6" spans="1:52" ht="28.5" customHeight="1" thickBot="1" x14ac:dyDescent="0.35">
      <c r="D6" s="157">
        <v>44621</v>
      </c>
      <c r="E6" s="157"/>
      <c r="F6" s="157"/>
      <c r="G6" s="26"/>
      <c r="H6" s="26"/>
      <c r="I6" s="26"/>
      <c r="J6" s="26"/>
      <c r="K6" s="27"/>
      <c r="L6" s="26"/>
      <c r="M6" s="26"/>
      <c r="N6" s="26"/>
      <c r="O6" s="26"/>
      <c r="P6" s="28"/>
      <c r="Q6" s="26"/>
      <c r="R6" s="28"/>
      <c r="S6" s="26"/>
      <c r="T6" s="28"/>
      <c r="U6" s="26"/>
      <c r="V6" s="28"/>
      <c r="W6" s="26"/>
      <c r="X6" s="28"/>
      <c r="Y6" s="26"/>
      <c r="Z6" s="28"/>
      <c r="AA6" s="26"/>
      <c r="AB6" s="26"/>
      <c r="AC6" s="28"/>
      <c r="AD6" s="26"/>
      <c r="AE6" s="28"/>
      <c r="AF6" s="26"/>
      <c r="AG6" s="29" t="s">
        <v>34</v>
      </c>
      <c r="AI6" s="26"/>
      <c r="AJ6" s="26"/>
      <c r="AK6" s="30"/>
      <c r="AL6" s="30"/>
      <c r="AU6" s="31" t="s">
        <v>35</v>
      </c>
      <c r="AV6" s="26"/>
    </row>
    <row r="7" spans="1:52" s="54" customFormat="1" ht="81.75" customHeight="1" thickBot="1" x14ac:dyDescent="0.3">
      <c r="A7" s="32" t="s">
        <v>29</v>
      </c>
      <c r="B7" s="33" t="s">
        <v>36</v>
      </c>
      <c r="C7" s="33" t="s">
        <v>37</v>
      </c>
      <c r="D7" s="34" t="s">
        <v>38</v>
      </c>
      <c r="E7" s="34" t="s">
        <v>37</v>
      </c>
      <c r="F7" s="35" t="s">
        <v>39</v>
      </c>
      <c r="G7" s="35" t="s">
        <v>37</v>
      </c>
      <c r="H7" s="36" t="s">
        <v>40</v>
      </c>
      <c r="I7" s="36" t="s">
        <v>37</v>
      </c>
      <c r="J7" s="37" t="s">
        <v>41</v>
      </c>
      <c r="K7" s="37" t="s">
        <v>37</v>
      </c>
      <c r="L7" s="38" t="s">
        <v>42</v>
      </c>
      <c r="M7" s="38" t="s">
        <v>37</v>
      </c>
      <c r="N7" s="39" t="s">
        <v>43</v>
      </c>
      <c r="O7" s="39" t="s">
        <v>37</v>
      </c>
      <c r="P7" s="40" t="s">
        <v>44</v>
      </c>
      <c r="Q7" s="40" t="s">
        <v>37</v>
      </c>
      <c r="R7" s="41" t="s">
        <v>45</v>
      </c>
      <c r="S7" s="41" t="s">
        <v>37</v>
      </c>
      <c r="T7" s="42" t="s">
        <v>46</v>
      </c>
      <c r="U7" s="42" t="s">
        <v>37</v>
      </c>
      <c r="V7" s="43" t="s">
        <v>47</v>
      </c>
      <c r="W7" s="43" t="s">
        <v>37</v>
      </c>
      <c r="X7" s="40" t="s">
        <v>48</v>
      </c>
      <c r="Y7" s="40" t="s">
        <v>37</v>
      </c>
      <c r="Z7" s="109" t="s">
        <v>49</v>
      </c>
      <c r="AA7" s="44" t="s">
        <v>37</v>
      </c>
      <c r="AB7" s="45" t="s">
        <v>50</v>
      </c>
      <c r="AC7" s="33" t="s">
        <v>51</v>
      </c>
      <c r="AD7" s="33" t="s">
        <v>37</v>
      </c>
      <c r="AE7" s="46" t="s">
        <v>52</v>
      </c>
      <c r="AF7" s="46" t="s">
        <v>37</v>
      </c>
      <c r="AG7" s="47" t="s">
        <v>53</v>
      </c>
      <c r="AH7" s="48" t="s">
        <v>37</v>
      </c>
      <c r="AI7" s="49" t="s">
        <v>54</v>
      </c>
      <c r="AJ7" s="49" t="s">
        <v>37</v>
      </c>
      <c r="AK7" s="32" t="s">
        <v>55</v>
      </c>
      <c r="AL7" s="32" t="s">
        <v>37</v>
      </c>
      <c r="AM7" s="50" t="s">
        <v>56</v>
      </c>
      <c r="AN7" s="50" t="s">
        <v>37</v>
      </c>
      <c r="AO7" s="36" t="s">
        <v>57</v>
      </c>
      <c r="AP7" s="36" t="s">
        <v>37</v>
      </c>
      <c r="AQ7" s="40" t="s">
        <v>58</v>
      </c>
      <c r="AR7" s="40" t="s">
        <v>37</v>
      </c>
      <c r="AS7" s="51" t="s">
        <v>59</v>
      </c>
      <c r="AT7" s="51" t="s">
        <v>37</v>
      </c>
      <c r="AU7" s="34" t="s">
        <v>60</v>
      </c>
      <c r="AV7" s="34" t="s">
        <v>37</v>
      </c>
      <c r="AW7" s="52" t="s">
        <v>61</v>
      </c>
      <c r="AX7" s="53" t="s">
        <v>62</v>
      </c>
    </row>
    <row r="8" spans="1:52" s="58" customFormat="1" ht="15.75" customHeight="1" thickBot="1" x14ac:dyDescent="0.3">
      <c r="A8" s="55">
        <v>28</v>
      </c>
      <c r="B8" s="55">
        <v>28808</v>
      </c>
      <c r="C8" s="55"/>
      <c r="D8" s="55">
        <v>12891</v>
      </c>
      <c r="E8" s="55"/>
      <c r="F8" s="55">
        <v>33594</v>
      </c>
      <c r="G8" s="55"/>
      <c r="H8" s="55">
        <v>26958</v>
      </c>
      <c r="I8" s="55"/>
      <c r="J8" s="55">
        <v>21892</v>
      </c>
      <c r="K8" s="55"/>
      <c r="L8" s="55">
        <v>16548</v>
      </c>
      <c r="M8" s="55"/>
      <c r="N8" s="55">
        <v>14683</v>
      </c>
      <c r="O8" s="55"/>
      <c r="P8" s="55">
        <v>21446</v>
      </c>
      <c r="Q8" s="55"/>
      <c r="R8" s="55">
        <v>25774</v>
      </c>
      <c r="S8" s="55"/>
      <c r="T8" s="55">
        <v>1812</v>
      </c>
      <c r="U8" s="55"/>
      <c r="V8" s="55">
        <v>3392</v>
      </c>
      <c r="W8" s="55"/>
      <c r="X8" s="55">
        <v>31306</v>
      </c>
      <c r="Y8" s="55"/>
      <c r="Z8" s="55">
        <v>12902</v>
      </c>
      <c r="AA8" s="55"/>
      <c r="AB8" s="55"/>
      <c r="AC8" s="55">
        <v>13442</v>
      </c>
      <c r="AD8" s="55"/>
      <c r="AE8" s="55">
        <v>5254</v>
      </c>
      <c r="AF8" s="55"/>
      <c r="AG8" s="55">
        <v>5254</v>
      </c>
      <c r="AH8" s="55"/>
      <c r="AI8" s="55">
        <v>39732</v>
      </c>
      <c r="AJ8" s="55"/>
      <c r="AK8" s="55">
        <v>4735</v>
      </c>
      <c r="AL8" s="55"/>
      <c r="AM8" s="55">
        <v>1616</v>
      </c>
      <c r="AN8" s="55"/>
      <c r="AO8" s="55">
        <v>1713</v>
      </c>
      <c r="AP8" s="55"/>
      <c r="AQ8" s="55">
        <v>539</v>
      </c>
      <c r="AR8" s="55"/>
      <c r="AS8" s="55">
        <v>1445</v>
      </c>
      <c r="AT8" s="55"/>
      <c r="AU8" s="55">
        <v>10149</v>
      </c>
      <c r="AV8" s="55"/>
      <c r="AW8" s="56">
        <v>48</v>
      </c>
      <c r="AX8" s="57"/>
    </row>
    <row r="9" spans="1:52" ht="15.75" customHeight="1" x14ac:dyDescent="0.2">
      <c r="A9" s="88">
        <v>1</v>
      </c>
      <c r="B9" s="171">
        <v>28813</v>
      </c>
      <c r="C9" s="163">
        <v>5</v>
      </c>
      <c r="D9" s="171">
        <v>12892</v>
      </c>
      <c r="E9" s="163">
        <v>1</v>
      </c>
      <c r="F9" s="171">
        <v>33599</v>
      </c>
      <c r="G9" s="163">
        <v>5</v>
      </c>
      <c r="H9" s="171">
        <v>26961</v>
      </c>
      <c r="I9" s="163">
        <v>3</v>
      </c>
      <c r="J9" s="171">
        <v>21894</v>
      </c>
      <c r="K9" s="163">
        <v>2</v>
      </c>
      <c r="L9" s="171">
        <v>16551</v>
      </c>
      <c r="M9" s="163">
        <v>3</v>
      </c>
      <c r="N9" s="171">
        <v>14685</v>
      </c>
      <c r="O9" s="163">
        <v>2</v>
      </c>
      <c r="P9" s="171">
        <v>21446</v>
      </c>
      <c r="Q9" s="163">
        <v>0</v>
      </c>
      <c r="R9" s="171">
        <v>25777</v>
      </c>
      <c r="S9" s="163">
        <v>3</v>
      </c>
      <c r="T9" s="171">
        <v>1814</v>
      </c>
      <c r="U9" s="163">
        <v>2</v>
      </c>
      <c r="V9" s="164">
        <v>3393</v>
      </c>
      <c r="W9" s="162">
        <v>1</v>
      </c>
      <c r="X9" s="163">
        <v>31308</v>
      </c>
      <c r="Y9" s="162">
        <v>2</v>
      </c>
      <c r="Z9" s="163">
        <v>12902</v>
      </c>
      <c r="AA9" s="162">
        <v>0</v>
      </c>
      <c r="AB9" s="162">
        <v>18</v>
      </c>
      <c r="AC9" s="163">
        <v>13448</v>
      </c>
      <c r="AD9" s="165">
        <v>6</v>
      </c>
      <c r="AE9" s="163">
        <v>5254</v>
      </c>
      <c r="AF9" s="166">
        <v>0</v>
      </c>
      <c r="AG9" s="163">
        <v>5254</v>
      </c>
      <c r="AH9" s="166">
        <v>0</v>
      </c>
      <c r="AI9" s="163">
        <v>39733</v>
      </c>
      <c r="AJ9" s="162">
        <v>1</v>
      </c>
      <c r="AK9" s="163">
        <v>4735</v>
      </c>
      <c r="AL9" s="162">
        <v>0</v>
      </c>
      <c r="AM9" s="163">
        <v>1617</v>
      </c>
      <c r="AN9" s="162">
        <v>1</v>
      </c>
      <c r="AO9" s="163">
        <v>1713</v>
      </c>
      <c r="AP9" s="162">
        <v>0</v>
      </c>
      <c r="AQ9" s="163">
        <v>539</v>
      </c>
      <c r="AR9" s="162">
        <v>0</v>
      </c>
      <c r="AS9" s="163">
        <v>1445</v>
      </c>
      <c r="AT9" s="162">
        <v>0</v>
      </c>
      <c r="AU9" s="163">
        <v>10149</v>
      </c>
      <c r="AV9" s="162">
        <v>0</v>
      </c>
      <c r="AW9" s="167">
        <v>37</v>
      </c>
      <c r="AX9" s="168"/>
      <c r="AY9" s="169"/>
      <c r="AZ9" s="170"/>
    </row>
    <row r="10" spans="1:52" ht="15.75" customHeight="1" x14ac:dyDescent="0.2">
      <c r="A10" s="88">
        <v>2</v>
      </c>
      <c r="B10" s="171">
        <v>28819</v>
      </c>
      <c r="C10" s="171">
        <v>6</v>
      </c>
      <c r="D10" s="171">
        <v>12893</v>
      </c>
      <c r="E10" s="171">
        <v>1</v>
      </c>
      <c r="F10" s="171">
        <v>33602</v>
      </c>
      <c r="G10" s="171">
        <v>3</v>
      </c>
      <c r="H10" s="171">
        <v>26968</v>
      </c>
      <c r="I10" s="171">
        <v>7</v>
      </c>
      <c r="J10" s="171">
        <v>21896</v>
      </c>
      <c r="K10" s="171">
        <v>2</v>
      </c>
      <c r="L10" s="171">
        <v>16552</v>
      </c>
      <c r="M10" s="171">
        <v>1</v>
      </c>
      <c r="N10" s="171">
        <v>14687</v>
      </c>
      <c r="O10" s="171">
        <v>2</v>
      </c>
      <c r="P10" s="171">
        <v>21448</v>
      </c>
      <c r="Q10" s="171">
        <v>2</v>
      </c>
      <c r="R10" s="171">
        <v>25781</v>
      </c>
      <c r="S10" s="171">
        <v>4</v>
      </c>
      <c r="T10" s="171">
        <v>1817</v>
      </c>
      <c r="U10" s="171">
        <v>3</v>
      </c>
      <c r="V10" s="164">
        <v>3393</v>
      </c>
      <c r="W10" s="166">
        <v>0</v>
      </c>
      <c r="X10" s="171">
        <v>31310</v>
      </c>
      <c r="Y10" s="166">
        <v>2</v>
      </c>
      <c r="Z10" s="171">
        <v>12902</v>
      </c>
      <c r="AA10" s="166">
        <v>0</v>
      </c>
      <c r="AB10" s="166">
        <v>23</v>
      </c>
      <c r="AC10" s="171">
        <v>13454</v>
      </c>
      <c r="AD10" s="172">
        <v>6</v>
      </c>
      <c r="AE10" s="171">
        <v>5254</v>
      </c>
      <c r="AF10" s="166">
        <v>0</v>
      </c>
      <c r="AG10" s="171">
        <v>5254</v>
      </c>
      <c r="AH10" s="166">
        <v>0</v>
      </c>
      <c r="AI10" s="171">
        <v>39733</v>
      </c>
      <c r="AJ10" s="166">
        <v>0</v>
      </c>
      <c r="AK10" s="171">
        <v>4735</v>
      </c>
      <c r="AL10" s="166">
        <v>0</v>
      </c>
      <c r="AM10" s="171">
        <v>1618</v>
      </c>
      <c r="AN10" s="166">
        <v>1</v>
      </c>
      <c r="AO10" s="171">
        <v>1713</v>
      </c>
      <c r="AP10" s="166">
        <v>0</v>
      </c>
      <c r="AQ10" s="171">
        <v>539</v>
      </c>
      <c r="AR10" s="166">
        <v>0</v>
      </c>
      <c r="AS10" s="171">
        <v>1445</v>
      </c>
      <c r="AT10" s="166">
        <v>0</v>
      </c>
      <c r="AU10" s="171">
        <v>10150</v>
      </c>
      <c r="AV10" s="166">
        <v>1</v>
      </c>
      <c r="AW10" s="167">
        <v>41</v>
      </c>
      <c r="AX10" s="168"/>
      <c r="AY10" s="169"/>
      <c r="AZ10" s="170"/>
    </row>
    <row r="11" spans="1:52" ht="15.75" customHeight="1" x14ac:dyDescent="0.2">
      <c r="A11" s="86">
        <v>3</v>
      </c>
      <c r="B11" s="171">
        <v>28825</v>
      </c>
      <c r="C11" s="171">
        <v>6</v>
      </c>
      <c r="D11" s="171">
        <v>12895</v>
      </c>
      <c r="E11" s="171">
        <v>2</v>
      </c>
      <c r="F11" s="171">
        <v>33606</v>
      </c>
      <c r="G11" s="171">
        <v>4</v>
      </c>
      <c r="H11" s="171">
        <v>26970</v>
      </c>
      <c r="I11" s="171">
        <v>2</v>
      </c>
      <c r="J11" s="171">
        <v>21898</v>
      </c>
      <c r="K11" s="171">
        <v>2</v>
      </c>
      <c r="L11" s="171">
        <v>16555</v>
      </c>
      <c r="M11" s="171">
        <v>3</v>
      </c>
      <c r="N11" s="171">
        <v>14688</v>
      </c>
      <c r="O11" s="171">
        <v>1</v>
      </c>
      <c r="P11" s="171">
        <v>21450</v>
      </c>
      <c r="Q11" s="171">
        <v>2</v>
      </c>
      <c r="R11" s="171">
        <v>25787</v>
      </c>
      <c r="S11" s="171">
        <v>6</v>
      </c>
      <c r="T11" s="171">
        <v>1819</v>
      </c>
      <c r="U11" s="171">
        <v>2</v>
      </c>
      <c r="V11" s="164">
        <v>3394</v>
      </c>
      <c r="W11" s="166">
        <v>1</v>
      </c>
      <c r="X11" s="171">
        <v>31312</v>
      </c>
      <c r="Y11" s="166">
        <v>2</v>
      </c>
      <c r="Z11" s="171">
        <v>12903</v>
      </c>
      <c r="AA11" s="166">
        <v>1</v>
      </c>
      <c r="AB11" s="166">
        <v>22</v>
      </c>
      <c r="AC11" s="171">
        <v>13461</v>
      </c>
      <c r="AD11" s="172">
        <v>7</v>
      </c>
      <c r="AE11" s="171">
        <v>5254</v>
      </c>
      <c r="AF11" s="166">
        <v>0</v>
      </c>
      <c r="AG11" s="171">
        <v>5254</v>
      </c>
      <c r="AH11" s="166">
        <v>0</v>
      </c>
      <c r="AI11" s="171">
        <v>39736</v>
      </c>
      <c r="AJ11" s="166">
        <v>3</v>
      </c>
      <c r="AK11" s="171">
        <v>4739</v>
      </c>
      <c r="AL11" s="166">
        <v>4</v>
      </c>
      <c r="AM11" s="171">
        <v>1619</v>
      </c>
      <c r="AN11" s="166">
        <v>1</v>
      </c>
      <c r="AO11" s="171">
        <v>1713</v>
      </c>
      <c r="AP11" s="166">
        <v>0</v>
      </c>
      <c r="AQ11" s="171">
        <v>539</v>
      </c>
      <c r="AR11" s="166">
        <v>0</v>
      </c>
      <c r="AS11" s="171">
        <v>1446</v>
      </c>
      <c r="AT11" s="166">
        <v>1</v>
      </c>
      <c r="AU11" s="171">
        <v>10151</v>
      </c>
      <c r="AV11" s="166">
        <v>1</v>
      </c>
      <c r="AW11" s="167">
        <v>51</v>
      </c>
      <c r="AX11" s="168"/>
      <c r="AY11" s="169"/>
      <c r="AZ11" s="170"/>
    </row>
    <row r="12" spans="1:52" ht="15.75" customHeight="1" x14ac:dyDescent="0.2">
      <c r="A12" s="86">
        <v>4</v>
      </c>
      <c r="B12" s="171">
        <v>28832</v>
      </c>
      <c r="C12" s="171">
        <v>7</v>
      </c>
      <c r="D12" s="171">
        <v>12895</v>
      </c>
      <c r="E12" s="171">
        <v>0</v>
      </c>
      <c r="F12" s="171">
        <v>33611</v>
      </c>
      <c r="G12" s="171">
        <v>5</v>
      </c>
      <c r="H12" s="171">
        <v>26974</v>
      </c>
      <c r="I12" s="171">
        <v>4</v>
      </c>
      <c r="J12" s="171">
        <v>21900</v>
      </c>
      <c r="K12" s="171">
        <v>2</v>
      </c>
      <c r="L12" s="171">
        <v>16558</v>
      </c>
      <c r="M12" s="171">
        <v>3</v>
      </c>
      <c r="N12" s="171">
        <v>14694</v>
      </c>
      <c r="O12" s="171">
        <v>6</v>
      </c>
      <c r="P12" s="171">
        <v>21452</v>
      </c>
      <c r="Q12" s="171">
        <v>2</v>
      </c>
      <c r="R12" s="171">
        <v>25790</v>
      </c>
      <c r="S12" s="171">
        <v>3</v>
      </c>
      <c r="T12" s="171">
        <v>1824</v>
      </c>
      <c r="U12" s="171">
        <v>5</v>
      </c>
      <c r="V12" s="164">
        <v>3394</v>
      </c>
      <c r="W12" s="166">
        <v>0</v>
      </c>
      <c r="X12" s="171">
        <v>31314</v>
      </c>
      <c r="Y12" s="166">
        <v>2</v>
      </c>
      <c r="Z12" s="171">
        <v>12903</v>
      </c>
      <c r="AA12" s="166">
        <v>0</v>
      </c>
      <c r="AB12" s="166">
        <v>27</v>
      </c>
      <c r="AC12" s="171">
        <v>13474</v>
      </c>
      <c r="AD12" s="166">
        <v>13</v>
      </c>
      <c r="AE12" s="171">
        <v>5259</v>
      </c>
      <c r="AF12" s="166">
        <v>5</v>
      </c>
      <c r="AG12" s="171">
        <v>5259</v>
      </c>
      <c r="AH12" s="166">
        <v>5</v>
      </c>
      <c r="AI12" s="171">
        <v>39740</v>
      </c>
      <c r="AJ12" s="166">
        <v>4</v>
      </c>
      <c r="AK12" s="171">
        <v>4740</v>
      </c>
      <c r="AL12" s="166">
        <v>1</v>
      </c>
      <c r="AM12" s="171">
        <v>1620</v>
      </c>
      <c r="AN12" s="166">
        <v>1</v>
      </c>
      <c r="AO12" s="171">
        <v>1714</v>
      </c>
      <c r="AP12" s="166">
        <v>1</v>
      </c>
      <c r="AQ12" s="171">
        <v>539</v>
      </c>
      <c r="AR12" s="166">
        <v>0</v>
      </c>
      <c r="AS12" s="171">
        <v>1446</v>
      </c>
      <c r="AT12" s="166">
        <v>0</v>
      </c>
      <c r="AU12" s="171">
        <v>10157</v>
      </c>
      <c r="AV12" s="166">
        <v>6</v>
      </c>
      <c r="AW12" s="167">
        <v>70</v>
      </c>
      <c r="AX12" s="168"/>
      <c r="AY12" s="169"/>
      <c r="AZ12" s="170"/>
    </row>
    <row r="13" spans="1:52" ht="15.75" customHeight="1" x14ac:dyDescent="0.2">
      <c r="A13" s="86">
        <v>5</v>
      </c>
      <c r="B13" s="171">
        <v>28837</v>
      </c>
      <c r="C13" s="171">
        <v>5</v>
      </c>
      <c r="D13" s="171">
        <v>12897</v>
      </c>
      <c r="E13" s="171">
        <v>2</v>
      </c>
      <c r="F13" s="171">
        <v>33616</v>
      </c>
      <c r="G13" s="171">
        <v>5</v>
      </c>
      <c r="H13" s="171">
        <v>26977</v>
      </c>
      <c r="I13" s="171">
        <v>3</v>
      </c>
      <c r="J13" s="171">
        <v>21904</v>
      </c>
      <c r="K13" s="171">
        <v>4</v>
      </c>
      <c r="L13" s="171">
        <v>16561</v>
      </c>
      <c r="M13" s="171">
        <v>3</v>
      </c>
      <c r="N13" s="171">
        <v>14696</v>
      </c>
      <c r="O13" s="171">
        <v>2</v>
      </c>
      <c r="P13" s="171">
        <v>21454</v>
      </c>
      <c r="Q13" s="171">
        <v>2</v>
      </c>
      <c r="R13" s="171">
        <v>25792</v>
      </c>
      <c r="S13" s="171">
        <v>2</v>
      </c>
      <c r="T13" s="171">
        <v>1826</v>
      </c>
      <c r="U13" s="171">
        <v>2</v>
      </c>
      <c r="V13" s="164">
        <v>3394</v>
      </c>
      <c r="W13" s="166">
        <v>0</v>
      </c>
      <c r="X13" s="171">
        <v>31316</v>
      </c>
      <c r="Y13" s="166">
        <v>2</v>
      </c>
      <c r="Z13" s="171">
        <v>12903</v>
      </c>
      <c r="AA13" s="166">
        <v>0</v>
      </c>
      <c r="AB13" s="166">
        <v>20</v>
      </c>
      <c r="AC13" s="171">
        <v>13483</v>
      </c>
      <c r="AD13" s="166">
        <v>9</v>
      </c>
      <c r="AE13" s="171">
        <v>5261</v>
      </c>
      <c r="AF13" s="166">
        <v>2</v>
      </c>
      <c r="AG13" s="171">
        <v>5261</v>
      </c>
      <c r="AH13" s="166">
        <v>2</v>
      </c>
      <c r="AI13" s="171">
        <v>39746</v>
      </c>
      <c r="AJ13" s="166">
        <v>6</v>
      </c>
      <c r="AK13" s="171">
        <v>4740</v>
      </c>
      <c r="AL13" s="166">
        <v>0</v>
      </c>
      <c r="AM13" s="171">
        <v>1622</v>
      </c>
      <c r="AN13" s="166">
        <v>2</v>
      </c>
      <c r="AO13" s="171">
        <v>1714</v>
      </c>
      <c r="AP13" s="166">
        <v>0</v>
      </c>
      <c r="AQ13" s="171">
        <v>539</v>
      </c>
      <c r="AR13" s="166">
        <v>0</v>
      </c>
      <c r="AS13" s="171">
        <v>1446</v>
      </c>
      <c r="AT13" s="166">
        <v>0</v>
      </c>
      <c r="AU13" s="171">
        <v>10160</v>
      </c>
      <c r="AV13" s="166">
        <v>3</v>
      </c>
      <c r="AW13" s="167">
        <v>54</v>
      </c>
      <c r="AX13" s="168"/>
      <c r="AY13" s="169"/>
      <c r="AZ13" s="170"/>
    </row>
    <row r="14" spans="1:52" ht="15.75" customHeight="1" x14ac:dyDescent="0.2">
      <c r="A14" s="86">
        <v>6</v>
      </c>
      <c r="B14" s="171">
        <v>28844</v>
      </c>
      <c r="C14" s="171">
        <v>7</v>
      </c>
      <c r="D14" s="171">
        <v>12899</v>
      </c>
      <c r="E14" s="171">
        <v>2</v>
      </c>
      <c r="F14" s="171">
        <v>33623</v>
      </c>
      <c r="G14" s="171">
        <v>7</v>
      </c>
      <c r="H14" s="171">
        <v>26986</v>
      </c>
      <c r="I14" s="171">
        <v>9</v>
      </c>
      <c r="J14" s="171">
        <v>21907</v>
      </c>
      <c r="K14" s="171">
        <v>3</v>
      </c>
      <c r="L14" s="171">
        <v>16565</v>
      </c>
      <c r="M14" s="171">
        <v>4</v>
      </c>
      <c r="N14" s="171">
        <v>14700</v>
      </c>
      <c r="O14" s="171">
        <v>4</v>
      </c>
      <c r="P14" s="171">
        <v>21457</v>
      </c>
      <c r="Q14" s="171">
        <v>3</v>
      </c>
      <c r="R14" s="171">
        <v>25795</v>
      </c>
      <c r="S14" s="171">
        <v>3</v>
      </c>
      <c r="T14" s="171">
        <v>1829</v>
      </c>
      <c r="U14" s="171">
        <v>3</v>
      </c>
      <c r="V14" s="164">
        <v>3395</v>
      </c>
      <c r="W14" s="166">
        <v>1</v>
      </c>
      <c r="X14" s="171">
        <v>31320</v>
      </c>
      <c r="Y14" s="166">
        <v>4</v>
      </c>
      <c r="Z14" s="171">
        <v>12903</v>
      </c>
      <c r="AA14" s="166">
        <v>0</v>
      </c>
      <c r="AB14" s="166">
        <v>34</v>
      </c>
      <c r="AC14" s="171">
        <v>13494</v>
      </c>
      <c r="AD14" s="166">
        <v>11</v>
      </c>
      <c r="AE14" s="171">
        <v>5263</v>
      </c>
      <c r="AF14" s="166">
        <v>2</v>
      </c>
      <c r="AG14" s="171">
        <v>5263</v>
      </c>
      <c r="AH14" s="166">
        <v>2</v>
      </c>
      <c r="AI14" s="171">
        <v>39753</v>
      </c>
      <c r="AJ14" s="166">
        <v>7</v>
      </c>
      <c r="AK14" s="171">
        <v>4741</v>
      </c>
      <c r="AL14" s="166">
        <v>1</v>
      </c>
      <c r="AM14" s="171">
        <v>1624</v>
      </c>
      <c r="AN14" s="166">
        <v>2</v>
      </c>
      <c r="AO14" s="171">
        <v>1714</v>
      </c>
      <c r="AP14" s="166">
        <v>0</v>
      </c>
      <c r="AQ14" s="171">
        <v>539</v>
      </c>
      <c r="AR14" s="166">
        <v>0</v>
      </c>
      <c r="AS14" s="171">
        <v>1447</v>
      </c>
      <c r="AT14" s="166">
        <v>1</v>
      </c>
      <c r="AU14" s="171">
        <v>10163</v>
      </c>
      <c r="AV14" s="166">
        <v>3</v>
      </c>
      <c r="AW14" s="167">
        <v>77</v>
      </c>
      <c r="AX14" s="168"/>
      <c r="AY14" s="169"/>
      <c r="AZ14" s="170"/>
    </row>
    <row r="15" spans="1:52" ht="15.75" customHeight="1" x14ac:dyDescent="0.2">
      <c r="A15" s="86">
        <v>7</v>
      </c>
      <c r="B15" s="171">
        <v>28850</v>
      </c>
      <c r="C15" s="171">
        <v>6</v>
      </c>
      <c r="D15" s="171">
        <v>12899</v>
      </c>
      <c r="E15" s="171">
        <v>0</v>
      </c>
      <c r="F15" s="171">
        <v>33626</v>
      </c>
      <c r="G15" s="171">
        <v>3</v>
      </c>
      <c r="H15" s="171">
        <v>27018</v>
      </c>
      <c r="I15" s="171">
        <v>32</v>
      </c>
      <c r="J15" s="171">
        <v>21908</v>
      </c>
      <c r="K15" s="171">
        <v>1</v>
      </c>
      <c r="L15" s="171">
        <v>16567</v>
      </c>
      <c r="M15" s="171">
        <v>2</v>
      </c>
      <c r="N15" s="171">
        <v>14702</v>
      </c>
      <c r="O15" s="171">
        <v>2</v>
      </c>
      <c r="P15" s="171">
        <v>21458</v>
      </c>
      <c r="Q15" s="171">
        <v>1</v>
      </c>
      <c r="R15" s="171">
        <v>25798</v>
      </c>
      <c r="S15" s="164">
        <v>3</v>
      </c>
      <c r="T15" s="171">
        <v>1830</v>
      </c>
      <c r="U15" s="171">
        <v>1</v>
      </c>
      <c r="V15" s="164">
        <v>3396</v>
      </c>
      <c r="W15" s="166">
        <v>1</v>
      </c>
      <c r="X15" s="171">
        <v>31322</v>
      </c>
      <c r="Y15" s="166">
        <v>2</v>
      </c>
      <c r="Z15" s="171">
        <v>12903</v>
      </c>
      <c r="AA15" s="166">
        <v>0</v>
      </c>
      <c r="AB15" s="166">
        <v>45</v>
      </c>
      <c r="AC15" s="171">
        <v>13501</v>
      </c>
      <c r="AD15" s="166">
        <v>7</v>
      </c>
      <c r="AE15" s="171">
        <v>5263</v>
      </c>
      <c r="AF15" s="166">
        <v>0</v>
      </c>
      <c r="AG15" s="171">
        <v>5263</v>
      </c>
      <c r="AH15" s="166">
        <v>0</v>
      </c>
      <c r="AI15" s="171">
        <v>39755</v>
      </c>
      <c r="AJ15" s="166">
        <v>2</v>
      </c>
      <c r="AK15" s="171">
        <v>4741</v>
      </c>
      <c r="AL15" s="166">
        <v>0</v>
      </c>
      <c r="AM15" s="171">
        <v>1627</v>
      </c>
      <c r="AN15" s="166">
        <v>3</v>
      </c>
      <c r="AO15" s="171">
        <v>1714</v>
      </c>
      <c r="AP15" s="166">
        <v>0</v>
      </c>
      <c r="AQ15" s="171">
        <v>540</v>
      </c>
      <c r="AR15" s="166">
        <v>1</v>
      </c>
      <c r="AS15" s="171">
        <v>1447</v>
      </c>
      <c r="AT15" s="166">
        <v>0</v>
      </c>
      <c r="AU15" s="171">
        <v>10164</v>
      </c>
      <c r="AV15" s="166">
        <v>1</v>
      </c>
      <c r="AW15" s="167">
        <v>68</v>
      </c>
      <c r="AX15" s="168"/>
      <c r="AY15" s="169"/>
      <c r="AZ15" s="170"/>
    </row>
    <row r="16" spans="1:52" ht="15.75" customHeight="1" x14ac:dyDescent="0.2">
      <c r="A16" s="86">
        <v>8</v>
      </c>
      <c r="B16" s="171">
        <v>28857</v>
      </c>
      <c r="C16" s="171">
        <v>7</v>
      </c>
      <c r="D16" s="171">
        <v>12901</v>
      </c>
      <c r="E16" s="171">
        <v>2</v>
      </c>
      <c r="F16" s="171">
        <v>33629</v>
      </c>
      <c r="G16" s="171">
        <v>3</v>
      </c>
      <c r="H16" s="171">
        <v>27043</v>
      </c>
      <c r="I16" s="171">
        <v>25</v>
      </c>
      <c r="J16" s="171">
        <v>21910</v>
      </c>
      <c r="K16" s="171">
        <v>2</v>
      </c>
      <c r="L16" s="171">
        <v>16568</v>
      </c>
      <c r="M16" s="171">
        <v>1</v>
      </c>
      <c r="N16" s="171">
        <v>14704</v>
      </c>
      <c r="O16" s="171">
        <v>2</v>
      </c>
      <c r="P16" s="171">
        <v>21460</v>
      </c>
      <c r="Q16" s="171">
        <v>2</v>
      </c>
      <c r="R16" s="171">
        <v>25804</v>
      </c>
      <c r="S16" s="171">
        <v>6</v>
      </c>
      <c r="T16" s="171">
        <v>1833</v>
      </c>
      <c r="U16" s="171">
        <v>3</v>
      </c>
      <c r="V16" s="164">
        <v>3396</v>
      </c>
      <c r="W16" s="166">
        <v>0</v>
      </c>
      <c r="X16" s="171">
        <v>31323</v>
      </c>
      <c r="Y16" s="166">
        <v>1</v>
      </c>
      <c r="Z16" s="171">
        <v>12903</v>
      </c>
      <c r="AA16" s="166">
        <v>0</v>
      </c>
      <c r="AB16" s="166">
        <v>42</v>
      </c>
      <c r="AC16" s="171">
        <v>13509</v>
      </c>
      <c r="AD16" s="166">
        <v>8</v>
      </c>
      <c r="AE16" s="171">
        <v>5263</v>
      </c>
      <c r="AF16" s="166">
        <v>0</v>
      </c>
      <c r="AG16" s="171">
        <v>5263</v>
      </c>
      <c r="AH16" s="166">
        <v>0</v>
      </c>
      <c r="AI16" s="171">
        <v>39755</v>
      </c>
      <c r="AJ16" s="166">
        <v>0</v>
      </c>
      <c r="AK16" s="171">
        <v>4741</v>
      </c>
      <c r="AL16" s="166">
        <v>0</v>
      </c>
      <c r="AM16" s="171">
        <v>1628</v>
      </c>
      <c r="AN16" s="166">
        <v>1</v>
      </c>
      <c r="AO16" s="171">
        <v>1715</v>
      </c>
      <c r="AP16" s="166">
        <v>1</v>
      </c>
      <c r="AQ16" s="171">
        <v>540</v>
      </c>
      <c r="AR16" s="166">
        <v>0</v>
      </c>
      <c r="AS16" s="171">
        <v>1447</v>
      </c>
      <c r="AT16" s="166">
        <v>0</v>
      </c>
      <c r="AU16" s="171">
        <v>10164</v>
      </c>
      <c r="AV16" s="166">
        <v>0</v>
      </c>
      <c r="AW16" s="167">
        <v>64</v>
      </c>
      <c r="AX16" s="168"/>
      <c r="AY16" s="169"/>
      <c r="AZ16" s="170"/>
    </row>
    <row r="17" spans="1:52" ht="15.75" customHeight="1" x14ac:dyDescent="0.2">
      <c r="A17" s="86">
        <v>9</v>
      </c>
      <c r="B17" s="171">
        <v>28864</v>
      </c>
      <c r="C17" s="171">
        <v>7</v>
      </c>
      <c r="D17" s="171">
        <v>12902</v>
      </c>
      <c r="E17" s="171">
        <v>1</v>
      </c>
      <c r="F17" s="171">
        <v>33632</v>
      </c>
      <c r="G17" s="171">
        <v>3</v>
      </c>
      <c r="H17" s="171">
        <v>27045</v>
      </c>
      <c r="I17" s="171">
        <v>2</v>
      </c>
      <c r="J17" s="171">
        <v>21912</v>
      </c>
      <c r="K17" s="171">
        <v>2</v>
      </c>
      <c r="L17" s="171">
        <v>16571</v>
      </c>
      <c r="M17" s="171">
        <v>3</v>
      </c>
      <c r="N17" s="171">
        <v>14722</v>
      </c>
      <c r="O17" s="171">
        <v>18</v>
      </c>
      <c r="P17" s="171">
        <v>21461</v>
      </c>
      <c r="Q17" s="171">
        <v>1</v>
      </c>
      <c r="R17" s="171">
        <v>25806</v>
      </c>
      <c r="S17" s="171">
        <v>2</v>
      </c>
      <c r="T17" s="171">
        <v>1834</v>
      </c>
      <c r="U17" s="171">
        <v>1</v>
      </c>
      <c r="V17" s="164">
        <v>3396</v>
      </c>
      <c r="W17" s="166">
        <v>0</v>
      </c>
      <c r="X17" s="171">
        <v>31324</v>
      </c>
      <c r="Y17" s="166">
        <v>1</v>
      </c>
      <c r="Z17" s="171">
        <v>12903</v>
      </c>
      <c r="AA17" s="166">
        <v>0</v>
      </c>
      <c r="AB17" s="166">
        <v>30</v>
      </c>
      <c r="AC17" s="171">
        <v>13516</v>
      </c>
      <c r="AD17" s="166">
        <v>7</v>
      </c>
      <c r="AE17" s="171">
        <v>5263</v>
      </c>
      <c r="AF17" s="166">
        <v>0</v>
      </c>
      <c r="AG17" s="171">
        <v>5263</v>
      </c>
      <c r="AH17" s="166">
        <v>0</v>
      </c>
      <c r="AI17" s="171">
        <v>39756</v>
      </c>
      <c r="AJ17" s="166">
        <v>1</v>
      </c>
      <c r="AK17" s="171">
        <v>4741</v>
      </c>
      <c r="AL17" s="166">
        <v>0</v>
      </c>
      <c r="AM17" s="171">
        <v>1630</v>
      </c>
      <c r="AN17" s="166">
        <v>2</v>
      </c>
      <c r="AO17" s="171">
        <v>1719</v>
      </c>
      <c r="AP17" s="166">
        <v>4</v>
      </c>
      <c r="AQ17" s="171">
        <v>540</v>
      </c>
      <c r="AR17" s="166">
        <v>0</v>
      </c>
      <c r="AS17" s="171">
        <v>1447</v>
      </c>
      <c r="AT17" s="166">
        <v>0</v>
      </c>
      <c r="AU17" s="171">
        <v>10165</v>
      </c>
      <c r="AV17" s="166">
        <v>1</v>
      </c>
      <c r="AW17" s="167">
        <v>56</v>
      </c>
      <c r="AX17" s="168"/>
      <c r="AY17" s="169"/>
      <c r="AZ17" s="170"/>
    </row>
    <row r="18" spans="1:52" ht="15.75" customHeight="1" x14ac:dyDescent="0.2">
      <c r="A18" s="86">
        <v>10</v>
      </c>
      <c r="B18" s="171">
        <v>28870</v>
      </c>
      <c r="C18" s="171">
        <v>6</v>
      </c>
      <c r="D18" s="171">
        <v>12903</v>
      </c>
      <c r="E18" s="171">
        <v>1</v>
      </c>
      <c r="F18" s="171">
        <v>33661</v>
      </c>
      <c r="G18" s="171">
        <v>29</v>
      </c>
      <c r="H18" s="171">
        <v>27048</v>
      </c>
      <c r="I18" s="171">
        <v>3</v>
      </c>
      <c r="J18" s="171">
        <v>21914</v>
      </c>
      <c r="K18" s="171">
        <v>2</v>
      </c>
      <c r="L18" s="171">
        <v>16575</v>
      </c>
      <c r="M18" s="171">
        <v>4</v>
      </c>
      <c r="N18" s="171">
        <v>14723</v>
      </c>
      <c r="O18" s="171">
        <v>1</v>
      </c>
      <c r="P18" s="171">
        <v>21464</v>
      </c>
      <c r="Q18" s="171">
        <v>3</v>
      </c>
      <c r="R18" s="171">
        <v>25810</v>
      </c>
      <c r="S18" s="171">
        <v>4</v>
      </c>
      <c r="T18" s="171">
        <v>1835</v>
      </c>
      <c r="U18" s="171">
        <v>1</v>
      </c>
      <c r="V18" s="164">
        <v>3397</v>
      </c>
      <c r="W18" s="166">
        <v>1</v>
      </c>
      <c r="X18" s="171">
        <v>31325</v>
      </c>
      <c r="Y18" s="166">
        <v>1</v>
      </c>
      <c r="Z18" s="171">
        <v>12903</v>
      </c>
      <c r="AA18" s="166">
        <v>0</v>
      </c>
      <c r="AB18" s="166">
        <v>20</v>
      </c>
      <c r="AC18" s="171">
        <v>13524</v>
      </c>
      <c r="AD18" s="166">
        <v>8</v>
      </c>
      <c r="AE18" s="171">
        <v>5263</v>
      </c>
      <c r="AF18" s="166">
        <v>0</v>
      </c>
      <c r="AG18" s="171">
        <v>5263</v>
      </c>
      <c r="AH18" s="166">
        <v>0</v>
      </c>
      <c r="AI18" s="171">
        <v>39757</v>
      </c>
      <c r="AJ18" s="166">
        <v>1</v>
      </c>
      <c r="AK18" s="171">
        <v>4742</v>
      </c>
      <c r="AL18" s="166">
        <v>1</v>
      </c>
      <c r="AM18" s="171">
        <v>1631</v>
      </c>
      <c r="AN18" s="166">
        <v>1</v>
      </c>
      <c r="AO18" s="171">
        <v>1719</v>
      </c>
      <c r="AP18" s="166">
        <v>0</v>
      </c>
      <c r="AQ18" s="171">
        <v>540</v>
      </c>
      <c r="AR18" s="166">
        <v>0</v>
      </c>
      <c r="AS18" s="171">
        <v>1447</v>
      </c>
      <c r="AT18" s="166">
        <v>0</v>
      </c>
      <c r="AU18" s="171">
        <v>10166</v>
      </c>
      <c r="AV18" s="166">
        <v>1</v>
      </c>
      <c r="AW18" s="167">
        <v>68</v>
      </c>
      <c r="AX18" s="168"/>
      <c r="AY18" s="169"/>
      <c r="AZ18" s="170"/>
    </row>
    <row r="19" spans="1:52" ht="15.75" customHeight="1" x14ac:dyDescent="0.2">
      <c r="A19" s="86">
        <v>11</v>
      </c>
      <c r="B19" s="171">
        <v>28876</v>
      </c>
      <c r="C19" s="171">
        <v>6</v>
      </c>
      <c r="D19" s="171">
        <v>12904</v>
      </c>
      <c r="E19" s="171">
        <v>1</v>
      </c>
      <c r="F19" s="171">
        <v>33673</v>
      </c>
      <c r="G19" s="171">
        <v>12</v>
      </c>
      <c r="H19" s="171">
        <v>27049</v>
      </c>
      <c r="I19" s="171">
        <v>1</v>
      </c>
      <c r="J19" s="171">
        <v>21915</v>
      </c>
      <c r="K19" s="171">
        <v>1</v>
      </c>
      <c r="L19" s="171">
        <v>16578</v>
      </c>
      <c r="M19" s="171">
        <v>3</v>
      </c>
      <c r="N19" s="171">
        <v>14723</v>
      </c>
      <c r="O19" s="171">
        <v>0</v>
      </c>
      <c r="P19" s="171">
        <v>21467</v>
      </c>
      <c r="Q19" s="171">
        <v>3</v>
      </c>
      <c r="R19" s="171">
        <v>25816</v>
      </c>
      <c r="S19" s="171">
        <v>6</v>
      </c>
      <c r="T19" s="171">
        <v>1838</v>
      </c>
      <c r="U19" s="171">
        <v>3</v>
      </c>
      <c r="V19" s="164">
        <v>3398</v>
      </c>
      <c r="W19" s="166">
        <v>1</v>
      </c>
      <c r="X19" s="171">
        <v>31328</v>
      </c>
      <c r="Y19" s="166">
        <v>3</v>
      </c>
      <c r="Z19" s="171">
        <v>12903</v>
      </c>
      <c r="AA19" s="166">
        <v>0</v>
      </c>
      <c r="AB19" s="166">
        <v>21</v>
      </c>
      <c r="AC19" s="171">
        <v>13528</v>
      </c>
      <c r="AD19" s="166">
        <v>4</v>
      </c>
      <c r="AE19" s="171">
        <v>5263</v>
      </c>
      <c r="AF19" s="166">
        <v>0</v>
      </c>
      <c r="AG19" s="171">
        <v>5263</v>
      </c>
      <c r="AH19" s="166">
        <v>0</v>
      </c>
      <c r="AI19" s="171">
        <v>39758</v>
      </c>
      <c r="AJ19" s="166">
        <v>1</v>
      </c>
      <c r="AK19" s="171">
        <v>4742</v>
      </c>
      <c r="AL19" s="166">
        <v>0</v>
      </c>
      <c r="AM19" s="171">
        <v>1632</v>
      </c>
      <c r="AN19" s="166">
        <v>1</v>
      </c>
      <c r="AO19" s="171">
        <v>1719</v>
      </c>
      <c r="AP19" s="166">
        <v>0</v>
      </c>
      <c r="AQ19" s="171">
        <v>540</v>
      </c>
      <c r="AR19" s="166">
        <v>0</v>
      </c>
      <c r="AS19" s="171">
        <v>1447</v>
      </c>
      <c r="AT19" s="166">
        <v>0</v>
      </c>
      <c r="AU19" s="171">
        <v>10166</v>
      </c>
      <c r="AV19" s="166">
        <v>0</v>
      </c>
      <c r="AW19" s="167">
        <v>46</v>
      </c>
      <c r="AX19" s="168"/>
      <c r="AY19" s="169"/>
      <c r="AZ19" s="170"/>
    </row>
    <row r="20" spans="1:52" ht="15.75" customHeight="1" x14ac:dyDescent="0.2">
      <c r="A20" s="86">
        <v>12</v>
      </c>
      <c r="B20" s="171">
        <v>28883</v>
      </c>
      <c r="C20" s="171">
        <v>7</v>
      </c>
      <c r="D20" s="171">
        <v>12906</v>
      </c>
      <c r="E20" s="171">
        <v>2</v>
      </c>
      <c r="F20" s="171">
        <v>33678</v>
      </c>
      <c r="G20" s="171">
        <v>5</v>
      </c>
      <c r="H20" s="171">
        <v>27051</v>
      </c>
      <c r="I20" s="171">
        <v>2</v>
      </c>
      <c r="J20" s="171">
        <v>21917</v>
      </c>
      <c r="K20" s="171">
        <v>2</v>
      </c>
      <c r="L20" s="171">
        <v>16581</v>
      </c>
      <c r="M20" s="171">
        <v>3</v>
      </c>
      <c r="N20" s="171">
        <v>14724</v>
      </c>
      <c r="O20" s="171">
        <v>1</v>
      </c>
      <c r="P20" s="171">
        <v>21469</v>
      </c>
      <c r="Q20" s="171">
        <v>2</v>
      </c>
      <c r="R20" s="171">
        <v>25818</v>
      </c>
      <c r="S20" s="171">
        <v>2</v>
      </c>
      <c r="T20" s="171">
        <v>1840</v>
      </c>
      <c r="U20" s="171">
        <v>2</v>
      </c>
      <c r="V20" s="164">
        <v>3398</v>
      </c>
      <c r="W20" s="166">
        <v>0</v>
      </c>
      <c r="X20" s="171">
        <v>31330</v>
      </c>
      <c r="Y20" s="166">
        <v>2</v>
      </c>
      <c r="Z20" s="171">
        <v>12903</v>
      </c>
      <c r="AA20" s="166">
        <v>0</v>
      </c>
      <c r="AB20" s="166">
        <v>16</v>
      </c>
      <c r="AC20" s="171">
        <v>13535</v>
      </c>
      <c r="AD20" s="166">
        <v>7</v>
      </c>
      <c r="AE20" s="171">
        <v>5264</v>
      </c>
      <c r="AF20" s="166">
        <v>1</v>
      </c>
      <c r="AG20" s="171">
        <v>5264</v>
      </c>
      <c r="AH20" s="166">
        <v>1</v>
      </c>
      <c r="AI20" s="171">
        <v>39762</v>
      </c>
      <c r="AJ20" s="166">
        <v>4</v>
      </c>
      <c r="AK20" s="171">
        <v>4742</v>
      </c>
      <c r="AL20" s="166">
        <v>0</v>
      </c>
      <c r="AM20" s="171">
        <v>1634</v>
      </c>
      <c r="AN20" s="166">
        <v>2</v>
      </c>
      <c r="AO20" s="171">
        <v>1719</v>
      </c>
      <c r="AP20" s="166">
        <v>0</v>
      </c>
      <c r="AQ20" s="171">
        <v>540</v>
      </c>
      <c r="AR20" s="166">
        <v>0</v>
      </c>
      <c r="AS20" s="171">
        <v>1448</v>
      </c>
      <c r="AT20" s="166">
        <v>1</v>
      </c>
      <c r="AU20" s="171">
        <v>10167</v>
      </c>
      <c r="AV20" s="166">
        <v>1</v>
      </c>
      <c r="AW20" s="167">
        <v>46</v>
      </c>
      <c r="AX20" s="168"/>
      <c r="AY20" s="169"/>
      <c r="AZ20" s="170"/>
    </row>
    <row r="21" spans="1:52" ht="15.75" customHeight="1" x14ac:dyDescent="0.2">
      <c r="A21" s="86">
        <v>13</v>
      </c>
      <c r="B21" s="171">
        <v>28892</v>
      </c>
      <c r="C21" s="171">
        <v>9</v>
      </c>
      <c r="D21" s="171">
        <v>12910</v>
      </c>
      <c r="E21" s="171">
        <v>4</v>
      </c>
      <c r="F21" s="171">
        <v>33688</v>
      </c>
      <c r="G21" s="171">
        <v>10</v>
      </c>
      <c r="H21" s="171">
        <v>27054</v>
      </c>
      <c r="I21" s="171">
        <v>3</v>
      </c>
      <c r="J21" s="171">
        <v>21921</v>
      </c>
      <c r="K21" s="171">
        <v>4</v>
      </c>
      <c r="L21" s="171">
        <v>16600</v>
      </c>
      <c r="M21" s="171">
        <v>19</v>
      </c>
      <c r="N21" s="171">
        <v>14726</v>
      </c>
      <c r="O21" s="171">
        <v>2</v>
      </c>
      <c r="P21" s="171">
        <v>21479</v>
      </c>
      <c r="Q21" s="171">
        <v>10</v>
      </c>
      <c r="R21" s="171">
        <v>25822</v>
      </c>
      <c r="S21" s="171">
        <v>4</v>
      </c>
      <c r="T21" s="171">
        <v>1847</v>
      </c>
      <c r="U21" s="171">
        <v>7</v>
      </c>
      <c r="V21" s="164">
        <v>3399</v>
      </c>
      <c r="W21" s="166">
        <v>1</v>
      </c>
      <c r="X21" s="171">
        <v>31332</v>
      </c>
      <c r="Y21" s="166">
        <v>2</v>
      </c>
      <c r="Z21" s="171">
        <v>12903</v>
      </c>
      <c r="AA21" s="166">
        <v>0</v>
      </c>
      <c r="AB21" s="166">
        <v>52</v>
      </c>
      <c r="AC21" s="171">
        <v>13544</v>
      </c>
      <c r="AD21" s="166">
        <v>9</v>
      </c>
      <c r="AE21" s="171">
        <v>5266</v>
      </c>
      <c r="AF21" s="166">
        <v>2</v>
      </c>
      <c r="AG21" s="171">
        <v>5266</v>
      </c>
      <c r="AH21" s="166">
        <v>2</v>
      </c>
      <c r="AI21" s="171">
        <v>39770</v>
      </c>
      <c r="AJ21" s="166">
        <v>8</v>
      </c>
      <c r="AK21" s="171">
        <v>4743</v>
      </c>
      <c r="AL21" s="166">
        <v>1</v>
      </c>
      <c r="AM21" s="171">
        <v>1635</v>
      </c>
      <c r="AN21" s="166">
        <v>1</v>
      </c>
      <c r="AO21" s="171">
        <v>1719</v>
      </c>
      <c r="AP21" s="166">
        <v>0</v>
      </c>
      <c r="AQ21" s="171">
        <v>540</v>
      </c>
      <c r="AR21" s="166">
        <v>0</v>
      </c>
      <c r="AS21" s="171">
        <v>1448</v>
      </c>
      <c r="AT21" s="166">
        <v>0</v>
      </c>
      <c r="AU21" s="171">
        <v>10171</v>
      </c>
      <c r="AV21" s="166">
        <v>4</v>
      </c>
      <c r="AW21" s="167">
        <v>100</v>
      </c>
      <c r="AX21" s="168"/>
      <c r="AY21" s="169"/>
      <c r="AZ21" s="170"/>
    </row>
    <row r="22" spans="1:52" ht="15.75" customHeight="1" x14ac:dyDescent="0.2">
      <c r="A22" s="86">
        <v>14</v>
      </c>
      <c r="B22" s="171">
        <v>28900</v>
      </c>
      <c r="C22" s="171">
        <v>8</v>
      </c>
      <c r="D22" s="171">
        <v>12911</v>
      </c>
      <c r="E22" s="171">
        <v>1</v>
      </c>
      <c r="F22" s="171">
        <v>33695</v>
      </c>
      <c r="G22" s="171">
        <v>7</v>
      </c>
      <c r="H22" s="171">
        <v>27058</v>
      </c>
      <c r="I22" s="171">
        <v>4</v>
      </c>
      <c r="J22" s="171">
        <v>21924</v>
      </c>
      <c r="K22" s="171">
        <v>3</v>
      </c>
      <c r="L22" s="171">
        <v>16603</v>
      </c>
      <c r="M22" s="171">
        <v>3</v>
      </c>
      <c r="N22" s="171">
        <v>14729</v>
      </c>
      <c r="O22" s="171">
        <v>3</v>
      </c>
      <c r="P22" s="171">
        <v>21484</v>
      </c>
      <c r="Q22" s="171">
        <v>5</v>
      </c>
      <c r="R22" s="171">
        <v>25829</v>
      </c>
      <c r="S22" s="171">
        <v>7</v>
      </c>
      <c r="T22" s="171">
        <v>1851</v>
      </c>
      <c r="U22" s="171">
        <v>4</v>
      </c>
      <c r="V22" s="164">
        <v>3405</v>
      </c>
      <c r="W22" s="166">
        <v>6</v>
      </c>
      <c r="X22" s="171">
        <v>31335</v>
      </c>
      <c r="Y22" s="166">
        <v>3</v>
      </c>
      <c r="Z22" s="171">
        <v>12903</v>
      </c>
      <c r="AA22" s="166">
        <v>0</v>
      </c>
      <c r="AB22" s="166">
        <v>38</v>
      </c>
      <c r="AC22" s="171">
        <v>13553</v>
      </c>
      <c r="AD22" s="166">
        <v>9</v>
      </c>
      <c r="AE22" s="171">
        <v>5269</v>
      </c>
      <c r="AF22" s="166">
        <v>3</v>
      </c>
      <c r="AG22" s="171">
        <v>5269</v>
      </c>
      <c r="AH22" s="166">
        <v>3</v>
      </c>
      <c r="AI22" s="171">
        <v>39776</v>
      </c>
      <c r="AJ22" s="166">
        <v>6</v>
      </c>
      <c r="AK22" s="171">
        <v>4747</v>
      </c>
      <c r="AL22" s="166">
        <v>4</v>
      </c>
      <c r="AM22" s="171">
        <v>1637</v>
      </c>
      <c r="AN22" s="166">
        <v>2</v>
      </c>
      <c r="AO22" s="171">
        <v>1719</v>
      </c>
      <c r="AP22" s="166">
        <v>0</v>
      </c>
      <c r="AQ22" s="171">
        <v>540</v>
      </c>
      <c r="AR22" s="166">
        <v>0</v>
      </c>
      <c r="AS22" s="171">
        <v>1448</v>
      </c>
      <c r="AT22" s="166">
        <v>0</v>
      </c>
      <c r="AU22" s="171">
        <v>10174</v>
      </c>
      <c r="AV22" s="166">
        <v>3</v>
      </c>
      <c r="AW22" s="167">
        <v>81</v>
      </c>
      <c r="AX22" s="168"/>
      <c r="AY22" s="169"/>
      <c r="AZ22" s="170"/>
    </row>
    <row r="23" spans="1:52" ht="15.75" customHeight="1" x14ac:dyDescent="0.2">
      <c r="A23" s="86">
        <v>15</v>
      </c>
      <c r="B23" s="171">
        <v>28908</v>
      </c>
      <c r="C23" s="171">
        <v>8</v>
      </c>
      <c r="D23" s="171">
        <v>12916</v>
      </c>
      <c r="E23" s="171">
        <v>5</v>
      </c>
      <c r="F23" s="171">
        <v>33705</v>
      </c>
      <c r="G23" s="171">
        <v>10</v>
      </c>
      <c r="H23" s="171">
        <v>27062</v>
      </c>
      <c r="I23" s="171">
        <v>4</v>
      </c>
      <c r="J23" s="171">
        <v>21930</v>
      </c>
      <c r="K23" s="171">
        <v>6</v>
      </c>
      <c r="L23" s="171">
        <v>16606</v>
      </c>
      <c r="M23" s="171">
        <v>3</v>
      </c>
      <c r="N23" s="171">
        <v>14732</v>
      </c>
      <c r="O23" s="171">
        <v>3</v>
      </c>
      <c r="P23" s="171">
        <v>21488</v>
      </c>
      <c r="Q23" s="171">
        <v>4</v>
      </c>
      <c r="R23" s="171">
        <v>25838</v>
      </c>
      <c r="S23" s="171">
        <v>9</v>
      </c>
      <c r="T23" s="171">
        <v>1859</v>
      </c>
      <c r="U23" s="171">
        <v>8</v>
      </c>
      <c r="V23" s="164">
        <v>3406</v>
      </c>
      <c r="W23" s="166">
        <v>1</v>
      </c>
      <c r="X23" s="171">
        <v>31337</v>
      </c>
      <c r="Y23" s="166">
        <v>2</v>
      </c>
      <c r="Z23" s="171">
        <v>12903</v>
      </c>
      <c r="AA23" s="166">
        <v>0</v>
      </c>
      <c r="AB23" s="166">
        <v>40</v>
      </c>
      <c r="AC23" s="171">
        <v>13563</v>
      </c>
      <c r="AD23" s="166">
        <v>10</v>
      </c>
      <c r="AE23" s="171">
        <v>5272</v>
      </c>
      <c r="AF23" s="166">
        <v>3</v>
      </c>
      <c r="AG23" s="171">
        <v>5272</v>
      </c>
      <c r="AH23" s="166">
        <v>3</v>
      </c>
      <c r="AI23" s="171">
        <v>39784</v>
      </c>
      <c r="AJ23" s="166">
        <v>8</v>
      </c>
      <c r="AK23" s="171">
        <v>4747</v>
      </c>
      <c r="AL23" s="166">
        <v>0</v>
      </c>
      <c r="AM23" s="171">
        <v>1639</v>
      </c>
      <c r="AN23" s="166">
        <v>2</v>
      </c>
      <c r="AO23" s="171">
        <v>1719</v>
      </c>
      <c r="AP23" s="166">
        <v>0</v>
      </c>
      <c r="AQ23" s="171">
        <v>540</v>
      </c>
      <c r="AR23" s="166">
        <v>0</v>
      </c>
      <c r="AS23" s="171">
        <v>1448</v>
      </c>
      <c r="AT23" s="166">
        <v>0</v>
      </c>
      <c r="AU23" s="171">
        <v>10178</v>
      </c>
      <c r="AV23" s="166">
        <v>4</v>
      </c>
      <c r="AW23" s="167">
        <v>90</v>
      </c>
      <c r="AX23" s="168"/>
      <c r="AY23" s="169"/>
      <c r="AZ23" s="170"/>
    </row>
    <row r="24" spans="1:52" ht="15.75" customHeight="1" x14ac:dyDescent="0.2">
      <c r="A24" s="86">
        <v>16</v>
      </c>
      <c r="B24" s="171">
        <v>28916</v>
      </c>
      <c r="C24" s="171">
        <v>8</v>
      </c>
      <c r="D24" s="171">
        <v>12921</v>
      </c>
      <c r="E24" s="171">
        <v>5</v>
      </c>
      <c r="F24" s="171">
        <v>33714</v>
      </c>
      <c r="G24" s="171">
        <v>9</v>
      </c>
      <c r="H24" s="171">
        <v>27067</v>
      </c>
      <c r="I24" s="171">
        <v>5</v>
      </c>
      <c r="J24" s="171">
        <v>21933</v>
      </c>
      <c r="K24" s="171">
        <v>3</v>
      </c>
      <c r="L24" s="171">
        <v>16608</v>
      </c>
      <c r="M24" s="171">
        <v>2</v>
      </c>
      <c r="N24" s="171">
        <v>14736</v>
      </c>
      <c r="O24" s="171">
        <v>4</v>
      </c>
      <c r="P24" s="171">
        <v>21494</v>
      </c>
      <c r="Q24" s="171">
        <v>6</v>
      </c>
      <c r="R24" s="171">
        <v>25841</v>
      </c>
      <c r="S24" s="171">
        <v>3</v>
      </c>
      <c r="T24" s="171">
        <v>1864</v>
      </c>
      <c r="U24" s="171">
        <v>5</v>
      </c>
      <c r="V24" s="164">
        <v>3406</v>
      </c>
      <c r="W24" s="166">
        <v>0</v>
      </c>
      <c r="X24" s="171">
        <v>31341</v>
      </c>
      <c r="Y24" s="166">
        <v>4</v>
      </c>
      <c r="Z24" s="171">
        <v>12903</v>
      </c>
      <c r="AA24" s="166">
        <v>0</v>
      </c>
      <c r="AB24" s="166">
        <v>32</v>
      </c>
      <c r="AC24" s="171">
        <v>13574</v>
      </c>
      <c r="AD24" s="166">
        <v>11</v>
      </c>
      <c r="AE24" s="171">
        <v>5275</v>
      </c>
      <c r="AF24" s="166">
        <v>3</v>
      </c>
      <c r="AG24" s="171">
        <v>5275</v>
      </c>
      <c r="AH24" s="166">
        <v>3</v>
      </c>
      <c r="AI24" s="171">
        <v>39788</v>
      </c>
      <c r="AJ24" s="166">
        <v>4</v>
      </c>
      <c r="AK24" s="171">
        <v>4747</v>
      </c>
      <c r="AL24" s="166">
        <v>0</v>
      </c>
      <c r="AM24" s="171">
        <v>1641</v>
      </c>
      <c r="AN24" s="166">
        <v>2</v>
      </c>
      <c r="AO24" s="171">
        <v>1719</v>
      </c>
      <c r="AP24" s="166">
        <v>0</v>
      </c>
      <c r="AQ24" s="171">
        <v>540</v>
      </c>
      <c r="AR24" s="166">
        <v>0</v>
      </c>
      <c r="AS24" s="171">
        <v>1448</v>
      </c>
      <c r="AT24" s="166">
        <v>0</v>
      </c>
      <c r="AU24" s="171">
        <v>10181</v>
      </c>
      <c r="AV24" s="166">
        <v>3</v>
      </c>
      <c r="AW24" s="167">
        <v>77</v>
      </c>
      <c r="AX24" s="168"/>
      <c r="AY24" s="169"/>
      <c r="AZ24" s="170"/>
    </row>
    <row r="25" spans="1:52" ht="15.75" customHeight="1" x14ac:dyDescent="0.2">
      <c r="A25" s="86">
        <v>17</v>
      </c>
      <c r="B25" s="171">
        <v>28922</v>
      </c>
      <c r="C25" s="171">
        <v>6</v>
      </c>
      <c r="D25" s="171">
        <v>12922</v>
      </c>
      <c r="E25" s="171">
        <v>1</v>
      </c>
      <c r="F25" s="171">
        <v>33719</v>
      </c>
      <c r="G25" s="171">
        <v>5</v>
      </c>
      <c r="H25" s="171">
        <v>27067</v>
      </c>
      <c r="I25" s="171">
        <v>0</v>
      </c>
      <c r="J25" s="171">
        <v>21939</v>
      </c>
      <c r="K25" s="171">
        <v>6</v>
      </c>
      <c r="L25" s="171">
        <v>16610</v>
      </c>
      <c r="M25" s="171">
        <v>2</v>
      </c>
      <c r="N25" s="171">
        <v>14739</v>
      </c>
      <c r="O25" s="171">
        <v>3</v>
      </c>
      <c r="P25" s="171">
        <v>21498</v>
      </c>
      <c r="Q25" s="171">
        <v>4</v>
      </c>
      <c r="R25" s="171">
        <v>25843</v>
      </c>
      <c r="S25" s="171">
        <v>2</v>
      </c>
      <c r="T25" s="171">
        <v>1869</v>
      </c>
      <c r="U25" s="171">
        <v>5</v>
      </c>
      <c r="V25" s="164">
        <v>3406</v>
      </c>
      <c r="W25" s="166">
        <v>0</v>
      </c>
      <c r="X25" s="171">
        <v>31342</v>
      </c>
      <c r="Y25" s="166">
        <v>1</v>
      </c>
      <c r="Z25" s="171">
        <v>12903</v>
      </c>
      <c r="AA25" s="166">
        <v>0</v>
      </c>
      <c r="AB25" s="166">
        <v>23</v>
      </c>
      <c r="AC25" s="171">
        <v>13582</v>
      </c>
      <c r="AD25" s="166">
        <v>8</v>
      </c>
      <c r="AE25" s="171">
        <v>5279</v>
      </c>
      <c r="AF25" s="166">
        <v>4</v>
      </c>
      <c r="AG25" s="171">
        <v>5279</v>
      </c>
      <c r="AH25" s="166">
        <v>4</v>
      </c>
      <c r="AI25" s="171">
        <v>39800</v>
      </c>
      <c r="AJ25" s="166">
        <v>12</v>
      </c>
      <c r="AK25" s="171">
        <v>4747</v>
      </c>
      <c r="AL25" s="166">
        <v>0</v>
      </c>
      <c r="AM25" s="171">
        <v>1642</v>
      </c>
      <c r="AN25" s="166">
        <v>1</v>
      </c>
      <c r="AO25" s="171">
        <v>1721</v>
      </c>
      <c r="AP25" s="166">
        <v>2</v>
      </c>
      <c r="AQ25" s="171">
        <v>540</v>
      </c>
      <c r="AR25" s="166">
        <v>0</v>
      </c>
      <c r="AS25" s="171">
        <v>1449</v>
      </c>
      <c r="AT25" s="166">
        <v>1</v>
      </c>
      <c r="AU25" s="171">
        <v>10186</v>
      </c>
      <c r="AV25" s="166">
        <v>5</v>
      </c>
      <c r="AW25" s="167">
        <v>68</v>
      </c>
      <c r="AX25" s="168"/>
      <c r="AY25" s="169"/>
      <c r="AZ25" s="170"/>
    </row>
    <row r="26" spans="1:52" ht="15.75" customHeight="1" x14ac:dyDescent="0.2">
      <c r="A26" s="86">
        <v>18</v>
      </c>
      <c r="B26" s="171">
        <v>28932</v>
      </c>
      <c r="C26" s="171">
        <v>10</v>
      </c>
      <c r="D26" s="171">
        <v>12923</v>
      </c>
      <c r="E26" s="171">
        <v>1</v>
      </c>
      <c r="F26" s="171">
        <v>33724</v>
      </c>
      <c r="G26" s="171">
        <v>5</v>
      </c>
      <c r="H26" s="171">
        <v>27068</v>
      </c>
      <c r="I26" s="171">
        <v>1</v>
      </c>
      <c r="J26" s="171">
        <v>21939</v>
      </c>
      <c r="K26" s="171">
        <v>0</v>
      </c>
      <c r="L26" s="171">
        <v>16612</v>
      </c>
      <c r="M26" s="171">
        <v>2</v>
      </c>
      <c r="N26" s="171">
        <v>14740</v>
      </c>
      <c r="O26" s="171">
        <v>1</v>
      </c>
      <c r="P26" s="171">
        <v>21502</v>
      </c>
      <c r="Q26" s="171">
        <v>4</v>
      </c>
      <c r="R26" s="171">
        <v>25845</v>
      </c>
      <c r="S26" s="171">
        <v>2</v>
      </c>
      <c r="T26" s="171">
        <v>1873</v>
      </c>
      <c r="U26" s="171">
        <v>4</v>
      </c>
      <c r="V26" s="164">
        <v>3407</v>
      </c>
      <c r="W26" s="166">
        <v>1</v>
      </c>
      <c r="X26" s="171">
        <v>31343</v>
      </c>
      <c r="Y26" s="166">
        <v>1</v>
      </c>
      <c r="Z26" s="171">
        <v>12903</v>
      </c>
      <c r="AA26" s="166">
        <v>0</v>
      </c>
      <c r="AB26" s="166">
        <v>16</v>
      </c>
      <c r="AC26" s="171">
        <v>13588</v>
      </c>
      <c r="AD26" s="166">
        <v>6</v>
      </c>
      <c r="AE26" s="171">
        <v>5282</v>
      </c>
      <c r="AF26" s="166">
        <v>3</v>
      </c>
      <c r="AG26" s="171">
        <v>5282</v>
      </c>
      <c r="AH26" s="166">
        <v>3</v>
      </c>
      <c r="AI26" s="171">
        <v>39808</v>
      </c>
      <c r="AJ26" s="166">
        <v>8</v>
      </c>
      <c r="AK26" s="171">
        <v>4748</v>
      </c>
      <c r="AL26" s="166">
        <v>1</v>
      </c>
      <c r="AM26" s="171">
        <v>1645</v>
      </c>
      <c r="AN26" s="166">
        <v>3</v>
      </c>
      <c r="AO26" s="171">
        <v>1725</v>
      </c>
      <c r="AP26" s="166">
        <v>4</v>
      </c>
      <c r="AQ26" s="171">
        <v>540</v>
      </c>
      <c r="AR26" s="166">
        <v>0</v>
      </c>
      <c r="AS26" s="171">
        <v>1450</v>
      </c>
      <c r="AT26" s="166">
        <v>1</v>
      </c>
      <c r="AU26" s="171">
        <v>10189</v>
      </c>
      <c r="AV26" s="166">
        <v>3</v>
      </c>
      <c r="AW26" s="167">
        <v>61</v>
      </c>
      <c r="AX26" s="168"/>
      <c r="AY26" s="169"/>
      <c r="AZ26" s="170"/>
    </row>
    <row r="27" spans="1:52" ht="15.75" customHeight="1" x14ac:dyDescent="0.2">
      <c r="A27" s="86">
        <v>19</v>
      </c>
      <c r="B27" s="171">
        <v>28943</v>
      </c>
      <c r="C27" s="171">
        <v>11</v>
      </c>
      <c r="D27" s="171">
        <v>12925</v>
      </c>
      <c r="E27" s="171">
        <v>2</v>
      </c>
      <c r="F27" s="171">
        <v>33730</v>
      </c>
      <c r="G27" s="171">
        <v>6</v>
      </c>
      <c r="H27" s="171">
        <v>27073</v>
      </c>
      <c r="I27" s="171">
        <v>5</v>
      </c>
      <c r="J27" s="171">
        <v>21940</v>
      </c>
      <c r="K27" s="171">
        <v>1</v>
      </c>
      <c r="L27" s="171">
        <v>16612</v>
      </c>
      <c r="M27" s="171">
        <v>0</v>
      </c>
      <c r="N27" s="171">
        <v>14752</v>
      </c>
      <c r="O27" s="171">
        <v>12</v>
      </c>
      <c r="P27" s="171">
        <v>21510</v>
      </c>
      <c r="Q27" s="171">
        <v>8</v>
      </c>
      <c r="R27" s="171">
        <v>25851</v>
      </c>
      <c r="S27" s="171">
        <v>6</v>
      </c>
      <c r="T27" s="171">
        <v>1878</v>
      </c>
      <c r="U27" s="171">
        <v>5</v>
      </c>
      <c r="V27" s="164">
        <v>3410</v>
      </c>
      <c r="W27" s="166">
        <v>3</v>
      </c>
      <c r="X27" s="171">
        <v>31345</v>
      </c>
      <c r="Y27" s="166">
        <v>2</v>
      </c>
      <c r="Z27" s="171">
        <v>12903</v>
      </c>
      <c r="AA27" s="166">
        <v>0</v>
      </c>
      <c r="AB27" s="166">
        <v>42</v>
      </c>
      <c r="AC27" s="171">
        <v>13595</v>
      </c>
      <c r="AD27" s="166">
        <v>7</v>
      </c>
      <c r="AE27" s="171">
        <v>5284</v>
      </c>
      <c r="AF27" s="166">
        <v>2</v>
      </c>
      <c r="AG27" s="171">
        <v>5284</v>
      </c>
      <c r="AH27" s="166">
        <v>2</v>
      </c>
      <c r="AI27" s="171">
        <v>39811</v>
      </c>
      <c r="AJ27" s="166">
        <v>3</v>
      </c>
      <c r="AK27" s="171">
        <v>4750</v>
      </c>
      <c r="AL27" s="166">
        <v>2</v>
      </c>
      <c r="AM27" s="171">
        <v>1647</v>
      </c>
      <c r="AN27" s="166">
        <v>2</v>
      </c>
      <c r="AO27" s="171">
        <v>1730</v>
      </c>
      <c r="AP27" s="166">
        <v>5</v>
      </c>
      <c r="AQ27" s="171">
        <v>540</v>
      </c>
      <c r="AR27" s="166">
        <v>0</v>
      </c>
      <c r="AS27" s="171">
        <v>1450</v>
      </c>
      <c r="AT27" s="166">
        <v>0</v>
      </c>
      <c r="AU27" s="171">
        <v>10193</v>
      </c>
      <c r="AV27" s="166">
        <v>4</v>
      </c>
      <c r="AW27" s="167">
        <v>86</v>
      </c>
      <c r="AX27" s="168"/>
      <c r="AY27" s="169"/>
      <c r="AZ27" s="170"/>
    </row>
    <row r="28" spans="1:52" ht="15.75" customHeight="1" x14ac:dyDescent="0.2">
      <c r="A28" s="86">
        <v>20</v>
      </c>
      <c r="B28" s="171">
        <v>28952</v>
      </c>
      <c r="C28" s="171">
        <v>9</v>
      </c>
      <c r="D28" s="171">
        <v>12927</v>
      </c>
      <c r="E28" s="171">
        <v>2</v>
      </c>
      <c r="F28" s="171">
        <v>33737</v>
      </c>
      <c r="G28" s="171">
        <v>7</v>
      </c>
      <c r="H28" s="171">
        <v>27077</v>
      </c>
      <c r="I28" s="171">
        <v>4</v>
      </c>
      <c r="J28" s="171">
        <v>21944</v>
      </c>
      <c r="K28" s="171">
        <v>4</v>
      </c>
      <c r="L28" s="171">
        <v>16612</v>
      </c>
      <c r="M28" s="171">
        <v>0</v>
      </c>
      <c r="N28" s="171">
        <v>14756</v>
      </c>
      <c r="O28" s="171">
        <v>4</v>
      </c>
      <c r="P28" s="171">
        <v>21517</v>
      </c>
      <c r="Q28" s="171">
        <v>7</v>
      </c>
      <c r="R28" s="171">
        <v>25854</v>
      </c>
      <c r="S28" s="171">
        <v>3</v>
      </c>
      <c r="T28" s="171">
        <v>1884</v>
      </c>
      <c r="U28" s="171">
        <v>6</v>
      </c>
      <c r="V28" s="164">
        <v>3410</v>
      </c>
      <c r="W28" s="166">
        <v>0</v>
      </c>
      <c r="X28" s="171">
        <v>31350</v>
      </c>
      <c r="Y28" s="166">
        <v>5</v>
      </c>
      <c r="Z28" s="171">
        <v>12903</v>
      </c>
      <c r="AA28" s="166">
        <v>0</v>
      </c>
      <c r="AB28" s="166">
        <v>33</v>
      </c>
      <c r="AC28" s="171">
        <v>13605</v>
      </c>
      <c r="AD28" s="166">
        <v>10</v>
      </c>
      <c r="AE28" s="171">
        <v>5287</v>
      </c>
      <c r="AF28" s="166">
        <v>3</v>
      </c>
      <c r="AG28" s="171">
        <v>5287</v>
      </c>
      <c r="AH28" s="166">
        <v>3</v>
      </c>
      <c r="AI28" s="171">
        <v>39812</v>
      </c>
      <c r="AJ28" s="166">
        <v>1</v>
      </c>
      <c r="AK28" s="171">
        <v>4751</v>
      </c>
      <c r="AL28" s="166">
        <v>1</v>
      </c>
      <c r="AM28" s="171">
        <v>1649</v>
      </c>
      <c r="AN28" s="166">
        <v>2</v>
      </c>
      <c r="AO28" s="171">
        <v>1731</v>
      </c>
      <c r="AP28" s="166">
        <v>1</v>
      </c>
      <c r="AQ28" s="171">
        <v>540</v>
      </c>
      <c r="AR28" s="166">
        <v>0</v>
      </c>
      <c r="AS28" s="171">
        <v>1452</v>
      </c>
      <c r="AT28" s="166">
        <v>2</v>
      </c>
      <c r="AU28" s="171">
        <v>10196</v>
      </c>
      <c r="AV28" s="166">
        <v>3</v>
      </c>
      <c r="AW28" s="167">
        <v>74</v>
      </c>
      <c r="AX28" s="168"/>
      <c r="AY28" s="169"/>
      <c r="AZ28" s="170"/>
    </row>
    <row r="29" spans="1:52" ht="15.75" customHeight="1" x14ac:dyDescent="0.2">
      <c r="A29" s="86">
        <v>21</v>
      </c>
      <c r="B29" s="171">
        <v>28964</v>
      </c>
      <c r="C29" s="171">
        <v>12</v>
      </c>
      <c r="D29" s="171">
        <v>12930</v>
      </c>
      <c r="E29" s="171">
        <v>3</v>
      </c>
      <c r="F29" s="171">
        <v>33744</v>
      </c>
      <c r="G29" s="171">
        <v>7</v>
      </c>
      <c r="H29" s="171">
        <v>27081</v>
      </c>
      <c r="I29" s="171">
        <v>4</v>
      </c>
      <c r="J29" s="171">
        <v>21947</v>
      </c>
      <c r="K29" s="171">
        <v>3</v>
      </c>
      <c r="L29" s="171">
        <v>16613</v>
      </c>
      <c r="M29" s="171">
        <v>1</v>
      </c>
      <c r="N29" s="171">
        <v>14759</v>
      </c>
      <c r="O29" s="171">
        <v>3</v>
      </c>
      <c r="P29" s="171">
        <v>21526</v>
      </c>
      <c r="Q29" s="171">
        <v>9</v>
      </c>
      <c r="R29" s="171">
        <v>25859</v>
      </c>
      <c r="S29" s="171">
        <v>5</v>
      </c>
      <c r="T29" s="171">
        <v>1894</v>
      </c>
      <c r="U29" s="171">
        <v>10</v>
      </c>
      <c r="V29" s="164">
        <v>3410</v>
      </c>
      <c r="W29" s="166">
        <v>0</v>
      </c>
      <c r="X29" s="171">
        <v>31355</v>
      </c>
      <c r="Y29" s="166">
        <v>5</v>
      </c>
      <c r="Z29" s="171">
        <v>12903</v>
      </c>
      <c r="AA29" s="166">
        <v>0</v>
      </c>
      <c r="AB29" s="166">
        <v>40</v>
      </c>
      <c r="AC29" s="171">
        <v>13611</v>
      </c>
      <c r="AD29" s="166">
        <v>6</v>
      </c>
      <c r="AE29" s="171">
        <v>5287</v>
      </c>
      <c r="AF29" s="166">
        <v>0</v>
      </c>
      <c r="AG29" s="171">
        <v>5287</v>
      </c>
      <c r="AH29" s="166">
        <v>0</v>
      </c>
      <c r="AI29" s="171">
        <v>39813</v>
      </c>
      <c r="AJ29" s="166">
        <v>1</v>
      </c>
      <c r="AK29" s="171">
        <v>4751</v>
      </c>
      <c r="AL29" s="166">
        <v>0</v>
      </c>
      <c r="AM29" s="171">
        <v>1651</v>
      </c>
      <c r="AN29" s="166">
        <v>2</v>
      </c>
      <c r="AO29" s="171">
        <v>1732</v>
      </c>
      <c r="AP29" s="166">
        <v>1</v>
      </c>
      <c r="AQ29" s="171">
        <v>540</v>
      </c>
      <c r="AR29" s="166">
        <v>0</v>
      </c>
      <c r="AS29" s="171">
        <v>1452</v>
      </c>
      <c r="AT29" s="166">
        <v>0</v>
      </c>
      <c r="AU29" s="171">
        <v>10198</v>
      </c>
      <c r="AV29" s="166">
        <v>2</v>
      </c>
      <c r="AW29" s="167">
        <v>74</v>
      </c>
      <c r="AX29" s="168"/>
      <c r="AY29" s="169"/>
      <c r="AZ29" s="170"/>
    </row>
    <row r="30" spans="1:52" ht="15.75" customHeight="1" x14ac:dyDescent="0.2">
      <c r="A30" s="86">
        <v>22</v>
      </c>
      <c r="B30" s="171">
        <v>28972</v>
      </c>
      <c r="C30" s="171">
        <v>8</v>
      </c>
      <c r="D30" s="171">
        <v>12930</v>
      </c>
      <c r="E30" s="171">
        <v>0</v>
      </c>
      <c r="F30" s="171">
        <v>33747</v>
      </c>
      <c r="G30" s="171">
        <v>3</v>
      </c>
      <c r="H30" s="171">
        <v>27088</v>
      </c>
      <c r="I30" s="171">
        <v>7</v>
      </c>
      <c r="J30" s="171">
        <v>21949</v>
      </c>
      <c r="K30" s="171">
        <v>2</v>
      </c>
      <c r="L30" s="171">
        <v>16614</v>
      </c>
      <c r="M30" s="171">
        <v>1</v>
      </c>
      <c r="N30" s="171">
        <v>14763</v>
      </c>
      <c r="O30" s="171">
        <v>4</v>
      </c>
      <c r="P30" s="171">
        <v>21533</v>
      </c>
      <c r="Q30" s="171">
        <v>7</v>
      </c>
      <c r="R30" s="171">
        <v>25864</v>
      </c>
      <c r="S30" s="171">
        <v>5</v>
      </c>
      <c r="T30" s="171">
        <v>1902</v>
      </c>
      <c r="U30" s="171">
        <v>8</v>
      </c>
      <c r="V30" s="164">
        <v>3410</v>
      </c>
      <c r="W30" s="166">
        <v>0</v>
      </c>
      <c r="X30" s="171">
        <v>31357</v>
      </c>
      <c r="Y30" s="166">
        <v>2</v>
      </c>
      <c r="Z30" s="171">
        <v>12903</v>
      </c>
      <c r="AA30" s="166">
        <v>0</v>
      </c>
      <c r="AB30" s="166">
        <v>36</v>
      </c>
      <c r="AC30" s="171">
        <v>13617</v>
      </c>
      <c r="AD30" s="166">
        <v>6</v>
      </c>
      <c r="AE30" s="171">
        <v>5287</v>
      </c>
      <c r="AF30" s="166">
        <v>0</v>
      </c>
      <c r="AG30" s="171">
        <v>5287</v>
      </c>
      <c r="AH30" s="166">
        <v>0</v>
      </c>
      <c r="AI30" s="171">
        <v>39815</v>
      </c>
      <c r="AJ30" s="166">
        <v>2</v>
      </c>
      <c r="AK30" s="171">
        <v>4751</v>
      </c>
      <c r="AL30" s="166">
        <v>0</v>
      </c>
      <c r="AM30" s="171">
        <v>1653</v>
      </c>
      <c r="AN30" s="166">
        <v>2</v>
      </c>
      <c r="AO30" s="171">
        <v>1738</v>
      </c>
      <c r="AP30" s="166">
        <v>6</v>
      </c>
      <c r="AQ30" s="171">
        <v>540</v>
      </c>
      <c r="AR30" s="166">
        <v>0</v>
      </c>
      <c r="AS30" s="171">
        <v>1452</v>
      </c>
      <c r="AT30" s="166">
        <v>0</v>
      </c>
      <c r="AU30" s="171">
        <v>10199</v>
      </c>
      <c r="AV30" s="166">
        <v>1</v>
      </c>
      <c r="AW30" s="167">
        <v>64</v>
      </c>
      <c r="AX30" s="168"/>
      <c r="AY30" s="169"/>
      <c r="AZ30" s="170"/>
    </row>
    <row r="31" spans="1:52" ht="15.75" customHeight="1" x14ac:dyDescent="0.2">
      <c r="A31" s="86">
        <v>23</v>
      </c>
      <c r="B31" s="171">
        <v>28980</v>
      </c>
      <c r="C31" s="171">
        <v>8</v>
      </c>
      <c r="D31" s="171">
        <v>12932</v>
      </c>
      <c r="E31" s="171">
        <v>2</v>
      </c>
      <c r="F31" s="171">
        <v>33751</v>
      </c>
      <c r="G31" s="171">
        <v>4</v>
      </c>
      <c r="H31" s="171">
        <v>27093</v>
      </c>
      <c r="I31" s="171">
        <v>5</v>
      </c>
      <c r="J31" s="171">
        <v>21951</v>
      </c>
      <c r="K31" s="171">
        <v>2</v>
      </c>
      <c r="L31" s="171">
        <v>16614</v>
      </c>
      <c r="M31" s="171">
        <v>0</v>
      </c>
      <c r="N31" s="171">
        <v>14766</v>
      </c>
      <c r="O31" s="171">
        <v>3</v>
      </c>
      <c r="P31" s="171">
        <v>21537</v>
      </c>
      <c r="Q31" s="171">
        <v>4</v>
      </c>
      <c r="R31" s="171">
        <v>25867</v>
      </c>
      <c r="S31" s="171">
        <v>3</v>
      </c>
      <c r="T31" s="171">
        <v>1902</v>
      </c>
      <c r="U31" s="171">
        <v>0</v>
      </c>
      <c r="V31" s="164">
        <v>3410</v>
      </c>
      <c r="W31" s="166">
        <v>0</v>
      </c>
      <c r="X31" s="171">
        <v>31359</v>
      </c>
      <c r="Y31" s="166">
        <v>2</v>
      </c>
      <c r="Z31" s="171">
        <v>12903</v>
      </c>
      <c r="AA31" s="166">
        <v>0</v>
      </c>
      <c r="AB31" s="166">
        <v>19</v>
      </c>
      <c r="AC31" s="171">
        <v>13625</v>
      </c>
      <c r="AD31" s="166">
        <v>8</v>
      </c>
      <c r="AE31" s="171">
        <v>5287</v>
      </c>
      <c r="AF31" s="166">
        <v>0</v>
      </c>
      <c r="AG31" s="171">
        <v>5287</v>
      </c>
      <c r="AH31" s="166">
        <v>0</v>
      </c>
      <c r="AI31" s="171">
        <v>39816</v>
      </c>
      <c r="AJ31" s="166">
        <v>1</v>
      </c>
      <c r="AK31" s="171">
        <v>4752</v>
      </c>
      <c r="AL31" s="166">
        <v>1</v>
      </c>
      <c r="AM31" s="171">
        <v>1655</v>
      </c>
      <c r="AN31" s="166">
        <v>2</v>
      </c>
      <c r="AO31" s="171">
        <v>1738</v>
      </c>
      <c r="AP31" s="166">
        <v>0</v>
      </c>
      <c r="AQ31" s="171">
        <v>540</v>
      </c>
      <c r="AR31" s="166">
        <v>0</v>
      </c>
      <c r="AS31" s="171">
        <v>1452</v>
      </c>
      <c r="AT31" s="166">
        <v>0</v>
      </c>
      <c r="AU31" s="171">
        <v>10200</v>
      </c>
      <c r="AV31" s="166">
        <v>1</v>
      </c>
      <c r="AW31" s="167">
        <v>46</v>
      </c>
      <c r="AX31" s="168"/>
      <c r="AY31" s="169"/>
      <c r="AZ31" s="170"/>
    </row>
    <row r="32" spans="1:52" ht="15.75" customHeight="1" x14ac:dyDescent="0.2">
      <c r="A32" s="86">
        <v>24</v>
      </c>
      <c r="B32" s="171">
        <v>28989</v>
      </c>
      <c r="C32" s="171">
        <v>9</v>
      </c>
      <c r="D32" s="171">
        <v>12933</v>
      </c>
      <c r="E32" s="171">
        <v>1</v>
      </c>
      <c r="F32" s="171">
        <v>33754</v>
      </c>
      <c r="G32" s="171">
        <v>3</v>
      </c>
      <c r="H32" s="171">
        <v>27095</v>
      </c>
      <c r="I32" s="171">
        <v>2</v>
      </c>
      <c r="J32" s="171">
        <v>21953</v>
      </c>
      <c r="K32" s="171">
        <v>2</v>
      </c>
      <c r="L32" s="171">
        <v>16614</v>
      </c>
      <c r="M32" s="171">
        <v>0</v>
      </c>
      <c r="N32" s="171">
        <v>14769</v>
      </c>
      <c r="O32" s="171">
        <v>3</v>
      </c>
      <c r="P32" s="171">
        <v>21538</v>
      </c>
      <c r="Q32" s="171">
        <v>1</v>
      </c>
      <c r="R32" s="171">
        <v>25870</v>
      </c>
      <c r="S32" s="171">
        <v>3</v>
      </c>
      <c r="T32" s="171">
        <v>1902</v>
      </c>
      <c r="U32" s="171">
        <v>0</v>
      </c>
      <c r="V32" s="164">
        <v>3410</v>
      </c>
      <c r="W32" s="166">
        <v>0</v>
      </c>
      <c r="X32" s="171">
        <v>31361</v>
      </c>
      <c r="Y32" s="166">
        <v>2</v>
      </c>
      <c r="Z32" s="171">
        <v>12903</v>
      </c>
      <c r="AA32" s="166">
        <v>0</v>
      </c>
      <c r="AB32" s="166">
        <v>13</v>
      </c>
      <c r="AC32" s="171">
        <v>13629</v>
      </c>
      <c r="AD32" s="166">
        <v>4</v>
      </c>
      <c r="AE32" s="171">
        <v>5287</v>
      </c>
      <c r="AF32" s="166">
        <v>0</v>
      </c>
      <c r="AG32" s="171">
        <v>5287</v>
      </c>
      <c r="AH32" s="166">
        <v>0</v>
      </c>
      <c r="AI32" s="171">
        <v>39817</v>
      </c>
      <c r="AJ32" s="166">
        <v>1</v>
      </c>
      <c r="AK32" s="171">
        <v>4752</v>
      </c>
      <c r="AL32" s="166">
        <v>0</v>
      </c>
      <c r="AM32" s="171">
        <v>1658</v>
      </c>
      <c r="AN32" s="166">
        <v>3</v>
      </c>
      <c r="AO32" s="171">
        <v>1738</v>
      </c>
      <c r="AP32" s="166">
        <v>0</v>
      </c>
      <c r="AQ32" s="171">
        <v>540</v>
      </c>
      <c r="AR32" s="166">
        <v>0</v>
      </c>
      <c r="AS32" s="171">
        <v>1453</v>
      </c>
      <c r="AT32" s="166">
        <v>1</v>
      </c>
      <c r="AU32" s="171">
        <v>10200</v>
      </c>
      <c r="AV32" s="166">
        <v>0</v>
      </c>
      <c r="AW32" s="167">
        <v>35</v>
      </c>
      <c r="AX32" s="168"/>
      <c r="AY32" s="169"/>
      <c r="AZ32" s="170"/>
    </row>
    <row r="33" spans="1:52" ht="15.75" customHeight="1" x14ac:dyDescent="0.2">
      <c r="A33" s="86">
        <v>25</v>
      </c>
      <c r="B33" s="171">
        <v>28996</v>
      </c>
      <c r="C33" s="171">
        <v>7</v>
      </c>
      <c r="D33" s="171">
        <v>12934</v>
      </c>
      <c r="E33" s="171">
        <v>1</v>
      </c>
      <c r="F33" s="171">
        <v>33758</v>
      </c>
      <c r="G33" s="171">
        <v>4</v>
      </c>
      <c r="H33" s="171">
        <v>27103</v>
      </c>
      <c r="I33" s="171">
        <v>8</v>
      </c>
      <c r="J33" s="171">
        <v>21954</v>
      </c>
      <c r="K33" s="171">
        <v>1</v>
      </c>
      <c r="L33" s="171">
        <v>16615</v>
      </c>
      <c r="M33" s="171">
        <v>1</v>
      </c>
      <c r="N33" s="171">
        <v>14771</v>
      </c>
      <c r="O33" s="171">
        <v>2</v>
      </c>
      <c r="P33" s="171">
        <v>21539</v>
      </c>
      <c r="Q33" s="171">
        <v>1</v>
      </c>
      <c r="R33" s="171">
        <v>25874</v>
      </c>
      <c r="S33" s="171">
        <v>4</v>
      </c>
      <c r="T33" s="171">
        <v>1903</v>
      </c>
      <c r="U33" s="171">
        <v>1</v>
      </c>
      <c r="V33" s="164">
        <v>3410</v>
      </c>
      <c r="W33" s="166">
        <v>0</v>
      </c>
      <c r="X33" s="171">
        <v>31363</v>
      </c>
      <c r="Y33" s="166">
        <v>2</v>
      </c>
      <c r="Z33" s="171">
        <v>13022</v>
      </c>
      <c r="AA33" s="166">
        <v>119</v>
      </c>
      <c r="AB33" s="166">
        <v>139</v>
      </c>
      <c r="AC33" s="171">
        <v>13634</v>
      </c>
      <c r="AD33" s="166">
        <v>5</v>
      </c>
      <c r="AE33" s="171">
        <v>5287</v>
      </c>
      <c r="AF33" s="166">
        <v>0</v>
      </c>
      <c r="AG33" s="171">
        <v>5287</v>
      </c>
      <c r="AH33" s="166">
        <v>0</v>
      </c>
      <c r="AI33" s="171">
        <v>39818</v>
      </c>
      <c r="AJ33" s="166">
        <v>1</v>
      </c>
      <c r="AK33" s="171">
        <v>4753</v>
      </c>
      <c r="AL33" s="166">
        <v>1</v>
      </c>
      <c r="AM33" s="171">
        <v>1660</v>
      </c>
      <c r="AN33" s="166">
        <v>2</v>
      </c>
      <c r="AO33" s="171">
        <v>1742</v>
      </c>
      <c r="AP33" s="166">
        <v>4</v>
      </c>
      <c r="AQ33" s="171">
        <v>540</v>
      </c>
      <c r="AR33" s="166">
        <v>0</v>
      </c>
      <c r="AS33" s="171">
        <v>1453</v>
      </c>
      <c r="AT33" s="166">
        <v>0</v>
      </c>
      <c r="AU33" s="171">
        <v>10201</v>
      </c>
      <c r="AV33" s="166">
        <v>1</v>
      </c>
      <c r="AW33" s="167">
        <v>165</v>
      </c>
      <c r="AX33" s="168"/>
      <c r="AY33" s="169"/>
      <c r="AZ33" s="170"/>
    </row>
    <row r="34" spans="1:52" ht="15.75" customHeight="1" x14ac:dyDescent="0.2">
      <c r="A34" s="86">
        <v>26</v>
      </c>
      <c r="B34" s="171">
        <v>29005</v>
      </c>
      <c r="C34" s="171">
        <v>9</v>
      </c>
      <c r="D34" s="171">
        <v>12935</v>
      </c>
      <c r="E34" s="171">
        <v>1</v>
      </c>
      <c r="F34" s="171">
        <v>33764</v>
      </c>
      <c r="G34" s="171">
        <v>6</v>
      </c>
      <c r="H34" s="171">
        <v>27107</v>
      </c>
      <c r="I34" s="171">
        <v>4</v>
      </c>
      <c r="J34" s="171">
        <v>21958</v>
      </c>
      <c r="K34" s="171">
        <v>4</v>
      </c>
      <c r="L34" s="171">
        <v>16616</v>
      </c>
      <c r="M34" s="171">
        <v>1</v>
      </c>
      <c r="N34" s="171">
        <v>14774</v>
      </c>
      <c r="O34" s="171">
        <v>3</v>
      </c>
      <c r="P34" s="171">
        <v>21542</v>
      </c>
      <c r="Q34" s="171">
        <v>3</v>
      </c>
      <c r="R34" s="171">
        <v>25877</v>
      </c>
      <c r="S34" s="171">
        <v>3</v>
      </c>
      <c r="T34" s="171">
        <v>1903</v>
      </c>
      <c r="U34" s="171">
        <v>0</v>
      </c>
      <c r="V34" s="164">
        <v>3410</v>
      </c>
      <c r="W34" s="166">
        <v>0</v>
      </c>
      <c r="X34" s="171">
        <v>31367</v>
      </c>
      <c r="Y34" s="166">
        <v>4</v>
      </c>
      <c r="Z34" s="171">
        <v>13022</v>
      </c>
      <c r="AA34" s="166">
        <v>0</v>
      </c>
      <c r="AB34" s="166">
        <v>22</v>
      </c>
      <c r="AC34" s="171">
        <v>13638</v>
      </c>
      <c r="AD34" s="166">
        <v>4</v>
      </c>
      <c r="AE34" s="171">
        <v>5287</v>
      </c>
      <c r="AF34" s="166">
        <v>0</v>
      </c>
      <c r="AG34" s="171">
        <v>5287</v>
      </c>
      <c r="AH34" s="166">
        <v>0</v>
      </c>
      <c r="AI34" s="171">
        <v>39822</v>
      </c>
      <c r="AJ34" s="166">
        <v>4</v>
      </c>
      <c r="AK34" s="171">
        <v>4753</v>
      </c>
      <c r="AL34" s="166">
        <v>0</v>
      </c>
      <c r="AM34" s="171">
        <v>1662</v>
      </c>
      <c r="AN34" s="166">
        <v>2</v>
      </c>
      <c r="AO34" s="171">
        <v>1742</v>
      </c>
      <c r="AP34" s="166">
        <v>0</v>
      </c>
      <c r="AQ34" s="171">
        <v>540</v>
      </c>
      <c r="AR34" s="166">
        <v>0</v>
      </c>
      <c r="AS34" s="171">
        <v>1453</v>
      </c>
      <c r="AT34" s="166">
        <v>0</v>
      </c>
      <c r="AU34" s="171">
        <v>10202</v>
      </c>
      <c r="AV34" s="166">
        <v>1</v>
      </c>
      <c r="AW34" s="167">
        <v>49</v>
      </c>
      <c r="AX34" s="168"/>
      <c r="AY34" s="169"/>
      <c r="AZ34" s="170"/>
    </row>
    <row r="35" spans="1:52" ht="15.75" customHeight="1" x14ac:dyDescent="0.2">
      <c r="A35" s="86">
        <v>27</v>
      </c>
      <c r="B35" s="171">
        <v>29013</v>
      </c>
      <c r="C35" s="171">
        <v>8</v>
      </c>
      <c r="D35" s="171">
        <v>12937</v>
      </c>
      <c r="E35" s="171">
        <v>2</v>
      </c>
      <c r="F35" s="171">
        <v>33775</v>
      </c>
      <c r="G35" s="171">
        <v>11</v>
      </c>
      <c r="H35" s="171">
        <v>27111</v>
      </c>
      <c r="I35" s="171">
        <v>4</v>
      </c>
      <c r="J35" s="171">
        <v>21961</v>
      </c>
      <c r="K35" s="171">
        <v>3</v>
      </c>
      <c r="L35" s="171">
        <v>16619</v>
      </c>
      <c r="M35" s="171">
        <v>3</v>
      </c>
      <c r="N35" s="171">
        <v>14780</v>
      </c>
      <c r="O35" s="171">
        <v>6</v>
      </c>
      <c r="P35" s="171">
        <v>21545</v>
      </c>
      <c r="Q35" s="171">
        <v>3</v>
      </c>
      <c r="R35" s="171">
        <v>25882</v>
      </c>
      <c r="S35" s="171">
        <v>5</v>
      </c>
      <c r="T35" s="171">
        <v>1905</v>
      </c>
      <c r="U35" s="171">
        <v>2</v>
      </c>
      <c r="V35" s="164">
        <v>3410</v>
      </c>
      <c r="W35" s="166">
        <v>0</v>
      </c>
      <c r="X35" s="171">
        <v>31371</v>
      </c>
      <c r="Y35" s="166">
        <v>4</v>
      </c>
      <c r="Z35" s="171">
        <v>13022</v>
      </c>
      <c r="AA35" s="166">
        <v>0</v>
      </c>
      <c r="AB35" s="166">
        <v>30</v>
      </c>
      <c r="AC35" s="171">
        <v>13644</v>
      </c>
      <c r="AD35" s="166">
        <v>6</v>
      </c>
      <c r="AE35" s="171">
        <v>5288</v>
      </c>
      <c r="AF35" s="166">
        <v>1</v>
      </c>
      <c r="AG35" s="171">
        <v>5288</v>
      </c>
      <c r="AH35" s="166">
        <v>1</v>
      </c>
      <c r="AI35" s="171">
        <v>39830</v>
      </c>
      <c r="AJ35" s="166">
        <v>8</v>
      </c>
      <c r="AK35" s="171">
        <v>4753</v>
      </c>
      <c r="AL35" s="166">
        <v>0</v>
      </c>
      <c r="AM35" s="171">
        <v>1663</v>
      </c>
      <c r="AN35" s="166">
        <v>1</v>
      </c>
      <c r="AO35" s="171">
        <v>1743</v>
      </c>
      <c r="AP35" s="166">
        <v>1</v>
      </c>
      <c r="AQ35" s="171">
        <v>540</v>
      </c>
      <c r="AR35" s="166">
        <v>0</v>
      </c>
      <c r="AS35" s="171">
        <v>1454</v>
      </c>
      <c r="AT35" s="166">
        <v>1</v>
      </c>
      <c r="AU35" s="171">
        <v>10203</v>
      </c>
      <c r="AV35" s="166">
        <v>1</v>
      </c>
      <c r="AW35" s="167">
        <v>70</v>
      </c>
      <c r="AX35" s="168"/>
      <c r="AY35" s="169"/>
      <c r="AZ35" s="170"/>
    </row>
    <row r="36" spans="1:52" ht="15.75" customHeight="1" x14ac:dyDescent="0.2">
      <c r="A36" s="86">
        <v>28</v>
      </c>
      <c r="B36" s="171">
        <v>29022</v>
      </c>
      <c r="C36" s="171">
        <v>9</v>
      </c>
      <c r="D36" s="171">
        <v>12939</v>
      </c>
      <c r="E36" s="171">
        <v>2</v>
      </c>
      <c r="F36" s="171">
        <v>33780</v>
      </c>
      <c r="G36" s="171">
        <v>5</v>
      </c>
      <c r="H36" s="171">
        <v>27116</v>
      </c>
      <c r="I36" s="171">
        <v>5</v>
      </c>
      <c r="J36" s="171">
        <v>21963</v>
      </c>
      <c r="K36" s="171">
        <v>2</v>
      </c>
      <c r="L36" s="171">
        <v>16623</v>
      </c>
      <c r="M36" s="171">
        <v>4</v>
      </c>
      <c r="N36" s="171">
        <v>14782</v>
      </c>
      <c r="O36" s="171">
        <v>2</v>
      </c>
      <c r="P36" s="171">
        <v>21547</v>
      </c>
      <c r="Q36" s="171">
        <v>2</v>
      </c>
      <c r="R36" s="171">
        <v>25890</v>
      </c>
      <c r="S36" s="171">
        <v>8</v>
      </c>
      <c r="T36" s="171">
        <v>1905</v>
      </c>
      <c r="U36" s="171">
        <v>0</v>
      </c>
      <c r="V36" s="164">
        <v>3410</v>
      </c>
      <c r="W36" s="166">
        <v>0</v>
      </c>
      <c r="X36" s="171">
        <v>31373</v>
      </c>
      <c r="Y36" s="166">
        <v>2</v>
      </c>
      <c r="Z36" s="171">
        <v>13022</v>
      </c>
      <c r="AA36" s="166">
        <v>0</v>
      </c>
      <c r="AB36" s="166">
        <v>25</v>
      </c>
      <c r="AC36" s="171">
        <v>13653</v>
      </c>
      <c r="AD36" s="166">
        <v>9</v>
      </c>
      <c r="AE36" s="171">
        <v>5288</v>
      </c>
      <c r="AF36" s="166">
        <v>0</v>
      </c>
      <c r="AG36" s="171">
        <v>5288</v>
      </c>
      <c r="AH36" s="166">
        <v>0</v>
      </c>
      <c r="AI36" s="171">
        <v>39834</v>
      </c>
      <c r="AJ36" s="166">
        <v>4</v>
      </c>
      <c r="AK36" s="171">
        <v>4754</v>
      </c>
      <c r="AL36" s="166">
        <v>1</v>
      </c>
      <c r="AM36" s="171">
        <v>1663</v>
      </c>
      <c r="AN36" s="166">
        <v>0</v>
      </c>
      <c r="AO36" s="171">
        <v>1743</v>
      </c>
      <c r="AP36" s="166">
        <v>0</v>
      </c>
      <c r="AQ36" s="171">
        <v>540</v>
      </c>
      <c r="AR36" s="166">
        <v>0</v>
      </c>
      <c r="AS36" s="171">
        <v>1454</v>
      </c>
      <c r="AT36" s="166">
        <v>0</v>
      </c>
      <c r="AU36" s="171">
        <v>10207</v>
      </c>
      <c r="AV36" s="166">
        <v>4</v>
      </c>
      <c r="AW36" s="167">
        <v>59</v>
      </c>
      <c r="AX36" s="168"/>
      <c r="AY36" s="169"/>
      <c r="AZ36" s="170"/>
    </row>
    <row r="37" spans="1:52" ht="15.75" customHeight="1" x14ac:dyDescent="0.2">
      <c r="A37" s="86">
        <v>29</v>
      </c>
      <c r="B37" s="171">
        <v>29031</v>
      </c>
      <c r="C37" s="171">
        <v>9</v>
      </c>
      <c r="D37" s="171">
        <v>12943</v>
      </c>
      <c r="E37" s="171">
        <v>4</v>
      </c>
      <c r="F37" s="171">
        <v>33787</v>
      </c>
      <c r="G37" s="171">
        <v>7</v>
      </c>
      <c r="H37" s="171">
        <v>27122</v>
      </c>
      <c r="I37" s="171">
        <v>6</v>
      </c>
      <c r="J37" s="171">
        <v>21967</v>
      </c>
      <c r="K37" s="171">
        <v>4</v>
      </c>
      <c r="L37" s="171">
        <v>16627</v>
      </c>
      <c r="M37" s="171">
        <v>4</v>
      </c>
      <c r="N37" s="171">
        <v>14786</v>
      </c>
      <c r="O37" s="171">
        <v>4</v>
      </c>
      <c r="P37" s="171">
        <v>21549</v>
      </c>
      <c r="Q37" s="171">
        <v>2</v>
      </c>
      <c r="R37" s="171">
        <v>25893</v>
      </c>
      <c r="S37" s="171">
        <v>3</v>
      </c>
      <c r="T37" s="171">
        <v>1906</v>
      </c>
      <c r="U37" s="171">
        <v>1</v>
      </c>
      <c r="V37" s="164">
        <v>3410</v>
      </c>
      <c r="W37" s="166">
        <v>0</v>
      </c>
      <c r="X37" s="171">
        <v>31374</v>
      </c>
      <c r="Y37" s="166">
        <v>1</v>
      </c>
      <c r="Z37" s="171">
        <v>13022</v>
      </c>
      <c r="AA37" s="166">
        <v>0</v>
      </c>
      <c r="AB37" s="166">
        <v>25</v>
      </c>
      <c r="AC37" s="171">
        <v>13661</v>
      </c>
      <c r="AD37" s="166">
        <v>8</v>
      </c>
      <c r="AE37" s="171">
        <v>5297</v>
      </c>
      <c r="AF37" s="166">
        <v>9</v>
      </c>
      <c r="AG37" s="171">
        <v>5297</v>
      </c>
      <c r="AH37" s="166">
        <v>9</v>
      </c>
      <c r="AI37" s="171">
        <v>39836</v>
      </c>
      <c r="AJ37" s="166">
        <v>2</v>
      </c>
      <c r="AK37" s="171">
        <v>4761</v>
      </c>
      <c r="AL37" s="166">
        <v>7</v>
      </c>
      <c r="AM37" s="171">
        <v>1668</v>
      </c>
      <c r="AN37" s="166">
        <v>5</v>
      </c>
      <c r="AO37" s="171">
        <v>1743</v>
      </c>
      <c r="AP37" s="166"/>
      <c r="AQ37" s="171">
        <v>540</v>
      </c>
      <c r="AR37" s="166">
        <v>0</v>
      </c>
      <c r="AS37" s="171">
        <v>1454</v>
      </c>
      <c r="AT37" s="166">
        <v>0</v>
      </c>
      <c r="AU37" s="171">
        <v>10214</v>
      </c>
      <c r="AV37" s="166">
        <v>7</v>
      </c>
      <c r="AW37" s="167">
        <v>83</v>
      </c>
      <c r="AX37" s="168"/>
      <c r="AY37" s="169"/>
      <c r="AZ37" s="170"/>
    </row>
    <row r="38" spans="1:52" ht="15.75" customHeight="1" x14ac:dyDescent="0.2">
      <c r="A38" s="100">
        <v>30</v>
      </c>
      <c r="B38" s="171">
        <v>29036</v>
      </c>
      <c r="C38" s="174">
        <v>5</v>
      </c>
      <c r="D38" s="171">
        <v>12944</v>
      </c>
      <c r="E38" s="174">
        <v>1</v>
      </c>
      <c r="F38" s="171">
        <v>33789</v>
      </c>
      <c r="G38" s="174">
        <v>2</v>
      </c>
      <c r="H38" s="171">
        <v>27127</v>
      </c>
      <c r="I38" s="174">
        <v>5</v>
      </c>
      <c r="J38" s="171">
        <v>21968</v>
      </c>
      <c r="K38" s="174">
        <v>1</v>
      </c>
      <c r="L38" s="171">
        <v>16629</v>
      </c>
      <c r="M38" s="174">
        <v>2</v>
      </c>
      <c r="N38" s="171">
        <v>14789</v>
      </c>
      <c r="O38" s="174">
        <v>3</v>
      </c>
      <c r="P38" s="171">
        <v>21551</v>
      </c>
      <c r="Q38" s="174">
        <v>2</v>
      </c>
      <c r="R38" s="171">
        <v>25896</v>
      </c>
      <c r="S38" s="174">
        <v>3</v>
      </c>
      <c r="T38" s="171">
        <v>1906</v>
      </c>
      <c r="U38" s="175">
        <v>0</v>
      </c>
      <c r="V38" s="164">
        <v>3410</v>
      </c>
      <c r="W38" s="176">
        <v>0</v>
      </c>
      <c r="X38" s="174">
        <v>31374</v>
      </c>
      <c r="Y38" s="173">
        <v>0</v>
      </c>
      <c r="Z38" s="174">
        <v>13022</v>
      </c>
      <c r="AA38" s="173">
        <v>0</v>
      </c>
      <c r="AB38" s="173">
        <v>16</v>
      </c>
      <c r="AC38" s="174">
        <v>13666</v>
      </c>
      <c r="AD38" s="173">
        <v>5</v>
      </c>
      <c r="AE38" s="174">
        <v>5300</v>
      </c>
      <c r="AF38" s="173">
        <v>3</v>
      </c>
      <c r="AG38" s="174">
        <v>5300</v>
      </c>
      <c r="AH38" s="173">
        <v>3</v>
      </c>
      <c r="AI38" s="174">
        <v>39837</v>
      </c>
      <c r="AJ38" s="173">
        <v>1</v>
      </c>
      <c r="AK38" s="174">
        <v>4761</v>
      </c>
      <c r="AL38" s="173">
        <v>0</v>
      </c>
      <c r="AM38" s="174">
        <v>1668</v>
      </c>
      <c r="AN38" s="173">
        <v>0</v>
      </c>
      <c r="AO38" s="174">
        <v>1743</v>
      </c>
      <c r="AP38" s="173">
        <v>0</v>
      </c>
      <c r="AQ38" s="174">
        <v>540</v>
      </c>
      <c r="AR38" s="173">
        <v>0</v>
      </c>
      <c r="AS38" s="174">
        <v>1454</v>
      </c>
      <c r="AT38" s="173">
        <v>0</v>
      </c>
      <c r="AU38" s="174">
        <v>10217</v>
      </c>
      <c r="AV38" s="173">
        <v>3</v>
      </c>
      <c r="AW38" s="167">
        <v>36</v>
      </c>
      <c r="AX38" s="168"/>
      <c r="AY38" s="169"/>
      <c r="AZ38" s="170"/>
    </row>
    <row r="39" spans="1:52" ht="15" customHeight="1" x14ac:dyDescent="0.2">
      <c r="A39" s="114">
        <v>31</v>
      </c>
      <c r="B39" s="171">
        <v>29047</v>
      </c>
      <c r="C39" s="175">
        <v>11</v>
      </c>
      <c r="D39" s="171">
        <v>12945</v>
      </c>
      <c r="E39" s="175">
        <v>1</v>
      </c>
      <c r="F39" s="171">
        <v>33794</v>
      </c>
      <c r="G39" s="175">
        <v>5</v>
      </c>
      <c r="H39" s="171">
        <v>27132</v>
      </c>
      <c r="I39" s="175">
        <v>5</v>
      </c>
      <c r="J39" s="171">
        <v>21971</v>
      </c>
      <c r="K39" s="175">
        <v>3</v>
      </c>
      <c r="L39" s="171">
        <v>16632</v>
      </c>
      <c r="M39" s="175">
        <v>3</v>
      </c>
      <c r="N39" s="171">
        <v>14791</v>
      </c>
      <c r="O39" s="175">
        <v>2</v>
      </c>
      <c r="P39" s="171">
        <v>21554</v>
      </c>
      <c r="Q39" s="175">
        <v>3</v>
      </c>
      <c r="R39" s="171">
        <v>25899</v>
      </c>
      <c r="S39" s="175">
        <v>3</v>
      </c>
      <c r="T39" s="171">
        <v>1908</v>
      </c>
      <c r="U39" s="177">
        <v>2</v>
      </c>
      <c r="V39" s="178">
        <v>3410</v>
      </c>
      <c r="W39" s="179">
        <v>0</v>
      </c>
      <c r="X39" s="180">
        <v>31377</v>
      </c>
      <c r="Y39" s="176">
        <v>3</v>
      </c>
      <c r="Z39" s="175">
        <v>13022</v>
      </c>
      <c r="AA39" s="176">
        <v>0</v>
      </c>
      <c r="AB39" s="176">
        <v>24</v>
      </c>
      <c r="AC39" s="175">
        <v>13672</v>
      </c>
      <c r="AD39" s="176">
        <v>6</v>
      </c>
      <c r="AE39" s="175">
        <v>5303</v>
      </c>
      <c r="AF39" s="176">
        <v>3</v>
      </c>
      <c r="AG39" s="175">
        <v>5303</v>
      </c>
      <c r="AH39" s="176">
        <v>3</v>
      </c>
      <c r="AI39" s="175">
        <v>39840</v>
      </c>
      <c r="AJ39" s="176">
        <v>3</v>
      </c>
      <c r="AK39" s="175">
        <v>4762</v>
      </c>
      <c r="AL39" s="176">
        <v>1</v>
      </c>
      <c r="AM39" s="175">
        <v>1670</v>
      </c>
      <c r="AN39" s="176">
        <v>2</v>
      </c>
      <c r="AO39" s="175">
        <v>1744</v>
      </c>
      <c r="AP39" s="176">
        <v>1</v>
      </c>
      <c r="AQ39" s="175">
        <v>541</v>
      </c>
      <c r="AR39" s="176">
        <v>1</v>
      </c>
      <c r="AS39" s="175">
        <v>1455</v>
      </c>
      <c r="AT39" s="176">
        <v>1</v>
      </c>
      <c r="AU39" s="175">
        <v>10221</v>
      </c>
      <c r="AV39" s="176">
        <v>4</v>
      </c>
      <c r="AW39" s="181">
        <v>63</v>
      </c>
      <c r="AX39" s="168"/>
      <c r="AY39" s="169"/>
      <c r="AZ39" s="170"/>
    </row>
    <row r="40" spans="1:52" ht="12.75" customHeight="1" x14ac:dyDescent="0.2">
      <c r="A40" s="115" t="s">
        <v>18</v>
      </c>
      <c r="B40" s="116"/>
      <c r="C40" s="116">
        <v>239</v>
      </c>
      <c r="D40" s="116"/>
      <c r="E40" s="116">
        <v>54</v>
      </c>
      <c r="F40" s="116"/>
      <c r="G40" s="116">
        <v>200</v>
      </c>
      <c r="H40" s="116"/>
      <c r="I40" s="116">
        <v>174</v>
      </c>
      <c r="J40" s="116"/>
      <c r="K40" s="116">
        <v>79</v>
      </c>
      <c r="L40" s="116"/>
      <c r="M40" s="116">
        <v>84</v>
      </c>
      <c r="N40" s="116"/>
      <c r="O40" s="116">
        <v>108</v>
      </c>
      <c r="P40" s="116"/>
      <c r="Q40" s="116">
        <v>108</v>
      </c>
      <c r="R40" s="116"/>
      <c r="S40" s="116">
        <v>125</v>
      </c>
      <c r="T40" s="159"/>
      <c r="U40" s="116">
        <v>96</v>
      </c>
      <c r="V40" s="116"/>
      <c r="W40" s="116">
        <v>18</v>
      </c>
      <c r="X40" s="160"/>
      <c r="Y40" s="116">
        <v>71</v>
      </c>
      <c r="Z40" s="116"/>
      <c r="AA40" s="116">
        <v>120</v>
      </c>
      <c r="AB40" s="116">
        <v>959</v>
      </c>
      <c r="AC40" s="116"/>
      <c r="AD40" s="116">
        <v>230</v>
      </c>
      <c r="AE40" s="116"/>
      <c r="AF40" s="116">
        <v>49</v>
      </c>
      <c r="AG40" s="116"/>
      <c r="AH40" s="116">
        <v>49</v>
      </c>
      <c r="AI40" s="116"/>
      <c r="AJ40" s="116">
        <v>108</v>
      </c>
      <c r="AK40" s="116"/>
      <c r="AL40" s="116">
        <v>27</v>
      </c>
      <c r="AM40" s="116"/>
      <c r="AN40" s="116">
        <v>54</v>
      </c>
      <c r="AO40" s="116"/>
      <c r="AP40" s="116">
        <v>31</v>
      </c>
      <c r="AQ40" s="116"/>
      <c r="AR40" s="116">
        <v>2</v>
      </c>
      <c r="AS40" s="116"/>
      <c r="AT40" s="116">
        <v>10</v>
      </c>
      <c r="AU40" s="116"/>
      <c r="AV40" s="116">
        <v>72</v>
      </c>
      <c r="AW40" s="182">
        <f>SUM(AW9:AW39)</f>
        <v>2059</v>
      </c>
      <c r="AY40" s="23"/>
    </row>
    <row r="41" spans="1:52" ht="15" customHeight="1" x14ac:dyDescent="0.2">
      <c r="AH41" s="23"/>
      <c r="AW41" s="110"/>
      <c r="AY41" s="23"/>
    </row>
    <row r="42" spans="1:52" ht="18" customHeight="1" x14ac:dyDescent="0.3">
      <c r="A42" s="59" t="s">
        <v>63</v>
      </c>
      <c r="B42" s="60"/>
      <c r="C42" s="61"/>
      <c r="G42" s="25"/>
      <c r="AH42" s="23"/>
      <c r="AY42" s="23"/>
    </row>
    <row r="43" spans="1:52" ht="18" customHeight="1" x14ac:dyDescent="0.3">
      <c r="A43" s="62"/>
      <c r="B43" s="63"/>
      <c r="C43" s="64"/>
      <c r="D43" s="65"/>
      <c r="E43" s="65"/>
      <c r="F43" s="65"/>
      <c r="G43" s="25"/>
      <c r="AH43" s="23"/>
      <c r="AY43" s="23"/>
    </row>
    <row r="44" spans="1:52" ht="18" customHeight="1" x14ac:dyDescent="0.25">
      <c r="B44" s="66"/>
      <c r="G44" s="25"/>
      <c r="AH44" s="23"/>
    </row>
    <row r="45" spans="1:52" ht="18" customHeight="1" x14ac:dyDescent="0.25">
      <c r="B45" s="67"/>
      <c r="G45" s="25"/>
      <c r="AH45" s="23"/>
    </row>
    <row r="46" spans="1:52" ht="18" customHeight="1" x14ac:dyDescent="0.25">
      <c r="B46" s="66"/>
      <c r="AH46" s="23"/>
    </row>
    <row r="47" spans="1:52" ht="18" customHeight="1" x14ac:dyDescent="0.25">
      <c r="B47" s="68"/>
      <c r="AH47" s="23"/>
    </row>
    <row r="48" spans="1:52" ht="18" customHeight="1" x14ac:dyDescent="0.25">
      <c r="B48" s="68"/>
      <c r="AH48" s="23"/>
    </row>
    <row r="49" spans="34:34" ht="18" customHeight="1" x14ac:dyDescent="0.25">
      <c r="AH49" s="23"/>
    </row>
    <row r="50" spans="34:34" ht="18" customHeight="1" x14ac:dyDescent="0.25">
      <c r="AH50" s="23"/>
    </row>
    <row r="51" spans="34:34" ht="18" customHeight="1" x14ac:dyDescent="0.25">
      <c r="AH51" s="23"/>
    </row>
    <row r="52" spans="34:34" ht="18" customHeight="1" x14ac:dyDescent="0.25"/>
    <row r="53" spans="34:34" ht="18" customHeight="1" x14ac:dyDescent="0.25"/>
    <row r="54" spans="34:34" ht="18" customHeight="1" x14ac:dyDescent="0.25"/>
  </sheetData>
  <mergeCells count="2">
    <mergeCell ref="I4:R4"/>
    <mergeCell ref="D6:F6"/>
  </mergeCells>
  <conditionalFormatting sqref="W9:W38 Y9:Y38">
    <cfRule type="cellIs" dxfId="33" priority="31" operator="greaterThan">
      <formula>15</formula>
    </cfRule>
  </conditionalFormatting>
  <conditionalFormatting sqref="Y9:Y38">
    <cfRule type="cellIs" dxfId="31" priority="28" operator="greaterThan">
      <formula>15</formula>
    </cfRule>
    <cfRule type="cellIs" dxfId="30" priority="29" operator="greaterThan">
      <formula>15</formula>
    </cfRule>
  </conditionalFormatting>
  <conditionalFormatting sqref="AF9:AF38 AA9:AA38 AD9:AD38">
    <cfRule type="cellIs" dxfId="26" priority="24" operator="greaterThan">
      <formula>15</formula>
    </cfRule>
  </conditionalFormatting>
  <conditionalFormatting sqref="AD9:AD38">
    <cfRule type="cellIs" dxfId="25" priority="23" operator="greaterThan">
      <formula>15</formula>
    </cfRule>
  </conditionalFormatting>
  <conditionalFormatting sqref="AD9:AD38">
    <cfRule type="cellIs" dxfId="24" priority="21" operator="greaterThan">
      <formula>15</formula>
    </cfRule>
    <cfRule type="cellIs" dxfId="23" priority="22" operator="greaterThan">
      <formula>15</formula>
    </cfRule>
  </conditionalFormatting>
  <conditionalFormatting sqref="AD17:AD29">
    <cfRule type="cellIs" dxfId="22" priority="20" operator="greaterThan">
      <formula>34</formula>
    </cfRule>
  </conditionalFormatting>
  <conditionalFormatting sqref="AJ9:AJ38 AH9:AH38">
    <cfRule type="cellIs" dxfId="21" priority="19" operator="greaterThan">
      <formula>15</formula>
    </cfRule>
  </conditionalFormatting>
  <conditionalFormatting sqref="AJ9:AJ38">
    <cfRule type="cellIs" dxfId="20" priority="18" operator="greaterThan">
      <formula>15</formula>
    </cfRule>
  </conditionalFormatting>
  <conditionalFormatting sqref="AJ17">
    <cfRule type="cellIs" dxfId="19" priority="17" operator="greaterThan">
      <formula>54</formula>
    </cfRule>
  </conditionalFormatting>
  <conditionalFormatting sqref="AV9:AV38">
    <cfRule type="cellIs" dxfId="18" priority="16" operator="greaterThan">
      <formula>15</formula>
    </cfRule>
  </conditionalFormatting>
  <conditionalFormatting sqref="W39 Y39">
    <cfRule type="cellIs" dxfId="17" priority="15" operator="greaterThan">
      <formula>15</formula>
    </cfRule>
  </conditionalFormatting>
  <conditionalFormatting sqref="Y39">
    <cfRule type="cellIs" dxfId="15" priority="12" operator="greaterThan">
      <formula>15</formula>
    </cfRule>
    <cfRule type="cellIs" dxfId="14" priority="13" operator="greaterThan">
      <formula>15</formula>
    </cfRule>
  </conditionalFormatting>
  <conditionalFormatting sqref="AF39 AA39 AD39">
    <cfRule type="cellIs" dxfId="12" priority="10" operator="greaterThan">
      <formula>15</formula>
    </cfRule>
  </conditionalFormatting>
  <conditionalFormatting sqref="AD39">
    <cfRule type="cellIs" dxfId="11" priority="9" operator="greaterThan">
      <formula>15</formula>
    </cfRule>
  </conditionalFormatting>
  <conditionalFormatting sqref="AD39">
    <cfRule type="cellIs" dxfId="10" priority="7" operator="greaterThan">
      <formula>15</formula>
    </cfRule>
    <cfRule type="cellIs" dxfId="9" priority="8" operator="greaterThan">
      <formula>15</formula>
    </cfRule>
  </conditionalFormatting>
  <conditionalFormatting sqref="AJ39 AH39">
    <cfRule type="cellIs" dxfId="8" priority="6" operator="greaterThan">
      <formula>15</formula>
    </cfRule>
  </conditionalFormatting>
  <conditionalFormatting sqref="AJ39">
    <cfRule type="cellIs" dxfId="7" priority="5" operator="greaterThan">
      <formula>15</formula>
    </cfRule>
  </conditionalFormatting>
  <conditionalFormatting sqref="AV39">
    <cfRule type="cellIs" dxfId="6" priority="4" operator="greaterThan">
      <formula>15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6f2bc90f9099878a6eb052c61ad8ac86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038fe3330a7d5d212cff16332f823262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2A8884-40AE-4065-8513-5481A0A532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6C605E-F404-41B9-AD4E-490956F80F5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B322FAD-BBB1-4D5F-91F2-9084F3DF03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2022-04-06T05:49:31Z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