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8" i="7" l="1"/>
  <c r="P24" i="7" l="1"/>
  <c r="P25" i="7"/>
  <c r="T24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5" i="7"/>
  <c r="T26" i="7"/>
  <c r="T27" i="7"/>
  <c r="T28" i="7"/>
  <c r="T29" i="7"/>
  <c r="T30" i="7"/>
  <c r="T31" i="7"/>
  <c r="T32" i="7"/>
  <c r="T33" i="7"/>
  <c r="T34" i="7"/>
  <c r="T4" i="7"/>
  <c r="T3" i="7"/>
  <c r="T26" i="10" l="1"/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<sst xmlns="http://schemas.openxmlformats.org/spreadsheetml/2006/main" count="315" uniqueCount="149">
  <si>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</si>
  <si>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</si>
  <si>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</si>
  <si>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</si>
  <si>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</si>
  <si>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</si>
  <si>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</si>
  <si>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</si>
  <si>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</si>
  <si>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</si>
  <si>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</si>
  <si>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</si>
  <si>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</si>
  <si>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</si>
  <si>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</si>
  <si>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</si>
  <si>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</si>
  <si>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</si>
  <si>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</si>
  <si>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</si>
  <si>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</si>
  <si>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</si>
  <si>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</si>
  <si>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</si>
  <si>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</si>
  <si>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</si>
  <si>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</si>
  <si>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</si>
  <si>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</si>
  <si>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</si>
  <si>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</si>
  <si>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</si>
  <si>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</si>
  <si>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</si>
  <si>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</si>
  <si>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</si>
  <si>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</si>
  <si>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</si>
  <si>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</si>
  <si>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</si>
  <si>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</si>
  <si>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</si>
  <si>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</si>
  <si>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</si>
  <si>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</si>
  <si>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</si>
  <si>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</si>
  <si>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</si>
  <si>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</si>
  <si>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</si>
  <si>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</si>
  <si>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</si>
  <si>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</si>
  <si>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</si>
  <si>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</si>
  <si>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</si>
  <si>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</si>
  <si>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</si>
  <si>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</si>
  <si>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</si>
  <si>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</si>
  <si>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</si>
  <si>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</si>
  <si>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</si>
  <si>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</si>
  <si>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</si>
  <si>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</si>
  <si>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</si>
  <si>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</si>
  <si>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</si>
  <si>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</si>
  <si>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</si>
  <si>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</si>
  <si>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</si>
  <si>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</si>
  <si>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</si>
  <si>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</si>
  <si>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</si>
  <si>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</si>
  <si>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</si>
  <si>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</si>
  <si>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</si>
  <si>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</si>
  <si>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</si>
  <si>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</si>
  <si>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</si>
  <si>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</si>
  <si>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</si>
  <si>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</si>
  <si>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</si>
  <si>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</si>
  <si>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</si>
  <si>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</si>
  <si>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</si>
  <si>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</si>
  <si>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</si>
  <si>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</si>
  <si>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</si>
  <si>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</si>
  <si>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</si>
  <si>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</si>
  <si>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</si>
  <si>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</si>
  <si>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</si>
  <si>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</si>
  <si>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</si>
  <si>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</si>
  <si>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</si>
  <si>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</si>
  <si>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</si>
  <si>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</si>
  <si>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</si>
  <si>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</si>
  <si>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</si>
  <si>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</si>
  <si>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</si>
  <si>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</si>
  <si>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</si>
  <si>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</si>
  <si>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</si>
  <si>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</si>
  <si>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</si>
  <si>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</si>
  <si>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</si>
  <si>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</si>
  <si>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</si>
  <si>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</si>
  <si>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</si>
  <si>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</si>
  <si>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</si>
  <si>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</si>
  <si>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</si>
  <si>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</si>
  <si>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</si>
  <si>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</si>
  <si>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</si>
  <si>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</si>
  <si>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</si>
  <si>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</si>
  <si>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</si>
  <si>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</si>
  <si>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</si>
  <si>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</si>
  <si>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</si>
  <si>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</si>
  <si>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</si>
  <si>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</si>
  <si>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Difference MWH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</si>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</sst>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9800.0000000004929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83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9699.9999999995543</v>
      </c>
      <c r="F21" s="11">
        <f t="shared" si="0"/>
        <v>0.58765030286592534</v>
      </c>
      <c r="G21" s="12">
        <f>(Submetering!AX21+Submetering!AY21+Submetering!AZ21+Submetering!BA21+Submetering!BB21)</f>
        <v>9.1574999999999989</v>
      </c>
      <c r="H21" s="11">
        <f t="shared" si="1"/>
        <v>0.99</v>
      </c>
      <c r="I21" s="12">
        <f>'FS Desroches Daily'!CM23</f>
        <v>85</v>
      </c>
      <c r="J21" s="11">
        <f t="shared" si="2"/>
        <v>10.487297712684205</v>
      </c>
      <c r="K21" s="13">
        <f>'FS Desroches Daily'!CN23</f>
        <v>24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10200.000000000609</v>
      </c>
      <c r="F22" s="11">
        <f t="shared" si="0"/>
        <v>0.58765030286592534</v>
      </c>
      <c r="G22" s="12">
        <f>(Submetering!AX22+Submetering!AY22+Submetering!AZ22+Submetering!BA22+Submetering!BB22)</f>
        <v>10.988999999999999</v>
      </c>
      <c r="H22" s="11">
        <f t="shared" si="1"/>
        <v>0.99</v>
      </c>
      <c r="I22" s="12">
        <f>'FS Desroches Daily'!CM24</f>
        <v>84.299999999999272</v>
      </c>
      <c r="J22" s="11">
        <f t="shared" si="2"/>
        <v>10.487297712684205</v>
      </c>
      <c r="K22" s="13">
        <f>'FS Desroches Daily'!CN24</f>
        <v>24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10899.999999999423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90.100000000002183</v>
      </c>
      <c r="J23" s="11">
        <f t="shared" si="2"/>
        <v>10.487297712684205</v>
      </c>
      <c r="K23" s="13">
        <f>'FS Desroches Daily'!CN25</f>
        <v>24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11500.000000000244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128.59999999999854</v>
      </c>
      <c r="J24" s="11">
        <f t="shared" si="2"/>
        <v>10.487297712684205</v>
      </c>
      <c r="K24" s="13">
        <f>'FS Desroches Daily'!CN26</f>
        <v>26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12200.000000000162</v>
      </c>
      <c r="F25" s="11">
        <f t="shared" si="0"/>
        <v>0.58765030286592534</v>
      </c>
      <c r="G25" s="12">
        <f>(Submetering!AX25+Submetering!AY25+Submetering!AZ25+Submetering!BA25+Submetering!BB25)</f>
        <v>7.3259999999999996</v>
      </c>
      <c r="H25" s="11">
        <f t="shared" si="1"/>
        <v>0.99</v>
      </c>
      <c r="I25" s="12">
        <f>'FS Desroches Daily'!CM27</f>
        <v>98</v>
      </c>
      <c r="J25" s="11">
        <f t="shared" si="2"/>
        <v>10.487297712684205</v>
      </c>
      <c r="K25" s="13">
        <f>'FS Desroches Daily'!CN27</f>
        <v>20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11599.999999999944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146.20000000000073</v>
      </c>
      <c r="J26" s="11">
        <f t="shared" si="2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10799.999999999589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133.20000000000073</v>
      </c>
      <c r="J27" s="11">
        <f t="shared" si="2"/>
        <v>10.487297712684205</v>
      </c>
      <c r="K27" s="13">
        <f>'FS Desroches Daily'!CN29</f>
        <v>34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11300.000000001013</v>
      </c>
      <c r="F28" s="11">
        <f t="shared" si="0"/>
        <v>0.58765030286592534</v>
      </c>
      <c r="G28" s="12">
        <f>(Submetering!AX28+Submetering!AY28+Submetering!AZ28+Submetering!BA28+Submetering!BB28)</f>
        <v>5.4944999999999995</v>
      </c>
      <c r="H28" s="11">
        <f t="shared" si="1"/>
        <v>0.99</v>
      </c>
      <c r="I28" s="12">
        <f>'FS Desroches Daily'!CM30</f>
        <v>121.89999999999782</v>
      </c>
      <c r="J28" s="11">
        <f t="shared" si="2"/>
        <v>10.487297712684205</v>
      </c>
      <c r="K28" s="13">
        <f>'FS Desroches Daily'!CN30</f>
        <v>34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11299.999999999452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121.29999999999927</v>
      </c>
      <c r="J29" s="11">
        <f t="shared" si="2"/>
        <v>10.487297712684205</v>
      </c>
      <c r="K29" s="13">
        <f>'FS Desroches Daily'!CN31</f>
        <v>34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 t="e">
        <f>Submetering!E30+Submetering!F30+Submetering!G30+Submetering!H30+Submetering!J30-Submetering!AV30</f>
        <v>#VALUE!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 t="e">
        <f>'FS Desroches Daily'!CM32</f>
        <v>#VALUE!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900.00000000009095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1000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1099.9999999999091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1000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799.99999999995453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900.00000000009095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1099.9999999999091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1000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800.0000000001819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1000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1000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500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899.99999999986358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700.00000000004547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1000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700.00000000004547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899.99999999986358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1100.0000000001364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1599.9999999998238</v>
      </c>
      <c r="F20" s="32">
        <f>'FS Desroches Daily'!F22</f>
        <v>3000.0000000001137</v>
      </c>
      <c r="G20" s="31">
        <f>'FS Desroches Daily'!H22</f>
        <v>2900.0000000003465</v>
      </c>
      <c r="H20" s="32">
        <f>'FS Desroches Daily'!J22</f>
        <v>1300.0000000000789</v>
      </c>
      <c r="I20" s="31">
        <f>'FS Desroches Daily'!L22</f>
        <v>1800.0000000002458</v>
      </c>
      <c r="J20" s="32">
        <f>'FS Desroches Daily'!N22</f>
        <v>1600.0000000002678</v>
      </c>
      <c r="K20" s="13">
        <f>'FS Desroches Daily'!P22</f>
        <v>13</v>
      </c>
      <c r="L20" s="31">
        <f>'FS Desroches Daily'!R22</f>
        <v>4</v>
      </c>
      <c r="M20" s="31">
        <f>'FS Desroches Daily'!T22</f>
        <v>1200.0000000000455</v>
      </c>
      <c r="N20" s="31">
        <f>'FS Desroches Daily'!V22</f>
        <v>417.09999999997672</v>
      </c>
      <c r="O20" s="31">
        <f>'FS Desroches Daily'!X22</f>
        <v>240.00000000000909</v>
      </c>
      <c r="P20" s="31">
        <f>'FS Desroches Daily'!Z22</f>
        <v>3000.0000000001137</v>
      </c>
      <c r="Q20" s="31">
        <f>'FS Desroches Daily'!AB22</f>
        <v>419.99999999995907</v>
      </c>
      <c r="R20" s="31">
        <f>'FS Desroches Daily'!AD22</f>
        <v>269.99999999998181</v>
      </c>
      <c r="S20" s="31">
        <f>'FS Desroches Daily'!AF22</f>
        <v>809.99999999994543</v>
      </c>
      <c r="T20" s="31">
        <f>'FS Desroches Daily'!AH22</f>
        <v>28</v>
      </c>
      <c r="U20" s="35">
        <f>'FS Desroches Daily'!AJ22</f>
        <v>419.99999999995907</v>
      </c>
      <c r="V20" s="35">
        <f>'FS Desroches Daily'!AL22</f>
        <v>210.00000000003638</v>
      </c>
      <c r="W20" s="35">
        <f>'FS Desroches Daily'!AN22</f>
        <v>139.99999999998636</v>
      </c>
      <c r="X20" s="35">
        <f>'FS Desroches Daily'!AP22</f>
        <v>99.999999999965894</v>
      </c>
      <c r="Y20" s="35">
        <f>'FS Desroches Daily'!AR22</f>
        <v>100.00000000002274</v>
      </c>
      <c r="Z20" s="35">
        <f>'FS Desroches Daily'!AT22</f>
        <v>69.999999999993179</v>
      </c>
      <c r="AA20" s="35">
        <f>'FS Desroches Daily'!AT22</f>
        <v>69.999999999993179</v>
      </c>
      <c r="AB20" s="35">
        <f>'FS Desroches Daily'!AV22</f>
        <v>60.000000000002274</v>
      </c>
      <c r="AC20" s="35">
        <f>'FS Desroches Daily'!AZ22</f>
        <v>79.999999999984084</v>
      </c>
      <c r="AD20" s="35">
        <f>'FS Desroches Daily'!BB22</f>
        <v>80.000000000040927</v>
      </c>
      <c r="AE20" s="35">
        <f>'FS Desroches Daily'!BD22</f>
        <v>29.999999999972715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30.000000000029559</v>
      </c>
      <c r="AI20" s="32">
        <f>'FS Desroches Daily'!BL22</f>
        <v>39.99999999996362</v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25</v>
      </c>
      <c r="AM20" s="32">
        <f>'FS Desroches Daily'!BT22</f>
        <v>30.000000000001137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85.900000000001455</v>
      </c>
      <c r="AR20" s="31">
        <f>'FS Desroches Daily'!CD22</f>
        <v>11.099999999998545</v>
      </c>
      <c r="AS20" s="31">
        <f>'FS Desroches Daily'!CF22</f>
        <v>4</v>
      </c>
      <c r="AT20" s="31">
        <f>'FS Desroches Daily'!CH22</f>
        <v>58.19999999999709</v>
      </c>
      <c r="AU20" s="31">
        <f>'FS Desroches Daily'!CJ22</f>
        <v>277</v>
      </c>
      <c r="AV20" s="31">
        <f>'FS Desroches Daily'!CL22</f>
        <v>600.00000000013642</v>
      </c>
      <c r="AW20" s="31">
        <f>'FS Desroches Daily'!CM22</f>
        <v>83</v>
      </c>
      <c r="AX20" s="31">
        <f>IF(LPG!F27-LPG!F26&lt;0,"0",(LPG!F27-LPG!F26)*1.8315)</f>
        <v>0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1700.0000000000348</v>
      </c>
      <c r="F21" s="32">
        <f>'FS Desroches Daily'!F23</f>
        <v>2999.9999999992256</v>
      </c>
      <c r="G21" s="31">
        <f>'FS Desroches Daily'!H23</f>
        <v>3000.0000000001137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1500.0000000000568</v>
      </c>
      <c r="K21" s="13">
        <f>'FS Desroches Daily'!P23</f>
        <v>2</v>
      </c>
      <c r="L21" s="31">
        <f>'FS Desroches Daily'!R23</f>
        <v>4</v>
      </c>
      <c r="M21" s="31">
        <f>'FS Desroches Daily'!T23</f>
        <v>1099.9999999999091</v>
      </c>
      <c r="N21" s="31">
        <f>'FS Desroches Daily'!V23</f>
        <v>349</v>
      </c>
      <c r="O21" s="31">
        <f>'FS Desroches Daily'!X23</f>
        <v>240.00000000000909</v>
      </c>
      <c r="P21" s="31">
        <f>'FS Desroches Daily'!Z23</f>
        <v>2800.0000000005798</v>
      </c>
      <c r="Q21" s="31">
        <f>'FS Desroches Daily'!AB23</f>
        <v>240.00000000000909</v>
      </c>
      <c r="R21" s="31">
        <f>'FS Desroches Daily'!AD23</f>
        <v>320.00000000005002</v>
      </c>
      <c r="S21" s="31">
        <f>'FS Desroches Daily'!AF23</f>
        <v>830.00000000004093</v>
      </c>
      <c r="T21" s="31">
        <f>'FS Desroches Daily'!AH23</f>
        <v>32</v>
      </c>
      <c r="U21" s="35">
        <f>'FS Desroches Daily'!AJ23</f>
        <v>460.00000000003638</v>
      </c>
      <c r="V21" s="35">
        <f>'FS Desroches Daily'!AL23</f>
        <v>259.99999999999091</v>
      </c>
      <c r="W21" s="35">
        <f>'FS Desroches Daily'!AN23</f>
        <v>160.00000000002501</v>
      </c>
      <c r="X21" s="35">
        <f>'FS Desroches Daily'!AP23</f>
        <v>110.00000000001364</v>
      </c>
      <c r="Y21" s="35">
        <f>'FS Desroches Daily'!AR23</f>
        <v>110.00000000001364</v>
      </c>
      <c r="Z21" s="35">
        <f>'FS Desroches Daily'!AT23</f>
        <v>89.999999999974989</v>
      </c>
      <c r="AA21" s="35">
        <f>'FS Desroches Daily'!AT23</f>
        <v>89.999999999974989</v>
      </c>
      <c r="AB21" s="35">
        <f>'FS Desroches Daily'!AV23</f>
        <v>69.999999999993179</v>
      </c>
      <c r="AC21" s="35">
        <f>'FS Desroches Daily'!AZ23</f>
        <v>120.00000000000455</v>
      </c>
      <c r="AD21" s="35">
        <f>'FS Desroches Daily'!BB23</f>
        <v>79.999999999984084</v>
      </c>
      <c r="AE21" s="35">
        <f>'FS Desroches Daily'!BD23</f>
        <v>40.000000000020464</v>
      </c>
      <c r="AF21" s="31">
        <f>'FS Desroches Daily'!BF23</f>
        <v>43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30.000000000001137</v>
      </c>
      <c r="AP21" s="32">
        <f>'FS Desroches Daily'!BZ23</f>
        <v>42</v>
      </c>
      <c r="AQ21" s="31">
        <f>'FS Desroches Daily'!CB23</f>
        <v>54.19999999999709</v>
      </c>
      <c r="AR21" s="31">
        <f>'FS Desroches Daily'!CD23</f>
        <v>11.299999999999272</v>
      </c>
      <c r="AS21" s="31">
        <f>'FS Desroches Daily'!CF23</f>
        <v>3.5</v>
      </c>
      <c r="AT21" s="31">
        <f>'FS Desroches Daily'!CH23</f>
        <v>67</v>
      </c>
      <c r="AU21" s="31">
        <f>'FS Desroches Daily'!CJ23</f>
        <v>177</v>
      </c>
      <c r="AV21" s="31">
        <f>'FS Desroches Daily'!CL23</f>
        <v>799.99999999995453</v>
      </c>
      <c r="AW21" s="31">
        <f>'FS Desroches Daily'!CM23</f>
        <v>85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24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2000.0000000002237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1399.9999999998458</v>
      </c>
      <c r="I22" s="31">
        <f>'FS Desroches Daily'!L24</f>
        <v>1900.0000000000127</v>
      </c>
      <c r="J22" s="32">
        <f>'FS Desroches Daily'!N24</f>
        <v>1700.0000000000348</v>
      </c>
      <c r="K22" s="13">
        <f>'FS Desroches Daily'!P24</f>
        <v>7</v>
      </c>
      <c r="L22" s="31">
        <f>'FS Desroches Daily'!R24</f>
        <v>0</v>
      </c>
      <c r="M22" s="31">
        <f>'FS Desroches Daily'!T24</f>
        <v>700.00000000004547</v>
      </c>
      <c r="N22" s="31">
        <f>'FS Desroches Daily'!V24</f>
        <v>279.20000000006985</v>
      </c>
      <c r="O22" s="31">
        <f>'FS Desroches Daily'!X24</f>
        <v>269.99999999998181</v>
      </c>
      <c r="P22" s="31">
        <f>'FS Desroches Daily'!Z24</f>
        <v>2199.9999999993138</v>
      </c>
      <c r="Q22" s="31">
        <f>'FS Desroches Daily'!AB24</f>
        <v>370.00000000000455</v>
      </c>
      <c r="R22" s="31">
        <f>'FS Desroches Daily'!AD24</f>
        <v>329.99999999992724</v>
      </c>
      <c r="S22" s="31">
        <f>'FS Desroches Daily'!AF24</f>
        <v>799.99999999995453</v>
      </c>
      <c r="T22" s="31">
        <f>'FS Desroches Daily'!AH24</f>
        <v>30</v>
      </c>
      <c r="U22" s="35">
        <f>'FS Desroches Daily'!AJ24</f>
        <v>509.99999999999091</v>
      </c>
      <c r="V22" s="35">
        <f>'FS Desroches Daily'!AL24</f>
        <v>259.99999999999091</v>
      </c>
      <c r="W22" s="35">
        <f>'FS Desroches Daily'!AN24</f>
        <v>159.99999999996817</v>
      </c>
      <c r="X22" s="35">
        <f>'FS Desroches Daily'!AP24</f>
        <v>110.00000000001364</v>
      </c>
      <c r="Y22" s="35">
        <f>'FS Desroches Daily'!AR24</f>
        <v>120.00000000000455</v>
      </c>
      <c r="Z22" s="35">
        <f>'FS Desroches Daily'!AT24</f>
        <v>79.999999999984084</v>
      </c>
      <c r="AA22" s="35">
        <f>'FS Desroches Daily'!AT24</f>
        <v>79.999999999984084</v>
      </c>
      <c r="AB22" s="35">
        <f>'FS Desroches Daily'!AV24</f>
        <v>69.999999999993179</v>
      </c>
      <c r="AC22" s="35">
        <f>'FS Desroches Daily'!AZ24</f>
        <v>100.00000000002274</v>
      </c>
      <c r="AD22" s="35">
        <f>'FS Desroches Daily'!BB24</f>
        <v>110.00000000001364</v>
      </c>
      <c r="AE22" s="35">
        <f>'FS Desroches Daily'!BD24</f>
        <v>40.000000000020464</v>
      </c>
      <c r="AF22" s="31">
        <f>'FS Desroches Daily'!BF24</f>
        <v>40</v>
      </c>
      <c r="AG22" s="32">
        <f>'FS Desroches Daily'!BH24</f>
        <v>39.999999999992042</v>
      </c>
      <c r="AH22" s="32">
        <f>'FS Desroches Daily'!BJ24</f>
        <v>40.000000000020464</v>
      </c>
      <c r="AI22" s="32">
        <f>'FS Desroches Daily'!BL24</f>
        <v>29.999999999972715</v>
      </c>
      <c r="AJ22" s="32">
        <f>'FS Desroches Daily'!BN24</f>
        <v>30.000000000001137</v>
      </c>
      <c r="AK22" s="32">
        <f>'FS Desroches Daily'!BP24</f>
        <v>29.999999999972715</v>
      </c>
      <c r="AL22" s="32">
        <f>'FS Desroches Daily'!BR24</f>
        <v>34</v>
      </c>
      <c r="AM22" s="32">
        <f>'FS Desroches Daily'!BT24</f>
        <v>39.999999999992042</v>
      </c>
      <c r="AN22" s="32">
        <f>'FS Desroches Daily'!BV24</f>
        <v>27</v>
      </c>
      <c r="AO22" s="32">
        <f>'FS Desroches Daily'!BX24</f>
        <v>39.999999999992042</v>
      </c>
      <c r="AP22" s="32">
        <f>'FS Desroches Daily'!BZ24</f>
        <v>41</v>
      </c>
      <c r="AQ22" s="31">
        <f>'FS Desroches Daily'!CB24</f>
        <v>49.5</v>
      </c>
      <c r="AR22" s="31">
        <f>'FS Desroches Daily'!CD24</f>
        <v>7.5</v>
      </c>
      <c r="AS22" s="31">
        <f>'FS Desroches Daily'!CF24</f>
        <v>1.5</v>
      </c>
      <c r="AT22" s="31">
        <f>'FS Desroches Daily'!CH24</f>
        <v>67.19999999999709</v>
      </c>
      <c r="AU22" s="31">
        <f>'FS Desroches Daily'!CJ24</f>
        <v>376</v>
      </c>
      <c r="AV22" s="31">
        <f>'FS Desroches Daily'!CL24</f>
        <v>799.99999999995453</v>
      </c>
      <c r="AW22" s="31">
        <f>'FS Desroches Daily'!CM24</f>
        <v>84.299999999999272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2399.9999999997358</v>
      </c>
      <c r="F23" s="32">
        <f>'FS Desroches Daily'!F25</f>
        <v>3099.9999999998809</v>
      </c>
      <c r="G23" s="31">
        <f>'FS Desroches Daily'!H25</f>
        <v>3099.9999999998809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1599.9999999998238</v>
      </c>
      <c r="K23" s="13">
        <f>'FS Desroches Daily'!P25</f>
        <v>2</v>
      </c>
      <c r="L23" s="31">
        <f>'FS Desroches Daily'!R25</f>
        <v>5</v>
      </c>
      <c r="M23" s="31">
        <f>'FS Desroches Daily'!T25</f>
        <v>1099.9999999999091</v>
      </c>
      <c r="N23" s="31">
        <f>'FS Desroches Daily'!V25</f>
        <v>408.69999999995343</v>
      </c>
      <c r="O23" s="31">
        <f>'FS Desroches Daily'!X25</f>
        <v>299.99999999995453</v>
      </c>
      <c r="P23" s="31">
        <f>'FS Desroches Daily'!Z25</f>
        <v>2900.0000000003465</v>
      </c>
      <c r="Q23" s="31">
        <f>'FS Desroches Daily'!AB25</f>
        <v>240.00000000000909</v>
      </c>
      <c r="R23" s="31">
        <f>'FS Desroches Daily'!AD25</f>
        <v>420.00000000007276</v>
      </c>
      <c r="S23" s="31">
        <f>'FS Desroches Daily'!AF25</f>
        <v>879.99999999999545</v>
      </c>
      <c r="T23" s="31">
        <f>'FS Desroches Daily'!AH25</f>
        <v>37</v>
      </c>
      <c r="U23" s="35">
        <f>'FS Desroches Daily'!AJ25</f>
        <v>649.99999999997726</v>
      </c>
      <c r="V23" s="35">
        <f>'FS Desroches Daily'!AL25</f>
        <v>310.00000000000227</v>
      </c>
      <c r="W23" s="35">
        <f>'FS Desroches Daily'!AN25</f>
        <v>189.99999999999773</v>
      </c>
      <c r="X23" s="35">
        <f>'FS Desroches Daily'!AP25</f>
        <v>139.99999999998636</v>
      </c>
      <c r="Y23" s="35">
        <f>'FS Desroches Daily'!AR25</f>
        <v>139.99999999998636</v>
      </c>
      <c r="Z23" s="35">
        <f>'FS Desroches Daily'!AT25</f>
        <v>100.00000000002274</v>
      </c>
      <c r="AA23" s="35">
        <f>'FS Desroches Daily'!AT25</f>
        <v>100.00000000002274</v>
      </c>
      <c r="AB23" s="35">
        <f>'FS Desroches Daily'!AV25</f>
        <v>89.999999999974989</v>
      </c>
      <c r="AC23" s="35">
        <f>'FS Desroches Daily'!AZ25</f>
        <v>120.00000000000455</v>
      </c>
      <c r="AD23" s="35">
        <f>'FS Desroches Daily'!BB25</f>
        <v>199.99999999998863</v>
      </c>
      <c r="AE23" s="35">
        <f>'FS Desroches Daily'!BD25</f>
        <v>60.000000000002274</v>
      </c>
      <c r="AF23" s="31">
        <f>'FS Desroches Daily'!BF25</f>
        <v>46</v>
      </c>
      <c r="AG23" s="32">
        <f>'FS Desroches Daily'!BH25</f>
        <v>30.000000000001137</v>
      </c>
      <c r="AH23" s="32">
        <f>'FS Desroches Daily'!BJ25</f>
        <v>40</v>
      </c>
      <c r="AI23" s="32">
        <f>'FS Desroches Daily'!BL25</f>
        <v>40.000000000020464</v>
      </c>
      <c r="AJ23" s="32">
        <f>'FS Desroches Daily'!BN25</f>
        <v>30</v>
      </c>
      <c r="AK23" s="32">
        <f>'FS Desroches Daily'!BP25</f>
        <v>50</v>
      </c>
      <c r="AL23" s="32">
        <f>'FS Desroches Daily'!BR25</f>
        <v>31</v>
      </c>
      <c r="AM23" s="32">
        <f>'FS Desroches Daily'!BT25</f>
        <v>50.000000000011369</v>
      </c>
      <c r="AN23" s="32">
        <f>'FS Desroches Daily'!BV25</f>
        <v>37</v>
      </c>
      <c r="AO23" s="32">
        <f>'FS Desroches Daily'!BX25</f>
        <v>30.000000000001137</v>
      </c>
      <c r="AP23" s="32">
        <f>'FS Desroches Daily'!BZ25</f>
        <v>43</v>
      </c>
      <c r="AQ23" s="31">
        <f>'FS Desroches Daily'!CB25</f>
        <v>46.400000000001455</v>
      </c>
      <c r="AR23" s="31">
        <f>'FS Desroches Daily'!CD25</f>
        <v>10.5</v>
      </c>
      <c r="AS23" s="31">
        <f>'FS Desroches Daily'!CF25</f>
        <v>3</v>
      </c>
      <c r="AT23" s="31">
        <f>'FS Desroches Daily'!CH25</f>
        <v>55.19999999999709</v>
      </c>
      <c r="AU23" s="31">
        <f>'FS Desroches Daily'!CJ25</f>
        <v>273</v>
      </c>
      <c r="AV23" s="31">
        <f>'FS Desroches Daily'!CL25</f>
        <v>799.99999999995453</v>
      </c>
      <c r="AW23" s="31">
        <f>'FS Desroches Daily'!CM25</f>
        <v>90.100000000002183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24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2600.0000000001578</v>
      </c>
      <c r="F24" s="32">
        <f>'FS Desroches Daily'!F26</f>
        <v>3200.0000000005357</v>
      </c>
      <c r="G24" s="31">
        <f>'FS Desroches Daily'!H26</f>
        <v>3199.9999999996476</v>
      </c>
      <c r="H24" s="32">
        <f>'FS Desroches Daily'!J26</f>
        <v>1399.9999999998458</v>
      </c>
      <c r="I24" s="31">
        <f>'FS Desroches Daily'!L26</f>
        <v>2099.9999999999909</v>
      </c>
      <c r="J24" s="32">
        <f>'FS Desroches Daily'!N26</f>
        <v>1900.0000000000127</v>
      </c>
      <c r="K24" s="13">
        <f>'FS Desroches Daily'!P26</f>
        <v>32</v>
      </c>
      <c r="L24" s="31">
        <f>'FS Desroches Daily'!R26</f>
        <v>4</v>
      </c>
      <c r="M24" s="31">
        <f>'FS Desroches Daily'!T26</f>
        <v>1400.0000000000909</v>
      </c>
      <c r="N24" s="31">
        <f>'FS Desroches Daily'!V26</f>
        <v>475.19999999995343</v>
      </c>
      <c r="O24" s="31">
        <f>'FS Desroches Daily'!X26</f>
        <v>290.00000000007731</v>
      </c>
      <c r="P24" s="31">
        <f>'FS Desroches Daily'!Z26</f>
        <v>2900.0000000003465</v>
      </c>
      <c r="Q24" s="31">
        <f>'FS Desroches Daily'!AB26</f>
        <v>409.99999999996817</v>
      </c>
      <c r="R24" s="31">
        <f>'FS Desroches Daily'!AD26</f>
        <v>449.99999999993179</v>
      </c>
      <c r="S24" s="31">
        <f>'FS Desroches Daily'!AF26</f>
        <v>909.99999999996817</v>
      </c>
      <c r="T24" s="31">
        <f>'FS Desroches Daily'!AH26</f>
        <v>39</v>
      </c>
      <c r="U24" s="35">
        <f>'FS Desroches Daily'!AJ26</f>
        <v>649.99999999997726</v>
      </c>
      <c r="V24" s="35">
        <f>'FS Desroches Daily'!AL26</f>
        <v>360.00000000001364</v>
      </c>
      <c r="W24" s="35">
        <f>'FS Desroches Daily'!AN26</f>
        <v>240.00000000000909</v>
      </c>
      <c r="X24" s="35">
        <f>'FS Desroches Daily'!AP26</f>
        <v>159.99999999996817</v>
      </c>
      <c r="Y24" s="35">
        <f>'FS Desroches Daily'!AR26</f>
        <v>180.00000000000682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129.99999999999545</v>
      </c>
      <c r="AC24" s="35">
        <f>'FS Desroches Daily'!AZ26</f>
        <v>129.99999999999545</v>
      </c>
      <c r="AD24" s="35">
        <f>'FS Desroches Daily'!BB26</f>
        <v>160.00000000002501</v>
      </c>
      <c r="AE24" s="35">
        <f>'FS Desroches Daily'!BD26</f>
        <v>49.999999999954525</v>
      </c>
      <c r="AF24" s="31">
        <f>'FS Desroches Daily'!BF26</f>
        <v>42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40.000000000020464</v>
      </c>
      <c r="AJ24" s="32">
        <f>'FS Desroches Daily'!BN26</f>
        <v>30</v>
      </c>
      <c r="AK24" s="32">
        <f>'FS Desroches Daily'!BP26</f>
        <v>50.000000000011369</v>
      </c>
      <c r="AL24" s="32">
        <f>'FS Desroches Daily'!BR26</f>
        <v>31</v>
      </c>
      <c r="AM24" s="32">
        <f>'FS Desroches Daily'!BT26</f>
        <v>30.000000000001137</v>
      </c>
      <c r="AN24" s="32">
        <f>'FS Desroches Daily'!BV26</f>
        <v>41</v>
      </c>
      <c r="AO24" s="32">
        <f>'FS Desroches Daily'!BX26</f>
        <v>39.999999999992042</v>
      </c>
      <c r="AP24" s="32">
        <f>'FS Desroches Daily'!BZ26</f>
        <v>44</v>
      </c>
      <c r="AQ24" s="31">
        <f>'FS Desroches Daily'!CB26</f>
        <v>57.299999999995634</v>
      </c>
      <c r="AR24" s="31">
        <f>'FS Desroches Daily'!CD26</f>
        <v>11.200000000000728</v>
      </c>
      <c r="AS24" s="31">
        <f>'FS Desroches Daily'!CF26</f>
        <v>8.3999999999996362</v>
      </c>
      <c r="AT24" s="31">
        <f>'FS Desroches Daily'!CH26</f>
        <v>44.69999999999709</v>
      </c>
      <c r="AU24" s="31">
        <f>'FS Desroches Daily'!CJ26</f>
        <v>306</v>
      </c>
      <c r="AV24" s="31">
        <f>'FS Desroches Daily'!CL26</f>
        <v>799.99999999995453</v>
      </c>
      <c r="AW24" s="31">
        <f>'FS Desroches Daily'!CM26</f>
        <v>128.59999999999854</v>
      </c>
      <c r="AX24" s="31">
        <f>IF(LPG!F31-LPG!F30&lt;0,"0",(LPG!F31-LPG!F30)*1.8315)</f>
        <v>0</v>
      </c>
      <c r="AY24" s="31">
        <f>IF(LPG!H31-LPG!H30&lt;0,"0",(LPG!H31-LPG!H30)*1.8315)</f>
        <v>5.4944999999999995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26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2600.0000000001578</v>
      </c>
      <c r="F25" s="32">
        <f>'FS Desroches Daily'!F27</f>
        <v>3099.9999999998809</v>
      </c>
      <c r="G25" s="31">
        <f>'FS Desroches Daily'!H27</f>
        <v>3800.0000000000255</v>
      </c>
      <c r="H25" s="32">
        <f>'FS Desroches Daily'!J27</f>
        <v>1600.0000000002678</v>
      </c>
      <c r="I25" s="31">
        <f>'FS Desroches Daily'!L27</f>
        <v>2000.0000000002237</v>
      </c>
      <c r="J25" s="32">
        <f>'FS Desroches Daily'!N27</f>
        <v>1900.0000000000127</v>
      </c>
      <c r="K25" s="13">
        <f>'FS Desroches Daily'!P27</f>
        <v>36</v>
      </c>
      <c r="L25" s="31">
        <f>'FS Desroches Daily'!R27</f>
        <v>5</v>
      </c>
      <c r="M25" s="31">
        <f>'FS Desroches Daily'!T27</f>
        <v>1599.9999999999091</v>
      </c>
      <c r="N25" s="31">
        <f>'FS Desroches Daily'!V27</f>
        <v>549.60000000009313</v>
      </c>
      <c r="O25" s="31">
        <f>'FS Desroches Daily'!X27</f>
        <v>289.99999999996362</v>
      </c>
      <c r="P25" s="31">
        <f>'FS Desroches Daily'!Z27</f>
        <v>2899.9999999994584</v>
      </c>
      <c r="Q25" s="31">
        <f>'FS Desroches Daily'!AB27</f>
        <v>389.99999999998636</v>
      </c>
      <c r="R25" s="31">
        <f>'FS Desroches Daily'!AD27</f>
        <v>420.00000000007276</v>
      </c>
      <c r="S25" s="31">
        <f>'FS Desroches Daily'!AF27</f>
        <v>950.00000000004547</v>
      </c>
      <c r="T25" s="31">
        <f>'FS Desroches Daily'!AH27</f>
        <v>34</v>
      </c>
      <c r="U25" s="35">
        <f>'FS Desroches Daily'!AJ27</f>
        <v>649.99999999997726</v>
      </c>
      <c r="V25" s="35">
        <f>'FS Desroches Daily'!AL27</f>
        <v>219.99999999997044</v>
      </c>
      <c r="W25" s="35">
        <f>'FS Desroches Daily'!AN27</f>
        <v>209.99999999997954</v>
      </c>
      <c r="X25" s="35">
        <f>'FS Desroches Daily'!AP27</f>
        <v>160.00000000002501</v>
      </c>
      <c r="Y25" s="35">
        <f>'FS Desroches Daily'!AR27</f>
        <v>209.99999999997954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140.0000000000432</v>
      </c>
      <c r="AC25" s="35">
        <f>'FS Desroches Daily'!AZ27</f>
        <v>139.99999999998636</v>
      </c>
      <c r="AD25" s="35">
        <f>'FS Desroches Daily'!BB27</f>
        <v>159.99999999996817</v>
      </c>
      <c r="AE25" s="35">
        <f>'FS Desroches Daily'!BD27</f>
        <v>60.000000000002274</v>
      </c>
      <c r="AF25" s="31">
        <f>'FS Desroches Daily'!BF27</f>
        <v>41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39.99999999996362</v>
      </c>
      <c r="AJ25" s="32">
        <f>'FS Desroches Daily'!BN27</f>
        <v>39.999999999992042</v>
      </c>
      <c r="AK25" s="32">
        <f>'FS Desroches Daily'!BP27</f>
        <v>29.999999999972715</v>
      </c>
      <c r="AL25" s="32">
        <f>'FS Desroches Daily'!BR27</f>
        <v>38</v>
      </c>
      <c r="AM25" s="32">
        <f>'FS Desroches Daily'!BT27</f>
        <v>39.999999999992042</v>
      </c>
      <c r="AN25" s="32">
        <f>'FS Desroches Daily'!BV27</f>
        <v>39</v>
      </c>
      <c r="AO25" s="32">
        <f>'FS Desroches Daily'!BX27</f>
        <v>50.000000000011369</v>
      </c>
      <c r="AP25" s="32">
        <f>'FS Desroches Daily'!BZ27</f>
        <v>44</v>
      </c>
      <c r="AQ25" s="31">
        <f>'FS Desroches Daily'!CB27</f>
        <v>42.700000000004366</v>
      </c>
      <c r="AR25" s="31">
        <f>'FS Desroches Daily'!CD27</f>
        <v>15</v>
      </c>
      <c r="AS25" s="31">
        <f>'FS Desroches Daily'!CF27</f>
        <v>2.8000000000010914</v>
      </c>
      <c r="AT25" s="31">
        <f>'FS Desroches Daily'!CH27</f>
        <v>61.900000000008731</v>
      </c>
      <c r="AU25" s="31">
        <f>'FS Desroches Daily'!CJ27</f>
        <v>298</v>
      </c>
      <c r="AV25" s="31">
        <f>'FS Desroches Daily'!CL27</f>
        <v>800.0000000001819</v>
      </c>
      <c r="AW25" s="31">
        <f>'FS Desroches Daily'!CM27</f>
        <v>98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20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2499.9999999999468</v>
      </c>
      <c r="F26" s="32">
        <f>'FS Desroches Daily'!F28</f>
        <v>3400.0000000000696</v>
      </c>
      <c r="G26" s="31">
        <f>'FS Desroches Daily'!H28</f>
        <v>3499.9999999998367</v>
      </c>
      <c r="H26" s="32">
        <f>'FS Desroches Daily'!J28</f>
        <v>1500.0000000000568</v>
      </c>
      <c r="I26" s="31">
        <f>'FS Desroches Daily'!L28</f>
        <v>2099.9999999999909</v>
      </c>
      <c r="J26" s="32">
        <f>'FS Desroches Daily'!N28</f>
        <v>1700.0000000000348</v>
      </c>
      <c r="K26" s="13">
        <f>'FS Desroches Daily'!P28</f>
        <v>38</v>
      </c>
      <c r="L26" s="31">
        <f>'FS Desroches Daily'!R28</f>
        <v>5</v>
      </c>
      <c r="M26" s="31">
        <f>'FS Desroches Daily'!T28</f>
        <v>1299.9999999999545</v>
      </c>
      <c r="N26" s="31">
        <f>'FS Desroches Daily'!V28</f>
        <v>491.89999999990687</v>
      </c>
      <c r="O26" s="31">
        <f>'FS Desroches Daily'!X28</f>
        <v>299.99999999995453</v>
      </c>
      <c r="P26" s="31">
        <f>'FS Desroches Daily'!Z28</f>
        <v>3000.0000000001137</v>
      </c>
      <c r="Q26" s="31">
        <f>'FS Desroches Daily'!AB28</f>
        <v>310.00000000005912</v>
      </c>
      <c r="R26" s="31">
        <f>'FS Desroches Daily'!AD28</f>
        <v>429.99999999994998</v>
      </c>
      <c r="S26" s="31">
        <f>'FS Desroches Daily'!AF28</f>
        <v>980.00000000001819</v>
      </c>
      <c r="T26" s="31">
        <f>'FS Desroches Daily'!AH28</f>
        <v>37</v>
      </c>
      <c r="U26" s="35">
        <f>'FS Desroches Daily'!AJ28</f>
        <v>730.00000000001819</v>
      </c>
      <c r="V26" s="35">
        <f>'FS Desroches Daily'!AL28</f>
        <v>189.99999999999773</v>
      </c>
      <c r="W26" s="35">
        <f>'FS Desroches Daily'!AN28</f>
        <v>200.00000000004547</v>
      </c>
      <c r="X26" s="35">
        <f>'FS Desroches Daily'!AP28</f>
        <v>209.99999999997954</v>
      </c>
      <c r="Y26" s="35">
        <f>'FS Desroches Daily'!AR28</f>
        <v>230.00000000001819</v>
      </c>
      <c r="Z26" s="35">
        <f>'FS Desroches Daily'!AT28</f>
        <v>149.99999999997726</v>
      </c>
      <c r="AA26" s="35">
        <f>'FS Desroches Daily'!AT28</f>
        <v>149.99999999997726</v>
      </c>
      <c r="AB26" s="35">
        <f>'FS Desroches Daily'!AV28</f>
        <v>109.9999999999568</v>
      </c>
      <c r="AC26" s="35">
        <f>'FS Desroches Daily'!AZ28</f>
        <v>139.99999999998636</v>
      </c>
      <c r="AD26" s="35">
        <f>'FS Desroches Daily'!BB28</f>
        <v>90.000000000031832</v>
      </c>
      <c r="AE26" s="35">
        <f>'FS Desroches Daily'!BD28</f>
        <v>60.000000000002274</v>
      </c>
      <c r="AF26" s="31">
        <f>'FS Desroches Daily'!BF28</f>
        <v>40</v>
      </c>
      <c r="AG26" s="32">
        <f>'FS Desroches Daily'!BH28</f>
        <v>39.999999999992042</v>
      </c>
      <c r="AH26" s="32">
        <f>'FS Desroches Daily'!BJ28</f>
        <v>39.99999999996362</v>
      </c>
      <c r="AI26" s="32">
        <f>'FS Desroches Daily'!BL28</f>
        <v>50.000000000011369</v>
      </c>
      <c r="AJ26" s="32">
        <f>'FS Desroches Daily'!BN28</f>
        <v>40.000000000020464</v>
      </c>
      <c r="AK26" s="32">
        <f>'FS Desroches Daily'!BP28</f>
        <v>30.000000000029559</v>
      </c>
      <c r="AL26" s="32">
        <f>'FS Desroches Daily'!BR28</f>
        <v>36</v>
      </c>
      <c r="AM26" s="32">
        <f>'FS Desroches Daily'!BT28</f>
        <v>39.999999999992042</v>
      </c>
      <c r="AN26" s="32">
        <f>'FS Desroches Daily'!BV28</f>
        <v>38</v>
      </c>
      <c r="AO26" s="32">
        <f>'FS Desroches Daily'!BX28</f>
        <v>39.999999999992042</v>
      </c>
      <c r="AP26" s="32">
        <f>'FS Desroches Daily'!BZ28</f>
        <v>42</v>
      </c>
      <c r="AQ26" s="31">
        <f>'FS Desroches Daily'!CB28</f>
        <v>41.5</v>
      </c>
      <c r="AR26" s="31">
        <f>'FS Desroches Daily'!CD28</f>
        <v>18.599999999998545</v>
      </c>
      <c r="AS26" s="31">
        <f>'FS Desroches Daily'!CF28</f>
        <v>0.69999999999890861</v>
      </c>
      <c r="AT26" s="31">
        <f>'FS Desroches Daily'!CH28</f>
        <v>66.30000000000291</v>
      </c>
      <c r="AU26" s="31">
        <f>'FS Desroches Daily'!CJ28</f>
        <v>288</v>
      </c>
      <c r="AV26" s="31">
        <f>'FS Desroches Daily'!CL28</f>
        <v>1000</v>
      </c>
      <c r="AW26" s="31">
        <f>'FS Desroches Daily'!CM28</f>
        <v>146.20000000000073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34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2499.9999999999468</v>
      </c>
      <c r="F27" s="32">
        <f>'FS Desroches Daily'!F29</f>
        <v>2899.9999999994584</v>
      </c>
      <c r="G27" s="31">
        <f>'FS Desroches Daily'!H29</f>
        <v>3300.0000000003029</v>
      </c>
      <c r="H27" s="32">
        <f>'FS Desroches Daily'!J29</f>
        <v>1399.9999999998458</v>
      </c>
      <c r="I27" s="31">
        <f>'FS Desroches Daily'!L29</f>
        <v>1900.0000000000127</v>
      </c>
      <c r="J27" s="32">
        <f>'FS Desroches Daily'!N29</f>
        <v>1700.0000000000348</v>
      </c>
      <c r="K27" s="13">
        <f>'FS Desroches Daily'!P29</f>
        <v>34</v>
      </c>
      <c r="L27" s="31">
        <f>'FS Desroches Daily'!R29</f>
        <v>3</v>
      </c>
      <c r="M27" s="31">
        <f>'FS Desroches Daily'!T29</f>
        <v>1100.0000000001364</v>
      </c>
      <c r="N27" s="31">
        <f>'FS Desroches Daily'!V29</f>
        <v>340.90000000002328</v>
      </c>
      <c r="O27" s="31">
        <f>'FS Desroches Daily'!X29</f>
        <v>250</v>
      </c>
      <c r="P27" s="31">
        <f>'FS Desroches Daily'!Z29</f>
        <v>2699.9999999999245</v>
      </c>
      <c r="Q27" s="31">
        <f>'FS Desroches Daily'!AB29</f>
        <v>340.00000000003183</v>
      </c>
      <c r="R27" s="31">
        <f>'FS Desroches Daily'!AD29</f>
        <v>350.00000000002274</v>
      </c>
      <c r="S27" s="31">
        <f>'FS Desroches Daily'!AF29</f>
        <v>819.99999999993634</v>
      </c>
      <c r="T27" s="31">
        <f>'FS Desroches Daily'!AH29</f>
        <v>33</v>
      </c>
      <c r="U27" s="35">
        <f>'FS Desroches Daily'!AJ29</f>
        <v>870.00000000000455</v>
      </c>
      <c r="V27" s="35">
        <f>'FS Desroches Daily'!AL29</f>
        <v>210.00000000003638</v>
      </c>
      <c r="W27" s="35">
        <f>'FS Desroches Daily'!AN29</f>
        <v>180.00000000000682</v>
      </c>
      <c r="X27" s="35">
        <f>'FS Desroches Daily'!AP29</f>
        <v>230.00000000001819</v>
      </c>
      <c r="Y27" s="35">
        <f>'FS Desroches Daily'!AR29</f>
        <v>189.99999999999773</v>
      </c>
      <c r="Z27" s="35">
        <f>'FS Desroches Daily'!AT29</f>
        <v>120.00000000000455</v>
      </c>
      <c r="AA27" s="35">
        <f>'FS Desroches Daily'!AT29</f>
        <v>120.00000000000455</v>
      </c>
      <c r="AB27" s="35">
        <f>'FS Desroches Daily'!AV29</f>
        <v>110.00000000001364</v>
      </c>
      <c r="AC27" s="35">
        <f>'FS Desroches Daily'!AZ29</f>
        <v>100.00000000002274</v>
      </c>
      <c r="AD27" s="35">
        <f>'FS Desroches Daily'!BB29</f>
        <v>69.999999999993179</v>
      </c>
      <c r="AE27" s="35">
        <f>'FS Desroches Daily'!BD29</f>
        <v>50.000000000011369</v>
      </c>
      <c r="AF27" s="31">
        <f>'FS Desroches Daily'!BF29</f>
        <v>40</v>
      </c>
      <c r="AG27" s="32">
        <f>'FS Desroches Daily'!BH29</f>
        <v>40.000000000020464</v>
      </c>
      <c r="AH27" s="32">
        <f>'FS Desroches Daily'!BJ29</f>
        <v>20.000000000038654</v>
      </c>
      <c r="AI27" s="32">
        <f>'FS Desroches Daily'!BL29</f>
        <v>50.000000000011369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29</v>
      </c>
      <c r="AM27" s="32">
        <f>'FS Desroches Daily'!BT29</f>
        <v>30.000000000001137</v>
      </c>
      <c r="AN27" s="32">
        <f>'FS Desroches Daily'!BV29</f>
        <v>35</v>
      </c>
      <c r="AO27" s="32">
        <f>'FS Desroches Daily'!BX29</f>
        <v>40.000000000020464</v>
      </c>
      <c r="AP27" s="32">
        <f>'FS Desroches Daily'!BZ29</f>
        <v>39</v>
      </c>
      <c r="AQ27" s="31">
        <f>'FS Desroches Daily'!CB29</f>
        <v>27.299999999995634</v>
      </c>
      <c r="AR27" s="31">
        <f>'FS Desroches Daily'!CD29</f>
        <v>10.900000000001455</v>
      </c>
      <c r="AS27" s="31">
        <f>'FS Desroches Daily'!CF29</f>
        <v>10.100000000000364</v>
      </c>
      <c r="AT27" s="31">
        <f>'FS Desroches Daily'!CH29</f>
        <v>62.899999999994179</v>
      </c>
      <c r="AU27" s="31">
        <f>'FS Desroches Daily'!CJ29</f>
        <v>279</v>
      </c>
      <c r="AV27" s="31">
        <f>'FS Desroches Daily'!CL29</f>
        <v>1000</v>
      </c>
      <c r="AW27" s="31">
        <f>'FS Desroches Daily'!CM29</f>
        <v>133.20000000000073</v>
      </c>
      <c r="AX27" s="31">
        <f>IF(LPG!F35-LPG!F33&lt;0,"0",(LPG!F35-LPG!F33)*1.8315)</f>
        <v>0</v>
      </c>
      <c r="AY27" s="31">
        <f>IF(LPG!H35-LPG!H33&lt;0,"0",(LPG!H35-LPG!H33)*1.8315)</f>
        <v>9.1574999999999989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34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2499.9999999999468</v>
      </c>
      <c r="F28" s="32">
        <f>'FS Desroches Daily'!F30</f>
        <v>3200.0000000005357</v>
      </c>
      <c r="G28" s="31">
        <f>'FS Desroches Daily'!H30</f>
        <v>3200.0000000005357</v>
      </c>
      <c r="H28" s="32">
        <f>'FS Desroches Daily'!J30</f>
        <v>1599.9999999998238</v>
      </c>
      <c r="I28" s="31">
        <f>'FS Desroches Daily'!L30</f>
        <v>1900.0000000000127</v>
      </c>
      <c r="J28" s="32">
        <f>'FS Desroches Daily'!N30</f>
        <v>1700.0000000000348</v>
      </c>
      <c r="K28" s="13">
        <f>'FS Desroches Daily'!P30</f>
        <v>39</v>
      </c>
      <c r="L28" s="31">
        <f>'FS Desroches Daily'!R30</f>
        <v>3</v>
      </c>
      <c r="M28" s="31">
        <f>'FS Desroches Daily'!T30</f>
        <v>1299.9999999999545</v>
      </c>
      <c r="N28" s="31">
        <f>'FS Desroches Daily'!V30</f>
        <v>461.40000000002328</v>
      </c>
      <c r="O28" s="31">
        <f>'FS Desroches Daily'!X30</f>
        <v>290.00000000007731</v>
      </c>
      <c r="P28" s="31">
        <f>'FS Desroches Daily'!Z30</f>
        <v>2900.0000000003465</v>
      </c>
      <c r="Q28" s="31">
        <f>'FS Desroches Daily'!AB30</f>
        <v>429.99999999994998</v>
      </c>
      <c r="R28" s="31">
        <f>'FS Desroches Daily'!AD30</f>
        <v>360.00000000001364</v>
      </c>
      <c r="S28" s="31">
        <f>'FS Desroches Daily'!AF30</f>
        <v>820.00000000005002</v>
      </c>
      <c r="T28" s="31">
        <f>'FS Desroches Daily'!AH30</f>
        <v>39</v>
      </c>
      <c r="U28" s="35">
        <f>'FS Desroches Daily'!AJ30</f>
        <v>830.00000000004093</v>
      </c>
      <c r="V28" s="35">
        <f>'FS Desroches Daily'!AL30</f>
        <v>209.99999999997954</v>
      </c>
      <c r="W28" s="35">
        <f>'FS Desroches Daily'!AN30</f>
        <v>169.99999999995907</v>
      </c>
      <c r="X28" s="35">
        <f>'FS Desroches Daily'!AP30</f>
        <v>209.99999999997954</v>
      </c>
      <c r="Y28" s="35">
        <f>'FS Desroches Daily'!AR30</f>
        <v>159.99999999996817</v>
      </c>
      <c r="Z28" s="35">
        <f>'FS Desroches Daily'!AT30</f>
        <v>140.0000000000432</v>
      </c>
      <c r="AA28" s="35">
        <f>'FS Desroches Daily'!AT30</f>
        <v>140.0000000000432</v>
      </c>
      <c r="AB28" s="35">
        <f>'FS Desroches Daily'!AV30</f>
        <v>129.99999999999545</v>
      </c>
      <c r="AC28" s="35">
        <f>'FS Desroches Daily'!AZ30</f>
        <v>129.99999999999545</v>
      </c>
      <c r="AD28" s="35">
        <f>'FS Desroches Daily'!BB30</f>
        <v>79.999999999984084</v>
      </c>
      <c r="AE28" s="35">
        <f>'FS Desroches Daily'!BD30</f>
        <v>50.000000000011369</v>
      </c>
      <c r="AF28" s="31">
        <f>'FS Desroches Daily'!BF30</f>
        <v>52</v>
      </c>
      <c r="AG28" s="32">
        <f>'FS Desroches Daily'!BH30</f>
        <v>30.000000000001137</v>
      </c>
      <c r="AH28" s="32">
        <f>'FS Desroches Daily'!BJ30</f>
        <v>39.99999999996362</v>
      </c>
      <c r="AI28" s="32">
        <f>'FS Desroches Daily'!BL30</f>
        <v>39.99999999996362</v>
      </c>
      <c r="AJ28" s="32">
        <f>'FS Desroches Daily'!BN30</f>
        <v>30.000000000001137</v>
      </c>
      <c r="AK28" s="32">
        <f>'FS Desroches Daily'!BP30</f>
        <v>40.000000000020464</v>
      </c>
      <c r="AL28" s="32">
        <f>'FS Desroches Daily'!BR30</f>
        <v>38</v>
      </c>
      <c r="AM28" s="32">
        <f>'FS Desroches Daily'!BT30</f>
        <v>50.000000000011369</v>
      </c>
      <c r="AN28" s="32">
        <f>'FS Desroches Daily'!BV30</f>
        <v>35</v>
      </c>
      <c r="AO28" s="32">
        <f>'FS Desroches Daily'!BX30</f>
        <v>39.999999999992042</v>
      </c>
      <c r="AP28" s="32">
        <f>'FS Desroches Daily'!BZ30</f>
        <v>41</v>
      </c>
      <c r="AQ28" s="31">
        <f>'FS Desroches Daily'!CB30</f>
        <v>42.80000000000291</v>
      </c>
      <c r="AR28" s="31">
        <f>'FS Desroches Daily'!CD30</f>
        <v>21.5</v>
      </c>
      <c r="AS28" s="31">
        <f>'FS Desroches Daily'!CF30</f>
        <v>1</v>
      </c>
      <c r="AT28" s="31">
        <f>'FS Desroches Daily'!CH30</f>
        <v>60.19999999999709</v>
      </c>
      <c r="AU28" s="31">
        <f>'FS Desroches Daily'!CJ30</f>
        <v>291</v>
      </c>
      <c r="AV28" s="31">
        <f>'FS Desroches Daily'!CL30</f>
        <v>899.99999999986358</v>
      </c>
      <c r="AW28" s="31">
        <f>'FS Desroches Daily'!CM30</f>
        <v>121.89999999999782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34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2600.0000000001578</v>
      </c>
      <c r="F29" s="32">
        <f>'FS Desroches Daily'!F31</f>
        <v>3299.9999999994143</v>
      </c>
      <c r="G29" s="31">
        <f>'FS Desroches Daily'!H31</f>
        <v>3499.9999999998367</v>
      </c>
      <c r="H29" s="32">
        <f>'FS Desroches Daily'!J31</f>
        <v>1100.000000000101</v>
      </c>
      <c r="I29" s="31">
        <f>'FS Desroches Daily'!L31</f>
        <v>1999.9999999997797</v>
      </c>
      <c r="J29" s="32">
        <f>'FS Desroches Daily'!N31</f>
        <v>1700.0000000000348</v>
      </c>
      <c r="K29" s="13">
        <f>'FS Desroches Daily'!P31</f>
        <v>39</v>
      </c>
      <c r="L29" s="31">
        <f>'FS Desroches Daily'!R31</f>
        <v>5</v>
      </c>
      <c r="M29" s="31">
        <f>'FS Desroches Daily'!T31</f>
        <v>1299.9999999999545</v>
      </c>
      <c r="N29" s="31">
        <f>'FS Desroches Daily'!V31</f>
        <v>465.40000000002328</v>
      </c>
      <c r="O29" s="31">
        <f>'FS Desroches Daily'!X31</f>
        <v>269.99999999998181</v>
      </c>
      <c r="P29" s="31">
        <f>'FS Desroches Daily'!Z31</f>
        <v>3099.9999999998809</v>
      </c>
      <c r="Q29" s="31">
        <f>'FS Desroches Daily'!AB31</f>
        <v>279.99999999997272</v>
      </c>
      <c r="R29" s="31">
        <f>'FS Desroches Daily'!AD31</f>
        <v>409.99999999996817</v>
      </c>
      <c r="S29" s="31">
        <f>'FS Desroches Daily'!AF31</f>
        <v>860.00000000001364</v>
      </c>
      <c r="T29" s="31">
        <f>'FS Desroches Daily'!AH31</f>
        <v>38</v>
      </c>
      <c r="U29" s="35">
        <f>'FS Desroches Daily'!AJ31</f>
        <v>809.99999999994543</v>
      </c>
      <c r="V29" s="35">
        <f>'FS Desroches Daily'!AL31</f>
        <v>219.99999999997044</v>
      </c>
      <c r="W29" s="35">
        <f>'FS Desroches Daily'!AN31</f>
        <v>210.00000000003638</v>
      </c>
      <c r="X29" s="35">
        <f>'FS Desroches Daily'!AP31</f>
        <v>220.00000000002728</v>
      </c>
      <c r="Y29" s="35">
        <f>'FS Desroches Daily'!AR31</f>
        <v>180.00000000000682</v>
      </c>
      <c r="Z29" s="35">
        <f>'FS Desroches Daily'!AT31</f>
        <v>159.99999999996817</v>
      </c>
      <c r="AA29" s="35">
        <f>'FS Desroches Daily'!AT31</f>
        <v>159.99999999996817</v>
      </c>
      <c r="AB29" s="35">
        <f>'FS Desroches Daily'!AV31</f>
        <v>129.99999999999545</v>
      </c>
      <c r="AC29" s="35">
        <f>'FS Desroches Daily'!AZ31</f>
        <v>120.00000000000455</v>
      </c>
      <c r="AD29" s="35">
        <f>'FS Desroches Daily'!BB31</f>
        <v>100.00000000002274</v>
      </c>
      <c r="AE29" s="35">
        <f>'FS Desroches Daily'!BD31</f>
        <v>60.000000000002274</v>
      </c>
      <c r="AF29" s="31">
        <f>'FS Desroches Daily'!BF31</f>
        <v>30</v>
      </c>
      <c r="AG29" s="32">
        <f>'FS Desroches Daily'!BH31</f>
        <v>39.999999999992042</v>
      </c>
      <c r="AH29" s="32">
        <f>'FS Desroches Daily'!BJ31</f>
        <v>30.000000000029559</v>
      </c>
      <c r="AI29" s="32">
        <f>'FS Desroches Daily'!BL31</f>
        <v>50.000000000011369</v>
      </c>
      <c r="AJ29" s="32">
        <f>'FS Desroches Daily'!BN31</f>
        <v>29.999999999972715</v>
      </c>
      <c r="AK29" s="32">
        <f>'FS Desroches Daily'!BP31</f>
        <v>39.99999999996362</v>
      </c>
      <c r="AL29" s="32">
        <f>'FS Desroches Daily'!BR31</f>
        <v>30</v>
      </c>
      <c r="AM29" s="32">
        <f>'FS Desroches Daily'!BT31</f>
        <v>39.999999999992042</v>
      </c>
      <c r="AN29" s="32">
        <f>'FS Desroches Daily'!BV31</f>
        <v>36</v>
      </c>
      <c r="AO29" s="32">
        <f>'FS Desroches Daily'!BX31</f>
        <v>39.999999999992042</v>
      </c>
      <c r="AP29" s="32">
        <f>'FS Desroches Daily'!BZ31</f>
        <v>42</v>
      </c>
      <c r="AQ29" s="31">
        <f>'FS Desroches Daily'!CB31</f>
        <v>52.5</v>
      </c>
      <c r="AR29" s="31">
        <f>'FS Desroches Daily'!CD31</f>
        <v>20.5</v>
      </c>
      <c r="AS29" s="31">
        <f>'FS Desroches Daily'!CF31</f>
        <v>0</v>
      </c>
      <c r="AT29" s="31">
        <f>'FS Desroches Daily'!CH31</f>
        <v>61.80000000000291</v>
      </c>
      <c r="AU29" s="31">
        <f>'FS Desroches Daily'!CJ31</f>
        <v>279</v>
      </c>
      <c r="AV29" s="31">
        <f>'FS Desroches Daily'!CL31</f>
        <v>900.00000000009095</v>
      </c>
      <c r="AW29" s="31">
        <f>'FS Desroches Daily'!CM31</f>
        <v>121.29999999999927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34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e">
        <f>'FS Desroches Daily'!T32</f>
        <v>#VALUE!</v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57700.000000000109</v>
      </c>
      <c r="F33" s="17">
        <f t="shared" ref="F33:BC33" si="0">SUM(F2:F32)</f>
        <v>82899.999999999563</v>
      </c>
      <c r="G33" s="17">
        <f t="shared" si="0"/>
        <v>83800.000000000131</v>
      </c>
      <c r="H33" s="17">
        <f t="shared" si="0"/>
        <v>39499.999999999884</v>
      </c>
      <c r="I33" s="17">
        <f t="shared" si="0"/>
        <v>56999.999999999971</v>
      </c>
      <c r="J33" s="17">
        <f t="shared" si="0"/>
        <v>41500.000000000109</v>
      </c>
      <c r="K33" s="17">
        <f t="shared" si="0"/>
        <v>707</v>
      </c>
      <c r="L33" s="17">
        <f t="shared" si="0"/>
        <v>101</v>
      </c>
      <c r="M33" s="17" t="e">
        <f t="shared" si="0"/>
        <v>#VALUE!</v>
      </c>
      <c r="N33" s="17">
        <f t="shared" si="0"/>
        <v>10726.5</v>
      </c>
      <c r="O33" s="17">
        <f t="shared" si="0"/>
        <v>7529.9999999999727</v>
      </c>
      <c r="P33" s="17">
        <f t="shared" si="0"/>
        <v>75800.000000000116</v>
      </c>
      <c r="Q33" s="17">
        <f t="shared" si="0"/>
        <v>8809.9999999999454</v>
      </c>
      <c r="R33" s="17">
        <f t="shared" si="0"/>
        <v>9860.0000000000109</v>
      </c>
      <c r="S33" s="17">
        <f t="shared" si="0"/>
        <v>19990.000000000007</v>
      </c>
      <c r="T33" s="17">
        <f t="shared" si="0"/>
        <v>1001</v>
      </c>
      <c r="U33" s="35">
        <f t="shared" si="0"/>
        <v>16769.999999999978</v>
      </c>
      <c r="V33" s="35">
        <f t="shared" si="0"/>
        <v>5929.9999999999509</v>
      </c>
      <c r="W33" s="35">
        <f t="shared" si="0"/>
        <v>4090.0000000000318</v>
      </c>
      <c r="X33" s="35">
        <f t="shared" si="0"/>
        <v>4160.0000000000255</v>
      </c>
      <c r="Y33" s="35">
        <f t="shared" si="0"/>
        <v>3740.0000000000091</v>
      </c>
      <c r="Z33" s="35">
        <f t="shared" si="0"/>
        <v>3142.6099999999728</v>
      </c>
      <c r="AA33" s="35">
        <f t="shared" si="0"/>
        <v>3142.6099999999728</v>
      </c>
      <c r="AB33" s="35">
        <f t="shared" si="0"/>
        <v>2519.9999999999818</v>
      </c>
      <c r="AC33" s="35">
        <f t="shared" si="0"/>
        <v>3399.9999999999773</v>
      </c>
      <c r="AD33" s="35">
        <f t="shared" si="0"/>
        <v>2830.0000000000409</v>
      </c>
      <c r="AE33" s="35">
        <f t="shared" si="0"/>
        <v>1629.9999999999955</v>
      </c>
      <c r="AF33" s="17">
        <f t="shared" si="0"/>
        <v>1162</v>
      </c>
      <c r="AG33" s="32">
        <f t="shared" si="0"/>
        <v>969.99999999999886</v>
      </c>
      <c r="AH33" s="32">
        <f t="shared" si="0"/>
        <v>940.00000000003411</v>
      </c>
      <c r="AI33" s="32">
        <f t="shared" si="0"/>
        <v>1180.0000000000068</v>
      </c>
      <c r="AJ33" s="32">
        <f t="shared" si="0"/>
        <v>929.99999999997613</v>
      </c>
      <c r="AK33" s="32">
        <f t="shared" si="0"/>
        <v>1089.9999999999636</v>
      </c>
      <c r="AL33" s="32">
        <f t="shared" si="0"/>
        <v>961</v>
      </c>
      <c r="AM33" s="32">
        <f t="shared" si="0"/>
        <v>1039.999999999992</v>
      </c>
      <c r="AN33" s="32">
        <f t="shared" si="0"/>
        <v>919</v>
      </c>
      <c r="AO33" s="32">
        <f t="shared" si="0"/>
        <v>1049.9999999999829</v>
      </c>
      <c r="AP33" s="32">
        <f t="shared" si="0"/>
        <v>1199</v>
      </c>
      <c r="AQ33" s="17">
        <f t="shared" si="0"/>
        <v>1349.9000000000015</v>
      </c>
      <c r="AR33" s="17">
        <f t="shared" si="0"/>
        <v>327.79999999999927</v>
      </c>
      <c r="AS33" s="17">
        <f t="shared" si="0"/>
        <v>87.899999999999636</v>
      </c>
      <c r="AT33" s="17">
        <f t="shared" si="0"/>
        <v>1617</v>
      </c>
      <c r="AU33" s="17">
        <f t="shared" si="0"/>
        <v>7897</v>
      </c>
      <c r="AV33" s="17">
        <f t="shared" si="0"/>
        <v>23299.999999999953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157.50899999999996</v>
      </c>
      <c r="BC33" s="17">
        <f t="shared" si="0"/>
        <v>539</v>
      </c>
    </row>
    <row r="35" spans="5:55" x14ac:dyDescent="0.25">
      <c r="E35" s="38">
        <f>E33/E37</f>
        <v>0.19457877236644255</v>
      </c>
      <c r="G35" s="29" t="e">
        <f>G33-M36</f>
        <v>#VALUE!</v>
      </c>
      <c r="AE35" s="35">
        <f>SUM(U33:AE33)</f>
        <v>51355.219999999928</v>
      </c>
      <c r="AG35" s="32">
        <f>SUM(AG33:AP33)</f>
        <v>10278.999999999955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296537.99999999983</v>
      </c>
      <c r="G37" s="37" t="e">
        <f>M36/E37</f>
        <v>#VALUE!</v>
      </c>
      <c r="M37" s="35">
        <f>AE35</f>
        <v>51355.219999999928</v>
      </c>
    </row>
    <row r="38" spans="5:55" x14ac:dyDescent="0.25">
      <c r="L38" s="27">
        <f>M38/E37</f>
        <v>3.4663348373564135E-2</v>
      </c>
      <c r="M38" s="29">
        <f>AG35</f>
        <v>10278.999999999955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A1" zoomScale="82" zoomScaleNormal="82" workbookViewId="0">
      <pane ySplit="1" topLeftCell="A20" activePane="bottomLeft" state="frozen"/>
      <selection pane="bottomLeft" activeCell="BE32" sqref="BE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148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44</v>
      </c>
      <c r="T2" s="53" t="s">
        <v>147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>IF((S3-S2&lt;0), "",S3-S2)*1000</f>
        <v>#VALUE!</v>
      </c>
      <c r="U3" s="58">
        <v>589943.4</v>
      </c>
      <c r="V3" s="67" t="e">
        <f t="shared" ref="V3" si="8">IF((U3-U2&lt;0), "",U3-U2)</f>
        <v>#VALUE!</v>
      </c>
      <c r="W3" s="58">
        <v>541.32000000000005</v>
      </c>
      <c r="X3" s="65" t="e">
        <f t="shared" ref="X3" si="9">IF((W3-W2&lt;0), "",(W3-W2)*1000)</f>
        <v>#VALUE!</v>
      </c>
      <c r="Y3" s="58">
        <v>4.0739000000000001</v>
      </c>
      <c r="Z3" s="65" t="e">
        <f t="shared" ref="Z3" si="10">IF((Y3-Y2&lt;0), "",(Y3-Y2)*1000000)</f>
        <v>#VALUE!</v>
      </c>
      <c r="AA3" s="58">
        <v>548.72</v>
      </c>
      <c r="AB3" s="65" t="e">
        <f t="shared" ref="AB3" si="11">IF((AA3-AA2&lt;0), "",(AA3-AA2)*1000)</f>
        <v>#VALUE!</v>
      </c>
      <c r="AC3" s="58">
        <v>541.79</v>
      </c>
      <c r="AD3" s="65" t="e">
        <f t="shared" ref="AD3" si="12">IF((AC3-AC2&lt;0), "",(AC3-AC2)*1000)</f>
        <v>#VALUE!</v>
      </c>
      <c r="AE3" s="58">
        <v>832.36</v>
      </c>
      <c r="AF3" s="65" t="e">
        <f t="shared" ref="AF3" si="13">IF((AE3-AE2&lt;0), "",(AE3-AE2)*1000)</f>
        <v>#VALUE!</v>
      </c>
      <c r="AG3" s="58">
        <v>20672</v>
      </c>
      <c r="AH3" s="67" t="e">
        <f t="shared" ref="AH3" si="14">IF((AG3-AG2&lt;0), "",AG3-AG2)</f>
        <v>#VALUE!</v>
      </c>
      <c r="AI3" s="58">
        <v>920.76</v>
      </c>
      <c r="AJ3" s="65" t="e">
        <f t="shared" ref="AJ3" si="15">IF((AI3-AI2&lt;0), "",(AI3-AI2)*1000)</f>
        <v>#VALUE!</v>
      </c>
      <c r="AK3" s="58">
        <v>305.85000000000002</v>
      </c>
      <c r="AL3" s="65" t="e">
        <f t="shared" ref="AL3" si="16">IF((AK3-AK2&lt;0), "",(AK3-AK2)*1000)</f>
        <v>#VALUE!</v>
      </c>
      <c r="AM3" s="58">
        <v>284.45</v>
      </c>
      <c r="AN3" s="65" t="e">
        <f t="shared" ref="AN3" si="17">IF((AM3-AM2&lt;0), "",(AM3-AM2)*1000)</f>
        <v>#VALUE!</v>
      </c>
      <c r="AO3" s="58">
        <v>274.20999999999998</v>
      </c>
      <c r="AP3" s="65" t="e">
        <f t="shared" ref="AP3" si="18">IF((AO3-AO2&lt;0), "",(AO3-AO2)*1000)</f>
        <v>#VALUE!</v>
      </c>
      <c r="AQ3" s="58">
        <v>327.96</v>
      </c>
      <c r="AR3" s="65" t="e">
        <f t="shared" ref="AR3" si="19">IF((AQ3-AQ2&lt;0), "",(AQ3-AQ2)*1000)</f>
        <v>#VALUE!</v>
      </c>
      <c r="AS3" s="58">
        <v>453.69</v>
      </c>
      <c r="AT3" s="65" t="e">
        <f t="shared" ref="AT3" si="20">IF((AS3-AS2&lt;0), "",(AS3-AS2)*1000)</f>
        <v>#VALUE!</v>
      </c>
      <c r="AU3" s="58">
        <v>361.18</v>
      </c>
      <c r="AV3" s="65" t="e">
        <f t="shared" ref="AV3" si="21">IF((AU3-AU2&lt;0), "",(AU3-AU2)*1000)</f>
        <v>#VALUE!</v>
      </c>
      <c r="AW3" s="58">
        <v>390.22</v>
      </c>
      <c r="AX3" s="65" t="e">
        <f t="shared" ref="AX3" si="22">IF((AW3-AW2&lt;0), "",(AW3-AW2)*1000)</f>
        <v>#VALUE!</v>
      </c>
      <c r="AY3" s="58">
        <v>425.66</v>
      </c>
      <c r="AZ3" s="65" t="e">
        <f t="shared" ref="AZ3" si="23">IF((AY3-AY2&lt;0), "",(AY3-AY2)*1000)</f>
        <v>#VALUE!</v>
      </c>
      <c r="BA3" s="58">
        <v>442.89</v>
      </c>
      <c r="BB3" s="65" t="e">
        <f t="shared" ref="BB3" si="24">IF((BA3-BA2&lt;0), "",(BA3-BA2)*1000)</f>
        <v>#VALUE!</v>
      </c>
      <c r="BC3" s="58">
        <v>283.99</v>
      </c>
      <c r="BD3" s="65" t="e">
        <f t="shared" ref="BD3" si="25">IF((BC3-BC2&lt;0), "",(BC3-BC2)*1000)</f>
        <v>#VALUE!</v>
      </c>
      <c r="BE3" s="59">
        <v>54536</v>
      </c>
      <c r="BF3" s="67" t="e">
        <f t="shared" ref="BF3" si="26">IF((BE3-BE2&lt;0), "",BE3-BE2)</f>
        <v>#VALUE!</v>
      </c>
      <c r="BG3" s="60">
        <v>251.59</v>
      </c>
      <c r="BH3" s="65" t="e">
        <f t="shared" ref="BH3" si="27">IF((BG3-BG2&lt;0), "",(BG3-BG2)*1000)</f>
        <v>#VALUE!</v>
      </c>
      <c r="BI3" s="60">
        <v>306.11</v>
      </c>
      <c r="BJ3" s="65" t="e">
        <f t="shared" ref="BJ3" si="28">IF((BI3-BI2&lt;0), "",(BI3-BI2)*1000)</f>
        <v>#VALUE!</v>
      </c>
      <c r="BK3" s="60">
        <v>256.20999999999998</v>
      </c>
      <c r="BL3" s="65" t="e">
        <f t="shared" ref="BL3" si="29">IF((BK3-BK2&lt;0), "",(BK3-BK2)*1000)</f>
        <v>#VALUE!</v>
      </c>
      <c r="BM3" s="60">
        <v>241.46</v>
      </c>
      <c r="BN3" s="65" t="e">
        <f t="shared" ref="BN3" si="30">IF((BM3-BM2&lt;0), "",(BM3-BM2)*1000)</f>
        <v>#VALUE!</v>
      </c>
      <c r="BO3" s="60">
        <v>310.01</v>
      </c>
      <c r="BP3" s="65" t="e">
        <f t="shared" ref="BP3" si="31">IF((BO3-BO2&lt;0), "",(BO3-BO2)*1000)</f>
        <v>#VALUE!</v>
      </c>
      <c r="BQ3" s="60">
        <v>59659</v>
      </c>
      <c r="BR3" s="65" t="e">
        <f t="shared" ref="BR3" si="32">IF((BQ3-BQ2&lt;0), "",BQ3-BQ2)</f>
        <v>#VALUE!</v>
      </c>
      <c r="BS3" s="60">
        <v>219.49</v>
      </c>
      <c r="BT3" s="65" t="e">
        <f t="shared" ref="BT3" si="33">IF((BS3-BS2&lt;0), "",(BS3-BS2)*1000)</f>
        <v>#VALUE!</v>
      </c>
      <c r="BU3" s="60">
        <v>57709</v>
      </c>
      <c r="BV3" s="65" t="e">
        <f t="shared" ref="BV3" si="34">IF((BU3-BU2&lt;0), "",BU3-BU2)</f>
        <v>#VALUE!</v>
      </c>
      <c r="BW3" s="60">
        <v>247.55</v>
      </c>
      <c r="BX3" s="65" t="e">
        <f t="shared" ref="BX3" si="35">IF((BW3-BW2&lt;0), "",(BW3-BW2)*1000)</f>
        <v>#VALUE!</v>
      </c>
      <c r="BY3" s="60">
        <v>77841</v>
      </c>
      <c r="BZ3" s="67" t="e">
        <f t="shared" ref="BZ3" si="36">IF((BY3-BY2&lt;0), "",BY3-BY2)</f>
        <v>#VALUE!</v>
      </c>
      <c r="CA3" s="60">
        <v>53720.6</v>
      </c>
      <c r="CB3" s="67" t="e">
        <f t="shared" ref="CB3" si="37">IF((CA3-CA2&lt;0), "",CA3-CA2)</f>
        <v>#VALUE!</v>
      </c>
      <c r="CC3" s="60">
        <v>16853.7</v>
      </c>
      <c r="CD3" s="67" t="e">
        <f t="shared" ref="CD3" si="38">IF((CC3-CC2&lt;0), "",CC3-CC2)</f>
        <v>#VALUE!</v>
      </c>
      <c r="CE3" s="60">
        <v>8548.1</v>
      </c>
      <c r="CF3" s="67" t="e">
        <f t="shared" ref="CF3" si="39">IF((CE3-CE2&lt;0), "",CE3-CE2)</f>
        <v>#VALUE!</v>
      </c>
      <c r="CG3" s="60">
        <v>79468</v>
      </c>
      <c r="CH3" s="67" t="e">
        <f t="shared" ref="CH3" si="40">IF((CG3-CG2&lt;0), "",CG3-CG2)</f>
        <v>#VALUE!</v>
      </c>
      <c r="CI3" s="60">
        <v>1075742</v>
      </c>
      <c r="CJ3" s="67" t="e">
        <f t="shared" ref="CJ3" si="41">IF((CI3-CI2&lt;0), "",CI3-CI2)</f>
        <v>#VALUE!</v>
      </c>
      <c r="CK3" s="60">
        <v>1082.4000000000001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4">IF((CP3-CP2&lt;0), "",CP3-CP2)</f>
        <v>#VALUE!</v>
      </c>
      <c r="CR3" s="68">
        <v>23641.4</v>
      </c>
      <c r="CS3" s="67" t="e">
        <f t="shared" ref="CS3" si="45">IF((CR3-CR2&lt;0), "",CR3-CR2)</f>
        <v>#VALUE!</v>
      </c>
      <c r="CT3" s="75">
        <v>11279</v>
      </c>
      <c r="CU3" s="67" t="e">
        <f t="shared" ref="CU3" si="46">IF((CT3-CT2&lt;0), "",CT3-CT2)</f>
        <v>#VALUE!</v>
      </c>
      <c r="CV3" s="68">
        <v>26708</v>
      </c>
      <c r="CW3" s="67" t="e">
        <f t="shared" ref="CW3" si="47">IF((CV3-CV2&lt;0), "",CV3-CV2)</f>
        <v>#VALUE!</v>
      </c>
      <c r="CX3" s="58">
        <v>4122.8999999999996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49">IF((C4-C3&lt;0), "0",(C4-C3)*1000000)</f>
        <v>1999.9999999997797</v>
      </c>
      <c r="E4" s="58">
        <v>4.6281999999999996</v>
      </c>
      <c r="F4" s="64">
        <f t="shared" ref="F4:F34" si="50">IF((E4-E3&lt;0), "0",(E4-E3)*1000000)</f>
        <v>2899.9999999994584</v>
      </c>
      <c r="G4" s="58">
        <v>4.6083999999999996</v>
      </c>
      <c r="H4" s="64">
        <f t="shared" ref="H4:H34" si="51">IF((G4-G3&lt;0), "0",(G4-G3)*1000000)</f>
        <v>2899.9999999994584</v>
      </c>
      <c r="I4" s="58">
        <v>2.2991999999999999</v>
      </c>
      <c r="J4" s="64">
        <f t="shared" ref="J4:J34" si="52">IF((I4-I3&lt;0), "0",(I4-I3)*1000000)</f>
        <v>1399.9999999998458</v>
      </c>
      <c r="K4" s="58">
        <v>3.5573000000000001</v>
      </c>
      <c r="L4" s="64">
        <f t="shared" ref="L4:L34" si="53">IF((K4-K3&lt;0), "0",(K4-K3)*1000000)</f>
        <v>2000.0000000002237</v>
      </c>
      <c r="M4" s="58">
        <v>2.0931000000000002</v>
      </c>
      <c r="N4" s="64">
        <f t="shared" ref="N4:N34" si="54">IF((M4-M3&lt;0), "",(M4-M3)*1000000)</f>
        <v>1300.0000000000789</v>
      </c>
      <c r="O4" s="58">
        <v>23309</v>
      </c>
      <c r="P4" s="67">
        <f t="shared" ref="P4:P34" si="55">IF((O4-O3&lt;0), "",O4-O3)</f>
        <v>25</v>
      </c>
      <c r="Q4" s="58">
        <v>2860</v>
      </c>
      <c r="R4" s="67">
        <f t="shared" ref="R4:R34" si="56">IF((Q4-Q3&lt;0), "",Q4-Q3)</f>
        <v>3</v>
      </c>
      <c r="S4" s="58">
        <v>1475.2</v>
      </c>
      <c r="T4" s="67">
        <f t="shared" ref="T4:T34" si="57">IF((S4-S3&lt;0), "",S4-S3)*1000</f>
        <v>900.00000000009095</v>
      </c>
      <c r="U4" s="58">
        <v>590256</v>
      </c>
      <c r="V4" s="67">
        <f t="shared" ref="V4:V34" si="58">IF((U4-U3&lt;0), "",U4-U3)</f>
        <v>312.59999999997672</v>
      </c>
      <c r="W4" s="58">
        <v>541.61</v>
      </c>
      <c r="X4" s="65">
        <f t="shared" ref="X4:X34" si="59">IF((W4-W3&lt;0), "",(W4-W3)*1000)</f>
        <v>289.99999999996362</v>
      </c>
      <c r="Y4" s="58">
        <v>4.0763999999999996</v>
      </c>
      <c r="Z4" s="65">
        <f t="shared" ref="Z4:Z34" si="60">IF((Y4-Y3&lt;0), "",(Y4-Y3)*1000000)</f>
        <v>2499.9999999995025</v>
      </c>
      <c r="AA4" s="58">
        <v>548.92999999999995</v>
      </c>
      <c r="AB4" s="65">
        <f t="shared" ref="AB4:AB34" si="61">IF((AA4-AA3&lt;0), "",(AA4-AA3)*1000)</f>
        <v>209.99999999992269</v>
      </c>
      <c r="AC4" s="58">
        <v>542.09</v>
      </c>
      <c r="AD4" s="65">
        <f t="shared" ref="AD4:AD34" si="62">IF((AC4-AC3&lt;0), "",(AC4-AC3)*1000)</f>
        <v>300.00000000006821</v>
      </c>
      <c r="AE4" s="58">
        <v>833.02</v>
      </c>
      <c r="AF4" s="65">
        <f t="shared" ref="AF4:AF34" si="63">IF((AE4-AE3&lt;0), "",(AE4-AE3)*1000)</f>
        <v>659.99999999996817</v>
      </c>
      <c r="AG4" s="58">
        <v>20709</v>
      </c>
      <c r="AH4" s="67">
        <f t="shared" ref="AH4:AH34" si="64">IF((AG4-AG3&lt;0), "",AG4-AG3)</f>
        <v>37</v>
      </c>
      <c r="AI4" s="58">
        <v>921.26</v>
      </c>
      <c r="AJ4" s="65">
        <f t="shared" ref="AJ4:AJ34" si="65">IF((AI4-AI3&lt;0), "",(AI4-AI3)*1000)</f>
        <v>500</v>
      </c>
      <c r="AK4" s="58">
        <v>306.02</v>
      </c>
      <c r="AL4" s="65">
        <f t="shared" ref="AL4:AL34" si="66">IF((AK4-AK3&lt;0), "",(AK4-AK3)*1000)</f>
        <v>169.99999999995907</v>
      </c>
      <c r="AM4" s="58">
        <v>284.60000000000002</v>
      </c>
      <c r="AN4" s="65">
        <f t="shared" ref="AN4:AN34" si="67">IF((AM4-AM3&lt;0), "",(AM4-AM3)*1000)</f>
        <v>150.00000000003411</v>
      </c>
      <c r="AO4" s="58">
        <v>274.42</v>
      </c>
      <c r="AP4" s="65">
        <f t="shared" ref="AP4:AP34" si="68">IF((AO4-AO3&lt;0), "",(AO4-AO3)*1000)</f>
        <v>210.00000000003638</v>
      </c>
      <c r="AQ4" s="58">
        <v>328.05</v>
      </c>
      <c r="AR4" s="65">
        <f t="shared" ref="AR4:AR34" si="69">IF((AQ4-AQ3&lt;0), "",(AQ4-AQ3)*1000)</f>
        <v>90.000000000031832</v>
      </c>
      <c r="AS4" s="58">
        <v>453.8</v>
      </c>
      <c r="AT4" s="65">
        <f t="shared" ref="AT4:AT34" si="70">IF((AS4-AS3&lt;0), "",(AS4-AS3)*1000)</f>
        <v>110.00000000001364</v>
      </c>
      <c r="AU4" s="58">
        <v>361.26</v>
      </c>
      <c r="AV4" s="65">
        <f t="shared" ref="AV4:AV34" si="71">IF((AU4-AU3&lt;0), "",(AU4-AU3)*1000)</f>
        <v>79.999999999984084</v>
      </c>
      <c r="AW4" s="58">
        <v>390.3</v>
      </c>
      <c r="AX4" s="65">
        <f t="shared" ref="AX4:AX34" si="72">IF((AW4-AW3&lt;0), "",(AW4-AW3)*1000)</f>
        <v>79.999999999984084</v>
      </c>
      <c r="AY4" s="58">
        <v>425.81</v>
      </c>
      <c r="AZ4" s="65">
        <f t="shared" ref="AZ4:AZ34" si="73">IF((AY4-AY3&lt;0), "",(AY4-AY3)*1000)</f>
        <v>149.99999999997726</v>
      </c>
      <c r="BA4" s="58">
        <v>442.98</v>
      </c>
      <c r="BB4" s="65">
        <f t="shared" ref="BB4:BB34" si="74">IF((BA4-BA3&lt;0), "",(BA4-BA3)*1000)</f>
        <v>90.000000000031832</v>
      </c>
      <c r="BC4" s="58">
        <v>284.08</v>
      </c>
      <c r="BD4" s="65">
        <f t="shared" ref="BD4:BD34" si="75">IF((BC4-BC3&lt;0), "",(BC4-BC3)*1000)</f>
        <v>89.999999999974989</v>
      </c>
      <c r="BE4" s="59">
        <v>54566</v>
      </c>
      <c r="BF4" s="67">
        <f t="shared" ref="BF4:BF34" si="76">IF((BE4-BE3&lt;0), "",BE4-BE3)</f>
        <v>30</v>
      </c>
      <c r="BG4" s="60">
        <v>251.62</v>
      </c>
      <c r="BH4" s="65">
        <f t="shared" ref="BH4:BH34" si="77">IF((BG4-BG3&lt;0), "",(BG4-BG3)*1000)</f>
        <v>30.000000000001137</v>
      </c>
      <c r="BI4" s="60">
        <v>306.14</v>
      </c>
      <c r="BJ4" s="65">
        <f t="shared" ref="BJ4:BJ34" si="78">IF((BI4-BI3&lt;0), "",(BI4-BI3)*1000)</f>
        <v>29.999999999972715</v>
      </c>
      <c r="BK4" s="60">
        <v>256.25</v>
      </c>
      <c r="BL4" s="65">
        <f t="shared" ref="BL4:BL34" si="79">IF((BK4-BK3&lt;0), "",(BK4-BK3)*1000)</f>
        <v>40.000000000020464</v>
      </c>
      <c r="BM4" s="60">
        <v>241.49</v>
      </c>
      <c r="BN4" s="65">
        <f t="shared" ref="BN4:BN34" si="80">IF((BM4-BM3&lt;0), "",(BM4-BM3)*1000)</f>
        <v>30.000000000001137</v>
      </c>
      <c r="BO4" s="60">
        <v>310.05</v>
      </c>
      <c r="BP4" s="65">
        <f t="shared" ref="BP4:BP34" si="81">IF((BO4-BO3&lt;0), "",(BO4-BO3)*1000)</f>
        <v>40.000000000020464</v>
      </c>
      <c r="BQ4" s="60">
        <v>59689</v>
      </c>
      <c r="BR4" s="65">
        <f t="shared" ref="BR4:BR34" si="82">IF((BQ4-BQ3&lt;0), "",BQ4-BQ3)</f>
        <v>30</v>
      </c>
      <c r="BS4" s="60">
        <v>219.53</v>
      </c>
      <c r="BT4" s="65">
        <f t="shared" ref="BT4:BT34" si="83">IF((BS4-BS3&lt;0), "",(BS4-BS3)*1000)</f>
        <v>39.999999999992042</v>
      </c>
      <c r="BU4" s="60">
        <v>57738</v>
      </c>
      <c r="BV4" s="65">
        <f t="shared" ref="BV4:BV34" si="84">IF((BU4-BU3&lt;0), "",BU4-BU3)</f>
        <v>29</v>
      </c>
      <c r="BW4" s="60">
        <v>247.58</v>
      </c>
      <c r="BX4" s="65">
        <f t="shared" ref="BX4:BX34" si="85">IF((BW4-BW3&lt;0), "",(BW4-BW3)*1000)</f>
        <v>30.000000000001137</v>
      </c>
      <c r="BY4" s="60">
        <v>77879</v>
      </c>
      <c r="BZ4" s="67">
        <f t="shared" ref="BZ4:BZ34" si="86">IF((BY4-BY3&lt;0), "",BY4-BY3)</f>
        <v>38</v>
      </c>
      <c r="CA4" s="60">
        <v>53776.800000000003</v>
      </c>
      <c r="CB4" s="67">
        <f t="shared" ref="CB4:CB34" si="87">IF((CA4-CA3&lt;0), "",CA4-CA3)</f>
        <v>56.200000000004366</v>
      </c>
      <c r="CC4" s="60">
        <v>16862</v>
      </c>
      <c r="CD4" s="67">
        <f t="shared" ref="CD4:CD34" si="88">IF((CC4-CC3&lt;0), "",CC4-CC3)</f>
        <v>8.2999999999992724</v>
      </c>
      <c r="CE4" s="60">
        <v>8551.5</v>
      </c>
      <c r="CF4" s="67">
        <f t="shared" ref="CF4:CF34" si="89">IF((CE4-CE3&lt;0), "",CE4-CE3)</f>
        <v>3.3999999999996362</v>
      </c>
      <c r="CG4" s="60">
        <v>79516.2</v>
      </c>
      <c r="CH4" s="67">
        <f t="shared" ref="CH4:CH34" si="90">IF((CG4-CG3&lt;0), "",CG4-CG3)</f>
        <v>48.19999999999709</v>
      </c>
      <c r="CI4" s="60">
        <v>1076003</v>
      </c>
      <c r="CJ4" s="67">
        <f t="shared" ref="CJ4:CJ34" si="91">IF((CI4-CI3&lt;0), "",CI4-CI3)</f>
        <v>261</v>
      </c>
      <c r="CK4" s="60">
        <v>1083.3</v>
      </c>
      <c r="CL4" s="64">
        <f t="shared" ref="CL4:CL34" si="92">IF((CK4-CK3&lt;0), "",(CK4-CK3)*1000)</f>
        <v>899.99999999986358</v>
      </c>
      <c r="CM4" s="65">
        <f t="shared" ref="CM4:CM34" si="93">CQ4+CS4</f>
        <v>120</v>
      </c>
      <c r="CN4" s="62">
        <v>16</v>
      </c>
      <c r="CO4" s="62">
        <v>37</v>
      </c>
      <c r="CP4" s="68">
        <v>39685</v>
      </c>
      <c r="CQ4" s="67">
        <f t="shared" ref="CQ4:CQ34" si="94">IF((CP4-CP3&lt;0), "",CP4-CP3)</f>
        <v>99</v>
      </c>
      <c r="CR4" s="68">
        <v>23662.400000000001</v>
      </c>
      <c r="CS4" s="67">
        <f t="shared" ref="CS4:CS34" si="95">IF((CR4-CR3&lt;0), "",CR4-CR3)</f>
        <v>21</v>
      </c>
      <c r="CT4" s="75">
        <v>11288</v>
      </c>
      <c r="CU4" s="67">
        <f t="shared" ref="CU4:CU34" si="96">IF((CT4-CT3&lt;0), "",CT4-CT3)</f>
        <v>9</v>
      </c>
      <c r="CV4" s="68">
        <v>26726</v>
      </c>
      <c r="CW4" s="67">
        <f t="shared" ref="CW4:CW34" si="97">IF((CV4-CV3&lt;0), "",CV4-CV3)</f>
        <v>18</v>
      </c>
      <c r="CX4" s="58">
        <v>4134</v>
      </c>
      <c r="CY4" s="67">
        <f t="shared" ref="CY4:CY34" si="98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49"/>
        <v>1900.0000000000127</v>
      </c>
      <c r="E5" s="58">
        <v>4.6310000000000002</v>
      </c>
      <c r="F5" s="64">
        <f t="shared" si="50"/>
        <v>2800.0000000005798</v>
      </c>
      <c r="G5" s="58">
        <v>4.6113999999999997</v>
      </c>
      <c r="H5" s="64">
        <f t="shared" si="51"/>
        <v>3000.0000000001137</v>
      </c>
      <c r="I5" s="58">
        <v>2.3006000000000002</v>
      </c>
      <c r="J5" s="64">
        <f t="shared" si="52"/>
        <v>1400.0000000002899</v>
      </c>
      <c r="K5" s="58">
        <v>3.5592000000000001</v>
      </c>
      <c r="L5" s="64">
        <f t="shared" si="53"/>
        <v>1900.0000000000127</v>
      </c>
      <c r="M5" s="58">
        <v>2.0945</v>
      </c>
      <c r="N5" s="64">
        <f t="shared" si="54"/>
        <v>1399.9999999998458</v>
      </c>
      <c r="O5" s="58">
        <v>23335</v>
      </c>
      <c r="P5" s="67">
        <f t="shared" si="55"/>
        <v>26</v>
      </c>
      <c r="Q5" s="58">
        <v>2863</v>
      </c>
      <c r="R5" s="67">
        <f t="shared" si="56"/>
        <v>3</v>
      </c>
      <c r="S5" s="58">
        <v>1476.2</v>
      </c>
      <c r="T5" s="67">
        <f t="shared" si="57"/>
        <v>1000</v>
      </c>
      <c r="U5" s="58">
        <v>590781.30000000005</v>
      </c>
      <c r="V5" s="67">
        <f t="shared" si="58"/>
        <v>525.30000000004657</v>
      </c>
      <c r="W5" s="58">
        <v>541.9</v>
      </c>
      <c r="X5" s="65">
        <f t="shared" si="59"/>
        <v>289.99999999996362</v>
      </c>
      <c r="Y5" s="58">
        <v>4.0789999999999997</v>
      </c>
      <c r="Z5" s="65">
        <f t="shared" si="60"/>
        <v>2600.0000000001578</v>
      </c>
      <c r="AA5" s="58">
        <v>549.28</v>
      </c>
      <c r="AB5" s="65">
        <f t="shared" si="61"/>
        <v>350.00000000002274</v>
      </c>
      <c r="AC5" s="58">
        <v>542.41</v>
      </c>
      <c r="AD5" s="65">
        <f t="shared" si="62"/>
        <v>319.99999999993634</v>
      </c>
      <c r="AE5" s="58">
        <v>833.69</v>
      </c>
      <c r="AF5" s="65">
        <f t="shared" si="63"/>
        <v>670.00000000007276</v>
      </c>
      <c r="AG5" s="58">
        <v>20750</v>
      </c>
      <c r="AH5" s="67">
        <f t="shared" si="64"/>
        <v>41</v>
      </c>
      <c r="AI5" s="58">
        <v>921.79</v>
      </c>
      <c r="AJ5" s="65">
        <f t="shared" si="65"/>
        <v>529.99999999997272</v>
      </c>
      <c r="AK5" s="58">
        <v>306.19</v>
      </c>
      <c r="AL5" s="65">
        <f t="shared" si="66"/>
        <v>170.00000000001592</v>
      </c>
      <c r="AM5" s="58">
        <v>284.69</v>
      </c>
      <c r="AN5" s="65">
        <f t="shared" si="67"/>
        <v>89.999999999974989</v>
      </c>
      <c r="AO5" s="58">
        <v>274.63</v>
      </c>
      <c r="AP5" s="65">
        <f t="shared" si="68"/>
        <v>209.99999999997954</v>
      </c>
      <c r="AQ5" s="58">
        <v>328.14</v>
      </c>
      <c r="AR5" s="65">
        <f t="shared" si="69"/>
        <v>89.999999999974989</v>
      </c>
      <c r="AS5" s="58">
        <v>453.89</v>
      </c>
      <c r="AT5" s="65">
        <f t="shared" si="70"/>
        <v>89.999999999974989</v>
      </c>
      <c r="AU5" s="58">
        <v>361.35</v>
      </c>
      <c r="AV5" s="65">
        <f t="shared" si="71"/>
        <v>90.000000000031832</v>
      </c>
      <c r="AW5" s="58">
        <v>390.4</v>
      </c>
      <c r="AX5" s="65">
        <f t="shared" si="72"/>
        <v>99.999999999965894</v>
      </c>
      <c r="AY5" s="58">
        <v>425.93</v>
      </c>
      <c r="AZ5" s="65">
        <f t="shared" si="73"/>
        <v>120.00000000000455</v>
      </c>
      <c r="BA5" s="58">
        <v>443.09</v>
      </c>
      <c r="BB5" s="65">
        <f t="shared" si="74"/>
        <v>109.9999999999568</v>
      </c>
      <c r="BC5" s="58">
        <v>284.17</v>
      </c>
      <c r="BD5" s="65">
        <f t="shared" si="75"/>
        <v>90.000000000031832</v>
      </c>
      <c r="BE5" s="59">
        <v>54605</v>
      </c>
      <c r="BF5" s="67">
        <f t="shared" si="76"/>
        <v>39</v>
      </c>
      <c r="BG5" s="60">
        <v>251.65</v>
      </c>
      <c r="BH5" s="65">
        <f t="shared" si="77"/>
        <v>30.000000000001137</v>
      </c>
      <c r="BI5" s="60">
        <v>306.18</v>
      </c>
      <c r="BJ5" s="65">
        <f t="shared" si="78"/>
        <v>40.000000000020464</v>
      </c>
      <c r="BK5" s="60">
        <v>256.29000000000002</v>
      </c>
      <c r="BL5" s="65">
        <f t="shared" si="79"/>
        <v>40.000000000020464</v>
      </c>
      <c r="BM5" s="60">
        <v>241.53</v>
      </c>
      <c r="BN5" s="65">
        <f t="shared" si="80"/>
        <v>39.999999999992042</v>
      </c>
      <c r="BO5" s="60">
        <v>310.08</v>
      </c>
      <c r="BP5" s="65">
        <f t="shared" si="81"/>
        <v>29.999999999972715</v>
      </c>
      <c r="BQ5" s="60">
        <v>59727</v>
      </c>
      <c r="BR5" s="65">
        <f t="shared" si="82"/>
        <v>38</v>
      </c>
      <c r="BS5" s="60">
        <v>219.56</v>
      </c>
      <c r="BT5" s="65">
        <f t="shared" si="83"/>
        <v>30.000000000001137</v>
      </c>
      <c r="BU5" s="60">
        <v>57775</v>
      </c>
      <c r="BV5" s="65">
        <f t="shared" si="84"/>
        <v>37</v>
      </c>
      <c r="BW5" s="60">
        <v>247.62</v>
      </c>
      <c r="BX5" s="65">
        <f t="shared" si="85"/>
        <v>39.999999999992042</v>
      </c>
      <c r="BY5" s="60">
        <v>77922</v>
      </c>
      <c r="BZ5" s="67">
        <f t="shared" si="86"/>
        <v>43</v>
      </c>
      <c r="CA5" s="60">
        <v>53824.2</v>
      </c>
      <c r="CB5" s="67">
        <f t="shared" si="87"/>
        <v>47.399999999994179</v>
      </c>
      <c r="CC5" s="60">
        <v>16870.900000000001</v>
      </c>
      <c r="CD5" s="67">
        <f t="shared" si="88"/>
        <v>8.9000000000014552</v>
      </c>
      <c r="CE5" s="60">
        <v>8558.2999999999993</v>
      </c>
      <c r="CF5" s="67">
        <f t="shared" si="89"/>
        <v>6.7999999999992724</v>
      </c>
      <c r="CG5" s="60">
        <v>79565.7</v>
      </c>
      <c r="CH5" s="67">
        <f t="shared" si="90"/>
        <v>49.5</v>
      </c>
      <c r="CI5" s="60">
        <v>1076285</v>
      </c>
      <c r="CJ5" s="67">
        <f t="shared" si="91"/>
        <v>282</v>
      </c>
      <c r="CK5" s="60">
        <v>1084.3</v>
      </c>
      <c r="CL5" s="64">
        <f t="shared" si="92"/>
        <v>1000</v>
      </c>
      <c r="CM5" s="65">
        <f t="shared" si="93"/>
        <v>105.59999999999854</v>
      </c>
      <c r="CN5" s="62">
        <v>15</v>
      </c>
      <c r="CO5" s="62">
        <v>29</v>
      </c>
      <c r="CP5" s="68">
        <v>39774</v>
      </c>
      <c r="CQ5" s="67">
        <f t="shared" si="94"/>
        <v>89</v>
      </c>
      <c r="CR5" s="68">
        <v>23679</v>
      </c>
      <c r="CS5" s="67">
        <f t="shared" si="95"/>
        <v>16.599999999998545</v>
      </c>
      <c r="CT5" s="75">
        <v>11297</v>
      </c>
      <c r="CU5" s="67">
        <f t="shared" si="96"/>
        <v>9</v>
      </c>
      <c r="CV5" s="68">
        <v>26746</v>
      </c>
      <c r="CW5" s="67">
        <f t="shared" si="97"/>
        <v>20</v>
      </c>
      <c r="CX5" s="58">
        <v>4144.8999999999996</v>
      </c>
      <c r="CY5" s="67">
        <f t="shared" si="98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49"/>
        <v>2000.0000000002237</v>
      </c>
      <c r="E6" s="58">
        <v>4.6337999999999999</v>
      </c>
      <c r="F6" s="64">
        <f t="shared" si="50"/>
        <v>2799.9999999996917</v>
      </c>
      <c r="G6" s="58">
        <v>4.6142000000000003</v>
      </c>
      <c r="H6" s="64">
        <f t="shared" si="51"/>
        <v>2800.0000000005798</v>
      </c>
      <c r="I6" s="58">
        <v>2.3018999999999998</v>
      </c>
      <c r="J6" s="64">
        <f t="shared" si="52"/>
        <v>1299.9999999996348</v>
      </c>
      <c r="K6" s="58">
        <v>3.5615000000000001</v>
      </c>
      <c r="L6" s="64">
        <f t="shared" si="53"/>
        <v>2299.9999999999686</v>
      </c>
      <c r="M6" s="58">
        <v>2.0958000000000001</v>
      </c>
      <c r="N6" s="64">
        <f t="shared" si="54"/>
        <v>1300.0000000000789</v>
      </c>
      <c r="O6" s="58">
        <v>23359</v>
      </c>
      <c r="P6" s="67">
        <f t="shared" si="55"/>
        <v>24</v>
      </c>
      <c r="Q6" s="58">
        <v>2866</v>
      </c>
      <c r="R6" s="67">
        <f t="shared" si="56"/>
        <v>3</v>
      </c>
      <c r="S6" s="58">
        <v>1477.3</v>
      </c>
      <c r="T6" s="67">
        <f t="shared" si="57"/>
        <v>1099.9999999999091</v>
      </c>
      <c r="U6" s="58">
        <v>591121.4</v>
      </c>
      <c r="V6" s="67">
        <f t="shared" si="58"/>
        <v>340.09999999997672</v>
      </c>
      <c r="W6" s="58">
        <v>542.19000000000005</v>
      </c>
      <c r="X6" s="65">
        <f t="shared" si="59"/>
        <v>290.00000000007731</v>
      </c>
      <c r="Y6" s="58">
        <v>4.0816999999999997</v>
      </c>
      <c r="Z6" s="65">
        <f t="shared" si="60"/>
        <v>2699.9999999999245</v>
      </c>
      <c r="AA6" s="58">
        <v>549.61</v>
      </c>
      <c r="AB6" s="65">
        <f t="shared" si="61"/>
        <v>330.00000000004093</v>
      </c>
      <c r="AC6" s="58">
        <v>542.72</v>
      </c>
      <c r="AD6" s="65">
        <f t="shared" si="62"/>
        <v>310.00000000005912</v>
      </c>
      <c r="AE6" s="58">
        <v>834.28</v>
      </c>
      <c r="AF6" s="65">
        <f t="shared" si="63"/>
        <v>589.99999999991815</v>
      </c>
      <c r="AG6" s="58">
        <v>20784</v>
      </c>
      <c r="AH6" s="67">
        <f t="shared" si="64"/>
        <v>34</v>
      </c>
      <c r="AI6" s="58">
        <v>922.44</v>
      </c>
      <c r="AJ6" s="65">
        <f t="shared" si="65"/>
        <v>650.00000000009095</v>
      </c>
      <c r="AK6" s="58">
        <v>306.38</v>
      </c>
      <c r="AL6" s="65">
        <f t="shared" si="66"/>
        <v>189.99999999999773</v>
      </c>
      <c r="AM6" s="58">
        <v>284.79000000000002</v>
      </c>
      <c r="AN6" s="65">
        <f t="shared" si="67"/>
        <v>100.00000000002274</v>
      </c>
      <c r="AO6" s="58">
        <v>274.83</v>
      </c>
      <c r="AP6" s="65">
        <f t="shared" si="68"/>
        <v>199.99999999998863</v>
      </c>
      <c r="AQ6" s="58">
        <v>328.24</v>
      </c>
      <c r="AR6" s="65">
        <f t="shared" si="69"/>
        <v>100.00000000002274</v>
      </c>
      <c r="AS6" s="58">
        <v>453.97</v>
      </c>
      <c r="AT6" s="65">
        <f t="shared" si="70"/>
        <v>80.000000000040927</v>
      </c>
      <c r="AU6" s="58">
        <v>361.43</v>
      </c>
      <c r="AV6" s="65">
        <f t="shared" si="71"/>
        <v>79.999999999984084</v>
      </c>
      <c r="AW6" s="58">
        <v>390.49</v>
      </c>
      <c r="AX6" s="65">
        <f t="shared" si="72"/>
        <v>90.000000000031832</v>
      </c>
      <c r="AY6" s="58">
        <v>426.04</v>
      </c>
      <c r="AZ6" s="65">
        <f t="shared" si="73"/>
        <v>110.00000000001364</v>
      </c>
      <c r="BA6" s="58">
        <v>443.19</v>
      </c>
      <c r="BB6" s="65">
        <f t="shared" si="74"/>
        <v>100.00000000002274</v>
      </c>
      <c r="BC6" s="58">
        <v>284.26</v>
      </c>
      <c r="BD6" s="65">
        <f t="shared" si="75"/>
        <v>89.999999999974989</v>
      </c>
      <c r="BE6" s="59">
        <v>54626</v>
      </c>
      <c r="BF6" s="67">
        <f t="shared" si="76"/>
        <v>21</v>
      </c>
      <c r="BG6" s="60">
        <v>251.67</v>
      </c>
      <c r="BH6" s="65">
        <f t="shared" si="77"/>
        <v>19.99999999998181</v>
      </c>
      <c r="BI6" s="60">
        <v>306.20999999999998</v>
      </c>
      <c r="BJ6" s="65">
        <f t="shared" si="78"/>
        <v>29.999999999972715</v>
      </c>
      <c r="BK6" s="60">
        <v>256.33</v>
      </c>
      <c r="BL6" s="65">
        <f t="shared" si="79"/>
        <v>39.99999999996362</v>
      </c>
      <c r="BM6" s="60">
        <v>241.55</v>
      </c>
      <c r="BN6" s="65">
        <f t="shared" si="80"/>
        <v>20.000000000010232</v>
      </c>
      <c r="BO6" s="60">
        <v>310.12</v>
      </c>
      <c r="BP6" s="65">
        <f t="shared" si="81"/>
        <v>40.000000000020464</v>
      </c>
      <c r="BQ6" s="60">
        <v>59759</v>
      </c>
      <c r="BR6" s="65">
        <f t="shared" si="82"/>
        <v>32</v>
      </c>
      <c r="BS6" s="60">
        <v>219.59</v>
      </c>
      <c r="BT6" s="65">
        <f t="shared" si="83"/>
        <v>30.000000000001137</v>
      </c>
      <c r="BU6" s="60">
        <v>57797</v>
      </c>
      <c r="BV6" s="65">
        <f t="shared" si="84"/>
        <v>22</v>
      </c>
      <c r="BW6" s="60">
        <v>247.64</v>
      </c>
      <c r="BX6" s="65">
        <f t="shared" si="85"/>
        <v>19.99999999998181</v>
      </c>
      <c r="BY6" s="60">
        <v>77959</v>
      </c>
      <c r="BZ6" s="67">
        <f t="shared" si="86"/>
        <v>37</v>
      </c>
      <c r="CA6" s="60">
        <v>53872.5</v>
      </c>
      <c r="CB6" s="67">
        <f t="shared" si="87"/>
        <v>48.30000000000291</v>
      </c>
      <c r="CC6" s="60">
        <v>16887.7</v>
      </c>
      <c r="CD6" s="67">
        <f t="shared" si="88"/>
        <v>16.799999999999272</v>
      </c>
      <c r="CE6" s="60">
        <v>8560.1</v>
      </c>
      <c r="CF6" s="67">
        <f t="shared" si="89"/>
        <v>1.8000000000010914</v>
      </c>
      <c r="CG6" s="60">
        <v>79612</v>
      </c>
      <c r="CH6" s="67">
        <f t="shared" si="90"/>
        <v>46.30000000000291</v>
      </c>
      <c r="CI6" s="60">
        <v>1076541</v>
      </c>
      <c r="CJ6" s="67">
        <f t="shared" si="91"/>
        <v>256</v>
      </c>
      <c r="CK6" s="60">
        <v>1085.0999999999999</v>
      </c>
      <c r="CL6" s="64">
        <f t="shared" si="92"/>
        <v>799.99999999995453</v>
      </c>
      <c r="CM6" s="65">
        <f t="shared" si="93"/>
        <v>115</v>
      </c>
      <c r="CN6" s="62">
        <v>11</v>
      </c>
      <c r="CO6" s="62">
        <v>22</v>
      </c>
      <c r="CP6" s="68">
        <v>39869</v>
      </c>
      <c r="CQ6" s="67">
        <f t="shared" si="94"/>
        <v>95</v>
      </c>
      <c r="CR6" s="68">
        <v>23699</v>
      </c>
      <c r="CS6" s="67">
        <f t="shared" si="95"/>
        <v>20</v>
      </c>
      <c r="CT6" s="75">
        <v>11311</v>
      </c>
      <c r="CU6" s="67">
        <f t="shared" si="96"/>
        <v>14</v>
      </c>
      <c r="CV6" s="68">
        <v>26812</v>
      </c>
      <c r="CW6" s="67">
        <f t="shared" si="97"/>
        <v>66</v>
      </c>
      <c r="CX6" s="58">
        <v>4155.8</v>
      </c>
      <c r="CY6" s="67">
        <f t="shared" si="98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49"/>
        <v>1999.9999999997797</v>
      </c>
      <c r="E7" s="58">
        <v>4.6364999999999998</v>
      </c>
      <c r="F7" s="64">
        <f t="shared" si="50"/>
        <v>2699.9999999999245</v>
      </c>
      <c r="G7" s="58">
        <v>4.6172000000000004</v>
      </c>
      <c r="H7" s="64">
        <f t="shared" si="51"/>
        <v>3000.0000000001137</v>
      </c>
      <c r="I7" s="58">
        <v>2.3031000000000001</v>
      </c>
      <c r="J7" s="64">
        <f t="shared" si="52"/>
        <v>1200.000000000312</v>
      </c>
      <c r="K7" s="58">
        <v>3.5634999999999999</v>
      </c>
      <c r="L7" s="64">
        <f t="shared" si="53"/>
        <v>1999.9999999997797</v>
      </c>
      <c r="M7" s="58">
        <v>2.097</v>
      </c>
      <c r="N7" s="64">
        <f t="shared" si="54"/>
        <v>1199.9999999998679</v>
      </c>
      <c r="O7" s="58">
        <v>23384</v>
      </c>
      <c r="P7" s="67">
        <f t="shared" si="55"/>
        <v>25</v>
      </c>
      <c r="Q7" s="58">
        <v>2869</v>
      </c>
      <c r="R7" s="67">
        <f t="shared" si="56"/>
        <v>3</v>
      </c>
      <c r="S7" s="58">
        <v>1478.3</v>
      </c>
      <c r="T7" s="67">
        <f t="shared" si="57"/>
        <v>1000</v>
      </c>
      <c r="U7" s="58">
        <v>591445.4</v>
      </c>
      <c r="V7" s="67">
        <f t="shared" si="58"/>
        <v>324</v>
      </c>
      <c r="W7" s="58">
        <v>542.45000000000005</v>
      </c>
      <c r="X7" s="65">
        <f t="shared" si="59"/>
        <v>259.99999999999091</v>
      </c>
      <c r="Y7" s="58">
        <v>4.0841000000000003</v>
      </c>
      <c r="Z7" s="65">
        <f t="shared" si="60"/>
        <v>2400.0000000006239</v>
      </c>
      <c r="AA7" s="58">
        <v>549.80999999999995</v>
      </c>
      <c r="AB7" s="65">
        <f t="shared" si="61"/>
        <v>199.99999999993179</v>
      </c>
      <c r="AC7" s="58">
        <v>543.07000000000005</v>
      </c>
      <c r="AD7" s="65">
        <f t="shared" si="62"/>
        <v>350.00000000002274</v>
      </c>
      <c r="AE7" s="58">
        <v>834.87</v>
      </c>
      <c r="AF7" s="65">
        <f t="shared" si="63"/>
        <v>590.00000000003183</v>
      </c>
      <c r="AG7" s="58">
        <v>20818</v>
      </c>
      <c r="AH7" s="67">
        <f t="shared" si="64"/>
        <v>34</v>
      </c>
      <c r="AI7" s="58">
        <v>923.27</v>
      </c>
      <c r="AJ7" s="65">
        <f t="shared" si="65"/>
        <v>829.99999999992724</v>
      </c>
      <c r="AK7" s="58">
        <v>306.56</v>
      </c>
      <c r="AL7" s="65">
        <f t="shared" si="66"/>
        <v>180.00000000000682</v>
      </c>
      <c r="AM7" s="58">
        <v>284.89</v>
      </c>
      <c r="AN7" s="65">
        <f t="shared" si="67"/>
        <v>99.999999999965894</v>
      </c>
      <c r="AO7" s="58">
        <v>275</v>
      </c>
      <c r="AP7" s="65">
        <f t="shared" si="68"/>
        <v>170.00000000001592</v>
      </c>
      <c r="AQ7" s="58">
        <v>328.33</v>
      </c>
      <c r="AR7" s="65">
        <f t="shared" si="69"/>
        <v>89.999999999974989</v>
      </c>
      <c r="AS7" s="58">
        <v>454.07</v>
      </c>
      <c r="AT7" s="65">
        <f t="shared" si="70"/>
        <v>99.999999999965894</v>
      </c>
      <c r="AU7" s="58">
        <v>361.51</v>
      </c>
      <c r="AV7" s="65">
        <f t="shared" si="71"/>
        <v>79.999999999984084</v>
      </c>
      <c r="AW7" s="58">
        <v>390.57</v>
      </c>
      <c r="AX7" s="65">
        <f t="shared" si="72"/>
        <v>79.999999999984084</v>
      </c>
      <c r="AY7" s="58">
        <v>426.16</v>
      </c>
      <c r="AZ7" s="65">
        <f t="shared" si="73"/>
        <v>120.00000000000455</v>
      </c>
      <c r="BA7" s="58">
        <v>443.29</v>
      </c>
      <c r="BB7" s="65">
        <f t="shared" si="74"/>
        <v>100.00000000002274</v>
      </c>
      <c r="BC7" s="58">
        <v>284.35000000000002</v>
      </c>
      <c r="BD7" s="65">
        <f t="shared" si="75"/>
        <v>90.000000000031832</v>
      </c>
      <c r="BE7" s="59">
        <v>54695</v>
      </c>
      <c r="BF7" s="67">
        <f t="shared" si="76"/>
        <v>69</v>
      </c>
      <c r="BG7" s="60">
        <v>251.71</v>
      </c>
      <c r="BH7" s="65">
        <f t="shared" si="77"/>
        <v>40.000000000020464</v>
      </c>
      <c r="BI7" s="60">
        <v>306.23</v>
      </c>
      <c r="BJ7" s="65">
        <f t="shared" si="78"/>
        <v>20.000000000038654</v>
      </c>
      <c r="BK7" s="60">
        <v>256.38</v>
      </c>
      <c r="BL7" s="65">
        <f t="shared" si="79"/>
        <v>50.000000000011369</v>
      </c>
      <c r="BM7" s="60">
        <v>241.58</v>
      </c>
      <c r="BN7" s="65">
        <f t="shared" si="80"/>
        <v>30.000000000001137</v>
      </c>
      <c r="BO7" s="60">
        <v>310.14999999999998</v>
      </c>
      <c r="BP7" s="65">
        <f t="shared" si="81"/>
        <v>29.999999999972715</v>
      </c>
      <c r="BQ7" s="60">
        <v>59791</v>
      </c>
      <c r="BR7" s="65">
        <f t="shared" si="82"/>
        <v>32</v>
      </c>
      <c r="BS7" s="60">
        <v>219.62</v>
      </c>
      <c r="BT7" s="65">
        <f t="shared" si="83"/>
        <v>30.000000000001137</v>
      </c>
      <c r="BU7" s="60">
        <v>57827</v>
      </c>
      <c r="BV7" s="65">
        <f t="shared" si="84"/>
        <v>30</v>
      </c>
      <c r="BW7" s="60">
        <v>247.68</v>
      </c>
      <c r="BX7" s="65">
        <f t="shared" si="85"/>
        <v>40.000000000020464</v>
      </c>
      <c r="BY7" s="60">
        <v>77999</v>
      </c>
      <c r="BZ7" s="67">
        <f t="shared" si="86"/>
        <v>40</v>
      </c>
      <c r="CA7" s="60">
        <v>53927.6</v>
      </c>
      <c r="CB7" s="67">
        <f t="shared" si="87"/>
        <v>55.099999999998545</v>
      </c>
      <c r="CC7" s="60">
        <v>16896.099999999999</v>
      </c>
      <c r="CD7" s="67">
        <f t="shared" si="88"/>
        <v>8.3999999999978172</v>
      </c>
      <c r="CE7" s="60">
        <v>8561.7999999999993</v>
      </c>
      <c r="CF7" s="67">
        <f t="shared" si="89"/>
        <v>1.6999999999989086</v>
      </c>
      <c r="CG7" s="60">
        <v>79660.2</v>
      </c>
      <c r="CH7" s="67">
        <f t="shared" si="90"/>
        <v>48.19999999999709</v>
      </c>
      <c r="CI7" s="60">
        <v>1076812</v>
      </c>
      <c r="CJ7" s="67">
        <f t="shared" si="91"/>
        <v>271</v>
      </c>
      <c r="CK7" s="60">
        <v>1085.9000000000001</v>
      </c>
      <c r="CL7" s="64">
        <f t="shared" si="92"/>
        <v>800.0000000001819</v>
      </c>
      <c r="CM7" s="65">
        <f t="shared" si="93"/>
        <v>125</v>
      </c>
      <c r="CN7" s="62">
        <v>11</v>
      </c>
      <c r="CO7" s="62">
        <v>25</v>
      </c>
      <c r="CP7" s="68">
        <v>39975</v>
      </c>
      <c r="CQ7" s="67">
        <f t="shared" si="94"/>
        <v>106</v>
      </c>
      <c r="CR7" s="68">
        <v>23718</v>
      </c>
      <c r="CS7" s="67">
        <f t="shared" si="95"/>
        <v>19</v>
      </c>
      <c r="CT7" s="75">
        <v>11321</v>
      </c>
      <c r="CU7" s="67">
        <f t="shared" si="96"/>
        <v>10</v>
      </c>
      <c r="CV7" s="68">
        <v>26877</v>
      </c>
      <c r="CW7" s="67">
        <f t="shared" si="97"/>
        <v>65</v>
      </c>
      <c r="CX7" s="58">
        <v>4167</v>
      </c>
      <c r="CY7" s="67">
        <f t="shared" si="98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49"/>
        <v>2299.9999999999686</v>
      </c>
      <c r="E8" s="58">
        <v>4.6391999999999998</v>
      </c>
      <c r="F8" s="64">
        <f t="shared" si="50"/>
        <v>2699.9999999999245</v>
      </c>
      <c r="G8" s="58">
        <v>4.6200999999999999</v>
      </c>
      <c r="H8" s="64">
        <f t="shared" si="51"/>
        <v>2899.9999999994584</v>
      </c>
      <c r="I8" s="58">
        <v>2.3045</v>
      </c>
      <c r="J8" s="64">
        <f t="shared" si="52"/>
        <v>1399.9999999998458</v>
      </c>
      <c r="K8" s="58">
        <v>3.5655999999999999</v>
      </c>
      <c r="L8" s="64">
        <f t="shared" si="53"/>
        <v>2099.9999999999909</v>
      </c>
      <c r="M8" s="58">
        <v>2.0983999999999998</v>
      </c>
      <c r="N8" s="64">
        <f t="shared" si="54"/>
        <v>1399.9999999998458</v>
      </c>
      <c r="O8" s="58">
        <v>23414</v>
      </c>
      <c r="P8" s="67">
        <f t="shared" si="55"/>
        <v>30</v>
      </c>
      <c r="Q8" s="58">
        <v>2871</v>
      </c>
      <c r="R8" s="67">
        <f t="shared" si="56"/>
        <v>2</v>
      </c>
      <c r="S8" s="58">
        <v>1479.1</v>
      </c>
      <c r="T8" s="67">
        <f t="shared" si="57"/>
        <v>799.99999999995453</v>
      </c>
      <c r="U8" s="58">
        <v>591781.5</v>
      </c>
      <c r="V8" s="67">
        <f t="shared" si="58"/>
        <v>336.09999999997672</v>
      </c>
      <c r="W8" s="58">
        <v>542.75</v>
      </c>
      <c r="X8" s="65">
        <f t="shared" si="59"/>
        <v>299.99999999995453</v>
      </c>
      <c r="Y8" s="58">
        <v>4.0867000000000004</v>
      </c>
      <c r="Z8" s="65">
        <f t="shared" si="60"/>
        <v>2600.0000000001578</v>
      </c>
      <c r="AA8" s="58">
        <v>550.16</v>
      </c>
      <c r="AB8" s="65">
        <f t="shared" si="61"/>
        <v>350.00000000002274</v>
      </c>
      <c r="AC8" s="58">
        <v>543.42999999999995</v>
      </c>
      <c r="AD8" s="65">
        <f t="shared" si="62"/>
        <v>359.99999999989996</v>
      </c>
      <c r="AE8" s="58">
        <v>835.42</v>
      </c>
      <c r="AF8" s="65">
        <f t="shared" si="63"/>
        <v>549.99999999995453</v>
      </c>
      <c r="AG8" s="58">
        <v>20854</v>
      </c>
      <c r="AH8" s="67">
        <f t="shared" si="64"/>
        <v>36</v>
      </c>
      <c r="AI8" s="58">
        <v>924.21</v>
      </c>
      <c r="AJ8" s="65">
        <f t="shared" si="65"/>
        <v>940.00000000005457</v>
      </c>
      <c r="AK8" s="58">
        <v>306.74</v>
      </c>
      <c r="AL8" s="65">
        <f t="shared" si="66"/>
        <v>180.00000000000682</v>
      </c>
      <c r="AM8" s="58">
        <v>285</v>
      </c>
      <c r="AN8" s="65">
        <f t="shared" si="67"/>
        <v>110.00000000001364</v>
      </c>
      <c r="AO8" s="58">
        <v>275.17</v>
      </c>
      <c r="AP8" s="65">
        <f t="shared" si="68"/>
        <v>170.00000000001592</v>
      </c>
      <c r="AQ8" s="58">
        <v>328.43</v>
      </c>
      <c r="AR8" s="65">
        <f t="shared" si="69"/>
        <v>100.00000000002274</v>
      </c>
      <c r="AS8" s="58">
        <v>454.16</v>
      </c>
      <c r="AT8" s="65">
        <f t="shared" si="70"/>
        <v>90.000000000031832</v>
      </c>
      <c r="AU8" s="58">
        <v>361.6</v>
      </c>
      <c r="AV8" s="65">
        <f t="shared" si="71"/>
        <v>90.000000000031832</v>
      </c>
      <c r="AW8" s="58">
        <v>390.66</v>
      </c>
      <c r="AX8" s="65">
        <f t="shared" si="72"/>
        <v>90.000000000031832</v>
      </c>
      <c r="AY8" s="58">
        <v>426.28</v>
      </c>
      <c r="AZ8" s="65">
        <f t="shared" si="73"/>
        <v>119.9999999999477</v>
      </c>
      <c r="BA8" s="58">
        <v>443.39</v>
      </c>
      <c r="BB8" s="65">
        <f t="shared" si="74"/>
        <v>99.999999999965894</v>
      </c>
      <c r="BC8" s="58">
        <v>284.44</v>
      </c>
      <c r="BD8" s="65">
        <f t="shared" si="75"/>
        <v>89.999999999974989</v>
      </c>
      <c r="BE8" s="59">
        <v>54732</v>
      </c>
      <c r="BF8" s="67">
        <f t="shared" si="76"/>
        <v>37</v>
      </c>
      <c r="BG8" s="60">
        <v>251.74</v>
      </c>
      <c r="BH8" s="65">
        <f t="shared" si="77"/>
        <v>30.000000000001137</v>
      </c>
      <c r="BI8" s="60">
        <v>306.27</v>
      </c>
      <c r="BJ8" s="65">
        <f t="shared" si="78"/>
        <v>39.99999999996362</v>
      </c>
      <c r="BK8" s="60">
        <v>256.43</v>
      </c>
      <c r="BL8" s="65">
        <f t="shared" si="79"/>
        <v>50.000000000011369</v>
      </c>
      <c r="BM8" s="60">
        <v>241.62</v>
      </c>
      <c r="BN8" s="65">
        <f t="shared" si="80"/>
        <v>39.999999999992042</v>
      </c>
      <c r="BO8" s="60">
        <v>310.2</v>
      </c>
      <c r="BP8" s="65">
        <f t="shared" si="81"/>
        <v>50.000000000011369</v>
      </c>
      <c r="BQ8" s="60">
        <v>59827</v>
      </c>
      <c r="BR8" s="65">
        <f t="shared" si="82"/>
        <v>36</v>
      </c>
      <c r="BS8" s="60">
        <v>219.65</v>
      </c>
      <c r="BT8" s="65">
        <f t="shared" si="83"/>
        <v>30.000000000001137</v>
      </c>
      <c r="BU8" s="60">
        <v>57860</v>
      </c>
      <c r="BV8" s="65">
        <f t="shared" si="84"/>
        <v>33</v>
      </c>
      <c r="BW8" s="60">
        <v>247.72</v>
      </c>
      <c r="BX8" s="65">
        <f t="shared" si="85"/>
        <v>39.999999999992042</v>
      </c>
      <c r="BY8" s="60">
        <v>78043</v>
      </c>
      <c r="BZ8" s="67">
        <f t="shared" si="86"/>
        <v>44</v>
      </c>
      <c r="CA8" s="60">
        <v>53997.8</v>
      </c>
      <c r="CB8" s="67">
        <f t="shared" si="87"/>
        <v>70.200000000004366</v>
      </c>
      <c r="CC8" s="60">
        <v>16905.400000000001</v>
      </c>
      <c r="CD8" s="67">
        <f t="shared" si="88"/>
        <v>9.3000000000029104</v>
      </c>
      <c r="CE8" s="60">
        <v>8565</v>
      </c>
      <c r="CF8" s="67">
        <f t="shared" si="89"/>
        <v>3.2000000000007276</v>
      </c>
      <c r="CG8" s="60">
        <v>79709.2</v>
      </c>
      <c r="CH8" s="67">
        <f t="shared" si="90"/>
        <v>49</v>
      </c>
      <c r="CI8" s="60">
        <v>1077108</v>
      </c>
      <c r="CJ8" s="67">
        <f t="shared" si="91"/>
        <v>296</v>
      </c>
      <c r="CK8" s="60">
        <v>1086.9000000000001</v>
      </c>
      <c r="CL8" s="64">
        <f t="shared" si="92"/>
        <v>1000</v>
      </c>
      <c r="CM8" s="65">
        <f t="shared" si="93"/>
        <v>121</v>
      </c>
      <c r="CN8" s="62">
        <v>15</v>
      </c>
      <c r="CO8" s="62">
        <v>35</v>
      </c>
      <c r="CP8" s="68">
        <v>40071</v>
      </c>
      <c r="CQ8" s="67">
        <f t="shared" si="94"/>
        <v>96</v>
      </c>
      <c r="CR8" s="68">
        <v>23743</v>
      </c>
      <c r="CS8" s="67">
        <f t="shared" si="95"/>
        <v>25</v>
      </c>
      <c r="CT8" s="75">
        <v>11330</v>
      </c>
      <c r="CU8" s="67">
        <f t="shared" si="96"/>
        <v>9</v>
      </c>
      <c r="CV8" s="68">
        <v>26936</v>
      </c>
      <c r="CW8" s="67">
        <f t="shared" si="97"/>
        <v>59</v>
      </c>
      <c r="CX8" s="58">
        <v>4178.2</v>
      </c>
      <c r="CY8" s="67">
        <f t="shared" si="98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49"/>
        <v>2400.0000000001796</v>
      </c>
      <c r="E9" s="58">
        <v>4.6422999999999996</v>
      </c>
      <c r="F9" s="64">
        <f t="shared" si="50"/>
        <v>3099.9999999998809</v>
      </c>
      <c r="G9" s="58">
        <v>4.6228999999999996</v>
      </c>
      <c r="H9" s="64">
        <f t="shared" si="51"/>
        <v>2799.9999999996917</v>
      </c>
      <c r="I9" s="58">
        <v>2.306</v>
      </c>
      <c r="J9" s="64">
        <f t="shared" si="52"/>
        <v>1500.0000000000568</v>
      </c>
      <c r="K9" s="58">
        <v>3.5678000000000001</v>
      </c>
      <c r="L9" s="64">
        <f t="shared" si="53"/>
        <v>2200.0000000002019</v>
      </c>
      <c r="M9" s="58">
        <v>2.0996999999999999</v>
      </c>
      <c r="N9" s="64">
        <f t="shared" si="54"/>
        <v>1300.0000000000789</v>
      </c>
      <c r="O9" s="58">
        <v>23438</v>
      </c>
      <c r="P9" s="67">
        <f t="shared" si="55"/>
        <v>24</v>
      </c>
      <c r="Q9" s="58">
        <v>2875</v>
      </c>
      <c r="R9" s="67">
        <f t="shared" si="56"/>
        <v>4</v>
      </c>
      <c r="S9" s="58">
        <v>1480</v>
      </c>
      <c r="T9" s="67">
        <f t="shared" si="57"/>
        <v>900.00000000009095</v>
      </c>
      <c r="U9" s="58">
        <v>592117.6</v>
      </c>
      <c r="V9" s="67">
        <f t="shared" si="58"/>
        <v>336.09999999997672</v>
      </c>
      <c r="W9" s="58">
        <v>543.02</v>
      </c>
      <c r="X9" s="65">
        <f t="shared" si="59"/>
        <v>269.99999999998181</v>
      </c>
      <c r="Y9" s="58">
        <v>4.0892999999999997</v>
      </c>
      <c r="Z9" s="65">
        <f t="shared" si="60"/>
        <v>2599.9999999992697</v>
      </c>
      <c r="AA9" s="58">
        <v>550.41999999999996</v>
      </c>
      <c r="AB9" s="65">
        <f t="shared" si="61"/>
        <v>259.99999999999091</v>
      </c>
      <c r="AC9" s="58">
        <v>543.79999999999995</v>
      </c>
      <c r="AD9" s="65">
        <f t="shared" si="62"/>
        <v>370.00000000000455</v>
      </c>
      <c r="AE9" s="58">
        <v>835.97</v>
      </c>
      <c r="AF9" s="65">
        <f t="shared" si="63"/>
        <v>550.00000000006821</v>
      </c>
      <c r="AG9" s="58">
        <v>20892</v>
      </c>
      <c r="AH9" s="67">
        <f t="shared" si="64"/>
        <v>38</v>
      </c>
      <c r="AI9" s="58">
        <v>925.15</v>
      </c>
      <c r="AJ9" s="65">
        <f t="shared" si="65"/>
        <v>939.99999999994088</v>
      </c>
      <c r="AK9" s="58">
        <v>306.94</v>
      </c>
      <c r="AL9" s="65">
        <f t="shared" si="66"/>
        <v>199.99999999998863</v>
      </c>
      <c r="AM9" s="58">
        <v>285.11</v>
      </c>
      <c r="AN9" s="65">
        <f t="shared" si="67"/>
        <v>110.00000000001364</v>
      </c>
      <c r="AO9" s="58">
        <v>275.33999999999997</v>
      </c>
      <c r="AP9" s="65">
        <f t="shared" si="68"/>
        <v>169.99999999995907</v>
      </c>
      <c r="AQ9" s="58">
        <v>328.53</v>
      </c>
      <c r="AR9" s="65">
        <f t="shared" si="69"/>
        <v>99.999999999965894</v>
      </c>
      <c r="AS9" s="58">
        <v>454.26</v>
      </c>
      <c r="AT9" s="65">
        <f t="shared" si="70"/>
        <v>99.999999999965894</v>
      </c>
      <c r="AU9" s="58">
        <v>361.69</v>
      </c>
      <c r="AV9" s="65">
        <f t="shared" si="71"/>
        <v>89.999999999974989</v>
      </c>
      <c r="AW9" s="58">
        <v>390.76</v>
      </c>
      <c r="AX9" s="65">
        <f t="shared" si="72"/>
        <v>99.999999999965894</v>
      </c>
      <c r="AY9" s="58">
        <v>426.4</v>
      </c>
      <c r="AZ9" s="65">
        <f t="shared" si="73"/>
        <v>120.00000000000455</v>
      </c>
      <c r="BA9" s="58">
        <v>443.51</v>
      </c>
      <c r="BB9" s="65">
        <f t="shared" si="74"/>
        <v>120.00000000000455</v>
      </c>
      <c r="BC9" s="58">
        <v>284.54000000000002</v>
      </c>
      <c r="BD9" s="65">
        <f t="shared" si="75"/>
        <v>100.00000000002274</v>
      </c>
      <c r="BE9" s="59">
        <v>54770</v>
      </c>
      <c r="BF9" s="67">
        <f t="shared" si="76"/>
        <v>38</v>
      </c>
      <c r="BG9" s="60">
        <v>251.77</v>
      </c>
      <c r="BH9" s="65">
        <f t="shared" si="77"/>
        <v>30.000000000001137</v>
      </c>
      <c r="BI9" s="60">
        <v>306.3</v>
      </c>
      <c r="BJ9" s="65">
        <f t="shared" si="78"/>
        <v>30.000000000029559</v>
      </c>
      <c r="BK9" s="60">
        <v>256.48</v>
      </c>
      <c r="BL9" s="65">
        <f t="shared" si="79"/>
        <v>50.000000000011369</v>
      </c>
      <c r="BM9" s="60">
        <v>241.65</v>
      </c>
      <c r="BN9" s="65">
        <f t="shared" si="80"/>
        <v>30.000000000001137</v>
      </c>
      <c r="BO9" s="60">
        <v>310.24</v>
      </c>
      <c r="BP9" s="65">
        <f t="shared" si="81"/>
        <v>40.000000000020464</v>
      </c>
      <c r="BQ9" s="60">
        <v>59867</v>
      </c>
      <c r="BR9" s="65">
        <f t="shared" si="82"/>
        <v>40</v>
      </c>
      <c r="BS9" s="60">
        <v>219.69</v>
      </c>
      <c r="BT9" s="65">
        <f t="shared" si="83"/>
        <v>39.999999999992042</v>
      </c>
      <c r="BU9" s="60">
        <v>57898</v>
      </c>
      <c r="BV9" s="65">
        <f t="shared" si="84"/>
        <v>38</v>
      </c>
      <c r="BW9" s="60">
        <v>247.76</v>
      </c>
      <c r="BX9" s="65">
        <f t="shared" si="85"/>
        <v>39.999999999992042</v>
      </c>
      <c r="BY9" s="60">
        <v>78085</v>
      </c>
      <c r="BZ9" s="67">
        <f t="shared" si="86"/>
        <v>42</v>
      </c>
      <c r="CA9" s="60">
        <v>54048.9</v>
      </c>
      <c r="CB9" s="67">
        <f t="shared" si="87"/>
        <v>51.099999999998545</v>
      </c>
      <c r="CC9" s="60">
        <v>16920.099999999999</v>
      </c>
      <c r="CD9" s="67">
        <f t="shared" si="88"/>
        <v>14.69999999999709</v>
      </c>
      <c r="CE9" s="60">
        <v>8567.7999999999993</v>
      </c>
      <c r="CF9" s="67">
        <f t="shared" si="89"/>
        <v>2.7999999999992724</v>
      </c>
      <c r="CG9" s="60">
        <v>79757.2</v>
      </c>
      <c r="CH9" s="67">
        <f t="shared" si="90"/>
        <v>48</v>
      </c>
      <c r="CI9" s="60">
        <v>1077414</v>
      </c>
      <c r="CJ9" s="67">
        <f t="shared" si="91"/>
        <v>306</v>
      </c>
      <c r="CK9" s="60">
        <v>1087.7</v>
      </c>
      <c r="CL9" s="64">
        <f t="shared" si="92"/>
        <v>799.99999999995453</v>
      </c>
      <c r="CM9" s="65">
        <f t="shared" si="93"/>
        <v>89</v>
      </c>
      <c r="CN9" s="62">
        <v>15</v>
      </c>
      <c r="CO9" s="62">
        <v>35</v>
      </c>
      <c r="CP9" s="68">
        <v>40140</v>
      </c>
      <c r="CQ9" s="67">
        <f t="shared" si="94"/>
        <v>69</v>
      </c>
      <c r="CR9" s="68">
        <v>23763</v>
      </c>
      <c r="CS9" s="67">
        <f t="shared" si="95"/>
        <v>20</v>
      </c>
      <c r="CT9" s="75">
        <v>11338</v>
      </c>
      <c r="CU9" s="67">
        <f t="shared" si="96"/>
        <v>8</v>
      </c>
      <c r="CV9" s="68">
        <v>27000</v>
      </c>
      <c r="CW9" s="67">
        <f t="shared" si="97"/>
        <v>64</v>
      </c>
      <c r="CX9" s="58">
        <v>4189.6000000000004</v>
      </c>
      <c r="CY9" s="67">
        <f t="shared" si="98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49"/>
        <v>2099.9999999999909</v>
      </c>
      <c r="E10" s="58">
        <v>4.6452</v>
      </c>
      <c r="F10" s="64">
        <f t="shared" si="50"/>
        <v>2900.0000000003465</v>
      </c>
      <c r="G10" s="58">
        <v>4.6260000000000003</v>
      </c>
      <c r="H10" s="64">
        <f t="shared" si="51"/>
        <v>3100.000000000769</v>
      </c>
      <c r="I10" s="58">
        <v>2.3073999999999999</v>
      </c>
      <c r="J10" s="64">
        <f t="shared" si="52"/>
        <v>1399.9999999998458</v>
      </c>
      <c r="K10" s="58">
        <v>3.5699000000000001</v>
      </c>
      <c r="L10" s="64">
        <f t="shared" si="53"/>
        <v>2099.9999999999909</v>
      </c>
      <c r="M10" s="58">
        <v>2.1011000000000002</v>
      </c>
      <c r="N10" s="64">
        <f t="shared" si="54"/>
        <v>1400.0000000002899</v>
      </c>
      <c r="O10" s="58">
        <v>23459</v>
      </c>
      <c r="P10" s="67">
        <f t="shared" si="55"/>
        <v>21</v>
      </c>
      <c r="Q10" s="58">
        <v>2879</v>
      </c>
      <c r="R10" s="67">
        <f t="shared" si="56"/>
        <v>4</v>
      </c>
      <c r="S10" s="58">
        <v>1481.1</v>
      </c>
      <c r="T10" s="67">
        <f t="shared" si="57"/>
        <v>1099.9999999999091</v>
      </c>
      <c r="U10" s="58">
        <v>592532.69999999995</v>
      </c>
      <c r="V10" s="67">
        <f t="shared" si="58"/>
        <v>415.09999999997672</v>
      </c>
      <c r="W10" s="58">
        <v>543.28</v>
      </c>
      <c r="X10" s="65">
        <f t="shared" si="59"/>
        <v>259.99999999999091</v>
      </c>
      <c r="Y10" s="58">
        <v>4.0919999999999996</v>
      </c>
      <c r="Z10" s="65">
        <f t="shared" si="60"/>
        <v>2699.9999999999245</v>
      </c>
      <c r="AA10" s="58">
        <v>550.77</v>
      </c>
      <c r="AB10" s="65">
        <f t="shared" si="61"/>
        <v>350.00000000002274</v>
      </c>
      <c r="AC10" s="58">
        <v>544.16</v>
      </c>
      <c r="AD10" s="65">
        <f t="shared" si="62"/>
        <v>360.00000000001364</v>
      </c>
      <c r="AE10" s="58">
        <v>836.56</v>
      </c>
      <c r="AF10" s="65">
        <f t="shared" si="63"/>
        <v>589.99999999991815</v>
      </c>
      <c r="AG10" s="58">
        <v>20933</v>
      </c>
      <c r="AH10" s="67">
        <f t="shared" si="64"/>
        <v>41</v>
      </c>
      <c r="AI10" s="58">
        <v>925.73</v>
      </c>
      <c r="AJ10" s="65">
        <f t="shared" si="65"/>
        <v>580.00000000004093</v>
      </c>
      <c r="AK10" s="58">
        <v>307.14999999999998</v>
      </c>
      <c r="AL10" s="65">
        <f t="shared" si="66"/>
        <v>209.99999999997954</v>
      </c>
      <c r="AM10" s="58">
        <v>285.23</v>
      </c>
      <c r="AN10" s="65">
        <f t="shared" si="67"/>
        <v>120.00000000000455</v>
      </c>
      <c r="AO10" s="58">
        <v>275.47000000000003</v>
      </c>
      <c r="AP10" s="65">
        <f t="shared" si="68"/>
        <v>130.0000000000523</v>
      </c>
      <c r="AQ10" s="58">
        <v>328.62</v>
      </c>
      <c r="AR10" s="65">
        <f t="shared" si="69"/>
        <v>90.000000000031832</v>
      </c>
      <c r="AS10" s="58">
        <v>454.36</v>
      </c>
      <c r="AT10" s="65">
        <f t="shared" si="70"/>
        <v>100.00000000002274</v>
      </c>
      <c r="AU10" s="58">
        <v>361.78</v>
      </c>
      <c r="AV10" s="65">
        <f t="shared" si="71"/>
        <v>89.999999999974989</v>
      </c>
      <c r="AW10" s="58">
        <v>390.86</v>
      </c>
      <c r="AX10" s="65">
        <f t="shared" si="72"/>
        <v>100.00000000002274</v>
      </c>
      <c r="AY10" s="58">
        <v>426.51</v>
      </c>
      <c r="AZ10" s="65">
        <f t="shared" si="73"/>
        <v>110.00000000001364</v>
      </c>
      <c r="BA10" s="58">
        <v>443.6</v>
      </c>
      <c r="BB10" s="65">
        <f t="shared" si="74"/>
        <v>90.000000000031832</v>
      </c>
      <c r="BC10" s="58">
        <v>284.64</v>
      </c>
      <c r="BD10" s="65">
        <f t="shared" si="75"/>
        <v>99.999999999965894</v>
      </c>
      <c r="BE10" s="59">
        <v>54814</v>
      </c>
      <c r="BF10" s="67">
        <f t="shared" si="76"/>
        <v>44</v>
      </c>
      <c r="BG10" s="60">
        <v>251.8</v>
      </c>
      <c r="BH10" s="65">
        <f t="shared" si="77"/>
        <v>30.000000000001137</v>
      </c>
      <c r="BI10" s="60">
        <v>306.33999999999997</v>
      </c>
      <c r="BJ10" s="65">
        <f t="shared" si="78"/>
        <v>39.99999999996362</v>
      </c>
      <c r="BK10" s="60">
        <v>256.52</v>
      </c>
      <c r="BL10" s="65">
        <f t="shared" si="79"/>
        <v>39.99999999996362</v>
      </c>
      <c r="BM10" s="60">
        <v>241.68</v>
      </c>
      <c r="BN10" s="65">
        <f t="shared" si="80"/>
        <v>30.000000000001137</v>
      </c>
      <c r="BO10" s="60">
        <v>310.27999999999997</v>
      </c>
      <c r="BP10" s="65">
        <f t="shared" si="81"/>
        <v>39.99999999996362</v>
      </c>
      <c r="BQ10" s="60">
        <v>59905</v>
      </c>
      <c r="BR10" s="65">
        <f t="shared" si="82"/>
        <v>38</v>
      </c>
      <c r="BS10" s="60">
        <v>219.73</v>
      </c>
      <c r="BT10" s="65">
        <f t="shared" si="83"/>
        <v>39.999999999992042</v>
      </c>
      <c r="BU10" s="60">
        <v>57916</v>
      </c>
      <c r="BV10" s="65">
        <f t="shared" si="84"/>
        <v>18</v>
      </c>
      <c r="BW10" s="60">
        <v>247.8</v>
      </c>
      <c r="BX10" s="65">
        <f t="shared" si="85"/>
        <v>40.000000000020464</v>
      </c>
      <c r="BY10" s="60">
        <v>78127</v>
      </c>
      <c r="BZ10" s="67">
        <f t="shared" si="86"/>
        <v>42</v>
      </c>
      <c r="CA10" s="60">
        <v>54085.7</v>
      </c>
      <c r="CB10" s="67">
        <f t="shared" si="87"/>
        <v>36.799999999995634</v>
      </c>
      <c r="CC10" s="60">
        <v>16930</v>
      </c>
      <c r="CD10" s="67">
        <f t="shared" si="88"/>
        <v>9.9000000000014552</v>
      </c>
      <c r="CE10" s="60">
        <v>8569.2000000000007</v>
      </c>
      <c r="CF10" s="67">
        <f t="shared" si="89"/>
        <v>1.4000000000014552</v>
      </c>
      <c r="CG10" s="60">
        <v>79796.800000000003</v>
      </c>
      <c r="CH10" s="67">
        <f t="shared" si="90"/>
        <v>39.600000000005821</v>
      </c>
      <c r="CI10" s="60">
        <v>1077705</v>
      </c>
      <c r="CJ10" s="67">
        <f t="shared" si="91"/>
        <v>291</v>
      </c>
      <c r="CK10" s="60">
        <v>1088.5999999999999</v>
      </c>
      <c r="CL10" s="64">
        <f t="shared" si="92"/>
        <v>899.99999999986358</v>
      </c>
      <c r="CM10" s="65">
        <f t="shared" si="93"/>
        <v>109</v>
      </c>
      <c r="CN10" s="62">
        <v>15</v>
      </c>
      <c r="CO10" s="62">
        <v>35</v>
      </c>
      <c r="CP10" s="68">
        <v>40222</v>
      </c>
      <c r="CQ10" s="67">
        <f t="shared" si="94"/>
        <v>82</v>
      </c>
      <c r="CR10" s="68">
        <v>23790</v>
      </c>
      <c r="CS10" s="67">
        <f t="shared" si="95"/>
        <v>27</v>
      </c>
      <c r="CT10" s="75">
        <v>11347</v>
      </c>
      <c r="CU10" s="67">
        <f t="shared" si="96"/>
        <v>9</v>
      </c>
      <c r="CV10" s="68">
        <v>27050</v>
      </c>
      <c r="CW10" s="67">
        <f t="shared" si="97"/>
        <v>50</v>
      </c>
      <c r="CX10" s="58">
        <v>4200.8999999999996</v>
      </c>
      <c r="CY10" s="67">
        <f t="shared" si="98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49"/>
        <v>1900.0000000000127</v>
      </c>
      <c r="E11" s="58">
        <v>4.6481000000000003</v>
      </c>
      <c r="F11" s="64">
        <f t="shared" si="50"/>
        <v>2900.0000000003465</v>
      </c>
      <c r="G11" s="58">
        <v>4.6288</v>
      </c>
      <c r="H11" s="64">
        <f t="shared" si="51"/>
        <v>2799.9999999996917</v>
      </c>
      <c r="I11" s="58">
        <v>2.3088000000000002</v>
      </c>
      <c r="J11" s="64">
        <f t="shared" si="52"/>
        <v>1400.0000000002899</v>
      </c>
      <c r="K11" s="58">
        <v>3.5720000000000001</v>
      </c>
      <c r="L11" s="64">
        <f t="shared" si="53"/>
        <v>2099.9999999999909</v>
      </c>
      <c r="M11" s="58">
        <v>2.1023000000000001</v>
      </c>
      <c r="N11" s="64">
        <f t="shared" si="54"/>
        <v>1199.9999999998679</v>
      </c>
      <c r="O11" s="58">
        <v>23481</v>
      </c>
      <c r="P11" s="67">
        <f t="shared" si="55"/>
        <v>22</v>
      </c>
      <c r="Q11" s="58">
        <v>2883</v>
      </c>
      <c r="R11" s="67">
        <f t="shared" si="56"/>
        <v>4</v>
      </c>
      <c r="S11" s="58">
        <v>1482.1</v>
      </c>
      <c r="T11" s="67">
        <f t="shared" si="57"/>
        <v>1000</v>
      </c>
      <c r="U11" s="58">
        <v>592911.30000000005</v>
      </c>
      <c r="V11" s="67">
        <f t="shared" si="58"/>
        <v>378.60000000009313</v>
      </c>
      <c r="W11" s="58">
        <v>543.54999999999995</v>
      </c>
      <c r="X11" s="65">
        <f t="shared" si="59"/>
        <v>269.99999999998181</v>
      </c>
      <c r="Y11" s="58">
        <v>4.0946999999999996</v>
      </c>
      <c r="Z11" s="65">
        <f t="shared" si="60"/>
        <v>2699.9999999999245</v>
      </c>
      <c r="AA11" s="58">
        <v>550.98</v>
      </c>
      <c r="AB11" s="65">
        <f t="shared" si="61"/>
        <v>210.00000000003638</v>
      </c>
      <c r="AC11" s="58">
        <v>544.44000000000005</v>
      </c>
      <c r="AD11" s="65">
        <f t="shared" si="62"/>
        <v>280.0000000000864</v>
      </c>
      <c r="AE11" s="58">
        <v>837.15</v>
      </c>
      <c r="AF11" s="65">
        <f t="shared" si="63"/>
        <v>590.00000000003183</v>
      </c>
      <c r="AG11" s="58">
        <v>20972</v>
      </c>
      <c r="AH11" s="67">
        <f t="shared" si="64"/>
        <v>39</v>
      </c>
      <c r="AI11" s="58">
        <v>926.19</v>
      </c>
      <c r="AJ11" s="65">
        <f t="shared" si="65"/>
        <v>460.00000000003638</v>
      </c>
      <c r="AK11" s="58">
        <v>307.36</v>
      </c>
      <c r="AL11" s="65">
        <f t="shared" si="66"/>
        <v>210.00000000003638</v>
      </c>
      <c r="AM11" s="58">
        <v>285.33999999999997</v>
      </c>
      <c r="AN11" s="65">
        <f t="shared" si="67"/>
        <v>109.9999999999568</v>
      </c>
      <c r="AO11" s="58">
        <v>275.63</v>
      </c>
      <c r="AP11" s="65">
        <f t="shared" si="68"/>
        <v>159.99999999996817</v>
      </c>
      <c r="AQ11" s="58">
        <v>328.7</v>
      </c>
      <c r="AR11" s="65">
        <f t="shared" si="69"/>
        <v>79.999999999984084</v>
      </c>
      <c r="AS11" s="58">
        <v>454.46</v>
      </c>
      <c r="AT11" s="65">
        <f t="shared" si="70"/>
        <v>99.999999999965894</v>
      </c>
      <c r="AU11" s="58">
        <v>361.87</v>
      </c>
      <c r="AV11" s="65">
        <f t="shared" si="71"/>
        <v>90.000000000031832</v>
      </c>
      <c r="AW11" s="58">
        <v>390.96</v>
      </c>
      <c r="AX11" s="65">
        <f t="shared" si="72"/>
        <v>99.999999999965894</v>
      </c>
      <c r="AY11" s="58">
        <v>426.63</v>
      </c>
      <c r="AZ11" s="65">
        <f t="shared" si="73"/>
        <v>120.00000000000455</v>
      </c>
      <c r="BA11" s="58">
        <v>443.69</v>
      </c>
      <c r="BB11" s="65">
        <f t="shared" si="74"/>
        <v>89.999999999974989</v>
      </c>
      <c r="BC11" s="58">
        <v>284.67</v>
      </c>
      <c r="BD11" s="65">
        <f t="shared" si="75"/>
        <v>30.000000000029559</v>
      </c>
      <c r="BE11" s="59">
        <v>54861</v>
      </c>
      <c r="BF11" s="67">
        <f t="shared" si="76"/>
        <v>47</v>
      </c>
      <c r="BG11" s="60">
        <v>251.83</v>
      </c>
      <c r="BH11" s="65">
        <f t="shared" si="77"/>
        <v>30.000000000001137</v>
      </c>
      <c r="BI11" s="60">
        <v>306.37</v>
      </c>
      <c r="BJ11" s="65">
        <f t="shared" si="78"/>
        <v>30.000000000029559</v>
      </c>
      <c r="BK11" s="60">
        <v>256.56</v>
      </c>
      <c r="BL11" s="65">
        <f t="shared" si="79"/>
        <v>40.000000000020464</v>
      </c>
      <c r="BM11" s="60">
        <v>241.72</v>
      </c>
      <c r="BN11" s="65">
        <f t="shared" si="80"/>
        <v>39.999999999992042</v>
      </c>
      <c r="BO11" s="60">
        <v>310.31</v>
      </c>
      <c r="BP11" s="65">
        <f t="shared" si="81"/>
        <v>30.000000000029559</v>
      </c>
      <c r="BQ11" s="60">
        <v>59938</v>
      </c>
      <c r="BR11" s="65">
        <f t="shared" si="82"/>
        <v>33</v>
      </c>
      <c r="BS11" s="60">
        <v>219.77</v>
      </c>
      <c r="BT11" s="65">
        <f t="shared" si="83"/>
        <v>40.000000000020464</v>
      </c>
      <c r="BU11" s="60">
        <v>57941</v>
      </c>
      <c r="BV11" s="65">
        <f t="shared" si="84"/>
        <v>25</v>
      </c>
      <c r="BW11" s="60">
        <v>247.83</v>
      </c>
      <c r="BX11" s="65">
        <f t="shared" si="85"/>
        <v>30.000000000001137</v>
      </c>
      <c r="BY11" s="60">
        <v>78167</v>
      </c>
      <c r="BZ11" s="67">
        <f t="shared" si="86"/>
        <v>40</v>
      </c>
      <c r="CA11" s="60">
        <v>54115.8</v>
      </c>
      <c r="CB11" s="67">
        <f t="shared" si="87"/>
        <v>30.100000000005821</v>
      </c>
      <c r="CC11" s="60">
        <v>16939.900000000001</v>
      </c>
      <c r="CD11" s="67">
        <f t="shared" si="88"/>
        <v>9.9000000000014552</v>
      </c>
      <c r="CE11" s="60">
        <v>8573.7999999999993</v>
      </c>
      <c r="CF11" s="67">
        <f t="shared" si="89"/>
        <v>4.5999999999985448</v>
      </c>
      <c r="CG11" s="60">
        <v>79866.399999999994</v>
      </c>
      <c r="CH11" s="67">
        <f t="shared" si="90"/>
        <v>69.599999999991269</v>
      </c>
      <c r="CI11" s="60">
        <v>1077990</v>
      </c>
      <c r="CJ11" s="67">
        <f t="shared" si="91"/>
        <v>285</v>
      </c>
      <c r="CK11" s="60">
        <v>1089.4000000000001</v>
      </c>
      <c r="CL11" s="64">
        <f t="shared" si="92"/>
        <v>800.0000000001819</v>
      </c>
      <c r="CM11" s="65">
        <f t="shared" si="93"/>
        <v>69</v>
      </c>
      <c r="CN11" s="62">
        <v>12</v>
      </c>
      <c r="CO11" s="62">
        <v>25</v>
      </c>
      <c r="CP11" s="68">
        <v>40286</v>
      </c>
      <c r="CQ11" s="67">
        <f t="shared" si="94"/>
        <v>64</v>
      </c>
      <c r="CR11" s="68">
        <v>23795</v>
      </c>
      <c r="CS11" s="67">
        <f t="shared" si="95"/>
        <v>5</v>
      </c>
      <c r="CT11" s="75">
        <v>11356</v>
      </c>
      <c r="CU11" s="67">
        <f t="shared" si="96"/>
        <v>9</v>
      </c>
      <c r="CV11" s="68">
        <v>27078</v>
      </c>
      <c r="CW11" s="67">
        <f t="shared" si="97"/>
        <v>28</v>
      </c>
      <c r="CX11" s="58">
        <v>4211.5</v>
      </c>
      <c r="CY11" s="67">
        <f t="shared" si="98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49"/>
        <v>1999.9999999997797</v>
      </c>
      <c r="E12" s="58">
        <v>4.6510999999999996</v>
      </c>
      <c r="F12" s="64">
        <f t="shared" si="50"/>
        <v>2999.9999999992256</v>
      </c>
      <c r="G12" s="58">
        <v>4.6315</v>
      </c>
      <c r="H12" s="64">
        <f t="shared" si="51"/>
        <v>2699.9999999999245</v>
      </c>
      <c r="I12" s="58">
        <v>2.3102999999999998</v>
      </c>
      <c r="J12" s="64">
        <f t="shared" si="52"/>
        <v>1499.9999999996128</v>
      </c>
      <c r="K12" s="58">
        <v>3.5741999999999998</v>
      </c>
      <c r="L12" s="64">
        <f t="shared" si="53"/>
        <v>2199.9999999997576</v>
      </c>
      <c r="M12" s="58">
        <v>2.1036000000000001</v>
      </c>
      <c r="N12" s="64">
        <f t="shared" si="54"/>
        <v>1300.0000000000789</v>
      </c>
      <c r="O12" s="58">
        <v>23514</v>
      </c>
      <c r="P12" s="67">
        <f t="shared" si="55"/>
        <v>33</v>
      </c>
      <c r="Q12" s="58">
        <v>2886</v>
      </c>
      <c r="R12" s="67">
        <f t="shared" si="56"/>
        <v>3</v>
      </c>
      <c r="S12" s="58">
        <v>1482.9</v>
      </c>
      <c r="T12" s="67">
        <f t="shared" si="57"/>
        <v>800.0000000001819</v>
      </c>
      <c r="U12" s="58">
        <v>593227.9</v>
      </c>
      <c r="V12" s="67">
        <f t="shared" si="58"/>
        <v>316.59999999997672</v>
      </c>
      <c r="W12" s="58">
        <v>543.79</v>
      </c>
      <c r="X12" s="65">
        <f t="shared" si="59"/>
        <v>240.00000000000909</v>
      </c>
      <c r="Y12" s="58">
        <v>4.0972999999999997</v>
      </c>
      <c r="Z12" s="65">
        <f t="shared" si="60"/>
        <v>2600.0000000001578</v>
      </c>
      <c r="AA12" s="58">
        <v>551.09</v>
      </c>
      <c r="AB12" s="65">
        <f t="shared" si="61"/>
        <v>110.00000000001364</v>
      </c>
      <c r="AC12" s="58">
        <v>544.73</v>
      </c>
      <c r="AD12" s="65">
        <f t="shared" si="62"/>
        <v>289.99999999996362</v>
      </c>
      <c r="AE12" s="58">
        <v>837.73</v>
      </c>
      <c r="AF12" s="65">
        <f t="shared" si="63"/>
        <v>580.00000000004093</v>
      </c>
      <c r="AG12" s="58">
        <v>21007</v>
      </c>
      <c r="AH12" s="67">
        <f t="shared" si="64"/>
        <v>35</v>
      </c>
      <c r="AI12" s="58">
        <v>926.47</v>
      </c>
      <c r="AJ12" s="65">
        <f t="shared" si="65"/>
        <v>279.99999999997272</v>
      </c>
      <c r="AK12" s="58">
        <v>307.56</v>
      </c>
      <c r="AL12" s="65">
        <f t="shared" si="66"/>
        <v>199.99999999998863</v>
      </c>
      <c r="AM12" s="58">
        <v>285.48</v>
      </c>
      <c r="AN12" s="65">
        <f t="shared" si="67"/>
        <v>140.0000000000432</v>
      </c>
      <c r="AO12" s="58">
        <v>275.79000000000002</v>
      </c>
      <c r="AP12" s="65">
        <f t="shared" si="68"/>
        <v>160.00000000002501</v>
      </c>
      <c r="AQ12" s="58">
        <v>328.78</v>
      </c>
      <c r="AR12" s="65">
        <f t="shared" si="69"/>
        <v>79.999999999984084</v>
      </c>
      <c r="AS12" s="58">
        <v>454.56</v>
      </c>
      <c r="AT12" s="65">
        <f t="shared" si="70"/>
        <v>100.00000000002274</v>
      </c>
      <c r="AU12" s="58">
        <v>361.95</v>
      </c>
      <c r="AV12" s="65">
        <f t="shared" si="71"/>
        <v>79.999999999984084</v>
      </c>
      <c r="AW12" s="58">
        <v>391.07</v>
      </c>
      <c r="AX12" s="65">
        <f t="shared" si="72"/>
        <v>110.00000000001364</v>
      </c>
      <c r="AY12" s="58">
        <v>426.76</v>
      </c>
      <c r="AZ12" s="65">
        <f t="shared" si="73"/>
        <v>129.99999999999545</v>
      </c>
      <c r="BA12" s="58">
        <v>443.79</v>
      </c>
      <c r="BB12" s="65">
        <f t="shared" si="74"/>
        <v>100.00000000002274</v>
      </c>
      <c r="BC12" s="58">
        <v>284.7</v>
      </c>
      <c r="BD12" s="65">
        <f t="shared" si="75"/>
        <v>29.999999999972715</v>
      </c>
      <c r="BE12" s="59">
        <v>54902</v>
      </c>
      <c r="BF12" s="67">
        <f t="shared" si="76"/>
        <v>41</v>
      </c>
      <c r="BG12" s="60">
        <v>251.87</v>
      </c>
      <c r="BH12" s="65">
        <f t="shared" si="77"/>
        <v>39.999999999992042</v>
      </c>
      <c r="BI12" s="60">
        <v>306.39999999999998</v>
      </c>
      <c r="BJ12" s="65">
        <f t="shared" si="78"/>
        <v>29.999999999972715</v>
      </c>
      <c r="BK12" s="60">
        <v>256.61</v>
      </c>
      <c r="BL12" s="65">
        <f t="shared" si="79"/>
        <v>50.000000000011369</v>
      </c>
      <c r="BM12" s="60">
        <v>241.75</v>
      </c>
      <c r="BN12" s="65">
        <f t="shared" si="80"/>
        <v>30.000000000001137</v>
      </c>
      <c r="BO12" s="60">
        <v>310.35000000000002</v>
      </c>
      <c r="BP12" s="65">
        <f t="shared" si="81"/>
        <v>40.000000000020464</v>
      </c>
      <c r="BQ12" s="60">
        <v>59976</v>
      </c>
      <c r="BR12" s="65">
        <f t="shared" si="82"/>
        <v>38</v>
      </c>
      <c r="BS12" s="60">
        <v>219.81</v>
      </c>
      <c r="BT12" s="65">
        <f t="shared" si="83"/>
        <v>39.999999999992042</v>
      </c>
      <c r="BU12" s="60">
        <v>57969</v>
      </c>
      <c r="BV12" s="65">
        <f t="shared" si="84"/>
        <v>28</v>
      </c>
      <c r="BW12" s="60">
        <v>247.87</v>
      </c>
      <c r="BX12" s="65">
        <f t="shared" si="85"/>
        <v>39.999999999992042</v>
      </c>
      <c r="BY12" s="60">
        <v>78211</v>
      </c>
      <c r="BZ12" s="67">
        <f t="shared" si="86"/>
        <v>44</v>
      </c>
      <c r="CA12" s="60">
        <v>54164.4</v>
      </c>
      <c r="CB12" s="67">
        <f t="shared" si="87"/>
        <v>48.599999999998545</v>
      </c>
      <c r="CC12" s="60">
        <v>16949.8</v>
      </c>
      <c r="CD12" s="67">
        <f t="shared" si="88"/>
        <v>9.8999999999978172</v>
      </c>
      <c r="CE12" s="60">
        <v>8576.6</v>
      </c>
      <c r="CF12" s="67">
        <f t="shared" si="89"/>
        <v>2.8000000000010914</v>
      </c>
      <c r="CG12" s="60">
        <v>79926.8</v>
      </c>
      <c r="CH12" s="67">
        <f t="shared" si="90"/>
        <v>60.400000000008731</v>
      </c>
      <c r="CI12" s="60">
        <v>1078287</v>
      </c>
      <c r="CJ12" s="67">
        <f t="shared" si="91"/>
        <v>297</v>
      </c>
      <c r="CK12" s="60">
        <v>1090.0999999999999</v>
      </c>
      <c r="CL12" s="64">
        <f t="shared" si="92"/>
        <v>699.9999999998181</v>
      </c>
      <c r="CM12" s="65">
        <f t="shared" si="93"/>
        <v>67</v>
      </c>
      <c r="CN12" s="62">
        <v>12</v>
      </c>
      <c r="CO12" s="62">
        <v>25</v>
      </c>
      <c r="CP12" s="68">
        <v>40345</v>
      </c>
      <c r="CQ12" s="67">
        <f t="shared" si="94"/>
        <v>59</v>
      </c>
      <c r="CR12" s="68">
        <v>23803</v>
      </c>
      <c r="CS12" s="67">
        <f t="shared" si="95"/>
        <v>8</v>
      </c>
      <c r="CT12" s="75">
        <v>11364</v>
      </c>
      <c r="CU12" s="67">
        <f t="shared" si="96"/>
        <v>8</v>
      </c>
      <c r="CV12" s="68">
        <v>27102</v>
      </c>
      <c r="CW12" s="67">
        <f t="shared" si="97"/>
        <v>24</v>
      </c>
      <c r="CX12" s="58">
        <v>4222.3999999999996</v>
      </c>
      <c r="CY12" s="67">
        <f t="shared" si="98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49"/>
        <v>1600.0000000002678</v>
      </c>
      <c r="E13" s="58">
        <v>4.6539999999999999</v>
      </c>
      <c r="F13" s="64">
        <f t="shared" si="50"/>
        <v>2900.0000000003465</v>
      </c>
      <c r="G13" s="58">
        <v>4.6344000000000003</v>
      </c>
      <c r="H13" s="64">
        <f t="shared" si="51"/>
        <v>2900.0000000003465</v>
      </c>
      <c r="I13" s="58">
        <v>2.3117000000000001</v>
      </c>
      <c r="J13" s="64">
        <f t="shared" si="52"/>
        <v>1400.0000000002899</v>
      </c>
      <c r="K13" s="58">
        <v>3.5762999999999998</v>
      </c>
      <c r="L13" s="64">
        <f t="shared" si="53"/>
        <v>2099.9999999999909</v>
      </c>
      <c r="M13" s="58">
        <v>2.1049000000000002</v>
      </c>
      <c r="N13" s="64">
        <f t="shared" si="54"/>
        <v>1300.0000000000789</v>
      </c>
      <c r="O13" s="58">
        <v>23540</v>
      </c>
      <c r="P13" s="67">
        <f t="shared" si="55"/>
        <v>26</v>
      </c>
      <c r="Q13" s="58">
        <v>2889</v>
      </c>
      <c r="R13" s="67">
        <f t="shared" si="56"/>
        <v>3</v>
      </c>
      <c r="S13" s="58">
        <v>1483.9</v>
      </c>
      <c r="T13" s="67">
        <f t="shared" si="57"/>
        <v>1000</v>
      </c>
      <c r="U13" s="58">
        <v>593617.4</v>
      </c>
      <c r="V13" s="67">
        <f t="shared" si="58"/>
        <v>389.5</v>
      </c>
      <c r="W13" s="58">
        <v>544.04999999999995</v>
      </c>
      <c r="X13" s="65">
        <f t="shared" si="59"/>
        <v>259.99999999999091</v>
      </c>
      <c r="Y13" s="58">
        <v>4.0995999999999997</v>
      </c>
      <c r="Z13" s="65">
        <f t="shared" si="60"/>
        <v>2299.9999999999686</v>
      </c>
      <c r="AA13" s="58">
        <v>551.67999999999995</v>
      </c>
      <c r="AB13" s="65">
        <f t="shared" si="61"/>
        <v>589.99999999991815</v>
      </c>
      <c r="AC13" s="58">
        <v>545.03</v>
      </c>
      <c r="AD13" s="65">
        <f t="shared" si="62"/>
        <v>299.99999999995453</v>
      </c>
      <c r="AE13" s="58">
        <v>838.27</v>
      </c>
      <c r="AF13" s="65">
        <f t="shared" si="63"/>
        <v>539.99999999996362</v>
      </c>
      <c r="AG13" s="58">
        <v>21040</v>
      </c>
      <c r="AH13" s="67">
        <f t="shared" si="64"/>
        <v>33</v>
      </c>
      <c r="AI13" s="58">
        <v>927.18</v>
      </c>
      <c r="AJ13" s="65">
        <f t="shared" si="65"/>
        <v>709.99999999992269</v>
      </c>
      <c r="AK13" s="58">
        <v>307.73</v>
      </c>
      <c r="AL13" s="65">
        <f t="shared" si="66"/>
        <v>170.00000000001592</v>
      </c>
      <c r="AM13" s="58">
        <v>285.58999999999997</v>
      </c>
      <c r="AN13" s="65">
        <f t="shared" si="67"/>
        <v>109.9999999999568</v>
      </c>
      <c r="AO13" s="58">
        <v>275.86</v>
      </c>
      <c r="AP13" s="65">
        <f t="shared" si="68"/>
        <v>69.999999999993179</v>
      </c>
      <c r="AQ13" s="58">
        <v>328.86</v>
      </c>
      <c r="AR13" s="65">
        <f t="shared" si="69"/>
        <v>80.000000000040927</v>
      </c>
      <c r="AS13" s="58">
        <v>454.65</v>
      </c>
      <c r="AT13" s="65">
        <f t="shared" si="70"/>
        <v>89.999999999974989</v>
      </c>
      <c r="AU13" s="58">
        <v>362.03</v>
      </c>
      <c r="AV13" s="65">
        <f t="shared" si="71"/>
        <v>79.999999999984084</v>
      </c>
      <c r="AW13" s="58">
        <v>391.2</v>
      </c>
      <c r="AX13" s="65">
        <f t="shared" si="72"/>
        <v>129.99999999999545</v>
      </c>
      <c r="AY13" s="58">
        <v>426.87</v>
      </c>
      <c r="AZ13" s="65">
        <f t="shared" si="73"/>
        <v>110.00000000001364</v>
      </c>
      <c r="BA13" s="58">
        <v>443.87</v>
      </c>
      <c r="BB13" s="65">
        <f t="shared" si="74"/>
        <v>79.999999999984084</v>
      </c>
      <c r="BC13" s="58">
        <v>284.74</v>
      </c>
      <c r="BD13" s="65">
        <f t="shared" si="75"/>
        <v>40.000000000020464</v>
      </c>
      <c r="BE13" s="59">
        <v>54936</v>
      </c>
      <c r="BF13" s="67">
        <f t="shared" si="76"/>
        <v>34</v>
      </c>
      <c r="BG13" s="60">
        <v>251.91</v>
      </c>
      <c r="BH13" s="65">
        <f t="shared" si="77"/>
        <v>39.999999999992042</v>
      </c>
      <c r="BI13" s="60">
        <v>306.44</v>
      </c>
      <c r="BJ13" s="65">
        <f t="shared" si="78"/>
        <v>40.000000000020464</v>
      </c>
      <c r="BK13" s="60">
        <v>256.64999999999998</v>
      </c>
      <c r="BL13" s="65">
        <f t="shared" si="79"/>
        <v>39.99999999996362</v>
      </c>
      <c r="BM13" s="60">
        <v>241.78</v>
      </c>
      <c r="BN13" s="65">
        <f t="shared" si="80"/>
        <v>30.000000000001137</v>
      </c>
      <c r="BO13" s="60">
        <v>310.39</v>
      </c>
      <c r="BP13" s="65">
        <f t="shared" si="81"/>
        <v>39.99999999996362</v>
      </c>
      <c r="BQ13" s="60">
        <v>60009</v>
      </c>
      <c r="BR13" s="65">
        <f t="shared" si="82"/>
        <v>33</v>
      </c>
      <c r="BS13" s="60">
        <v>219.85</v>
      </c>
      <c r="BT13" s="65">
        <f t="shared" si="83"/>
        <v>39.999999999992042</v>
      </c>
      <c r="BU13" s="60">
        <v>58001</v>
      </c>
      <c r="BV13" s="65">
        <f t="shared" si="84"/>
        <v>32</v>
      </c>
      <c r="BW13" s="60">
        <v>247.91</v>
      </c>
      <c r="BX13" s="65">
        <f t="shared" si="85"/>
        <v>39.999999999992042</v>
      </c>
      <c r="BY13" s="60">
        <v>78256</v>
      </c>
      <c r="BZ13" s="67">
        <f t="shared" si="86"/>
        <v>45</v>
      </c>
      <c r="CA13" s="60">
        <v>54217.5</v>
      </c>
      <c r="CB13" s="67">
        <f t="shared" si="87"/>
        <v>53.099999999998545</v>
      </c>
      <c r="CC13" s="60">
        <v>16959.400000000001</v>
      </c>
      <c r="CD13" s="67">
        <f t="shared" si="88"/>
        <v>9.6000000000021828</v>
      </c>
      <c r="CE13" s="60">
        <v>8578.2999999999993</v>
      </c>
      <c r="CF13" s="67">
        <f t="shared" si="89"/>
        <v>1.6999999999989086</v>
      </c>
      <c r="CG13" s="60">
        <v>79996.800000000003</v>
      </c>
      <c r="CH13" s="67">
        <f t="shared" si="90"/>
        <v>70</v>
      </c>
      <c r="CI13" s="60">
        <v>1078566</v>
      </c>
      <c r="CJ13" s="67">
        <f t="shared" si="91"/>
        <v>279</v>
      </c>
      <c r="CK13" s="60">
        <v>1090.8</v>
      </c>
      <c r="CL13" s="64">
        <f t="shared" si="92"/>
        <v>700.00000000004547</v>
      </c>
      <c r="CM13" s="65">
        <f t="shared" si="93"/>
        <v>80</v>
      </c>
      <c r="CN13" s="62">
        <v>12</v>
      </c>
      <c r="CO13" s="62">
        <v>25</v>
      </c>
      <c r="CP13" s="68">
        <v>40401</v>
      </c>
      <c r="CQ13" s="67">
        <f t="shared" si="94"/>
        <v>56</v>
      </c>
      <c r="CR13" s="68">
        <v>23827</v>
      </c>
      <c r="CS13" s="67">
        <f t="shared" si="95"/>
        <v>24</v>
      </c>
      <c r="CT13" s="75">
        <v>11372</v>
      </c>
      <c r="CU13" s="67">
        <f t="shared" si="96"/>
        <v>8</v>
      </c>
      <c r="CV13" s="68">
        <v>27129</v>
      </c>
      <c r="CW13" s="67">
        <f t="shared" si="97"/>
        <v>27</v>
      </c>
      <c r="CX13" s="58">
        <v>4232.8999999999996</v>
      </c>
      <c r="CY13" s="67">
        <f t="shared" si="98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49"/>
        <v>1700.0000000000348</v>
      </c>
      <c r="E14" s="58">
        <v>4.6569000000000003</v>
      </c>
      <c r="F14" s="64">
        <f t="shared" si="50"/>
        <v>2900.0000000003465</v>
      </c>
      <c r="G14" s="58">
        <v>4.6372</v>
      </c>
      <c r="H14" s="64">
        <f t="shared" si="51"/>
        <v>2799.9999999996917</v>
      </c>
      <c r="I14" s="58">
        <v>2.3130999999999999</v>
      </c>
      <c r="J14" s="64">
        <f t="shared" si="52"/>
        <v>1399.9999999998458</v>
      </c>
      <c r="K14" s="58">
        <v>3.5783999999999998</v>
      </c>
      <c r="L14" s="64">
        <f t="shared" si="53"/>
        <v>2099.9999999999909</v>
      </c>
      <c r="M14" s="58">
        <v>2.1061999999999999</v>
      </c>
      <c r="N14" s="64">
        <f t="shared" si="54"/>
        <v>1299.9999999996348</v>
      </c>
      <c r="O14" s="58">
        <v>23567</v>
      </c>
      <c r="P14" s="67">
        <f t="shared" si="55"/>
        <v>27</v>
      </c>
      <c r="Q14" s="58">
        <v>2893</v>
      </c>
      <c r="R14" s="67">
        <f t="shared" si="56"/>
        <v>4</v>
      </c>
      <c r="S14" s="58">
        <v>1484.9</v>
      </c>
      <c r="T14" s="67">
        <f t="shared" si="57"/>
        <v>1000</v>
      </c>
      <c r="U14" s="58">
        <v>593944.1</v>
      </c>
      <c r="V14" s="67">
        <f t="shared" si="58"/>
        <v>326.69999999995343</v>
      </c>
      <c r="W14" s="58">
        <v>544.28</v>
      </c>
      <c r="X14" s="65">
        <f t="shared" si="59"/>
        <v>230.00000000001819</v>
      </c>
      <c r="Y14" s="58">
        <v>4.1025999999999998</v>
      </c>
      <c r="Z14" s="65">
        <f t="shared" si="60"/>
        <v>3000.0000000001137</v>
      </c>
      <c r="AA14" s="58">
        <v>551.89</v>
      </c>
      <c r="AB14" s="65">
        <f t="shared" si="61"/>
        <v>210.00000000003638</v>
      </c>
      <c r="AC14" s="58">
        <v>545.4</v>
      </c>
      <c r="AD14" s="65">
        <f t="shared" si="62"/>
        <v>370.00000000000455</v>
      </c>
      <c r="AE14" s="58">
        <v>838.83</v>
      </c>
      <c r="AF14" s="65">
        <f t="shared" si="63"/>
        <v>560.00000000005912</v>
      </c>
      <c r="AG14" s="58">
        <v>21072</v>
      </c>
      <c r="AH14" s="67">
        <f t="shared" si="64"/>
        <v>32</v>
      </c>
      <c r="AI14" s="58">
        <v>927.63</v>
      </c>
      <c r="AJ14" s="65">
        <f t="shared" si="65"/>
        <v>450.00000000004547</v>
      </c>
      <c r="AK14" s="58">
        <v>307.88</v>
      </c>
      <c r="AL14" s="65">
        <f t="shared" si="66"/>
        <v>149.99999999997726</v>
      </c>
      <c r="AM14" s="58">
        <v>285.69</v>
      </c>
      <c r="AN14" s="65">
        <f t="shared" si="67"/>
        <v>100.00000000002274</v>
      </c>
      <c r="AO14" s="58">
        <v>275.94</v>
      </c>
      <c r="AP14" s="65">
        <f t="shared" si="68"/>
        <v>79.999999999984084</v>
      </c>
      <c r="AQ14" s="58">
        <v>328.94</v>
      </c>
      <c r="AR14" s="65">
        <f t="shared" si="69"/>
        <v>79.999999999984084</v>
      </c>
      <c r="AS14" s="58">
        <v>454.72</v>
      </c>
      <c r="AT14" s="65">
        <f t="shared" si="70"/>
        <v>70.000000000050022</v>
      </c>
      <c r="AU14" s="58">
        <v>362.09</v>
      </c>
      <c r="AV14" s="65">
        <f t="shared" si="71"/>
        <v>60.000000000002274</v>
      </c>
      <c r="AW14" s="58">
        <v>391.3</v>
      </c>
      <c r="AX14" s="65">
        <f t="shared" si="72"/>
        <v>100.00000000002274</v>
      </c>
      <c r="AY14" s="58">
        <v>427</v>
      </c>
      <c r="AZ14" s="65">
        <f t="shared" si="73"/>
        <v>129.99999999999545</v>
      </c>
      <c r="BA14" s="58">
        <v>443.93</v>
      </c>
      <c r="BB14" s="65">
        <f t="shared" si="74"/>
        <v>60.000000000002274</v>
      </c>
      <c r="BC14" s="58">
        <v>284.77999999999997</v>
      </c>
      <c r="BD14" s="65">
        <f t="shared" si="75"/>
        <v>39.99999999996362</v>
      </c>
      <c r="BE14" s="59">
        <v>54980</v>
      </c>
      <c r="BF14" s="67">
        <f t="shared" si="76"/>
        <v>44</v>
      </c>
      <c r="BG14" s="60">
        <v>251.95</v>
      </c>
      <c r="BH14" s="65">
        <f t="shared" si="77"/>
        <v>39.999999999992042</v>
      </c>
      <c r="BI14" s="60">
        <v>306.48</v>
      </c>
      <c r="BJ14" s="65">
        <f t="shared" si="78"/>
        <v>40.000000000020464</v>
      </c>
      <c r="BK14" s="60">
        <v>256.69</v>
      </c>
      <c r="BL14" s="65">
        <f t="shared" si="79"/>
        <v>40.000000000020464</v>
      </c>
      <c r="BM14" s="60">
        <v>241.82</v>
      </c>
      <c r="BN14" s="65">
        <f t="shared" si="80"/>
        <v>39.999999999992042</v>
      </c>
      <c r="BO14" s="60">
        <v>310.44</v>
      </c>
      <c r="BP14" s="65">
        <f t="shared" si="81"/>
        <v>50.000000000011369</v>
      </c>
      <c r="BQ14" s="60">
        <v>60045</v>
      </c>
      <c r="BR14" s="65">
        <f t="shared" si="82"/>
        <v>36</v>
      </c>
      <c r="BS14" s="60">
        <v>219.88</v>
      </c>
      <c r="BT14" s="65">
        <f t="shared" si="83"/>
        <v>30.000000000001137</v>
      </c>
      <c r="BU14" s="60">
        <v>58042</v>
      </c>
      <c r="BV14" s="65">
        <f t="shared" si="84"/>
        <v>41</v>
      </c>
      <c r="BW14" s="60">
        <v>247.96</v>
      </c>
      <c r="BX14" s="65">
        <f t="shared" si="85"/>
        <v>50.000000000011369</v>
      </c>
      <c r="BY14" s="60">
        <v>78304</v>
      </c>
      <c r="BZ14" s="67">
        <f t="shared" si="86"/>
        <v>48</v>
      </c>
      <c r="CA14" s="60">
        <v>54273.5</v>
      </c>
      <c r="CB14" s="67">
        <f t="shared" si="87"/>
        <v>56</v>
      </c>
      <c r="CC14" s="60">
        <v>16965.5</v>
      </c>
      <c r="CD14" s="67">
        <f t="shared" si="88"/>
        <v>6.0999999999985448</v>
      </c>
      <c r="CE14" s="60">
        <v>8581.7000000000007</v>
      </c>
      <c r="CF14" s="67">
        <f t="shared" si="89"/>
        <v>3.4000000000014552</v>
      </c>
      <c r="CG14" s="60">
        <v>80064.100000000006</v>
      </c>
      <c r="CH14" s="67">
        <f t="shared" si="90"/>
        <v>67.30000000000291</v>
      </c>
      <c r="CI14" s="60">
        <v>1078840</v>
      </c>
      <c r="CJ14" s="67">
        <f t="shared" si="91"/>
        <v>274</v>
      </c>
      <c r="CK14" s="60">
        <v>1091.7</v>
      </c>
      <c r="CL14" s="64">
        <f t="shared" si="92"/>
        <v>900.00000000009095</v>
      </c>
      <c r="CM14" s="65">
        <f t="shared" si="93"/>
        <v>70.400000000001455</v>
      </c>
      <c r="CN14" s="62">
        <v>12</v>
      </c>
      <c r="CO14" s="62">
        <v>26</v>
      </c>
      <c r="CP14" s="68">
        <v>40465</v>
      </c>
      <c r="CQ14" s="67">
        <f t="shared" si="94"/>
        <v>64</v>
      </c>
      <c r="CR14" s="68">
        <v>23833.4</v>
      </c>
      <c r="CS14" s="67">
        <f t="shared" si="95"/>
        <v>6.4000000000014552</v>
      </c>
      <c r="CT14" s="75">
        <v>11381</v>
      </c>
      <c r="CU14" s="67">
        <f t="shared" si="96"/>
        <v>9</v>
      </c>
      <c r="CV14" s="68">
        <v>27154</v>
      </c>
      <c r="CW14" s="67">
        <f t="shared" si="97"/>
        <v>25</v>
      </c>
      <c r="CX14" s="58">
        <v>4243.7</v>
      </c>
      <c r="CY14" s="67">
        <f t="shared" si="98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49"/>
        <v>1700.0000000000348</v>
      </c>
      <c r="E15" s="58">
        <v>4.6597</v>
      </c>
      <c r="F15" s="64">
        <f t="shared" si="50"/>
        <v>2799.9999999996917</v>
      </c>
      <c r="G15" s="58">
        <v>4.6397000000000004</v>
      </c>
      <c r="H15" s="64">
        <f t="shared" si="51"/>
        <v>2500.0000000003906</v>
      </c>
      <c r="I15" s="58">
        <v>2.3144999999999998</v>
      </c>
      <c r="J15" s="64">
        <f t="shared" si="52"/>
        <v>1399.9999999998458</v>
      </c>
      <c r="K15" s="58">
        <v>3.5804</v>
      </c>
      <c r="L15" s="64">
        <f t="shared" si="53"/>
        <v>2000.0000000002237</v>
      </c>
      <c r="M15" s="58">
        <v>2.1074999999999999</v>
      </c>
      <c r="N15" s="64">
        <f t="shared" si="54"/>
        <v>1300.0000000000789</v>
      </c>
      <c r="O15" s="58">
        <v>23591</v>
      </c>
      <c r="P15" s="67">
        <f t="shared" si="55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7"/>
        <v>500</v>
      </c>
      <c r="U15" s="58">
        <v>594278</v>
      </c>
      <c r="V15" s="67">
        <f t="shared" si="58"/>
        <v>333.90000000002328</v>
      </c>
      <c r="W15" s="58">
        <v>544.53</v>
      </c>
      <c r="X15" s="65">
        <f t="shared" si="59"/>
        <v>250</v>
      </c>
      <c r="Y15" s="58">
        <v>4.1052</v>
      </c>
      <c r="Z15" s="65">
        <f t="shared" si="60"/>
        <v>2600.0000000001578</v>
      </c>
      <c r="AA15" s="58">
        <v>552.26</v>
      </c>
      <c r="AB15" s="65">
        <f t="shared" si="61"/>
        <v>370.00000000000455</v>
      </c>
      <c r="AC15" s="58">
        <v>545.73</v>
      </c>
      <c r="AD15" s="65">
        <f t="shared" si="62"/>
        <v>330.00000000004093</v>
      </c>
      <c r="AE15" s="58">
        <v>839.39</v>
      </c>
      <c r="AF15" s="65">
        <f t="shared" si="63"/>
        <v>559.99999999994543</v>
      </c>
      <c r="AG15" s="58">
        <v>21107</v>
      </c>
      <c r="AH15" s="67">
        <f t="shared" si="64"/>
        <v>35</v>
      </c>
      <c r="AI15" s="58">
        <v>928.09</v>
      </c>
      <c r="AJ15" s="65">
        <f t="shared" si="65"/>
        <v>460.00000000003638</v>
      </c>
      <c r="AK15" s="58">
        <v>308.13</v>
      </c>
      <c r="AL15" s="65">
        <f t="shared" si="66"/>
        <v>250</v>
      </c>
      <c r="AM15" s="58">
        <v>285.79000000000002</v>
      </c>
      <c r="AN15" s="65">
        <f t="shared" si="67"/>
        <v>100.00000000002274</v>
      </c>
      <c r="AO15" s="58">
        <v>276.04000000000002</v>
      </c>
      <c r="AP15" s="65">
        <f t="shared" si="68"/>
        <v>100.00000000002274</v>
      </c>
      <c r="AQ15" s="58">
        <v>329.03</v>
      </c>
      <c r="AR15" s="65">
        <f t="shared" si="69"/>
        <v>89.999999999974989</v>
      </c>
      <c r="AS15" s="58">
        <v>454.81</v>
      </c>
      <c r="AT15" s="65">
        <f t="shared" si="70"/>
        <v>89.999999999974989</v>
      </c>
      <c r="AU15" s="58">
        <v>362.17</v>
      </c>
      <c r="AV15" s="65">
        <f t="shared" si="71"/>
        <v>80.000000000040927</v>
      </c>
      <c r="AW15" s="58">
        <v>391.42</v>
      </c>
      <c r="AX15" s="65">
        <f t="shared" si="72"/>
        <v>120.00000000000455</v>
      </c>
      <c r="AY15" s="58">
        <v>427.13</v>
      </c>
      <c r="AZ15" s="65">
        <f t="shared" si="73"/>
        <v>129.99999999999545</v>
      </c>
      <c r="BA15" s="58">
        <v>444.02</v>
      </c>
      <c r="BB15" s="65">
        <f t="shared" si="74"/>
        <v>89.999999999974989</v>
      </c>
      <c r="BC15" s="58">
        <v>284.82</v>
      </c>
      <c r="BD15" s="65">
        <f t="shared" si="75"/>
        <v>40.000000000020464</v>
      </c>
      <c r="BE15" s="59">
        <v>55022</v>
      </c>
      <c r="BF15" s="67">
        <f t="shared" si="76"/>
        <v>42</v>
      </c>
      <c r="BG15" s="60">
        <v>251.99</v>
      </c>
      <c r="BH15" s="65">
        <f t="shared" si="77"/>
        <v>40.000000000020464</v>
      </c>
      <c r="BI15" s="60">
        <v>306.51</v>
      </c>
      <c r="BJ15" s="65">
        <f t="shared" si="78"/>
        <v>29.999999999972715</v>
      </c>
      <c r="BK15" s="60">
        <v>256.73</v>
      </c>
      <c r="BL15" s="65">
        <f t="shared" si="79"/>
        <v>40.000000000020464</v>
      </c>
      <c r="BM15" s="60">
        <v>241.86</v>
      </c>
      <c r="BN15" s="65">
        <f t="shared" si="80"/>
        <v>40.000000000020464</v>
      </c>
      <c r="BO15" s="60">
        <v>310.48</v>
      </c>
      <c r="BP15" s="65">
        <f t="shared" si="81"/>
        <v>40.000000000020464</v>
      </c>
      <c r="BQ15" s="60">
        <v>60075</v>
      </c>
      <c r="BR15" s="65">
        <f t="shared" si="82"/>
        <v>30</v>
      </c>
      <c r="BS15" s="60">
        <v>219.92</v>
      </c>
      <c r="BT15" s="65">
        <f t="shared" si="83"/>
        <v>39.999999999992042</v>
      </c>
      <c r="BU15" s="60">
        <v>58071</v>
      </c>
      <c r="BV15" s="65">
        <f t="shared" si="84"/>
        <v>29</v>
      </c>
      <c r="BW15" s="60">
        <v>247.99</v>
      </c>
      <c r="BX15" s="65">
        <f t="shared" si="85"/>
        <v>30.000000000001137</v>
      </c>
      <c r="BY15" s="60">
        <v>78348</v>
      </c>
      <c r="BZ15" s="67">
        <f t="shared" si="86"/>
        <v>44</v>
      </c>
      <c r="CA15" s="60">
        <v>54332.4</v>
      </c>
      <c r="CB15" s="67">
        <f t="shared" si="87"/>
        <v>58.900000000001455</v>
      </c>
      <c r="CC15" s="60">
        <v>16975</v>
      </c>
      <c r="CD15" s="67">
        <f t="shared" si="88"/>
        <v>9.5</v>
      </c>
      <c r="CE15" s="60">
        <v>8582.2000000000007</v>
      </c>
      <c r="CF15" s="67">
        <f t="shared" si="89"/>
        <v>0.5</v>
      </c>
      <c r="CG15" s="60">
        <v>80131.7</v>
      </c>
      <c r="CH15" s="67">
        <f t="shared" si="90"/>
        <v>67.599999999991269</v>
      </c>
      <c r="CI15" s="60">
        <v>1079134</v>
      </c>
      <c r="CJ15" s="67">
        <f t="shared" si="91"/>
        <v>294</v>
      </c>
      <c r="CK15" s="60">
        <v>1092.3</v>
      </c>
      <c r="CL15" s="64">
        <f t="shared" si="92"/>
        <v>599.99999999990905</v>
      </c>
      <c r="CM15" s="65">
        <f t="shared" si="93"/>
        <v>84.799999999999272</v>
      </c>
      <c r="CN15" s="62">
        <v>12</v>
      </c>
      <c r="CO15" s="62">
        <v>26</v>
      </c>
      <c r="CP15" s="68">
        <v>40532</v>
      </c>
      <c r="CQ15" s="67">
        <f t="shared" si="94"/>
        <v>67</v>
      </c>
      <c r="CR15" s="68">
        <v>23851.200000000001</v>
      </c>
      <c r="CS15" s="67">
        <f t="shared" si="95"/>
        <v>17.799999999999272</v>
      </c>
      <c r="CT15" s="75">
        <v>11390</v>
      </c>
      <c r="CU15" s="67">
        <f t="shared" si="96"/>
        <v>9</v>
      </c>
      <c r="CV15" s="68">
        <v>27177</v>
      </c>
      <c r="CW15" s="67">
        <f t="shared" si="97"/>
        <v>23</v>
      </c>
      <c r="CX15" s="58">
        <v>4253.8</v>
      </c>
      <c r="CY15" s="67">
        <f t="shared" si="98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49"/>
        <v>1900.0000000000127</v>
      </c>
      <c r="E16" s="58">
        <v>4.6627000000000001</v>
      </c>
      <c r="F16" s="64">
        <f t="shared" si="50"/>
        <v>3000.0000000001137</v>
      </c>
      <c r="G16" s="58">
        <v>4.6428000000000003</v>
      </c>
      <c r="H16" s="64">
        <f t="shared" si="51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3"/>
        <v>2099.9999999999909</v>
      </c>
      <c r="M16" s="58">
        <v>2.1088</v>
      </c>
      <c r="N16" s="64">
        <f t="shared" si="54"/>
        <v>1300.0000000000789</v>
      </c>
      <c r="O16" s="58">
        <v>23619</v>
      </c>
      <c r="P16" s="67">
        <f t="shared" si="55"/>
        <v>28</v>
      </c>
      <c r="Q16" s="58">
        <v>2900</v>
      </c>
      <c r="R16" s="67">
        <f t="shared" si="56"/>
        <v>4</v>
      </c>
      <c r="S16" s="58">
        <v>1486.3</v>
      </c>
      <c r="T16" s="67">
        <f t="shared" si="57"/>
        <v>899.99999999986358</v>
      </c>
      <c r="U16" s="58">
        <v>594649.9</v>
      </c>
      <c r="V16" s="67">
        <f t="shared" si="58"/>
        <v>371.90000000002328</v>
      </c>
      <c r="W16" s="58">
        <v>544.80999999999995</v>
      </c>
      <c r="X16" s="65">
        <f t="shared" si="59"/>
        <v>279.99999999997272</v>
      </c>
      <c r="Y16" s="58">
        <v>4.1078999999999999</v>
      </c>
      <c r="Z16" s="65">
        <f t="shared" si="60"/>
        <v>2699.9999999999245</v>
      </c>
      <c r="AA16" s="58">
        <v>552.52</v>
      </c>
      <c r="AB16" s="65">
        <f t="shared" si="61"/>
        <v>259.99999999999091</v>
      </c>
      <c r="AC16" s="58">
        <v>546.08000000000004</v>
      </c>
      <c r="AD16" s="65">
        <f t="shared" si="62"/>
        <v>350.00000000002274</v>
      </c>
      <c r="AE16" s="58">
        <v>840.02</v>
      </c>
      <c r="AF16" s="65">
        <f t="shared" si="63"/>
        <v>629.99999999999545</v>
      </c>
      <c r="AG16" s="58">
        <v>21146</v>
      </c>
      <c r="AH16" s="67">
        <f t="shared" si="64"/>
        <v>39</v>
      </c>
      <c r="AI16" s="58">
        <v>928.56</v>
      </c>
      <c r="AJ16" s="65">
        <f t="shared" si="65"/>
        <v>469.9999999999136</v>
      </c>
      <c r="AK16" s="58">
        <v>308.32</v>
      </c>
      <c r="AL16" s="65">
        <f t="shared" si="66"/>
        <v>189.99999999999773</v>
      </c>
      <c r="AM16" s="58">
        <v>285.91000000000003</v>
      </c>
      <c r="AN16" s="65">
        <f t="shared" si="67"/>
        <v>120.00000000000455</v>
      </c>
      <c r="AO16" s="58">
        <v>276.14</v>
      </c>
      <c r="AP16" s="65">
        <f t="shared" si="68"/>
        <v>99.999999999965894</v>
      </c>
      <c r="AQ16" s="58">
        <v>329.13</v>
      </c>
      <c r="AR16" s="65">
        <f t="shared" si="69"/>
        <v>100.00000000002274</v>
      </c>
      <c r="AS16" s="58">
        <v>454.91</v>
      </c>
      <c r="AT16" s="65">
        <f t="shared" si="70"/>
        <v>100.00000000002274</v>
      </c>
      <c r="AU16" s="58">
        <v>362.25</v>
      </c>
      <c r="AV16" s="65">
        <f t="shared" si="71"/>
        <v>79.999999999984084</v>
      </c>
      <c r="AW16" s="58">
        <v>391.54</v>
      </c>
      <c r="AX16" s="65">
        <f t="shared" si="72"/>
        <v>120.00000000000455</v>
      </c>
      <c r="AY16" s="58">
        <v>427.29</v>
      </c>
      <c r="AZ16" s="65">
        <f t="shared" si="73"/>
        <v>160.00000000002501</v>
      </c>
      <c r="BA16" s="58">
        <v>444.12</v>
      </c>
      <c r="BB16" s="65">
        <f t="shared" si="74"/>
        <v>100.00000000002274</v>
      </c>
      <c r="BC16" s="58">
        <v>284.86</v>
      </c>
      <c r="BD16" s="65">
        <f t="shared" si="75"/>
        <v>40.000000000020464</v>
      </c>
      <c r="BE16" s="59">
        <v>55067</v>
      </c>
      <c r="BF16" s="67">
        <f t="shared" si="76"/>
        <v>45</v>
      </c>
      <c r="BG16" s="60">
        <v>252.03</v>
      </c>
      <c r="BH16" s="65">
        <f t="shared" si="77"/>
        <v>39.999999999992042</v>
      </c>
      <c r="BI16" s="60">
        <v>306.54000000000002</v>
      </c>
      <c r="BJ16" s="65">
        <f t="shared" si="78"/>
        <v>30.000000000029559</v>
      </c>
      <c r="BK16" s="60">
        <v>256.76</v>
      </c>
      <c r="BL16" s="65">
        <f t="shared" si="79"/>
        <v>29.999999999972715</v>
      </c>
      <c r="BM16" s="60">
        <v>241.89</v>
      </c>
      <c r="BN16" s="65">
        <f t="shared" si="80"/>
        <v>29.999999999972715</v>
      </c>
      <c r="BO16" s="60">
        <v>310.52</v>
      </c>
      <c r="BP16" s="65">
        <f t="shared" si="81"/>
        <v>39.99999999996362</v>
      </c>
      <c r="BQ16" s="60">
        <v>60110</v>
      </c>
      <c r="BR16" s="65">
        <f t="shared" si="82"/>
        <v>35</v>
      </c>
      <c r="BS16" s="60">
        <v>219.96</v>
      </c>
      <c r="BT16" s="65">
        <f t="shared" si="83"/>
        <v>40.000000000020464</v>
      </c>
      <c r="BU16" s="60">
        <v>58102</v>
      </c>
      <c r="BV16" s="65">
        <f t="shared" si="84"/>
        <v>31</v>
      </c>
      <c r="BW16" s="60">
        <v>248.03</v>
      </c>
      <c r="BX16" s="65">
        <f t="shared" si="85"/>
        <v>39.999999999992042</v>
      </c>
      <c r="BY16" s="60">
        <v>78395</v>
      </c>
      <c r="BZ16" s="67">
        <f t="shared" si="86"/>
        <v>47</v>
      </c>
      <c r="CA16" s="60">
        <v>54383.8</v>
      </c>
      <c r="CB16" s="67">
        <f t="shared" si="87"/>
        <v>51.400000000001455</v>
      </c>
      <c r="CC16" s="60">
        <v>16987.400000000001</v>
      </c>
      <c r="CD16" s="67">
        <f t="shared" si="88"/>
        <v>12.400000000001455</v>
      </c>
      <c r="CE16" s="60">
        <v>8586.7000000000007</v>
      </c>
      <c r="CF16" s="67">
        <f t="shared" si="89"/>
        <v>4.5</v>
      </c>
      <c r="CG16" s="60">
        <v>80190.8</v>
      </c>
      <c r="CH16" s="67">
        <f t="shared" si="90"/>
        <v>59.100000000005821</v>
      </c>
      <c r="CI16" s="60">
        <v>1079414</v>
      </c>
      <c r="CJ16" s="67">
        <f t="shared" si="91"/>
        <v>280</v>
      </c>
      <c r="CK16" s="60">
        <v>1093.3</v>
      </c>
      <c r="CL16" s="64">
        <f t="shared" si="92"/>
        <v>1000</v>
      </c>
      <c r="CM16" s="65">
        <f t="shared" si="93"/>
        <v>107.89999999999782</v>
      </c>
      <c r="CN16" s="62">
        <v>11</v>
      </c>
      <c r="CO16" s="62">
        <v>24</v>
      </c>
      <c r="CP16" s="68">
        <v>40620</v>
      </c>
      <c r="CQ16" s="67">
        <f t="shared" si="94"/>
        <v>88</v>
      </c>
      <c r="CR16" s="68">
        <v>23871.1</v>
      </c>
      <c r="CS16" s="67">
        <f t="shared" si="95"/>
        <v>19.899999999997817</v>
      </c>
      <c r="CT16" s="75">
        <v>11398</v>
      </c>
      <c r="CU16" s="67">
        <f t="shared" si="96"/>
        <v>8</v>
      </c>
      <c r="CV16" s="68">
        <v>27197</v>
      </c>
      <c r="CW16" s="67">
        <f t="shared" si="97"/>
        <v>20</v>
      </c>
      <c r="CX16" s="58">
        <v>4264.8</v>
      </c>
      <c r="CY16" s="67">
        <f t="shared" si="98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49"/>
        <v>1900.0000000000127</v>
      </c>
      <c r="E17" s="58">
        <v>4.6656000000000004</v>
      </c>
      <c r="F17" s="64">
        <f t="shared" si="50"/>
        <v>2900.0000000003465</v>
      </c>
      <c r="G17" s="58">
        <v>4.6454000000000004</v>
      </c>
      <c r="H17" s="64">
        <f t="shared" si="51"/>
        <v>2600.0000000001578</v>
      </c>
      <c r="I17" s="58">
        <v>2.3174999999999999</v>
      </c>
      <c r="J17" s="64">
        <f t="shared" si="52"/>
        <v>1500.0000000000568</v>
      </c>
      <c r="K17" s="58">
        <v>3.5846</v>
      </c>
      <c r="L17" s="64">
        <f t="shared" si="53"/>
        <v>2099.9999999999909</v>
      </c>
      <c r="M17" s="58">
        <v>2.1103000000000001</v>
      </c>
      <c r="N17" s="64">
        <f t="shared" si="54"/>
        <v>1500.0000000000568</v>
      </c>
      <c r="O17" s="58">
        <v>23644</v>
      </c>
      <c r="P17" s="67">
        <f t="shared" si="55"/>
        <v>25</v>
      </c>
      <c r="Q17" s="58">
        <v>2904</v>
      </c>
      <c r="R17" s="67">
        <f t="shared" si="56"/>
        <v>4</v>
      </c>
      <c r="S17" s="58">
        <v>1487</v>
      </c>
      <c r="T17" s="67">
        <f t="shared" si="57"/>
        <v>700.00000000004547</v>
      </c>
      <c r="U17" s="58">
        <v>594985.80000000005</v>
      </c>
      <c r="V17" s="67">
        <f t="shared" si="58"/>
        <v>335.90000000002328</v>
      </c>
      <c r="W17" s="58">
        <v>545.08000000000004</v>
      </c>
      <c r="X17" s="65">
        <f t="shared" si="59"/>
        <v>270.0000000000955</v>
      </c>
      <c r="Y17" s="58">
        <v>4.1105999999999998</v>
      </c>
      <c r="Z17" s="65">
        <f t="shared" si="60"/>
        <v>2699.9999999999245</v>
      </c>
      <c r="AA17" s="58">
        <v>552.89</v>
      </c>
      <c r="AB17" s="65">
        <f t="shared" si="61"/>
        <v>370.00000000000455</v>
      </c>
      <c r="AC17" s="58">
        <v>546.44000000000005</v>
      </c>
      <c r="AD17" s="65">
        <f t="shared" si="62"/>
        <v>360.00000000001364</v>
      </c>
      <c r="AE17" s="58">
        <v>840.65</v>
      </c>
      <c r="AF17" s="65">
        <f t="shared" si="63"/>
        <v>629.99999999999545</v>
      </c>
      <c r="AG17" s="58">
        <v>21185</v>
      </c>
      <c r="AH17" s="67">
        <f t="shared" si="64"/>
        <v>39</v>
      </c>
      <c r="AI17" s="58">
        <v>929.07</v>
      </c>
      <c r="AJ17" s="65">
        <f t="shared" si="65"/>
        <v>510.00000000010459</v>
      </c>
      <c r="AK17" s="58">
        <v>308.52</v>
      </c>
      <c r="AL17" s="65">
        <f t="shared" si="66"/>
        <v>199.99999999998863</v>
      </c>
      <c r="AM17" s="58">
        <v>286.05</v>
      </c>
      <c r="AN17" s="65">
        <f t="shared" si="67"/>
        <v>139.99999999998636</v>
      </c>
      <c r="AO17" s="58">
        <v>276.29000000000002</v>
      </c>
      <c r="AP17" s="65">
        <f t="shared" si="68"/>
        <v>150.00000000003411</v>
      </c>
      <c r="AQ17" s="58">
        <v>329.32</v>
      </c>
      <c r="AR17" s="65">
        <f t="shared" si="69"/>
        <v>189.99999999999773</v>
      </c>
      <c r="AS17" s="58">
        <v>455.02</v>
      </c>
      <c r="AT17" s="65">
        <f t="shared" si="70"/>
        <v>109.9999999999568</v>
      </c>
      <c r="AU17" s="58">
        <v>362.35</v>
      </c>
      <c r="AV17" s="65">
        <f t="shared" si="71"/>
        <v>100.00000000002274</v>
      </c>
      <c r="AW17" s="58">
        <v>391.66</v>
      </c>
      <c r="AX17" s="65">
        <f t="shared" si="72"/>
        <v>120.00000000000455</v>
      </c>
      <c r="AY17" s="58">
        <v>427.46</v>
      </c>
      <c r="AZ17" s="65">
        <f t="shared" si="73"/>
        <v>169.99999999995907</v>
      </c>
      <c r="BA17" s="58">
        <v>444.23</v>
      </c>
      <c r="BB17" s="65">
        <f t="shared" si="74"/>
        <v>110.00000000001364</v>
      </c>
      <c r="BC17" s="58">
        <v>284.92</v>
      </c>
      <c r="BD17" s="65">
        <f t="shared" si="75"/>
        <v>60.000000000002274</v>
      </c>
      <c r="BE17" s="59">
        <v>55096</v>
      </c>
      <c r="BF17" s="67">
        <f t="shared" si="76"/>
        <v>29</v>
      </c>
      <c r="BG17" s="60">
        <v>252.07</v>
      </c>
      <c r="BH17" s="65">
        <f t="shared" si="77"/>
        <v>39.999999999992042</v>
      </c>
      <c r="BI17" s="60">
        <v>306.58</v>
      </c>
      <c r="BJ17" s="65">
        <f t="shared" si="78"/>
        <v>39.99999999996362</v>
      </c>
      <c r="BK17" s="60">
        <v>256.81</v>
      </c>
      <c r="BL17" s="65">
        <f t="shared" si="79"/>
        <v>50.000000000011369</v>
      </c>
      <c r="BM17" s="60">
        <v>241.93</v>
      </c>
      <c r="BN17" s="65">
        <f t="shared" si="80"/>
        <v>40.000000000020464</v>
      </c>
      <c r="BO17" s="60">
        <v>310.57</v>
      </c>
      <c r="BP17" s="65">
        <f t="shared" si="81"/>
        <v>50.000000000011369</v>
      </c>
      <c r="BQ17" s="60">
        <v>60153</v>
      </c>
      <c r="BR17" s="65">
        <f t="shared" si="82"/>
        <v>43</v>
      </c>
      <c r="BS17" s="60">
        <v>220</v>
      </c>
      <c r="BT17" s="65">
        <f t="shared" si="83"/>
        <v>39.999999999992042</v>
      </c>
      <c r="BU17" s="60">
        <v>58138</v>
      </c>
      <c r="BV17" s="65">
        <f t="shared" si="84"/>
        <v>36</v>
      </c>
      <c r="BW17" s="60">
        <v>248.08</v>
      </c>
      <c r="BX17" s="65">
        <f t="shared" si="85"/>
        <v>50.000000000011369</v>
      </c>
      <c r="BY17" s="60">
        <v>78444</v>
      </c>
      <c r="BZ17" s="67">
        <f t="shared" si="86"/>
        <v>49</v>
      </c>
      <c r="CA17" s="60">
        <v>54416.7</v>
      </c>
      <c r="CB17" s="67">
        <f t="shared" si="87"/>
        <v>32.899999999994179</v>
      </c>
      <c r="CC17" s="60">
        <v>16998.7</v>
      </c>
      <c r="CD17" s="67">
        <f t="shared" si="88"/>
        <v>11.299999999999272</v>
      </c>
      <c r="CE17" s="60">
        <v>8586.7000000000007</v>
      </c>
      <c r="CF17" s="67">
        <f t="shared" si="89"/>
        <v>0</v>
      </c>
      <c r="CG17" s="60">
        <v>80240.399999999994</v>
      </c>
      <c r="CH17" s="67">
        <f t="shared" si="90"/>
        <v>49.599999999991269</v>
      </c>
      <c r="CI17" s="60">
        <v>1079697</v>
      </c>
      <c r="CJ17" s="67">
        <f t="shared" si="91"/>
        <v>283</v>
      </c>
      <c r="CK17" s="60">
        <v>1094</v>
      </c>
      <c r="CL17" s="64">
        <f t="shared" si="92"/>
        <v>700.00000000004547</v>
      </c>
      <c r="CM17" s="65">
        <f t="shared" si="93"/>
        <v>84</v>
      </c>
      <c r="CN17" s="62">
        <v>13</v>
      </c>
      <c r="CO17" s="62">
        <v>25</v>
      </c>
      <c r="CP17" s="68">
        <v>40691</v>
      </c>
      <c r="CQ17" s="67">
        <f t="shared" si="94"/>
        <v>71</v>
      </c>
      <c r="CR17" s="68">
        <v>23884.1</v>
      </c>
      <c r="CS17" s="67">
        <f t="shared" si="95"/>
        <v>13</v>
      </c>
      <c r="CT17" s="75">
        <v>11406</v>
      </c>
      <c r="CU17" s="67">
        <f t="shared" si="96"/>
        <v>8</v>
      </c>
      <c r="CV17" s="68">
        <v>27222</v>
      </c>
      <c r="CW17" s="67">
        <f t="shared" si="97"/>
        <v>25</v>
      </c>
      <c r="CX17" s="58">
        <v>4275.8</v>
      </c>
      <c r="CY17" s="67">
        <f t="shared" si="98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49"/>
        <v>1999.9999999997797</v>
      </c>
      <c r="E18" s="58">
        <v>4.6684999999999999</v>
      </c>
      <c r="F18" s="64">
        <f t="shared" si="50"/>
        <v>2899.9999999994584</v>
      </c>
      <c r="G18" s="58">
        <v>4.6482999999999999</v>
      </c>
      <c r="H18" s="64">
        <f t="shared" si="51"/>
        <v>2899.9999999994584</v>
      </c>
      <c r="I18" s="58">
        <v>2.3189000000000002</v>
      </c>
      <c r="J18" s="64">
        <f t="shared" si="52"/>
        <v>1400.0000000002899</v>
      </c>
      <c r="K18" s="58">
        <v>3.5867</v>
      </c>
      <c r="L18" s="64">
        <f t="shared" si="53"/>
        <v>2099.9999999999909</v>
      </c>
      <c r="M18" s="58">
        <v>2.1116999999999999</v>
      </c>
      <c r="N18" s="64">
        <f t="shared" si="54"/>
        <v>1399.9999999998458</v>
      </c>
      <c r="O18" s="58">
        <v>23667</v>
      </c>
      <c r="P18" s="67">
        <f t="shared" si="55"/>
        <v>23</v>
      </c>
      <c r="Q18" s="58">
        <v>2909</v>
      </c>
      <c r="R18" s="67">
        <f t="shared" si="56"/>
        <v>5</v>
      </c>
      <c r="S18" s="58">
        <v>1488</v>
      </c>
      <c r="T18" s="67">
        <f t="shared" si="57"/>
        <v>1000</v>
      </c>
      <c r="U18" s="58">
        <v>595363.30000000005</v>
      </c>
      <c r="V18" s="67">
        <f t="shared" si="58"/>
        <v>377.5</v>
      </c>
      <c r="W18" s="58">
        <v>545.33000000000004</v>
      </c>
      <c r="X18" s="65">
        <f t="shared" si="59"/>
        <v>250</v>
      </c>
      <c r="Y18" s="58">
        <v>4.1132</v>
      </c>
      <c r="Z18" s="65">
        <f t="shared" si="60"/>
        <v>2600.0000000001578</v>
      </c>
      <c r="AA18" s="58">
        <v>553.09</v>
      </c>
      <c r="AB18" s="65">
        <f t="shared" si="61"/>
        <v>200.00000000004547</v>
      </c>
      <c r="AC18" s="58">
        <v>546.80999999999995</v>
      </c>
      <c r="AD18" s="65">
        <f t="shared" si="62"/>
        <v>369.99999999989086</v>
      </c>
      <c r="AE18" s="58">
        <v>841.33</v>
      </c>
      <c r="AF18" s="65">
        <f t="shared" si="63"/>
        <v>680.00000000006366</v>
      </c>
      <c r="AG18" s="58">
        <v>21219</v>
      </c>
      <c r="AH18" s="67">
        <f t="shared" si="64"/>
        <v>34</v>
      </c>
      <c r="AI18" s="58">
        <v>929.52</v>
      </c>
      <c r="AJ18" s="65">
        <f t="shared" si="65"/>
        <v>449.99999999993179</v>
      </c>
      <c r="AK18" s="58">
        <v>308.68</v>
      </c>
      <c r="AL18" s="65">
        <f t="shared" si="66"/>
        <v>160.00000000002501</v>
      </c>
      <c r="AM18" s="58">
        <v>286.20999999999998</v>
      </c>
      <c r="AN18" s="65">
        <f t="shared" si="67"/>
        <v>159.99999999996817</v>
      </c>
      <c r="AO18" s="58">
        <v>276.39999999999998</v>
      </c>
      <c r="AP18" s="65">
        <f t="shared" si="68"/>
        <v>109.9999999999568</v>
      </c>
      <c r="AQ18" s="58">
        <v>329.54</v>
      </c>
      <c r="AR18" s="65">
        <f t="shared" si="69"/>
        <v>220.00000000002728</v>
      </c>
      <c r="AS18" s="58">
        <v>455.12</v>
      </c>
      <c r="AT18" s="65">
        <f t="shared" si="70"/>
        <v>100.00000000002274</v>
      </c>
      <c r="AU18" s="58">
        <v>362.43</v>
      </c>
      <c r="AV18" s="65">
        <f t="shared" si="71"/>
        <v>79.999999999984084</v>
      </c>
      <c r="AW18" s="58">
        <v>391.76</v>
      </c>
      <c r="AX18" s="65">
        <f t="shared" si="72"/>
        <v>99.999999999965894</v>
      </c>
      <c r="AY18" s="58">
        <v>427.56</v>
      </c>
      <c r="AZ18" s="65">
        <f t="shared" si="73"/>
        <v>100.00000000002274</v>
      </c>
      <c r="BA18" s="58">
        <v>444.32</v>
      </c>
      <c r="BB18" s="65">
        <f t="shared" si="74"/>
        <v>89.999999999974989</v>
      </c>
      <c r="BC18" s="58">
        <v>284.97000000000003</v>
      </c>
      <c r="BD18" s="65">
        <f t="shared" si="75"/>
        <v>50.000000000011369</v>
      </c>
      <c r="BE18" s="59">
        <v>55129</v>
      </c>
      <c r="BF18" s="67">
        <f t="shared" si="76"/>
        <v>33</v>
      </c>
      <c r="BG18" s="60">
        <v>252.11</v>
      </c>
      <c r="BH18" s="65">
        <f t="shared" si="77"/>
        <v>40.000000000020464</v>
      </c>
      <c r="BI18" s="60">
        <v>306.62</v>
      </c>
      <c r="BJ18" s="65">
        <f t="shared" si="78"/>
        <v>40.000000000020464</v>
      </c>
      <c r="BK18" s="60">
        <v>256.85000000000002</v>
      </c>
      <c r="BL18" s="65">
        <f t="shared" si="79"/>
        <v>40.000000000020464</v>
      </c>
      <c r="BM18" s="60">
        <v>241.97</v>
      </c>
      <c r="BN18" s="65">
        <f t="shared" si="80"/>
        <v>39.999999999992042</v>
      </c>
      <c r="BO18" s="60">
        <v>310.61</v>
      </c>
      <c r="BP18" s="65">
        <f t="shared" si="81"/>
        <v>40.000000000020464</v>
      </c>
      <c r="BQ18" s="60">
        <v>60191</v>
      </c>
      <c r="BR18" s="65">
        <f t="shared" si="82"/>
        <v>38</v>
      </c>
      <c r="BS18" s="60">
        <v>220.04</v>
      </c>
      <c r="BT18" s="65">
        <f t="shared" si="83"/>
        <v>39.999999999992042</v>
      </c>
      <c r="BU18" s="60">
        <v>58175</v>
      </c>
      <c r="BV18" s="65">
        <f t="shared" si="84"/>
        <v>37</v>
      </c>
      <c r="BW18" s="60">
        <v>248.12</v>
      </c>
      <c r="BX18" s="65">
        <f t="shared" si="85"/>
        <v>39.999999999992042</v>
      </c>
      <c r="BY18" s="60">
        <v>78492</v>
      </c>
      <c r="BZ18" s="67">
        <f t="shared" si="86"/>
        <v>48</v>
      </c>
      <c r="CA18" s="60">
        <v>54456.2</v>
      </c>
      <c r="CB18" s="67">
        <f t="shared" si="87"/>
        <v>39.5</v>
      </c>
      <c r="CC18" s="60">
        <v>17007.400000000001</v>
      </c>
      <c r="CD18" s="67">
        <f t="shared" si="88"/>
        <v>8.7000000000007276</v>
      </c>
      <c r="CE18" s="60">
        <v>8589.2000000000007</v>
      </c>
      <c r="CF18" s="67">
        <f t="shared" si="89"/>
        <v>2.5</v>
      </c>
      <c r="CG18" s="60">
        <v>80306.600000000006</v>
      </c>
      <c r="CH18" s="67">
        <f t="shared" si="90"/>
        <v>66.200000000011642</v>
      </c>
      <c r="CI18" s="60">
        <v>1079978</v>
      </c>
      <c r="CJ18" s="67">
        <f t="shared" si="91"/>
        <v>281</v>
      </c>
      <c r="CK18" s="60">
        <v>1094.9000000000001</v>
      </c>
      <c r="CL18" s="64">
        <f t="shared" si="92"/>
        <v>900.00000000009095</v>
      </c>
      <c r="CM18" s="65">
        <f t="shared" si="93"/>
        <v>106.70000000000073</v>
      </c>
      <c r="CN18" s="62">
        <v>12</v>
      </c>
      <c r="CO18" s="62">
        <v>25</v>
      </c>
      <c r="CP18" s="68">
        <v>40781</v>
      </c>
      <c r="CQ18" s="67">
        <f t="shared" si="94"/>
        <v>90</v>
      </c>
      <c r="CR18" s="68">
        <v>23900.799999999999</v>
      </c>
      <c r="CS18" s="67">
        <f t="shared" si="95"/>
        <v>16.700000000000728</v>
      </c>
      <c r="CT18" s="75">
        <v>11413</v>
      </c>
      <c r="CU18" s="67">
        <f t="shared" si="96"/>
        <v>7</v>
      </c>
      <c r="CV18" s="68">
        <v>27243</v>
      </c>
      <c r="CW18" s="67">
        <f t="shared" si="97"/>
        <v>21</v>
      </c>
      <c r="CX18" s="58">
        <v>4287.1000000000004</v>
      </c>
      <c r="CY18" s="67">
        <f t="shared" si="98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49"/>
        <v>2000.0000000002237</v>
      </c>
      <c r="E19" s="58">
        <v>4.6714000000000002</v>
      </c>
      <c r="F19" s="64">
        <f t="shared" si="50"/>
        <v>2900.0000000003465</v>
      </c>
      <c r="G19" s="58">
        <v>4.6512000000000002</v>
      </c>
      <c r="H19" s="64">
        <f t="shared" si="51"/>
        <v>2900.0000000003465</v>
      </c>
      <c r="I19" s="58">
        <v>2.3205</v>
      </c>
      <c r="J19" s="64">
        <f t="shared" si="52"/>
        <v>1599.9999999998238</v>
      </c>
      <c r="K19" s="58">
        <v>3.5889000000000002</v>
      </c>
      <c r="L19" s="64">
        <f t="shared" si="53"/>
        <v>2200.0000000002019</v>
      </c>
      <c r="M19" s="58">
        <v>2.1132</v>
      </c>
      <c r="N19" s="64">
        <f t="shared" si="54"/>
        <v>1500.0000000000568</v>
      </c>
      <c r="O19" s="58">
        <v>23692</v>
      </c>
      <c r="P19" s="67">
        <f t="shared" si="55"/>
        <v>25</v>
      </c>
      <c r="Q19" s="58">
        <v>2913</v>
      </c>
      <c r="R19" s="67">
        <f t="shared" si="56"/>
        <v>4</v>
      </c>
      <c r="S19" s="58">
        <v>1488.7</v>
      </c>
      <c r="T19" s="67">
        <f t="shared" si="57"/>
        <v>700.00000000004547</v>
      </c>
      <c r="U19" s="58">
        <v>595725.5</v>
      </c>
      <c r="V19" s="67">
        <f t="shared" si="58"/>
        <v>362.19999999995343</v>
      </c>
      <c r="W19" s="58">
        <v>545.61</v>
      </c>
      <c r="X19" s="65">
        <f t="shared" si="59"/>
        <v>279.99999999997272</v>
      </c>
      <c r="Y19" s="58">
        <v>4.1158000000000001</v>
      </c>
      <c r="Z19" s="65">
        <f t="shared" si="60"/>
        <v>2600.0000000001578</v>
      </c>
      <c r="AA19" s="58">
        <v>553.42999999999995</v>
      </c>
      <c r="AB19" s="65">
        <f t="shared" si="61"/>
        <v>339.99999999991815</v>
      </c>
      <c r="AC19" s="58">
        <v>547.16999999999996</v>
      </c>
      <c r="AD19" s="65">
        <f t="shared" si="62"/>
        <v>360.00000000001364</v>
      </c>
      <c r="AE19" s="58">
        <v>842.07</v>
      </c>
      <c r="AF19" s="65">
        <f t="shared" si="63"/>
        <v>740.00000000000909</v>
      </c>
      <c r="AG19" s="58">
        <v>21255</v>
      </c>
      <c r="AH19" s="67">
        <f t="shared" si="64"/>
        <v>36</v>
      </c>
      <c r="AI19" s="58">
        <v>930.02</v>
      </c>
      <c r="AJ19" s="65">
        <f t="shared" si="65"/>
        <v>500</v>
      </c>
      <c r="AK19" s="58">
        <v>308.87</v>
      </c>
      <c r="AL19" s="65">
        <f t="shared" si="66"/>
        <v>189.99999999999773</v>
      </c>
      <c r="AM19" s="58">
        <v>286.38</v>
      </c>
      <c r="AN19" s="65">
        <f t="shared" si="67"/>
        <v>170.00000000001592</v>
      </c>
      <c r="AO19" s="58">
        <v>276.51</v>
      </c>
      <c r="AP19" s="65">
        <f t="shared" si="68"/>
        <v>110.00000000001364</v>
      </c>
      <c r="AQ19" s="58">
        <v>329.75</v>
      </c>
      <c r="AR19" s="65">
        <f t="shared" si="69"/>
        <v>209.99999999997954</v>
      </c>
      <c r="AS19" s="58">
        <v>455.22</v>
      </c>
      <c r="AT19" s="65">
        <f t="shared" si="70"/>
        <v>100.00000000002274</v>
      </c>
      <c r="AU19" s="58">
        <v>362.52</v>
      </c>
      <c r="AV19" s="65">
        <f t="shared" si="71"/>
        <v>89.999999999974989</v>
      </c>
      <c r="AW19" s="58">
        <v>391.87</v>
      </c>
      <c r="AX19" s="65">
        <f t="shared" si="72"/>
        <v>110.00000000001364</v>
      </c>
      <c r="AY19" s="58">
        <v>427.68</v>
      </c>
      <c r="AZ19" s="65">
        <f t="shared" si="73"/>
        <v>120.00000000000455</v>
      </c>
      <c r="BA19" s="58">
        <v>444.42</v>
      </c>
      <c r="BB19" s="65">
        <f t="shared" si="74"/>
        <v>100.00000000002274</v>
      </c>
      <c r="BC19" s="58">
        <v>285.02999999999997</v>
      </c>
      <c r="BD19" s="65">
        <f t="shared" si="75"/>
        <v>59.99999999994543</v>
      </c>
      <c r="BE19" s="59">
        <v>55192</v>
      </c>
      <c r="BF19" s="67">
        <f t="shared" si="76"/>
        <v>63</v>
      </c>
      <c r="BG19" s="60">
        <v>252.15</v>
      </c>
      <c r="BH19" s="65">
        <f t="shared" si="77"/>
        <v>39.999999999992042</v>
      </c>
      <c r="BI19" s="60">
        <v>306.64999999999998</v>
      </c>
      <c r="BJ19" s="65">
        <f t="shared" si="78"/>
        <v>29.999999999972715</v>
      </c>
      <c r="BK19" s="60">
        <v>256.89999999999998</v>
      </c>
      <c r="BL19" s="65">
        <f t="shared" si="79"/>
        <v>49.999999999954525</v>
      </c>
      <c r="BM19" s="60">
        <v>242.01</v>
      </c>
      <c r="BN19" s="65">
        <f t="shared" si="80"/>
        <v>39.999999999992042</v>
      </c>
      <c r="BO19" s="60">
        <v>310.66000000000003</v>
      </c>
      <c r="BP19" s="65">
        <f t="shared" si="81"/>
        <v>50.000000000011369</v>
      </c>
      <c r="BQ19" s="60">
        <v>60225</v>
      </c>
      <c r="BR19" s="65">
        <f t="shared" si="82"/>
        <v>34</v>
      </c>
      <c r="BS19" s="60">
        <v>220.07</v>
      </c>
      <c r="BT19" s="65">
        <f t="shared" si="83"/>
        <v>30.000000000001137</v>
      </c>
      <c r="BU19" s="60">
        <v>58218</v>
      </c>
      <c r="BV19" s="65">
        <f t="shared" si="84"/>
        <v>43</v>
      </c>
      <c r="BW19" s="60">
        <v>248.16</v>
      </c>
      <c r="BX19" s="65">
        <f t="shared" si="85"/>
        <v>39.999999999992042</v>
      </c>
      <c r="BY19" s="60">
        <v>78538</v>
      </c>
      <c r="BZ19" s="67">
        <f t="shared" si="86"/>
        <v>46</v>
      </c>
      <c r="CA19" s="60">
        <v>54484.6</v>
      </c>
      <c r="CB19" s="67">
        <f t="shared" si="87"/>
        <v>28.400000000001455</v>
      </c>
      <c r="CC19" s="60">
        <v>17017.400000000001</v>
      </c>
      <c r="CD19" s="67">
        <f t="shared" si="88"/>
        <v>10</v>
      </c>
      <c r="CE19" s="60">
        <v>8593</v>
      </c>
      <c r="CF19" s="67">
        <f t="shared" si="89"/>
        <v>3.7999999999992724</v>
      </c>
      <c r="CG19" s="60">
        <v>80363</v>
      </c>
      <c r="CH19" s="67">
        <f t="shared" si="90"/>
        <v>56.399999999994179</v>
      </c>
      <c r="CI19" s="60">
        <v>1080259</v>
      </c>
      <c r="CJ19" s="67">
        <f t="shared" si="91"/>
        <v>281</v>
      </c>
      <c r="CK19" s="60">
        <v>1095.8</v>
      </c>
      <c r="CL19" s="64">
        <f t="shared" si="92"/>
        <v>899.99999999986358</v>
      </c>
      <c r="CM19" s="65">
        <f t="shared" si="93"/>
        <v>95.900000000001455</v>
      </c>
      <c r="CN19" s="62">
        <v>19</v>
      </c>
      <c r="CO19" s="62">
        <v>33</v>
      </c>
      <c r="CP19" s="68">
        <v>40856</v>
      </c>
      <c r="CQ19" s="67">
        <f t="shared" si="94"/>
        <v>75</v>
      </c>
      <c r="CR19" s="68">
        <v>23921.7</v>
      </c>
      <c r="CS19" s="67">
        <f t="shared" si="95"/>
        <v>20.900000000001455</v>
      </c>
      <c r="CT19" s="75">
        <v>11420</v>
      </c>
      <c r="CU19" s="67">
        <f t="shared" si="96"/>
        <v>7</v>
      </c>
      <c r="CV19" s="68">
        <v>27263</v>
      </c>
      <c r="CW19" s="67">
        <f t="shared" si="97"/>
        <v>20</v>
      </c>
      <c r="CX19" s="58">
        <v>4298.1000000000004</v>
      </c>
      <c r="CY19" s="67">
        <f t="shared" si="98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49"/>
        <v>1900.0000000000127</v>
      </c>
      <c r="E20" s="58">
        <v>4.6744000000000003</v>
      </c>
      <c r="F20" s="64">
        <f t="shared" si="50"/>
        <v>3000.0000000001137</v>
      </c>
      <c r="G20" s="58">
        <v>4.6539999999999999</v>
      </c>
      <c r="H20" s="64">
        <f t="shared" si="51"/>
        <v>2799.9999999996917</v>
      </c>
      <c r="I20" s="58">
        <v>2.3218999999999999</v>
      </c>
      <c r="J20" s="64">
        <f t="shared" si="52"/>
        <v>1399.9999999998458</v>
      </c>
      <c r="K20" s="58">
        <v>3.5910000000000002</v>
      </c>
      <c r="L20" s="64">
        <f t="shared" si="53"/>
        <v>2099.9999999999909</v>
      </c>
      <c r="M20" s="58">
        <v>2.1149</v>
      </c>
      <c r="N20" s="64">
        <f t="shared" si="54"/>
        <v>1700.0000000000348</v>
      </c>
      <c r="O20" s="58">
        <v>23720</v>
      </c>
      <c r="P20" s="67">
        <f t="shared" si="55"/>
        <v>28</v>
      </c>
      <c r="Q20" s="58">
        <v>2917</v>
      </c>
      <c r="R20" s="67">
        <f t="shared" si="56"/>
        <v>4</v>
      </c>
      <c r="S20" s="58">
        <v>1489.6</v>
      </c>
      <c r="T20" s="67">
        <f t="shared" si="57"/>
        <v>899.99999999986358</v>
      </c>
      <c r="U20" s="58">
        <v>596046.80000000005</v>
      </c>
      <c r="V20" s="67">
        <f t="shared" si="58"/>
        <v>321.30000000004657</v>
      </c>
      <c r="W20" s="58">
        <v>545.89</v>
      </c>
      <c r="X20" s="65">
        <f t="shared" si="59"/>
        <v>279.99999999997272</v>
      </c>
      <c r="Y20" s="58">
        <v>4.1186999999999996</v>
      </c>
      <c r="Z20" s="65">
        <f t="shared" si="60"/>
        <v>2899.9999999994584</v>
      </c>
      <c r="AA20" s="58">
        <v>553.85</v>
      </c>
      <c r="AB20" s="65">
        <f t="shared" si="61"/>
        <v>420.00000000007276</v>
      </c>
      <c r="AC20" s="58">
        <v>547.58000000000004</v>
      </c>
      <c r="AD20" s="65">
        <f t="shared" si="62"/>
        <v>410.00000000008185</v>
      </c>
      <c r="AE20" s="58">
        <v>842.9</v>
      </c>
      <c r="AF20" s="65">
        <f t="shared" si="63"/>
        <v>829.99999999992724</v>
      </c>
      <c r="AG20" s="58">
        <v>21293</v>
      </c>
      <c r="AH20" s="67">
        <f t="shared" si="64"/>
        <v>38</v>
      </c>
      <c r="AI20" s="58">
        <v>930.58</v>
      </c>
      <c r="AJ20" s="65">
        <f t="shared" si="65"/>
        <v>560.00000000005912</v>
      </c>
      <c r="AK20" s="58">
        <v>309.11</v>
      </c>
      <c r="AL20" s="65">
        <f t="shared" si="66"/>
        <v>240.00000000000909</v>
      </c>
      <c r="AM20" s="58">
        <v>286.55</v>
      </c>
      <c r="AN20" s="65">
        <f t="shared" si="67"/>
        <v>170.00000000001592</v>
      </c>
      <c r="AO20" s="58">
        <v>276.63</v>
      </c>
      <c r="AP20" s="65">
        <f t="shared" si="68"/>
        <v>120.00000000000455</v>
      </c>
      <c r="AQ20" s="58">
        <v>329.95</v>
      </c>
      <c r="AR20" s="65">
        <f t="shared" si="69"/>
        <v>199.99999999998863</v>
      </c>
      <c r="AS20" s="58">
        <v>455.3</v>
      </c>
      <c r="AT20" s="65">
        <f t="shared" si="70"/>
        <v>79.999999999984084</v>
      </c>
      <c r="AU20" s="58">
        <v>362.61</v>
      </c>
      <c r="AV20" s="65">
        <f t="shared" si="71"/>
        <v>90.000000000031832</v>
      </c>
      <c r="AW20" s="58">
        <v>391.94</v>
      </c>
      <c r="AX20" s="65">
        <f t="shared" si="72"/>
        <v>69.999999999993179</v>
      </c>
      <c r="AY20" s="58">
        <v>427.79</v>
      </c>
      <c r="AZ20" s="65">
        <f t="shared" si="73"/>
        <v>110.00000000001364</v>
      </c>
      <c r="BA20" s="58">
        <v>444.51</v>
      </c>
      <c r="BB20" s="65">
        <f t="shared" si="74"/>
        <v>89.999999999974989</v>
      </c>
      <c r="BC20" s="58">
        <v>285.08</v>
      </c>
      <c r="BD20" s="65">
        <f t="shared" si="75"/>
        <v>50.000000000011369</v>
      </c>
      <c r="BE20" s="59">
        <v>55228</v>
      </c>
      <c r="BF20" s="67">
        <f t="shared" si="76"/>
        <v>36</v>
      </c>
      <c r="BG20" s="60">
        <v>252.18</v>
      </c>
      <c r="BH20" s="65">
        <f t="shared" si="77"/>
        <v>30.000000000001137</v>
      </c>
      <c r="BI20" s="60">
        <v>306.68</v>
      </c>
      <c r="BJ20" s="65">
        <f t="shared" si="78"/>
        <v>30.000000000029559</v>
      </c>
      <c r="BK20" s="60">
        <v>256.94</v>
      </c>
      <c r="BL20" s="65">
        <f t="shared" si="79"/>
        <v>40.000000000020464</v>
      </c>
      <c r="BM20" s="60">
        <v>242.05</v>
      </c>
      <c r="BN20" s="65">
        <f t="shared" si="80"/>
        <v>40.000000000020464</v>
      </c>
      <c r="BO20" s="60">
        <v>310.7</v>
      </c>
      <c r="BP20" s="65">
        <f t="shared" si="81"/>
        <v>39.99999999996362</v>
      </c>
      <c r="BQ20" s="60">
        <v>60260</v>
      </c>
      <c r="BR20" s="65">
        <f t="shared" si="82"/>
        <v>35</v>
      </c>
      <c r="BS20" s="60">
        <v>220.11</v>
      </c>
      <c r="BT20" s="65">
        <f t="shared" si="83"/>
        <v>40.000000000020464</v>
      </c>
      <c r="BU20" s="60">
        <v>58251</v>
      </c>
      <c r="BV20" s="65">
        <f t="shared" si="84"/>
        <v>33</v>
      </c>
      <c r="BW20" s="60">
        <v>248.2</v>
      </c>
      <c r="BX20" s="65">
        <f t="shared" si="85"/>
        <v>39.999999999992042</v>
      </c>
      <c r="BY20" s="60">
        <v>78590</v>
      </c>
      <c r="BZ20" s="67">
        <f t="shared" si="86"/>
        <v>52</v>
      </c>
      <c r="CA20" s="60">
        <v>54511.5</v>
      </c>
      <c r="CB20" s="67">
        <f t="shared" si="87"/>
        <v>26.900000000001455</v>
      </c>
      <c r="CC20" s="60">
        <v>17033.5</v>
      </c>
      <c r="CD20" s="67">
        <f t="shared" si="88"/>
        <v>16.099999999998545</v>
      </c>
      <c r="CE20" s="60">
        <v>8595.7999999999993</v>
      </c>
      <c r="CF20" s="67">
        <f t="shared" si="89"/>
        <v>2.7999999999992724</v>
      </c>
      <c r="CG20" s="60">
        <v>80416.899999999994</v>
      </c>
      <c r="CH20" s="67">
        <f t="shared" si="90"/>
        <v>53.899999999994179</v>
      </c>
      <c r="CI20" s="60">
        <v>1080535</v>
      </c>
      <c r="CJ20" s="67">
        <f t="shared" si="91"/>
        <v>276</v>
      </c>
      <c r="CK20" s="60">
        <v>1096.5</v>
      </c>
      <c r="CL20" s="64">
        <f t="shared" si="92"/>
        <v>700.00000000004547</v>
      </c>
      <c r="CM20" s="65">
        <f t="shared" si="93"/>
        <v>84.299999999999272</v>
      </c>
      <c r="CN20" s="62">
        <v>24</v>
      </c>
      <c r="CO20" s="62">
        <v>47</v>
      </c>
      <c r="CP20" s="68">
        <v>40921</v>
      </c>
      <c r="CQ20" s="67">
        <f t="shared" si="94"/>
        <v>65</v>
      </c>
      <c r="CR20" s="68">
        <v>23941</v>
      </c>
      <c r="CS20" s="67">
        <f t="shared" si="95"/>
        <v>19.299999999999272</v>
      </c>
      <c r="CT20" s="75">
        <v>11428</v>
      </c>
      <c r="CU20" s="67">
        <f t="shared" si="96"/>
        <v>8</v>
      </c>
      <c r="CV20" s="68">
        <v>27294</v>
      </c>
      <c r="CW20" s="67">
        <f t="shared" si="97"/>
        <v>31</v>
      </c>
      <c r="CX20" s="58">
        <v>4308.8999999999996</v>
      </c>
      <c r="CY20" s="67">
        <f t="shared" si="98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49"/>
        <v>1399.9999999998458</v>
      </c>
      <c r="E21" s="58">
        <v>4.6771000000000003</v>
      </c>
      <c r="F21" s="64">
        <f t="shared" si="50"/>
        <v>2699.9999999999245</v>
      </c>
      <c r="G21" s="58">
        <v>4.6567999999999996</v>
      </c>
      <c r="H21" s="64">
        <f t="shared" si="51"/>
        <v>2799.9999999996917</v>
      </c>
      <c r="I21" s="58">
        <v>2.3231999999999999</v>
      </c>
      <c r="J21" s="64">
        <f t="shared" si="52"/>
        <v>1300.0000000000789</v>
      </c>
      <c r="K21" s="58">
        <v>3.5926999999999998</v>
      </c>
      <c r="L21" s="64">
        <f t="shared" si="53"/>
        <v>1699.9999999995907</v>
      </c>
      <c r="M21" s="58">
        <v>2.1162999999999998</v>
      </c>
      <c r="N21" s="64">
        <f t="shared" si="54"/>
        <v>1399.9999999998458</v>
      </c>
      <c r="O21" s="58">
        <v>23749</v>
      </c>
      <c r="P21" s="67">
        <f t="shared" si="55"/>
        <v>29</v>
      </c>
      <c r="Q21" s="58">
        <v>2920</v>
      </c>
      <c r="R21" s="67">
        <f t="shared" si="56"/>
        <v>3</v>
      </c>
      <c r="S21" s="58">
        <v>1490.7</v>
      </c>
      <c r="T21" s="67">
        <f t="shared" si="57"/>
        <v>1100.0000000001364</v>
      </c>
      <c r="U21" s="58">
        <v>596431.5</v>
      </c>
      <c r="V21" s="67">
        <f t="shared" si="58"/>
        <v>384.69999999995343</v>
      </c>
      <c r="W21" s="58">
        <v>546.1</v>
      </c>
      <c r="X21" s="65">
        <f t="shared" si="59"/>
        <v>210.00000000003638</v>
      </c>
      <c r="Y21" s="58">
        <v>4.1212999999999997</v>
      </c>
      <c r="Z21" s="65">
        <f t="shared" si="60"/>
        <v>2600.0000000001578</v>
      </c>
      <c r="AA21" s="58">
        <v>554.1</v>
      </c>
      <c r="AB21" s="65">
        <f t="shared" si="61"/>
        <v>250</v>
      </c>
      <c r="AC21" s="58">
        <v>547.89</v>
      </c>
      <c r="AD21" s="65">
        <f t="shared" si="62"/>
        <v>309.99999999994543</v>
      </c>
      <c r="AE21" s="58">
        <v>843.69</v>
      </c>
      <c r="AF21" s="65">
        <f t="shared" si="63"/>
        <v>790.00000000007731</v>
      </c>
      <c r="AG21" s="58">
        <v>21326</v>
      </c>
      <c r="AH21" s="67">
        <f t="shared" si="64"/>
        <v>33</v>
      </c>
      <c r="AI21" s="58">
        <v>930.95</v>
      </c>
      <c r="AJ21" s="65">
        <f t="shared" si="65"/>
        <v>370.00000000000455</v>
      </c>
      <c r="AK21" s="58">
        <v>309.33</v>
      </c>
      <c r="AL21" s="65">
        <f t="shared" si="66"/>
        <v>219.99999999997044</v>
      </c>
      <c r="AM21" s="58">
        <v>286.68</v>
      </c>
      <c r="AN21" s="65">
        <f t="shared" si="67"/>
        <v>129.99999999999545</v>
      </c>
      <c r="AO21" s="58">
        <v>276.72000000000003</v>
      </c>
      <c r="AP21" s="65">
        <f t="shared" si="68"/>
        <v>90.000000000031832</v>
      </c>
      <c r="AQ21" s="58">
        <v>330.08</v>
      </c>
      <c r="AR21" s="65">
        <f t="shared" si="69"/>
        <v>129.99999999999545</v>
      </c>
      <c r="AS21" s="58">
        <v>455.35</v>
      </c>
      <c r="AT21" s="65">
        <f t="shared" si="70"/>
        <v>50.000000000011369</v>
      </c>
      <c r="AU21" s="58">
        <v>362.66</v>
      </c>
      <c r="AV21" s="65">
        <f t="shared" si="71"/>
        <v>50.000000000011369</v>
      </c>
      <c r="AW21" s="58">
        <v>391.98</v>
      </c>
      <c r="AX21" s="65">
        <f t="shared" si="72"/>
        <v>40.000000000020464</v>
      </c>
      <c r="AY21" s="58">
        <v>427.88</v>
      </c>
      <c r="AZ21" s="65">
        <f t="shared" si="73"/>
        <v>89.999999999974989</v>
      </c>
      <c r="BA21" s="58">
        <v>444.59</v>
      </c>
      <c r="BB21" s="65">
        <f t="shared" si="74"/>
        <v>79.999999999984084</v>
      </c>
      <c r="BC21" s="58">
        <v>285.12</v>
      </c>
      <c r="BD21" s="65">
        <f t="shared" si="75"/>
        <v>40.000000000020464</v>
      </c>
      <c r="BE21" s="59">
        <v>55282</v>
      </c>
      <c r="BF21" s="67">
        <f t="shared" si="76"/>
        <v>54</v>
      </c>
      <c r="BG21" s="60">
        <v>252.21</v>
      </c>
      <c r="BH21" s="65">
        <f t="shared" si="77"/>
        <v>30.000000000001137</v>
      </c>
      <c r="BI21" s="60">
        <v>306.70999999999998</v>
      </c>
      <c r="BJ21" s="65">
        <f t="shared" si="78"/>
        <v>29.999999999972715</v>
      </c>
      <c r="BK21" s="60">
        <v>256.97000000000003</v>
      </c>
      <c r="BL21" s="65">
        <f t="shared" si="79"/>
        <v>30.000000000029559</v>
      </c>
      <c r="BM21" s="60">
        <v>242.07</v>
      </c>
      <c r="BN21" s="65">
        <f t="shared" si="80"/>
        <v>19.99999999998181</v>
      </c>
      <c r="BO21" s="60">
        <v>310.73</v>
      </c>
      <c r="BP21" s="65">
        <f t="shared" si="81"/>
        <v>30.000000000029559</v>
      </c>
      <c r="BQ21" s="60">
        <v>60293</v>
      </c>
      <c r="BR21" s="65">
        <f t="shared" si="82"/>
        <v>33</v>
      </c>
      <c r="BS21" s="60">
        <v>220.14</v>
      </c>
      <c r="BT21" s="65">
        <f t="shared" si="83"/>
        <v>29.999999999972715</v>
      </c>
      <c r="BU21" s="60">
        <v>58278</v>
      </c>
      <c r="BV21" s="65">
        <f t="shared" si="84"/>
        <v>27</v>
      </c>
      <c r="BW21" s="60">
        <v>248.22</v>
      </c>
      <c r="BX21" s="65">
        <f t="shared" si="85"/>
        <v>20.000000000010232</v>
      </c>
      <c r="BY21" s="60">
        <v>78624</v>
      </c>
      <c r="BZ21" s="67">
        <f t="shared" si="86"/>
        <v>34</v>
      </c>
      <c r="CA21" s="60">
        <v>54570.400000000001</v>
      </c>
      <c r="CB21" s="67">
        <f t="shared" si="87"/>
        <v>58.900000000001455</v>
      </c>
      <c r="CC21" s="60">
        <v>17043.400000000001</v>
      </c>
      <c r="CD21" s="67">
        <f t="shared" si="88"/>
        <v>9.9000000000014552</v>
      </c>
      <c r="CE21" s="60">
        <v>8601</v>
      </c>
      <c r="CF21" s="67">
        <f t="shared" si="89"/>
        <v>5.2000000000007276</v>
      </c>
      <c r="CG21" s="60">
        <v>80479.600000000006</v>
      </c>
      <c r="CH21" s="67">
        <f t="shared" si="90"/>
        <v>62.700000000011642</v>
      </c>
      <c r="CI21" s="60">
        <v>1080795</v>
      </c>
      <c r="CJ21" s="67">
        <f t="shared" si="91"/>
        <v>260</v>
      </c>
      <c r="CK21" s="60">
        <v>1097.3</v>
      </c>
      <c r="CL21" s="64">
        <f t="shared" si="92"/>
        <v>799.99999999995453</v>
      </c>
      <c r="CM21" s="65">
        <f t="shared" si="93"/>
        <v>99</v>
      </c>
      <c r="CN21" s="62">
        <v>24</v>
      </c>
      <c r="CO21" s="62">
        <v>47</v>
      </c>
      <c r="CP21" s="68">
        <v>40992</v>
      </c>
      <c r="CQ21" s="67">
        <f t="shared" si="94"/>
        <v>71</v>
      </c>
      <c r="CR21" s="68">
        <v>23969</v>
      </c>
      <c r="CS21" s="67">
        <f t="shared" si="95"/>
        <v>28</v>
      </c>
      <c r="CT21" s="75">
        <v>11438</v>
      </c>
      <c r="CU21" s="67">
        <f t="shared" si="96"/>
        <v>10</v>
      </c>
      <c r="CV21" s="68">
        <v>27321</v>
      </c>
      <c r="CW21" s="67">
        <f t="shared" si="97"/>
        <v>27</v>
      </c>
      <c r="CX21" s="58">
        <v>4313.5</v>
      </c>
      <c r="CY21" s="67">
        <f t="shared" si="98"/>
        <v>4.6000000000003638</v>
      </c>
    </row>
    <row r="22" spans="1:103" ht="25.5" customHeight="1" thickBot="1" x14ac:dyDescent="0.45">
      <c r="A22" s="63">
        <v>44823</v>
      </c>
      <c r="B22" s="44"/>
      <c r="C22" s="58">
        <v>3.4912999999999998</v>
      </c>
      <c r="D22" s="64">
        <f t="shared" si="49"/>
        <v>1599.9999999998238</v>
      </c>
      <c r="E22" s="58">
        <v>4.6801000000000004</v>
      </c>
      <c r="F22" s="64">
        <f t="shared" si="50"/>
        <v>3000.0000000001137</v>
      </c>
      <c r="G22" s="58">
        <v>4.6597</v>
      </c>
      <c r="H22" s="64">
        <f t="shared" si="51"/>
        <v>2900.0000000003465</v>
      </c>
      <c r="I22" s="58">
        <v>2.3245</v>
      </c>
      <c r="J22" s="64">
        <f t="shared" si="52"/>
        <v>1300.0000000000789</v>
      </c>
      <c r="K22" s="58">
        <v>3.5945</v>
      </c>
      <c r="L22" s="64">
        <f t="shared" si="53"/>
        <v>1800.0000000002458</v>
      </c>
      <c r="M22" s="58">
        <v>2.1179000000000001</v>
      </c>
      <c r="N22" s="64">
        <f t="shared" si="54"/>
        <v>1600.0000000002678</v>
      </c>
      <c r="O22" s="58">
        <v>23762</v>
      </c>
      <c r="P22" s="67">
        <f t="shared" si="55"/>
        <v>13</v>
      </c>
      <c r="Q22" s="58">
        <v>2924</v>
      </c>
      <c r="R22" s="67">
        <f t="shared" si="56"/>
        <v>4</v>
      </c>
      <c r="S22" s="58">
        <v>1491.9</v>
      </c>
      <c r="T22" s="67">
        <f t="shared" si="57"/>
        <v>1200.0000000000455</v>
      </c>
      <c r="U22" s="58">
        <v>596848.6</v>
      </c>
      <c r="V22" s="67">
        <f t="shared" si="58"/>
        <v>417.09999999997672</v>
      </c>
      <c r="W22" s="58">
        <v>546.34</v>
      </c>
      <c r="X22" s="65">
        <f t="shared" si="59"/>
        <v>240.00000000000909</v>
      </c>
      <c r="Y22" s="58">
        <v>4.1242999999999999</v>
      </c>
      <c r="Z22" s="65">
        <f t="shared" si="60"/>
        <v>3000.0000000001137</v>
      </c>
      <c r="AA22" s="58">
        <v>554.52</v>
      </c>
      <c r="AB22" s="65">
        <f t="shared" si="61"/>
        <v>419.99999999995907</v>
      </c>
      <c r="AC22" s="58">
        <v>548.16</v>
      </c>
      <c r="AD22" s="65">
        <f t="shared" si="62"/>
        <v>269.99999999998181</v>
      </c>
      <c r="AE22" s="58">
        <v>844.5</v>
      </c>
      <c r="AF22" s="65">
        <f t="shared" si="63"/>
        <v>809.99999999994543</v>
      </c>
      <c r="AG22" s="58">
        <v>21354</v>
      </c>
      <c r="AH22" s="67">
        <f t="shared" si="64"/>
        <v>28</v>
      </c>
      <c r="AI22" s="58">
        <v>931.37</v>
      </c>
      <c r="AJ22" s="65">
        <f t="shared" si="65"/>
        <v>419.99999999995907</v>
      </c>
      <c r="AK22" s="58">
        <v>309.54000000000002</v>
      </c>
      <c r="AL22" s="65">
        <f t="shared" si="66"/>
        <v>210.00000000003638</v>
      </c>
      <c r="AM22" s="58">
        <v>286.82</v>
      </c>
      <c r="AN22" s="65">
        <f t="shared" si="67"/>
        <v>139.99999999998636</v>
      </c>
      <c r="AO22" s="58">
        <v>276.82</v>
      </c>
      <c r="AP22" s="65">
        <f t="shared" si="68"/>
        <v>99.999999999965894</v>
      </c>
      <c r="AQ22" s="58">
        <v>330.18</v>
      </c>
      <c r="AR22" s="65">
        <f t="shared" si="69"/>
        <v>100.00000000002274</v>
      </c>
      <c r="AS22" s="58">
        <v>455.42</v>
      </c>
      <c r="AT22" s="65">
        <f t="shared" si="70"/>
        <v>69.999999999993179</v>
      </c>
      <c r="AU22" s="58">
        <v>362.72</v>
      </c>
      <c r="AV22" s="65">
        <f t="shared" si="71"/>
        <v>60.000000000002274</v>
      </c>
      <c r="AW22" s="58">
        <v>392.03</v>
      </c>
      <c r="AX22" s="65">
        <f t="shared" si="72"/>
        <v>49.999999999954525</v>
      </c>
      <c r="AY22" s="58">
        <v>427.96</v>
      </c>
      <c r="AZ22" s="65">
        <f t="shared" si="73"/>
        <v>79.999999999984084</v>
      </c>
      <c r="BA22" s="58">
        <v>444.67</v>
      </c>
      <c r="BB22" s="65">
        <f t="shared" si="74"/>
        <v>80.000000000040927</v>
      </c>
      <c r="BC22" s="58">
        <v>285.14999999999998</v>
      </c>
      <c r="BD22" s="65">
        <f t="shared" si="75"/>
        <v>29.999999999972715</v>
      </c>
      <c r="BE22" s="59">
        <v>55324</v>
      </c>
      <c r="BF22" s="67">
        <f t="shared" si="76"/>
        <v>42</v>
      </c>
      <c r="BG22" s="60">
        <v>252.24</v>
      </c>
      <c r="BH22" s="65">
        <f t="shared" si="77"/>
        <v>30.000000000001137</v>
      </c>
      <c r="BI22" s="60">
        <v>306.74</v>
      </c>
      <c r="BJ22" s="65">
        <f t="shared" si="78"/>
        <v>30.000000000029559</v>
      </c>
      <c r="BK22" s="60">
        <v>257.01</v>
      </c>
      <c r="BL22" s="65">
        <f t="shared" si="79"/>
        <v>39.99999999996362</v>
      </c>
      <c r="BM22" s="60">
        <v>242.1</v>
      </c>
      <c r="BN22" s="65">
        <f t="shared" si="80"/>
        <v>30.000000000001137</v>
      </c>
      <c r="BO22" s="60">
        <v>310.76</v>
      </c>
      <c r="BP22" s="65">
        <f t="shared" si="81"/>
        <v>29.999999999972715</v>
      </c>
      <c r="BQ22" s="60">
        <v>60318</v>
      </c>
      <c r="BR22" s="65">
        <f t="shared" si="82"/>
        <v>25</v>
      </c>
      <c r="BS22" s="60">
        <v>220.17</v>
      </c>
      <c r="BT22" s="65">
        <f t="shared" si="83"/>
        <v>30.000000000001137</v>
      </c>
      <c r="BU22" s="60">
        <v>58304</v>
      </c>
      <c r="BV22" s="65">
        <f t="shared" si="84"/>
        <v>26</v>
      </c>
      <c r="BW22" s="60">
        <v>248.25</v>
      </c>
      <c r="BX22" s="65">
        <f t="shared" si="85"/>
        <v>30.000000000001137</v>
      </c>
      <c r="BY22" s="60">
        <v>78662</v>
      </c>
      <c r="BZ22" s="67">
        <f t="shared" si="86"/>
        <v>38</v>
      </c>
      <c r="CA22" s="60">
        <v>54656.3</v>
      </c>
      <c r="CB22" s="67">
        <f t="shared" si="87"/>
        <v>85.900000000001455</v>
      </c>
      <c r="CC22" s="60">
        <v>17054.5</v>
      </c>
      <c r="CD22" s="67">
        <f t="shared" si="88"/>
        <v>11.099999999998545</v>
      </c>
      <c r="CE22" s="60">
        <v>8605</v>
      </c>
      <c r="CF22" s="67">
        <f t="shared" si="89"/>
        <v>4</v>
      </c>
      <c r="CG22" s="60">
        <v>80537.8</v>
      </c>
      <c r="CH22" s="67">
        <f t="shared" si="90"/>
        <v>58.19999999999709</v>
      </c>
      <c r="CI22" s="60">
        <v>1081072</v>
      </c>
      <c r="CJ22" s="67">
        <f t="shared" si="91"/>
        <v>277</v>
      </c>
      <c r="CK22" s="60">
        <v>1097.9000000000001</v>
      </c>
      <c r="CL22" s="64">
        <f t="shared" si="92"/>
        <v>600.00000000013642</v>
      </c>
      <c r="CM22" s="65">
        <f t="shared" si="93"/>
        <v>83</v>
      </c>
      <c r="CN22" s="62">
        <v>24</v>
      </c>
      <c r="CO22" s="62">
        <v>47</v>
      </c>
      <c r="CP22" s="68">
        <v>41062</v>
      </c>
      <c r="CQ22" s="67">
        <f t="shared" si="94"/>
        <v>70</v>
      </c>
      <c r="CR22" s="68">
        <v>23982</v>
      </c>
      <c r="CS22" s="67">
        <f t="shared" si="95"/>
        <v>13</v>
      </c>
      <c r="CT22" s="75">
        <v>11446</v>
      </c>
      <c r="CU22" s="67">
        <f t="shared" si="96"/>
        <v>8</v>
      </c>
      <c r="CV22" s="68">
        <v>27344</v>
      </c>
      <c r="CW22" s="67">
        <f t="shared" si="97"/>
        <v>23</v>
      </c>
      <c r="CX22" s="58">
        <v>4323.6000000000004</v>
      </c>
      <c r="CY22" s="67">
        <f t="shared" si="98"/>
        <v>10.100000000000364</v>
      </c>
    </row>
    <row r="23" spans="1:103" ht="25.5" customHeight="1" thickBot="1" x14ac:dyDescent="0.45">
      <c r="A23" s="63">
        <v>44824</v>
      </c>
      <c r="B23" s="44"/>
      <c r="C23" s="58">
        <v>3.4929999999999999</v>
      </c>
      <c r="D23" s="64">
        <f t="shared" si="49"/>
        <v>1700.0000000000348</v>
      </c>
      <c r="E23" s="58">
        <v>4.6830999999999996</v>
      </c>
      <c r="F23" s="64">
        <f t="shared" si="50"/>
        <v>2999.9999999992256</v>
      </c>
      <c r="G23" s="58">
        <v>4.6627000000000001</v>
      </c>
      <c r="H23" s="64">
        <f t="shared" si="51"/>
        <v>3000.0000000001137</v>
      </c>
      <c r="I23" s="58">
        <v>2.3258000000000001</v>
      </c>
      <c r="J23" s="64">
        <f t="shared" si="52"/>
        <v>1300.0000000000789</v>
      </c>
      <c r="K23" s="58">
        <v>3.5964</v>
      </c>
      <c r="L23" s="64">
        <f t="shared" si="53"/>
        <v>1900.0000000000127</v>
      </c>
      <c r="M23" s="58">
        <v>2.1194000000000002</v>
      </c>
      <c r="N23" s="64">
        <f t="shared" si="54"/>
        <v>1500.0000000000568</v>
      </c>
      <c r="O23" s="58">
        <v>23764</v>
      </c>
      <c r="P23" s="67">
        <f t="shared" si="55"/>
        <v>2</v>
      </c>
      <c r="Q23" s="58">
        <v>2928</v>
      </c>
      <c r="R23" s="67">
        <f t="shared" si="56"/>
        <v>4</v>
      </c>
      <c r="S23" s="58">
        <v>1493</v>
      </c>
      <c r="T23" s="67">
        <f t="shared" si="57"/>
        <v>1099.9999999999091</v>
      </c>
      <c r="U23" s="58">
        <v>597197.6</v>
      </c>
      <c r="V23" s="67">
        <f t="shared" si="58"/>
        <v>349</v>
      </c>
      <c r="W23" s="58">
        <v>546.58000000000004</v>
      </c>
      <c r="X23" s="65">
        <f t="shared" si="59"/>
        <v>240.00000000000909</v>
      </c>
      <c r="Y23" s="58">
        <v>4.1271000000000004</v>
      </c>
      <c r="Z23" s="65">
        <f t="shared" si="60"/>
        <v>2800.0000000005798</v>
      </c>
      <c r="AA23" s="58">
        <v>554.76</v>
      </c>
      <c r="AB23" s="65">
        <f t="shared" si="61"/>
        <v>240.00000000000909</v>
      </c>
      <c r="AC23" s="58">
        <v>548.48</v>
      </c>
      <c r="AD23" s="65">
        <f t="shared" si="62"/>
        <v>320.00000000005002</v>
      </c>
      <c r="AE23" s="58">
        <v>845.33</v>
      </c>
      <c r="AF23" s="65">
        <f t="shared" si="63"/>
        <v>830.00000000004093</v>
      </c>
      <c r="AG23" s="58">
        <v>21386</v>
      </c>
      <c r="AH23" s="67">
        <f t="shared" si="64"/>
        <v>32</v>
      </c>
      <c r="AI23" s="58">
        <v>931.83</v>
      </c>
      <c r="AJ23" s="65">
        <f t="shared" si="65"/>
        <v>460.00000000003638</v>
      </c>
      <c r="AK23" s="58">
        <v>309.8</v>
      </c>
      <c r="AL23" s="65">
        <f t="shared" si="66"/>
        <v>259.99999999999091</v>
      </c>
      <c r="AM23" s="58">
        <v>286.98</v>
      </c>
      <c r="AN23" s="65">
        <f t="shared" si="67"/>
        <v>160.00000000002501</v>
      </c>
      <c r="AO23" s="58">
        <v>276.93</v>
      </c>
      <c r="AP23" s="65">
        <f t="shared" si="68"/>
        <v>110.00000000001364</v>
      </c>
      <c r="AQ23" s="58">
        <v>330.29</v>
      </c>
      <c r="AR23" s="65">
        <f t="shared" si="69"/>
        <v>110.00000000001364</v>
      </c>
      <c r="AS23" s="58">
        <v>455.51</v>
      </c>
      <c r="AT23" s="65">
        <f t="shared" si="70"/>
        <v>89.999999999974989</v>
      </c>
      <c r="AU23" s="58">
        <v>362.79</v>
      </c>
      <c r="AV23" s="65">
        <f t="shared" si="71"/>
        <v>69.999999999993179</v>
      </c>
      <c r="AW23" s="58">
        <v>392.1</v>
      </c>
      <c r="AX23" s="65">
        <f t="shared" si="72"/>
        <v>70.000000000050022</v>
      </c>
      <c r="AY23" s="58">
        <v>428.08</v>
      </c>
      <c r="AZ23" s="65">
        <f t="shared" si="73"/>
        <v>120.00000000000455</v>
      </c>
      <c r="BA23" s="58">
        <v>444.75</v>
      </c>
      <c r="BB23" s="65">
        <f t="shared" si="74"/>
        <v>79.999999999984084</v>
      </c>
      <c r="BC23" s="58">
        <v>285.19</v>
      </c>
      <c r="BD23" s="65">
        <f t="shared" si="75"/>
        <v>40.000000000020464</v>
      </c>
      <c r="BE23" s="59">
        <v>55367</v>
      </c>
      <c r="BF23" s="67">
        <f t="shared" si="76"/>
        <v>43</v>
      </c>
      <c r="BG23" s="60">
        <v>252.27</v>
      </c>
      <c r="BH23" s="65">
        <f t="shared" si="77"/>
        <v>30.000000000001137</v>
      </c>
      <c r="BI23" s="60">
        <v>306.77</v>
      </c>
      <c r="BJ23" s="65">
        <f t="shared" si="78"/>
        <v>29.999999999972715</v>
      </c>
      <c r="BK23" s="60">
        <v>257.05</v>
      </c>
      <c r="BL23" s="65">
        <f t="shared" si="79"/>
        <v>40.000000000020464</v>
      </c>
      <c r="BM23" s="60">
        <v>242.13</v>
      </c>
      <c r="BN23" s="65">
        <f t="shared" si="80"/>
        <v>30.000000000001137</v>
      </c>
      <c r="BO23" s="60">
        <v>310.8</v>
      </c>
      <c r="BP23" s="65">
        <f t="shared" si="81"/>
        <v>40.000000000020464</v>
      </c>
      <c r="BQ23" s="60">
        <v>60353</v>
      </c>
      <c r="BR23" s="65">
        <f t="shared" si="82"/>
        <v>35</v>
      </c>
      <c r="BS23" s="60">
        <v>220.21</v>
      </c>
      <c r="BT23" s="65">
        <f t="shared" si="83"/>
        <v>40.000000000020464</v>
      </c>
      <c r="BU23" s="60">
        <v>58340</v>
      </c>
      <c r="BV23" s="65">
        <f t="shared" si="84"/>
        <v>36</v>
      </c>
      <c r="BW23" s="60">
        <v>248.28</v>
      </c>
      <c r="BX23" s="65">
        <f t="shared" si="85"/>
        <v>30.000000000001137</v>
      </c>
      <c r="BY23" s="60">
        <v>78704</v>
      </c>
      <c r="BZ23" s="67">
        <f t="shared" si="86"/>
        <v>42</v>
      </c>
      <c r="CA23" s="60">
        <v>54710.5</v>
      </c>
      <c r="CB23" s="67">
        <f t="shared" si="87"/>
        <v>54.19999999999709</v>
      </c>
      <c r="CC23" s="60">
        <v>17065.8</v>
      </c>
      <c r="CD23" s="67">
        <f t="shared" si="88"/>
        <v>11.299999999999272</v>
      </c>
      <c r="CE23" s="60">
        <v>8608.5</v>
      </c>
      <c r="CF23" s="67">
        <f t="shared" si="89"/>
        <v>3.5</v>
      </c>
      <c r="CG23" s="60">
        <v>80604.800000000003</v>
      </c>
      <c r="CH23" s="67">
        <f t="shared" si="90"/>
        <v>67</v>
      </c>
      <c r="CI23" s="60">
        <v>1081249</v>
      </c>
      <c r="CJ23" s="67">
        <f t="shared" si="91"/>
        <v>177</v>
      </c>
      <c r="CK23" s="60">
        <v>1098.7</v>
      </c>
      <c r="CL23" s="64">
        <f t="shared" si="92"/>
        <v>799.99999999995453</v>
      </c>
      <c r="CM23" s="65">
        <f>CQ23+CS23</f>
        <v>85</v>
      </c>
      <c r="CN23" s="62">
        <v>24</v>
      </c>
      <c r="CO23" s="62">
        <v>47</v>
      </c>
      <c r="CP23" s="68">
        <v>41135</v>
      </c>
      <c r="CQ23" s="67">
        <f t="shared" si="94"/>
        <v>73</v>
      </c>
      <c r="CR23" s="68">
        <v>23994</v>
      </c>
      <c r="CS23" s="67">
        <f t="shared" si="95"/>
        <v>12</v>
      </c>
      <c r="CT23" s="75">
        <v>11455</v>
      </c>
      <c r="CU23" s="67">
        <f t="shared" si="96"/>
        <v>9</v>
      </c>
      <c r="CV23" s="68">
        <v>27370</v>
      </c>
      <c r="CW23" s="67">
        <f t="shared" si="97"/>
        <v>26</v>
      </c>
      <c r="CX23" s="58">
        <v>4334.5</v>
      </c>
      <c r="CY23" s="67">
        <f t="shared" si="98"/>
        <v>10.899999999999636</v>
      </c>
    </row>
    <row r="24" spans="1:103" ht="25.5" customHeight="1" thickBot="1" x14ac:dyDescent="0.45">
      <c r="A24" s="63">
        <v>44825</v>
      </c>
      <c r="B24" s="44"/>
      <c r="C24" s="58">
        <v>3.4950000000000001</v>
      </c>
      <c r="D24" s="64">
        <f t="shared" si="49"/>
        <v>2000.0000000002237</v>
      </c>
      <c r="E24" s="58">
        <v>4.6859999999999999</v>
      </c>
      <c r="F24" s="64">
        <f t="shared" si="50"/>
        <v>2900.0000000003465</v>
      </c>
      <c r="G24" s="58">
        <v>4.6657000000000002</v>
      </c>
      <c r="H24" s="64">
        <f t="shared" si="51"/>
        <v>3000.0000000001137</v>
      </c>
      <c r="I24" s="58">
        <v>2.3271999999999999</v>
      </c>
      <c r="J24" s="64">
        <f t="shared" si="52"/>
        <v>1399.9999999998458</v>
      </c>
      <c r="K24" s="58">
        <v>3.5983000000000001</v>
      </c>
      <c r="L24" s="64">
        <f t="shared" si="53"/>
        <v>1900.0000000000127</v>
      </c>
      <c r="M24" s="58">
        <v>2.1211000000000002</v>
      </c>
      <c r="N24" s="64">
        <f t="shared" si="54"/>
        <v>1700.0000000000348</v>
      </c>
      <c r="O24" s="58">
        <v>23771</v>
      </c>
      <c r="P24" s="67">
        <f t="shared" si="55"/>
        <v>7</v>
      </c>
      <c r="Q24" s="58">
        <v>2928</v>
      </c>
      <c r="R24" s="67">
        <f t="shared" si="56"/>
        <v>0</v>
      </c>
      <c r="S24" s="58">
        <v>1493.7</v>
      </c>
      <c r="T24" s="67">
        <f t="shared" si="57"/>
        <v>700.00000000004547</v>
      </c>
      <c r="U24" s="58">
        <v>597476.80000000005</v>
      </c>
      <c r="V24" s="67">
        <f t="shared" si="58"/>
        <v>279.20000000006985</v>
      </c>
      <c r="W24" s="58">
        <v>546.85</v>
      </c>
      <c r="X24" s="65">
        <f t="shared" si="59"/>
        <v>269.99999999998181</v>
      </c>
      <c r="Y24" s="58">
        <v>4.1292999999999997</v>
      </c>
      <c r="Z24" s="65">
        <f t="shared" si="60"/>
        <v>2199.9999999993138</v>
      </c>
      <c r="AA24" s="58">
        <v>555.13</v>
      </c>
      <c r="AB24" s="65">
        <f t="shared" si="61"/>
        <v>370.00000000000455</v>
      </c>
      <c r="AC24" s="58">
        <v>548.80999999999995</v>
      </c>
      <c r="AD24" s="65">
        <f t="shared" si="62"/>
        <v>329.99999999992724</v>
      </c>
      <c r="AE24" s="58">
        <v>846.13</v>
      </c>
      <c r="AF24" s="65">
        <f t="shared" si="63"/>
        <v>799.99999999995453</v>
      </c>
      <c r="AG24" s="58">
        <v>21416</v>
      </c>
      <c r="AH24" s="67">
        <f t="shared" si="64"/>
        <v>30</v>
      </c>
      <c r="AI24" s="58">
        <v>932.34</v>
      </c>
      <c r="AJ24" s="65">
        <f t="shared" si="65"/>
        <v>509.99999999999091</v>
      </c>
      <c r="AK24" s="58">
        <v>310.06</v>
      </c>
      <c r="AL24" s="65">
        <f t="shared" si="66"/>
        <v>259.99999999999091</v>
      </c>
      <c r="AM24" s="58">
        <v>287.14</v>
      </c>
      <c r="AN24" s="65">
        <f t="shared" si="67"/>
        <v>159.99999999996817</v>
      </c>
      <c r="AO24" s="58">
        <v>277.04000000000002</v>
      </c>
      <c r="AP24" s="65">
        <f t="shared" si="68"/>
        <v>110.00000000001364</v>
      </c>
      <c r="AQ24" s="58">
        <v>330.41</v>
      </c>
      <c r="AR24" s="65">
        <f t="shared" si="69"/>
        <v>120.00000000000455</v>
      </c>
      <c r="AS24" s="58">
        <v>455.59</v>
      </c>
      <c r="AT24" s="65">
        <f t="shared" si="70"/>
        <v>79.999999999984084</v>
      </c>
      <c r="AU24" s="58">
        <v>362.86</v>
      </c>
      <c r="AV24" s="65">
        <f t="shared" si="71"/>
        <v>69.999999999993179</v>
      </c>
      <c r="AW24" s="58">
        <v>392.17</v>
      </c>
      <c r="AX24" s="65">
        <f t="shared" si="72"/>
        <v>69.999999999993179</v>
      </c>
      <c r="AY24" s="58">
        <v>428.18</v>
      </c>
      <c r="AZ24" s="65">
        <f t="shared" si="73"/>
        <v>100.00000000002274</v>
      </c>
      <c r="BA24" s="58">
        <v>444.86</v>
      </c>
      <c r="BB24" s="65">
        <f t="shared" si="74"/>
        <v>110.00000000001364</v>
      </c>
      <c r="BC24" s="58">
        <v>285.23</v>
      </c>
      <c r="BD24" s="65">
        <f t="shared" si="75"/>
        <v>40.000000000020464</v>
      </c>
      <c r="BE24" s="59">
        <v>55407</v>
      </c>
      <c r="BF24" s="67">
        <f t="shared" si="76"/>
        <v>40</v>
      </c>
      <c r="BG24" s="60">
        <v>252.31</v>
      </c>
      <c r="BH24" s="65">
        <f t="shared" si="77"/>
        <v>39.999999999992042</v>
      </c>
      <c r="BI24" s="60">
        <v>306.81</v>
      </c>
      <c r="BJ24" s="65">
        <f t="shared" si="78"/>
        <v>40.000000000020464</v>
      </c>
      <c r="BK24" s="60">
        <v>257.08</v>
      </c>
      <c r="BL24" s="65">
        <f t="shared" si="79"/>
        <v>29.999999999972715</v>
      </c>
      <c r="BM24" s="60">
        <v>242.16</v>
      </c>
      <c r="BN24" s="65">
        <f t="shared" si="80"/>
        <v>30.000000000001137</v>
      </c>
      <c r="BO24" s="60">
        <v>310.83</v>
      </c>
      <c r="BP24" s="65">
        <f t="shared" si="81"/>
        <v>29.999999999972715</v>
      </c>
      <c r="BQ24" s="60">
        <v>60387</v>
      </c>
      <c r="BR24" s="65">
        <f t="shared" si="82"/>
        <v>34</v>
      </c>
      <c r="BS24" s="60">
        <v>220.25</v>
      </c>
      <c r="BT24" s="65">
        <f t="shared" si="83"/>
        <v>39.999999999992042</v>
      </c>
      <c r="BU24" s="60">
        <v>58367</v>
      </c>
      <c r="BV24" s="65">
        <f t="shared" si="84"/>
        <v>27</v>
      </c>
      <c r="BW24" s="60">
        <v>248.32</v>
      </c>
      <c r="BX24" s="65">
        <f t="shared" si="85"/>
        <v>39.999999999992042</v>
      </c>
      <c r="BY24" s="60">
        <v>78745</v>
      </c>
      <c r="BZ24" s="67">
        <f t="shared" si="86"/>
        <v>41</v>
      </c>
      <c r="CA24" s="60">
        <v>54760</v>
      </c>
      <c r="CB24" s="67">
        <f t="shared" si="87"/>
        <v>49.5</v>
      </c>
      <c r="CC24" s="60">
        <v>17073.3</v>
      </c>
      <c r="CD24" s="67">
        <f t="shared" si="88"/>
        <v>7.5</v>
      </c>
      <c r="CE24" s="60">
        <v>8610</v>
      </c>
      <c r="CF24" s="67">
        <f t="shared" si="89"/>
        <v>1.5</v>
      </c>
      <c r="CG24" s="60">
        <v>80672</v>
      </c>
      <c r="CH24" s="67">
        <f t="shared" si="90"/>
        <v>67.19999999999709</v>
      </c>
      <c r="CI24" s="60">
        <v>1081625</v>
      </c>
      <c r="CJ24" s="67">
        <f t="shared" si="91"/>
        <v>376</v>
      </c>
      <c r="CK24" s="60">
        <v>1099.5</v>
      </c>
      <c r="CL24" s="64">
        <f t="shared" si="92"/>
        <v>799.99999999995453</v>
      </c>
      <c r="CM24" s="65">
        <f t="shared" si="93"/>
        <v>84.299999999999272</v>
      </c>
      <c r="CN24" s="62">
        <v>24</v>
      </c>
      <c r="CO24" s="62">
        <v>47</v>
      </c>
      <c r="CP24" s="68">
        <v>41208</v>
      </c>
      <c r="CQ24" s="67">
        <f t="shared" si="94"/>
        <v>73</v>
      </c>
      <c r="CR24" s="68">
        <v>24005.3</v>
      </c>
      <c r="CS24" s="67">
        <f t="shared" si="95"/>
        <v>11.299999999999272</v>
      </c>
      <c r="CT24" s="75">
        <v>11465</v>
      </c>
      <c r="CU24" s="67">
        <f t="shared" si="96"/>
        <v>10</v>
      </c>
      <c r="CV24" s="68">
        <v>27394</v>
      </c>
      <c r="CW24" s="67">
        <f t="shared" si="97"/>
        <v>24</v>
      </c>
      <c r="CX24" s="58">
        <v>4345.7</v>
      </c>
      <c r="CY24" s="67">
        <f t="shared" si="98"/>
        <v>11.199999999999818</v>
      </c>
    </row>
    <row r="25" spans="1:103" ht="25.5" customHeight="1" thickBot="1" x14ac:dyDescent="0.45">
      <c r="A25" s="63">
        <v>44826</v>
      </c>
      <c r="B25" s="44"/>
      <c r="C25" s="58">
        <v>3.4973999999999998</v>
      </c>
      <c r="D25" s="64">
        <f t="shared" si="49"/>
        <v>2399.9999999997358</v>
      </c>
      <c r="E25" s="58">
        <v>4.6890999999999998</v>
      </c>
      <c r="F25" s="64">
        <f t="shared" si="50"/>
        <v>3099.9999999998809</v>
      </c>
      <c r="G25" s="58">
        <v>4.6688000000000001</v>
      </c>
      <c r="H25" s="64">
        <f t="shared" si="51"/>
        <v>3099.9999999998809</v>
      </c>
      <c r="I25" s="58">
        <v>2.3287</v>
      </c>
      <c r="J25" s="64">
        <f t="shared" si="52"/>
        <v>1500.0000000000568</v>
      </c>
      <c r="K25" s="58">
        <v>3.6002999999999998</v>
      </c>
      <c r="L25" s="64">
        <f t="shared" si="53"/>
        <v>1999.9999999997797</v>
      </c>
      <c r="M25" s="58">
        <v>2.1227</v>
      </c>
      <c r="N25" s="64">
        <f t="shared" si="54"/>
        <v>1599.9999999998238</v>
      </c>
      <c r="O25" s="58">
        <v>23773</v>
      </c>
      <c r="P25" s="67">
        <f t="shared" si="55"/>
        <v>2</v>
      </c>
      <c r="Q25" s="58">
        <v>2933</v>
      </c>
      <c r="R25" s="67">
        <f t="shared" si="56"/>
        <v>5</v>
      </c>
      <c r="S25" s="58">
        <v>1494.8</v>
      </c>
      <c r="T25" s="67">
        <f t="shared" si="57"/>
        <v>1099.9999999999091</v>
      </c>
      <c r="U25" s="58">
        <v>597885.5</v>
      </c>
      <c r="V25" s="67">
        <f t="shared" si="58"/>
        <v>408.69999999995343</v>
      </c>
      <c r="W25" s="58">
        <v>547.15</v>
      </c>
      <c r="X25" s="65">
        <f t="shared" si="59"/>
        <v>299.99999999995453</v>
      </c>
      <c r="Y25" s="58">
        <v>4.1322000000000001</v>
      </c>
      <c r="Z25" s="65">
        <f t="shared" si="60"/>
        <v>2900.0000000003465</v>
      </c>
      <c r="AA25" s="58">
        <v>555.37</v>
      </c>
      <c r="AB25" s="65">
        <f t="shared" si="61"/>
        <v>240.00000000000909</v>
      </c>
      <c r="AC25" s="58">
        <v>549.23</v>
      </c>
      <c r="AD25" s="65">
        <f t="shared" si="62"/>
        <v>420.00000000007276</v>
      </c>
      <c r="AE25" s="58">
        <v>847.01</v>
      </c>
      <c r="AF25" s="65">
        <f t="shared" si="63"/>
        <v>879.99999999999545</v>
      </c>
      <c r="AG25" s="58">
        <v>21453</v>
      </c>
      <c r="AH25" s="67">
        <f t="shared" si="64"/>
        <v>37</v>
      </c>
      <c r="AI25" s="58">
        <v>932.99</v>
      </c>
      <c r="AJ25" s="65">
        <f t="shared" si="65"/>
        <v>649.99999999997726</v>
      </c>
      <c r="AK25" s="58">
        <v>310.37</v>
      </c>
      <c r="AL25" s="65">
        <f t="shared" si="66"/>
        <v>310.00000000000227</v>
      </c>
      <c r="AM25" s="58">
        <v>287.33</v>
      </c>
      <c r="AN25" s="65">
        <f t="shared" si="67"/>
        <v>189.99999999999773</v>
      </c>
      <c r="AO25" s="58">
        <v>277.18</v>
      </c>
      <c r="AP25" s="65">
        <f t="shared" si="68"/>
        <v>139.99999999998636</v>
      </c>
      <c r="AQ25" s="58">
        <v>330.55</v>
      </c>
      <c r="AR25" s="65">
        <f t="shared" si="69"/>
        <v>139.99999999998636</v>
      </c>
      <c r="AS25" s="58">
        <v>455.69</v>
      </c>
      <c r="AT25" s="65">
        <f t="shared" si="70"/>
        <v>100.00000000002274</v>
      </c>
      <c r="AU25" s="58">
        <v>362.95</v>
      </c>
      <c r="AV25" s="65">
        <f t="shared" si="71"/>
        <v>89.999999999974989</v>
      </c>
      <c r="AW25" s="58">
        <v>392.29</v>
      </c>
      <c r="AX25" s="65">
        <f t="shared" si="72"/>
        <v>120.00000000000455</v>
      </c>
      <c r="AY25" s="58">
        <v>428.3</v>
      </c>
      <c r="AZ25" s="65">
        <f t="shared" si="73"/>
        <v>120.00000000000455</v>
      </c>
      <c r="BA25" s="58">
        <v>445.06</v>
      </c>
      <c r="BB25" s="65">
        <f t="shared" si="74"/>
        <v>199.99999999998863</v>
      </c>
      <c r="BC25" s="58">
        <v>285.29000000000002</v>
      </c>
      <c r="BD25" s="65">
        <f t="shared" si="75"/>
        <v>60.000000000002274</v>
      </c>
      <c r="BE25" s="59">
        <v>55453</v>
      </c>
      <c r="BF25" s="67">
        <f t="shared" si="76"/>
        <v>46</v>
      </c>
      <c r="BG25" s="60">
        <v>252.34</v>
      </c>
      <c r="BH25" s="65">
        <f t="shared" si="77"/>
        <v>30.000000000001137</v>
      </c>
      <c r="BI25" s="60">
        <v>306.83999999999997</v>
      </c>
      <c r="BJ25" s="65">
        <v>40</v>
      </c>
      <c r="BK25" s="60">
        <v>257.12</v>
      </c>
      <c r="BL25" s="65">
        <f t="shared" si="79"/>
        <v>40.000000000020464</v>
      </c>
      <c r="BM25" s="60">
        <v>282.19</v>
      </c>
      <c r="BN25" s="65">
        <v>30</v>
      </c>
      <c r="BO25" s="60">
        <v>310.87</v>
      </c>
      <c r="BP25" s="65">
        <v>50</v>
      </c>
      <c r="BQ25" s="60">
        <v>60418</v>
      </c>
      <c r="BR25" s="65">
        <f t="shared" si="82"/>
        <v>31</v>
      </c>
      <c r="BS25" s="60">
        <v>220.3</v>
      </c>
      <c r="BT25" s="65">
        <f t="shared" si="83"/>
        <v>50.000000000011369</v>
      </c>
      <c r="BU25" s="60">
        <v>58404</v>
      </c>
      <c r="BV25" s="65">
        <f t="shared" si="84"/>
        <v>37</v>
      </c>
      <c r="BW25" s="60">
        <v>248.35</v>
      </c>
      <c r="BX25" s="65">
        <f t="shared" si="85"/>
        <v>30.000000000001137</v>
      </c>
      <c r="BY25" s="60">
        <v>78788</v>
      </c>
      <c r="BZ25" s="67">
        <f t="shared" si="86"/>
        <v>43</v>
      </c>
      <c r="CA25" s="60">
        <v>54806.400000000001</v>
      </c>
      <c r="CB25" s="67">
        <f t="shared" si="87"/>
        <v>46.400000000001455</v>
      </c>
      <c r="CC25" s="60">
        <v>17083.8</v>
      </c>
      <c r="CD25" s="67">
        <f t="shared" si="88"/>
        <v>10.5</v>
      </c>
      <c r="CE25" s="60">
        <v>8613</v>
      </c>
      <c r="CF25" s="67">
        <f t="shared" si="89"/>
        <v>3</v>
      </c>
      <c r="CG25" s="60">
        <v>80727.199999999997</v>
      </c>
      <c r="CH25" s="67">
        <f t="shared" si="90"/>
        <v>55.19999999999709</v>
      </c>
      <c r="CI25" s="60">
        <v>1081898</v>
      </c>
      <c r="CJ25" s="67">
        <f t="shared" si="91"/>
        <v>273</v>
      </c>
      <c r="CK25" s="60">
        <v>1100.3</v>
      </c>
      <c r="CL25" s="64">
        <f t="shared" si="92"/>
        <v>799.99999999995453</v>
      </c>
      <c r="CM25" s="65">
        <f t="shared" si="93"/>
        <v>90.100000000002183</v>
      </c>
      <c r="CN25" s="62">
        <v>24</v>
      </c>
      <c r="CO25" s="62">
        <v>47</v>
      </c>
      <c r="CP25" s="68">
        <v>41279</v>
      </c>
      <c r="CQ25" s="67">
        <f t="shared" si="94"/>
        <v>71</v>
      </c>
      <c r="CR25" s="68">
        <v>24024.400000000001</v>
      </c>
      <c r="CS25" s="67">
        <f t="shared" si="95"/>
        <v>19.100000000002183</v>
      </c>
      <c r="CT25" s="75">
        <v>11484</v>
      </c>
      <c r="CU25" s="67">
        <f t="shared" si="96"/>
        <v>19</v>
      </c>
      <c r="CV25" s="68">
        <v>27418</v>
      </c>
      <c r="CW25" s="67">
        <f t="shared" si="97"/>
        <v>24</v>
      </c>
      <c r="CX25" s="58">
        <v>4357.3</v>
      </c>
      <c r="CY25" s="67">
        <f t="shared" si="98"/>
        <v>11.600000000000364</v>
      </c>
    </row>
    <row r="26" spans="1:103" ht="25.5" customHeight="1" thickBot="1" x14ac:dyDescent="0.45">
      <c r="A26" s="63">
        <v>44827</v>
      </c>
      <c r="B26" s="44"/>
      <c r="C26" s="58">
        <v>3.5</v>
      </c>
      <c r="D26" s="64">
        <f t="shared" si="49"/>
        <v>2600.0000000001578</v>
      </c>
      <c r="E26" s="58">
        <v>4.6923000000000004</v>
      </c>
      <c r="F26" s="64">
        <f t="shared" si="50"/>
        <v>3200.0000000005357</v>
      </c>
      <c r="G26" s="58">
        <v>4.6719999999999997</v>
      </c>
      <c r="H26" s="64">
        <f t="shared" si="51"/>
        <v>3199.9999999996476</v>
      </c>
      <c r="I26" s="58">
        <v>2.3300999999999998</v>
      </c>
      <c r="J26" s="64">
        <f t="shared" si="52"/>
        <v>1399.9999999998458</v>
      </c>
      <c r="K26" s="58">
        <v>3.6023999999999998</v>
      </c>
      <c r="L26" s="64">
        <f t="shared" si="53"/>
        <v>2099.9999999999909</v>
      </c>
      <c r="M26" s="58">
        <v>2.1246</v>
      </c>
      <c r="N26" s="64">
        <f t="shared" si="54"/>
        <v>1900.0000000000127</v>
      </c>
      <c r="O26" s="58">
        <v>23805</v>
      </c>
      <c r="P26" s="67">
        <f t="shared" si="55"/>
        <v>32</v>
      </c>
      <c r="Q26" s="58">
        <v>2937</v>
      </c>
      <c r="R26" s="67">
        <f t="shared" si="56"/>
        <v>4</v>
      </c>
      <c r="S26" s="58">
        <v>1496.2</v>
      </c>
      <c r="T26" s="67">
        <f t="shared" si="57"/>
        <v>1400.0000000000909</v>
      </c>
      <c r="U26" s="58">
        <v>598360.69999999995</v>
      </c>
      <c r="V26" s="67">
        <f t="shared" si="58"/>
        <v>475.19999999995343</v>
      </c>
      <c r="W26" s="58">
        <v>547.44000000000005</v>
      </c>
      <c r="X26" s="65">
        <f t="shared" si="59"/>
        <v>290.00000000007731</v>
      </c>
      <c r="Y26" s="58">
        <v>4.1351000000000004</v>
      </c>
      <c r="Z26" s="65">
        <f t="shared" si="60"/>
        <v>2900.0000000003465</v>
      </c>
      <c r="AA26" s="58">
        <v>555.78</v>
      </c>
      <c r="AB26" s="65">
        <f t="shared" si="61"/>
        <v>409.99999999996817</v>
      </c>
      <c r="AC26" s="58">
        <v>549.67999999999995</v>
      </c>
      <c r="AD26" s="65">
        <f t="shared" si="62"/>
        <v>449.99999999993179</v>
      </c>
      <c r="AE26" s="58">
        <v>847.92</v>
      </c>
      <c r="AF26" s="65">
        <f t="shared" si="63"/>
        <v>909.99999999996817</v>
      </c>
      <c r="AG26" s="58">
        <v>21492</v>
      </c>
      <c r="AH26" s="67">
        <f t="shared" si="64"/>
        <v>39</v>
      </c>
      <c r="AI26" s="58">
        <v>933.64</v>
      </c>
      <c r="AJ26" s="65">
        <f t="shared" si="65"/>
        <v>649.99999999997726</v>
      </c>
      <c r="AK26" s="58">
        <v>310.73</v>
      </c>
      <c r="AL26" s="65">
        <f t="shared" si="66"/>
        <v>360.00000000001364</v>
      </c>
      <c r="AM26" s="58">
        <v>287.57</v>
      </c>
      <c r="AN26" s="65">
        <f t="shared" si="67"/>
        <v>240.00000000000909</v>
      </c>
      <c r="AO26" s="58">
        <v>277.33999999999997</v>
      </c>
      <c r="AP26" s="65">
        <f t="shared" si="68"/>
        <v>159.99999999996817</v>
      </c>
      <c r="AQ26" s="58">
        <v>330.73</v>
      </c>
      <c r="AR26" s="65">
        <f t="shared" si="69"/>
        <v>180.00000000000682</v>
      </c>
      <c r="AS26" s="58">
        <v>455.83</v>
      </c>
      <c r="AT26" s="65">
        <f t="shared" si="70"/>
        <v>139.99999999998636</v>
      </c>
      <c r="AU26" s="58">
        <v>363.08</v>
      </c>
      <c r="AV26" s="65">
        <f t="shared" si="71"/>
        <v>129.99999999999545</v>
      </c>
      <c r="AW26" s="58">
        <v>392.48</v>
      </c>
      <c r="AX26" s="65">
        <f t="shared" si="72"/>
        <v>189.99999999999773</v>
      </c>
      <c r="AY26" s="58">
        <v>428.43</v>
      </c>
      <c r="AZ26" s="65">
        <f t="shared" si="73"/>
        <v>129.99999999999545</v>
      </c>
      <c r="BA26" s="58">
        <v>445.22</v>
      </c>
      <c r="BB26" s="65">
        <f t="shared" si="74"/>
        <v>160.00000000002501</v>
      </c>
      <c r="BC26" s="58">
        <v>285.33999999999997</v>
      </c>
      <c r="BD26" s="65">
        <f t="shared" si="75"/>
        <v>49.999999999954525</v>
      </c>
      <c r="BE26" s="59">
        <v>55495</v>
      </c>
      <c r="BF26" s="67">
        <f t="shared" si="76"/>
        <v>42</v>
      </c>
      <c r="BG26" s="60">
        <v>252.37</v>
      </c>
      <c r="BH26" s="65">
        <f t="shared" si="77"/>
        <v>30.000000000001137</v>
      </c>
      <c r="BI26" s="60">
        <v>306.88</v>
      </c>
      <c r="BJ26" s="65">
        <f t="shared" si="78"/>
        <v>40.000000000020464</v>
      </c>
      <c r="BK26" s="60">
        <v>257.16000000000003</v>
      </c>
      <c r="BL26" s="65">
        <f t="shared" si="79"/>
        <v>40.000000000020464</v>
      </c>
      <c r="BM26" s="60">
        <v>242.22</v>
      </c>
      <c r="BN26" s="65">
        <v>30</v>
      </c>
      <c r="BO26" s="60">
        <v>310.92</v>
      </c>
      <c r="BP26" s="65">
        <f t="shared" si="81"/>
        <v>50.000000000011369</v>
      </c>
      <c r="BQ26" s="60">
        <v>60449</v>
      </c>
      <c r="BR26" s="65">
        <f t="shared" si="82"/>
        <v>31</v>
      </c>
      <c r="BS26" s="60">
        <v>220.33</v>
      </c>
      <c r="BT26" s="65">
        <f t="shared" si="83"/>
        <v>30.000000000001137</v>
      </c>
      <c r="BU26" s="60">
        <v>58445</v>
      </c>
      <c r="BV26" s="65">
        <f t="shared" si="84"/>
        <v>41</v>
      </c>
      <c r="BW26" s="60">
        <v>248.39</v>
      </c>
      <c r="BX26" s="65">
        <f t="shared" si="85"/>
        <v>39.999999999992042</v>
      </c>
      <c r="BY26" s="60">
        <v>78832</v>
      </c>
      <c r="BZ26" s="67">
        <f t="shared" si="86"/>
        <v>44</v>
      </c>
      <c r="CA26" s="60">
        <v>54863.7</v>
      </c>
      <c r="CB26" s="67">
        <f t="shared" si="87"/>
        <v>57.299999999995634</v>
      </c>
      <c r="CC26" s="60">
        <v>17095</v>
      </c>
      <c r="CD26" s="67">
        <f t="shared" si="88"/>
        <v>11.200000000000728</v>
      </c>
      <c r="CE26" s="60">
        <v>8621.4</v>
      </c>
      <c r="CF26" s="67">
        <f t="shared" si="89"/>
        <v>8.3999999999996362</v>
      </c>
      <c r="CG26" s="60">
        <v>80771.899999999994</v>
      </c>
      <c r="CH26" s="67">
        <f t="shared" si="90"/>
        <v>44.69999999999709</v>
      </c>
      <c r="CI26" s="60">
        <v>1082204</v>
      </c>
      <c r="CJ26" s="67">
        <f t="shared" si="91"/>
        <v>306</v>
      </c>
      <c r="CK26" s="60">
        <v>1101.0999999999999</v>
      </c>
      <c r="CL26" s="64">
        <f t="shared" si="92"/>
        <v>799.99999999995453</v>
      </c>
      <c r="CM26" s="65">
        <f t="shared" si="93"/>
        <v>128.59999999999854</v>
      </c>
      <c r="CN26" s="62">
        <v>26</v>
      </c>
      <c r="CO26" s="62">
        <v>61</v>
      </c>
      <c r="CP26" s="68">
        <v>41367</v>
      </c>
      <c r="CQ26" s="67">
        <f t="shared" si="94"/>
        <v>88</v>
      </c>
      <c r="CR26" s="68">
        <v>24065</v>
      </c>
      <c r="CS26" s="67">
        <f t="shared" si="95"/>
        <v>40.599999999998545</v>
      </c>
      <c r="CT26" s="75">
        <v>11492</v>
      </c>
      <c r="CU26" s="67">
        <f t="shared" si="96"/>
        <v>8</v>
      </c>
      <c r="CV26" s="68">
        <v>27441</v>
      </c>
      <c r="CW26" s="67">
        <f t="shared" si="97"/>
        <v>23</v>
      </c>
      <c r="CX26" s="58">
        <v>4369.3999999999996</v>
      </c>
      <c r="CY26" s="67">
        <f t="shared" si="98"/>
        <v>12.099999999999454</v>
      </c>
    </row>
    <row r="27" spans="1:103" ht="25.5" customHeight="1" thickBot="1" x14ac:dyDescent="0.45">
      <c r="A27" s="63">
        <v>44828</v>
      </c>
      <c r="B27" s="44"/>
      <c r="C27" s="58">
        <v>3.5026000000000002</v>
      </c>
      <c r="D27" s="64">
        <f t="shared" si="49"/>
        <v>2600.0000000001578</v>
      </c>
      <c r="E27" s="58">
        <v>4.6954000000000002</v>
      </c>
      <c r="F27" s="64">
        <f t="shared" si="50"/>
        <v>3099.9999999998809</v>
      </c>
      <c r="G27" s="58">
        <v>4.6757999999999997</v>
      </c>
      <c r="H27" s="64">
        <f t="shared" si="51"/>
        <v>3800.0000000000255</v>
      </c>
      <c r="I27" s="58">
        <v>2.3317000000000001</v>
      </c>
      <c r="J27" s="64">
        <f t="shared" si="52"/>
        <v>1600.0000000002678</v>
      </c>
      <c r="K27" s="58">
        <v>3.6044</v>
      </c>
      <c r="L27" s="64">
        <f t="shared" si="53"/>
        <v>2000.0000000002237</v>
      </c>
      <c r="M27" s="58">
        <v>2.1265000000000001</v>
      </c>
      <c r="N27" s="64">
        <f t="shared" si="54"/>
        <v>1900.0000000000127</v>
      </c>
      <c r="O27" s="58">
        <v>23841</v>
      </c>
      <c r="P27" s="67">
        <f t="shared" si="55"/>
        <v>36</v>
      </c>
      <c r="Q27" s="58">
        <v>2942</v>
      </c>
      <c r="R27" s="67">
        <f t="shared" si="56"/>
        <v>5</v>
      </c>
      <c r="S27" s="58">
        <v>1497.8</v>
      </c>
      <c r="T27" s="67">
        <f t="shared" si="57"/>
        <v>1599.9999999999091</v>
      </c>
      <c r="U27" s="58">
        <v>598910.30000000005</v>
      </c>
      <c r="V27" s="67">
        <f t="shared" si="58"/>
        <v>549.60000000009313</v>
      </c>
      <c r="W27" s="58">
        <v>547.73</v>
      </c>
      <c r="X27" s="65">
        <f t="shared" si="59"/>
        <v>289.99999999996362</v>
      </c>
      <c r="Y27" s="58">
        <v>4.1379999999999999</v>
      </c>
      <c r="Z27" s="65">
        <f t="shared" si="60"/>
        <v>2899.9999999994584</v>
      </c>
      <c r="AA27" s="58">
        <v>556.16999999999996</v>
      </c>
      <c r="AB27" s="65">
        <f t="shared" si="61"/>
        <v>389.99999999998636</v>
      </c>
      <c r="AC27" s="58">
        <v>550.1</v>
      </c>
      <c r="AD27" s="65">
        <f t="shared" si="62"/>
        <v>420.00000000007276</v>
      </c>
      <c r="AE27" s="58">
        <v>848.87</v>
      </c>
      <c r="AF27" s="65">
        <f t="shared" si="63"/>
        <v>950.00000000004547</v>
      </c>
      <c r="AG27" s="58">
        <v>21526</v>
      </c>
      <c r="AH27" s="67">
        <f t="shared" si="64"/>
        <v>34</v>
      </c>
      <c r="AI27" s="58">
        <v>934.29</v>
      </c>
      <c r="AJ27" s="65">
        <f t="shared" si="65"/>
        <v>649.99999999997726</v>
      </c>
      <c r="AK27" s="58">
        <v>310.95</v>
      </c>
      <c r="AL27" s="65">
        <f t="shared" si="66"/>
        <v>219.99999999997044</v>
      </c>
      <c r="AM27" s="58">
        <v>287.77999999999997</v>
      </c>
      <c r="AN27" s="65">
        <f t="shared" si="67"/>
        <v>209.99999999997954</v>
      </c>
      <c r="AO27" s="58">
        <v>277.5</v>
      </c>
      <c r="AP27" s="65">
        <f t="shared" si="68"/>
        <v>160.00000000002501</v>
      </c>
      <c r="AQ27" s="58">
        <v>330.94</v>
      </c>
      <c r="AR27" s="65">
        <f t="shared" si="69"/>
        <v>209.99999999997954</v>
      </c>
      <c r="AS27" s="58">
        <v>456</v>
      </c>
      <c r="AT27" s="65">
        <f t="shared" si="70"/>
        <v>170.00000000001592</v>
      </c>
      <c r="AU27" s="58">
        <v>363.22</v>
      </c>
      <c r="AV27" s="65">
        <f t="shared" si="71"/>
        <v>140.0000000000432</v>
      </c>
      <c r="AW27" s="58">
        <v>392.68</v>
      </c>
      <c r="AX27" s="65">
        <f t="shared" si="72"/>
        <v>199.99999999998863</v>
      </c>
      <c r="AY27" s="58">
        <v>428.57</v>
      </c>
      <c r="AZ27" s="65">
        <f t="shared" si="73"/>
        <v>139.99999999998636</v>
      </c>
      <c r="BA27" s="58">
        <v>445.38</v>
      </c>
      <c r="BB27" s="65">
        <f t="shared" si="74"/>
        <v>159.99999999996817</v>
      </c>
      <c r="BC27" s="58">
        <v>285.39999999999998</v>
      </c>
      <c r="BD27" s="65">
        <f t="shared" si="75"/>
        <v>60.000000000002274</v>
      </c>
      <c r="BE27" s="59">
        <v>55536</v>
      </c>
      <c r="BF27" s="67">
        <f t="shared" si="76"/>
        <v>41</v>
      </c>
      <c r="BG27" s="60">
        <v>252.41</v>
      </c>
      <c r="BH27" s="65">
        <f t="shared" si="77"/>
        <v>39.999999999992042</v>
      </c>
      <c r="BI27" s="60">
        <v>306.91000000000003</v>
      </c>
      <c r="BJ27" s="65">
        <f t="shared" si="78"/>
        <v>30.000000000029559</v>
      </c>
      <c r="BK27" s="60">
        <v>257.2</v>
      </c>
      <c r="BL27" s="65">
        <f t="shared" si="79"/>
        <v>39.99999999996362</v>
      </c>
      <c r="BM27" s="60">
        <v>242.26</v>
      </c>
      <c r="BN27" s="65">
        <f t="shared" si="80"/>
        <v>39.999999999992042</v>
      </c>
      <c r="BO27" s="60">
        <v>310.95</v>
      </c>
      <c r="BP27" s="65">
        <f t="shared" si="81"/>
        <v>29.999999999972715</v>
      </c>
      <c r="BQ27" s="60">
        <v>60487</v>
      </c>
      <c r="BR27" s="65">
        <f t="shared" si="82"/>
        <v>38</v>
      </c>
      <c r="BS27" s="60">
        <v>220.37</v>
      </c>
      <c r="BT27" s="65">
        <f t="shared" si="83"/>
        <v>39.999999999992042</v>
      </c>
      <c r="BU27" s="60">
        <v>58484</v>
      </c>
      <c r="BV27" s="65">
        <f t="shared" si="84"/>
        <v>39</v>
      </c>
      <c r="BW27" s="60">
        <v>248.44</v>
      </c>
      <c r="BX27" s="65">
        <f t="shared" si="85"/>
        <v>50.000000000011369</v>
      </c>
      <c r="BY27" s="60">
        <v>78876</v>
      </c>
      <c r="BZ27" s="67">
        <f t="shared" si="86"/>
        <v>44</v>
      </c>
      <c r="CA27" s="60">
        <v>54906.400000000001</v>
      </c>
      <c r="CB27" s="67">
        <f t="shared" si="87"/>
        <v>42.700000000004366</v>
      </c>
      <c r="CC27" s="60">
        <v>17110</v>
      </c>
      <c r="CD27" s="67">
        <f t="shared" si="88"/>
        <v>15</v>
      </c>
      <c r="CE27" s="60">
        <v>8624.2000000000007</v>
      </c>
      <c r="CF27" s="67">
        <f t="shared" si="89"/>
        <v>2.8000000000010914</v>
      </c>
      <c r="CG27" s="60">
        <v>80833.8</v>
      </c>
      <c r="CH27" s="67">
        <f t="shared" si="90"/>
        <v>61.900000000008731</v>
      </c>
      <c r="CI27" s="60">
        <v>1082502</v>
      </c>
      <c r="CJ27" s="67">
        <f t="shared" si="91"/>
        <v>298</v>
      </c>
      <c r="CK27" s="60">
        <v>1101.9000000000001</v>
      </c>
      <c r="CL27" s="64">
        <f t="shared" si="92"/>
        <v>800.0000000001819</v>
      </c>
      <c r="CM27" s="65">
        <f t="shared" si="93"/>
        <v>98</v>
      </c>
      <c r="CN27" s="62">
        <v>20</v>
      </c>
      <c r="CO27" s="62">
        <v>38</v>
      </c>
      <c r="CP27" s="68">
        <v>41443</v>
      </c>
      <c r="CQ27" s="67">
        <f t="shared" si="94"/>
        <v>76</v>
      </c>
      <c r="CR27" s="68">
        <v>24087</v>
      </c>
      <c r="CS27" s="67">
        <f t="shared" si="95"/>
        <v>22</v>
      </c>
      <c r="CT27" s="75">
        <v>11499</v>
      </c>
      <c r="CU27" s="67">
        <f t="shared" si="96"/>
        <v>7</v>
      </c>
      <c r="CV27" s="68">
        <v>27478</v>
      </c>
      <c r="CW27" s="67">
        <f t="shared" si="97"/>
        <v>37</v>
      </c>
      <c r="CX27" s="58">
        <v>4381.8999999999996</v>
      </c>
      <c r="CY27" s="67">
        <f t="shared" si="98"/>
        <v>12.5</v>
      </c>
    </row>
    <row r="28" spans="1:103" ht="25.5" customHeight="1" thickBot="1" x14ac:dyDescent="0.45">
      <c r="A28" s="63">
        <v>44829</v>
      </c>
      <c r="B28" s="44"/>
      <c r="C28" s="58">
        <v>3.5051000000000001</v>
      </c>
      <c r="D28" s="64">
        <f t="shared" si="49"/>
        <v>2499.9999999999468</v>
      </c>
      <c r="E28" s="58">
        <v>4.6988000000000003</v>
      </c>
      <c r="F28" s="64">
        <f t="shared" si="50"/>
        <v>3400.0000000000696</v>
      </c>
      <c r="G28" s="58">
        <v>4.6792999999999996</v>
      </c>
      <c r="H28" s="64">
        <f t="shared" si="51"/>
        <v>3499.9999999998367</v>
      </c>
      <c r="I28" s="58">
        <v>2.3332000000000002</v>
      </c>
      <c r="J28" s="64">
        <f t="shared" si="52"/>
        <v>1500.0000000000568</v>
      </c>
      <c r="K28" s="58">
        <v>3.6065</v>
      </c>
      <c r="L28" s="64">
        <f t="shared" si="53"/>
        <v>2099.9999999999909</v>
      </c>
      <c r="M28" s="58">
        <v>2.1282000000000001</v>
      </c>
      <c r="N28" s="64">
        <f t="shared" si="54"/>
        <v>1700.0000000000348</v>
      </c>
      <c r="O28" s="58">
        <v>23879</v>
      </c>
      <c r="P28" s="67">
        <f t="shared" si="55"/>
        <v>38</v>
      </c>
      <c r="Q28" s="58">
        <v>2947</v>
      </c>
      <c r="R28" s="67">
        <f t="shared" si="56"/>
        <v>5</v>
      </c>
      <c r="S28" s="58">
        <v>1499.1</v>
      </c>
      <c r="T28" s="67">
        <f t="shared" si="57"/>
        <v>1299.9999999999545</v>
      </c>
      <c r="U28" s="58">
        <v>599402.19999999995</v>
      </c>
      <c r="V28" s="67">
        <f t="shared" si="58"/>
        <v>491.89999999990687</v>
      </c>
      <c r="W28" s="58">
        <v>548.03</v>
      </c>
      <c r="X28" s="65">
        <f t="shared" si="59"/>
        <v>299.99999999995453</v>
      </c>
      <c r="Y28" s="58">
        <v>4.141</v>
      </c>
      <c r="Z28" s="65">
        <f t="shared" si="60"/>
        <v>3000.0000000001137</v>
      </c>
      <c r="AA28" s="58">
        <v>556.48</v>
      </c>
      <c r="AB28" s="65">
        <f t="shared" si="61"/>
        <v>310.00000000005912</v>
      </c>
      <c r="AC28" s="58">
        <v>550.53</v>
      </c>
      <c r="AD28" s="65">
        <f t="shared" si="62"/>
        <v>429.99999999994998</v>
      </c>
      <c r="AE28" s="58">
        <v>849.85</v>
      </c>
      <c r="AF28" s="65">
        <f t="shared" si="63"/>
        <v>980.00000000001819</v>
      </c>
      <c r="AG28" s="58">
        <v>21563</v>
      </c>
      <c r="AH28" s="67">
        <f t="shared" si="64"/>
        <v>37</v>
      </c>
      <c r="AI28" s="58">
        <v>935.02</v>
      </c>
      <c r="AJ28" s="65">
        <f t="shared" si="65"/>
        <v>730.00000000001819</v>
      </c>
      <c r="AK28" s="58">
        <v>311.14</v>
      </c>
      <c r="AL28" s="65">
        <f t="shared" si="66"/>
        <v>189.99999999999773</v>
      </c>
      <c r="AM28" s="58">
        <v>287.98</v>
      </c>
      <c r="AN28" s="65">
        <f t="shared" si="67"/>
        <v>200.00000000004547</v>
      </c>
      <c r="AO28" s="58">
        <v>277.70999999999998</v>
      </c>
      <c r="AP28" s="65">
        <f t="shared" si="68"/>
        <v>209.99999999997954</v>
      </c>
      <c r="AQ28" s="58">
        <v>331.17</v>
      </c>
      <c r="AR28" s="65">
        <f t="shared" si="69"/>
        <v>230.00000000001819</v>
      </c>
      <c r="AS28" s="58">
        <v>456.15</v>
      </c>
      <c r="AT28" s="65">
        <f t="shared" si="70"/>
        <v>149.99999999997726</v>
      </c>
      <c r="AU28" s="58">
        <v>363.33</v>
      </c>
      <c r="AV28" s="65">
        <f t="shared" si="71"/>
        <v>109.9999999999568</v>
      </c>
      <c r="AW28" s="58">
        <v>392.82</v>
      </c>
      <c r="AX28" s="65">
        <f t="shared" si="72"/>
        <v>139.99999999998636</v>
      </c>
      <c r="AY28" s="58">
        <v>428.71</v>
      </c>
      <c r="AZ28" s="65">
        <f t="shared" si="73"/>
        <v>139.99999999998636</v>
      </c>
      <c r="BA28" s="58">
        <v>445.47</v>
      </c>
      <c r="BB28" s="65">
        <f t="shared" si="74"/>
        <v>90.000000000031832</v>
      </c>
      <c r="BC28" s="58">
        <v>285.45999999999998</v>
      </c>
      <c r="BD28" s="65">
        <f t="shared" si="75"/>
        <v>60.000000000002274</v>
      </c>
      <c r="BE28" s="59">
        <v>55576</v>
      </c>
      <c r="BF28" s="67">
        <f t="shared" si="76"/>
        <v>40</v>
      </c>
      <c r="BG28" s="60">
        <v>252.45</v>
      </c>
      <c r="BH28" s="65">
        <f t="shared" si="77"/>
        <v>39.999999999992042</v>
      </c>
      <c r="BI28" s="60">
        <v>306.95</v>
      </c>
      <c r="BJ28" s="65">
        <f t="shared" si="78"/>
        <v>39.99999999996362</v>
      </c>
      <c r="BK28" s="60">
        <v>257.25</v>
      </c>
      <c r="BL28" s="65">
        <f t="shared" si="79"/>
        <v>50.000000000011369</v>
      </c>
      <c r="BM28" s="60">
        <v>242.3</v>
      </c>
      <c r="BN28" s="65">
        <f t="shared" si="80"/>
        <v>40.000000000020464</v>
      </c>
      <c r="BO28" s="60">
        <v>310.98</v>
      </c>
      <c r="BP28" s="65">
        <f t="shared" si="81"/>
        <v>30.000000000029559</v>
      </c>
      <c r="BQ28" s="60">
        <v>60523</v>
      </c>
      <c r="BR28" s="65">
        <f t="shared" si="82"/>
        <v>36</v>
      </c>
      <c r="BS28" s="60">
        <v>220.41</v>
      </c>
      <c r="BT28" s="65">
        <f t="shared" si="83"/>
        <v>39.999999999992042</v>
      </c>
      <c r="BU28" s="60">
        <v>58522</v>
      </c>
      <c r="BV28" s="65">
        <f t="shared" si="84"/>
        <v>38</v>
      </c>
      <c r="BW28" s="60">
        <v>248.48</v>
      </c>
      <c r="BX28" s="65">
        <f t="shared" si="85"/>
        <v>39.999999999992042</v>
      </c>
      <c r="BY28" s="60">
        <v>78918</v>
      </c>
      <c r="BZ28" s="67">
        <f t="shared" si="86"/>
        <v>42</v>
      </c>
      <c r="CA28" s="60">
        <v>54947.9</v>
      </c>
      <c r="CB28" s="67">
        <f t="shared" si="87"/>
        <v>41.5</v>
      </c>
      <c r="CC28" s="60">
        <v>17128.599999999999</v>
      </c>
      <c r="CD28" s="67">
        <f t="shared" si="88"/>
        <v>18.599999999998545</v>
      </c>
      <c r="CE28" s="60">
        <v>8624.9</v>
      </c>
      <c r="CF28" s="67">
        <f t="shared" si="89"/>
        <v>0.69999999999890861</v>
      </c>
      <c r="CG28" s="60">
        <v>80900.100000000006</v>
      </c>
      <c r="CH28" s="67">
        <f t="shared" si="90"/>
        <v>66.30000000000291</v>
      </c>
      <c r="CI28" s="60">
        <v>1082790</v>
      </c>
      <c r="CJ28" s="67">
        <f t="shared" si="91"/>
        <v>288</v>
      </c>
      <c r="CK28" s="60">
        <v>1102.9000000000001</v>
      </c>
      <c r="CL28" s="64">
        <f t="shared" si="92"/>
        <v>1000</v>
      </c>
      <c r="CM28" s="65">
        <f t="shared" si="93"/>
        <v>146.20000000000073</v>
      </c>
      <c r="CN28" s="62">
        <v>34</v>
      </c>
      <c r="CO28" s="62">
        <v>74</v>
      </c>
      <c r="CP28" s="68">
        <v>41568</v>
      </c>
      <c r="CQ28" s="67">
        <f t="shared" si="94"/>
        <v>125</v>
      </c>
      <c r="CR28" s="68">
        <v>24108.2</v>
      </c>
      <c r="CS28" s="67">
        <f t="shared" si="95"/>
        <v>21.200000000000728</v>
      </c>
      <c r="CT28" s="75">
        <v>11506</v>
      </c>
      <c r="CU28" s="67">
        <f t="shared" si="96"/>
        <v>7</v>
      </c>
      <c r="CV28" s="68">
        <v>27514</v>
      </c>
      <c r="CW28" s="67">
        <f t="shared" si="97"/>
        <v>36</v>
      </c>
      <c r="CX28" s="58">
        <v>4394</v>
      </c>
      <c r="CY28" s="67">
        <f t="shared" si="98"/>
        <v>12.100000000000364</v>
      </c>
    </row>
    <row r="29" spans="1:103" ht="25.5" customHeight="1" thickBot="1" x14ac:dyDescent="0.45">
      <c r="A29" s="63">
        <v>44830</v>
      </c>
      <c r="B29" s="44"/>
      <c r="C29" s="58">
        <v>3.5076000000000001</v>
      </c>
      <c r="D29" s="64">
        <f t="shared" si="49"/>
        <v>2499.9999999999468</v>
      </c>
      <c r="E29" s="58">
        <v>4.7016999999999998</v>
      </c>
      <c r="F29" s="64">
        <f t="shared" si="50"/>
        <v>2899.9999999994584</v>
      </c>
      <c r="G29" s="58">
        <v>4.6825999999999999</v>
      </c>
      <c r="H29" s="64">
        <f t="shared" si="51"/>
        <v>3300.0000000003029</v>
      </c>
      <c r="I29" s="58">
        <v>2.3346</v>
      </c>
      <c r="J29" s="64">
        <f t="shared" si="52"/>
        <v>1399.9999999998458</v>
      </c>
      <c r="K29" s="58">
        <v>3.6084000000000001</v>
      </c>
      <c r="L29" s="64">
        <f t="shared" si="53"/>
        <v>1900.0000000000127</v>
      </c>
      <c r="M29" s="58">
        <v>2.1299000000000001</v>
      </c>
      <c r="N29" s="64">
        <f t="shared" si="54"/>
        <v>1700.0000000000348</v>
      </c>
      <c r="O29" s="58">
        <v>23913</v>
      </c>
      <c r="P29" s="67">
        <f t="shared" si="55"/>
        <v>34</v>
      </c>
      <c r="Q29" s="58">
        <v>2950</v>
      </c>
      <c r="R29" s="67">
        <f t="shared" si="56"/>
        <v>3</v>
      </c>
      <c r="S29" s="58">
        <v>1500.2</v>
      </c>
      <c r="T29" s="67">
        <f t="shared" si="57"/>
        <v>1100.0000000001364</v>
      </c>
      <c r="U29" s="58">
        <v>599743.1</v>
      </c>
      <c r="V29" s="67">
        <f t="shared" si="58"/>
        <v>340.90000000002328</v>
      </c>
      <c r="W29" s="58">
        <v>548.28</v>
      </c>
      <c r="X29" s="65">
        <f t="shared" si="59"/>
        <v>250</v>
      </c>
      <c r="Y29" s="58">
        <v>4.1436999999999999</v>
      </c>
      <c r="Z29" s="65">
        <f t="shared" si="60"/>
        <v>2699.9999999999245</v>
      </c>
      <c r="AA29" s="58">
        <v>556.82000000000005</v>
      </c>
      <c r="AB29" s="65">
        <f t="shared" si="61"/>
        <v>340.00000000003183</v>
      </c>
      <c r="AC29" s="58">
        <v>550.88</v>
      </c>
      <c r="AD29" s="65">
        <f t="shared" si="62"/>
        <v>350.00000000002274</v>
      </c>
      <c r="AE29" s="58">
        <v>850.67</v>
      </c>
      <c r="AF29" s="65">
        <f t="shared" si="63"/>
        <v>819.99999999993634</v>
      </c>
      <c r="AG29" s="58">
        <v>21596</v>
      </c>
      <c r="AH29" s="67">
        <f t="shared" si="64"/>
        <v>33</v>
      </c>
      <c r="AI29" s="58">
        <v>935.89</v>
      </c>
      <c r="AJ29" s="65">
        <f t="shared" si="65"/>
        <v>870.00000000000455</v>
      </c>
      <c r="AK29" s="58">
        <v>311.35000000000002</v>
      </c>
      <c r="AL29" s="65">
        <f t="shared" si="66"/>
        <v>210.00000000003638</v>
      </c>
      <c r="AM29" s="58">
        <v>288.16000000000003</v>
      </c>
      <c r="AN29" s="65">
        <f t="shared" si="67"/>
        <v>180.00000000000682</v>
      </c>
      <c r="AO29" s="58">
        <v>277.94</v>
      </c>
      <c r="AP29" s="65">
        <f t="shared" si="68"/>
        <v>230.00000000001819</v>
      </c>
      <c r="AQ29" s="58">
        <v>331.36</v>
      </c>
      <c r="AR29" s="65">
        <f t="shared" si="69"/>
        <v>189.99999999999773</v>
      </c>
      <c r="AS29" s="58">
        <v>456.27</v>
      </c>
      <c r="AT29" s="65">
        <f t="shared" si="70"/>
        <v>120.00000000000455</v>
      </c>
      <c r="AU29" s="58">
        <v>363.44</v>
      </c>
      <c r="AV29" s="65">
        <f t="shared" si="71"/>
        <v>110.00000000001364</v>
      </c>
      <c r="AW29" s="58">
        <v>392.92</v>
      </c>
      <c r="AX29" s="65">
        <f t="shared" si="72"/>
        <v>100.00000000002274</v>
      </c>
      <c r="AY29" s="58">
        <v>428.81</v>
      </c>
      <c r="AZ29" s="65">
        <f t="shared" si="73"/>
        <v>100.00000000002274</v>
      </c>
      <c r="BA29" s="58">
        <v>445.54</v>
      </c>
      <c r="BB29" s="65">
        <f t="shared" si="74"/>
        <v>69.999999999993179</v>
      </c>
      <c r="BC29" s="58">
        <v>285.51</v>
      </c>
      <c r="BD29" s="65">
        <f t="shared" si="75"/>
        <v>50.000000000011369</v>
      </c>
      <c r="BE29" s="59">
        <v>55616</v>
      </c>
      <c r="BF29" s="67">
        <f t="shared" si="76"/>
        <v>40</v>
      </c>
      <c r="BG29" s="60">
        <v>252.49</v>
      </c>
      <c r="BH29" s="65">
        <f t="shared" si="77"/>
        <v>40.000000000020464</v>
      </c>
      <c r="BI29" s="60">
        <v>306.97000000000003</v>
      </c>
      <c r="BJ29" s="65">
        <f t="shared" si="78"/>
        <v>20.000000000038654</v>
      </c>
      <c r="BK29" s="60">
        <v>257.3</v>
      </c>
      <c r="BL29" s="65">
        <f t="shared" si="79"/>
        <v>50.000000000011369</v>
      </c>
      <c r="BM29" s="60">
        <v>242.33</v>
      </c>
      <c r="BN29" s="65">
        <f t="shared" si="80"/>
        <v>30.000000000001137</v>
      </c>
      <c r="BO29" s="60">
        <v>311.01</v>
      </c>
      <c r="BP29" s="65">
        <f t="shared" si="81"/>
        <v>29.999999999972715</v>
      </c>
      <c r="BQ29" s="60">
        <v>60552</v>
      </c>
      <c r="BR29" s="65">
        <f t="shared" si="82"/>
        <v>29</v>
      </c>
      <c r="BS29" s="60">
        <v>220.44</v>
      </c>
      <c r="BT29" s="65">
        <f t="shared" si="83"/>
        <v>30.000000000001137</v>
      </c>
      <c r="BU29" s="60">
        <v>58557</v>
      </c>
      <c r="BV29" s="65">
        <f t="shared" si="84"/>
        <v>35</v>
      </c>
      <c r="BW29" s="60">
        <v>248.52</v>
      </c>
      <c r="BX29" s="65">
        <f t="shared" si="85"/>
        <v>40.000000000020464</v>
      </c>
      <c r="BY29" s="60">
        <v>78957</v>
      </c>
      <c r="BZ29" s="67">
        <f t="shared" si="86"/>
        <v>39</v>
      </c>
      <c r="CA29" s="60">
        <v>54975.199999999997</v>
      </c>
      <c r="CB29" s="67">
        <f t="shared" si="87"/>
        <v>27.299999999995634</v>
      </c>
      <c r="CC29" s="60">
        <v>17139.5</v>
      </c>
      <c r="CD29" s="67">
        <f t="shared" si="88"/>
        <v>10.900000000001455</v>
      </c>
      <c r="CE29" s="60">
        <v>8635</v>
      </c>
      <c r="CF29" s="67">
        <f t="shared" si="89"/>
        <v>10.100000000000364</v>
      </c>
      <c r="CG29" s="60">
        <v>80963</v>
      </c>
      <c r="CH29" s="67">
        <f t="shared" si="90"/>
        <v>62.899999999994179</v>
      </c>
      <c r="CI29" s="60">
        <v>1083069</v>
      </c>
      <c r="CJ29" s="67">
        <f t="shared" si="91"/>
        <v>279</v>
      </c>
      <c r="CK29" s="60">
        <v>1103.9000000000001</v>
      </c>
      <c r="CL29" s="64">
        <f t="shared" si="92"/>
        <v>1000</v>
      </c>
      <c r="CM29" s="65">
        <f t="shared" si="93"/>
        <v>133.20000000000073</v>
      </c>
      <c r="CN29" s="62">
        <v>34</v>
      </c>
      <c r="CO29" s="62">
        <v>74</v>
      </c>
      <c r="CP29" s="68">
        <v>41680</v>
      </c>
      <c r="CQ29" s="67">
        <f t="shared" si="94"/>
        <v>112</v>
      </c>
      <c r="CR29" s="68">
        <v>24129.4</v>
      </c>
      <c r="CS29" s="67">
        <f t="shared" si="95"/>
        <v>21.200000000000728</v>
      </c>
      <c r="CT29" s="75">
        <v>11514</v>
      </c>
      <c r="CU29" s="67">
        <f t="shared" si="96"/>
        <v>8</v>
      </c>
      <c r="CV29" s="68">
        <v>27557</v>
      </c>
      <c r="CW29" s="67">
        <f t="shared" si="97"/>
        <v>43</v>
      </c>
      <c r="CX29" s="58">
        <v>4404.8999999999996</v>
      </c>
      <c r="CY29" s="67">
        <f t="shared" si="98"/>
        <v>10.899999999999636</v>
      </c>
    </row>
    <row r="30" spans="1:103" ht="25.5" customHeight="1" thickBot="1" x14ac:dyDescent="0.45">
      <c r="A30" s="63">
        <v>44831</v>
      </c>
      <c r="B30" s="44"/>
      <c r="C30" s="58">
        <v>3.5101</v>
      </c>
      <c r="D30" s="64">
        <f t="shared" si="49"/>
        <v>2499.9999999999468</v>
      </c>
      <c r="E30" s="58">
        <v>4.7049000000000003</v>
      </c>
      <c r="F30" s="64">
        <f t="shared" si="50"/>
        <v>3200.0000000005357</v>
      </c>
      <c r="G30" s="58">
        <v>4.6858000000000004</v>
      </c>
      <c r="H30" s="64">
        <f t="shared" si="51"/>
        <v>3200.0000000005357</v>
      </c>
      <c r="I30" s="58">
        <v>2.3361999999999998</v>
      </c>
      <c r="J30" s="64">
        <f t="shared" si="52"/>
        <v>1599.9999999998238</v>
      </c>
      <c r="K30" s="58">
        <v>3.6103000000000001</v>
      </c>
      <c r="L30" s="64">
        <f t="shared" si="53"/>
        <v>1900.0000000000127</v>
      </c>
      <c r="M30" s="58">
        <v>2.1316000000000002</v>
      </c>
      <c r="N30" s="64">
        <f t="shared" si="54"/>
        <v>1700.0000000000348</v>
      </c>
      <c r="O30" s="58">
        <v>23952</v>
      </c>
      <c r="P30" s="67">
        <f t="shared" si="55"/>
        <v>39</v>
      </c>
      <c r="Q30" s="58">
        <v>2953</v>
      </c>
      <c r="R30" s="67">
        <f t="shared" si="56"/>
        <v>3</v>
      </c>
      <c r="S30" s="58">
        <v>1501.5</v>
      </c>
      <c r="T30" s="67">
        <f t="shared" si="57"/>
        <v>1299.9999999999545</v>
      </c>
      <c r="U30" s="58">
        <v>600204.5</v>
      </c>
      <c r="V30" s="67">
        <f t="shared" si="58"/>
        <v>461.40000000002328</v>
      </c>
      <c r="W30" s="58">
        <v>548.57000000000005</v>
      </c>
      <c r="X30" s="65">
        <f t="shared" si="59"/>
        <v>290.00000000007731</v>
      </c>
      <c r="Y30" s="58">
        <v>4.1466000000000003</v>
      </c>
      <c r="Z30" s="65">
        <f t="shared" si="60"/>
        <v>2900.0000000003465</v>
      </c>
      <c r="AA30" s="58">
        <v>557.25</v>
      </c>
      <c r="AB30" s="65">
        <f t="shared" si="61"/>
        <v>429.99999999994998</v>
      </c>
      <c r="AC30" s="58">
        <v>551.24</v>
      </c>
      <c r="AD30" s="65">
        <f t="shared" si="62"/>
        <v>360.00000000001364</v>
      </c>
      <c r="AE30" s="58">
        <v>851.49</v>
      </c>
      <c r="AF30" s="65">
        <f t="shared" si="63"/>
        <v>820.00000000005002</v>
      </c>
      <c r="AG30" s="58">
        <v>21635</v>
      </c>
      <c r="AH30" s="67">
        <f t="shared" si="64"/>
        <v>39</v>
      </c>
      <c r="AI30" s="58">
        <v>936.72</v>
      </c>
      <c r="AJ30" s="65">
        <f t="shared" si="65"/>
        <v>830.00000000004093</v>
      </c>
      <c r="AK30" s="58">
        <v>311.56</v>
      </c>
      <c r="AL30" s="65">
        <f t="shared" si="66"/>
        <v>209.99999999997954</v>
      </c>
      <c r="AM30" s="58">
        <v>288.33</v>
      </c>
      <c r="AN30" s="65">
        <f t="shared" si="67"/>
        <v>169.99999999995907</v>
      </c>
      <c r="AO30" s="58">
        <v>278.14999999999998</v>
      </c>
      <c r="AP30" s="65">
        <f t="shared" si="68"/>
        <v>209.99999999997954</v>
      </c>
      <c r="AQ30" s="58">
        <v>331.52</v>
      </c>
      <c r="AR30" s="65">
        <f t="shared" si="69"/>
        <v>159.99999999996817</v>
      </c>
      <c r="AS30" s="58">
        <v>456.41</v>
      </c>
      <c r="AT30" s="65">
        <f t="shared" si="70"/>
        <v>140.0000000000432</v>
      </c>
      <c r="AU30" s="58">
        <v>363.57</v>
      </c>
      <c r="AV30" s="65">
        <f t="shared" si="71"/>
        <v>129.99999999999545</v>
      </c>
      <c r="AW30" s="58">
        <v>393.03</v>
      </c>
      <c r="AX30" s="65">
        <f t="shared" si="72"/>
        <v>109.9999999999568</v>
      </c>
      <c r="AY30" s="58">
        <v>428.94</v>
      </c>
      <c r="AZ30" s="65">
        <f t="shared" si="73"/>
        <v>129.99999999999545</v>
      </c>
      <c r="BA30" s="58">
        <v>445.62</v>
      </c>
      <c r="BB30" s="65">
        <f t="shared" si="74"/>
        <v>79.999999999984084</v>
      </c>
      <c r="BC30" s="58">
        <v>285.56</v>
      </c>
      <c r="BD30" s="65">
        <f t="shared" si="75"/>
        <v>50.000000000011369</v>
      </c>
      <c r="BE30" s="59">
        <v>55668</v>
      </c>
      <c r="BF30" s="67">
        <f t="shared" si="76"/>
        <v>52</v>
      </c>
      <c r="BG30" s="60">
        <v>252.52</v>
      </c>
      <c r="BH30" s="65">
        <f t="shared" si="77"/>
        <v>30.000000000001137</v>
      </c>
      <c r="BI30" s="60">
        <v>307.01</v>
      </c>
      <c r="BJ30" s="65">
        <f t="shared" si="78"/>
        <v>39.99999999996362</v>
      </c>
      <c r="BK30" s="60">
        <v>257.33999999999997</v>
      </c>
      <c r="BL30" s="65">
        <f t="shared" si="79"/>
        <v>39.99999999996362</v>
      </c>
      <c r="BM30" s="60">
        <v>242.36</v>
      </c>
      <c r="BN30" s="65">
        <f t="shared" si="80"/>
        <v>30.000000000001137</v>
      </c>
      <c r="BO30" s="60">
        <v>311.05</v>
      </c>
      <c r="BP30" s="65">
        <f t="shared" si="81"/>
        <v>40.000000000020464</v>
      </c>
      <c r="BQ30" s="60">
        <v>60590</v>
      </c>
      <c r="BR30" s="65">
        <f t="shared" si="82"/>
        <v>38</v>
      </c>
      <c r="BS30" s="60">
        <v>220.49</v>
      </c>
      <c r="BT30" s="65">
        <f t="shared" si="83"/>
        <v>50.000000000011369</v>
      </c>
      <c r="BU30" s="60">
        <v>58592</v>
      </c>
      <c r="BV30" s="65">
        <f t="shared" si="84"/>
        <v>35</v>
      </c>
      <c r="BW30" s="60">
        <v>248.56</v>
      </c>
      <c r="BX30" s="65">
        <f t="shared" si="85"/>
        <v>39.999999999992042</v>
      </c>
      <c r="BY30" s="60">
        <v>78998</v>
      </c>
      <c r="BZ30" s="67">
        <f t="shared" si="86"/>
        <v>41</v>
      </c>
      <c r="CA30" s="60">
        <v>55018</v>
      </c>
      <c r="CB30" s="67">
        <f t="shared" si="87"/>
        <v>42.80000000000291</v>
      </c>
      <c r="CC30" s="60">
        <v>17161</v>
      </c>
      <c r="CD30" s="67">
        <f t="shared" si="88"/>
        <v>21.5</v>
      </c>
      <c r="CE30" s="60">
        <v>8636</v>
      </c>
      <c r="CF30" s="67">
        <f t="shared" si="89"/>
        <v>1</v>
      </c>
      <c r="CG30" s="60">
        <v>81023.199999999997</v>
      </c>
      <c r="CH30" s="67">
        <f t="shared" si="90"/>
        <v>60.19999999999709</v>
      </c>
      <c r="CI30" s="60">
        <v>1083360</v>
      </c>
      <c r="CJ30" s="67">
        <f t="shared" si="91"/>
        <v>291</v>
      </c>
      <c r="CK30" s="60">
        <v>1104.8</v>
      </c>
      <c r="CL30" s="64">
        <f t="shared" si="92"/>
        <v>899.99999999986358</v>
      </c>
      <c r="CM30" s="65">
        <f t="shared" si="93"/>
        <v>121.89999999999782</v>
      </c>
      <c r="CN30" s="62">
        <v>34</v>
      </c>
      <c r="CO30" s="62">
        <v>74</v>
      </c>
      <c r="CP30" s="68">
        <v>41777</v>
      </c>
      <c r="CQ30" s="67">
        <f t="shared" si="94"/>
        <v>97</v>
      </c>
      <c r="CR30" s="68">
        <v>24154.3</v>
      </c>
      <c r="CS30" s="67">
        <f t="shared" si="95"/>
        <v>24.899999999997817</v>
      </c>
      <c r="CT30" s="75">
        <v>11521</v>
      </c>
      <c r="CU30" s="67">
        <f t="shared" si="96"/>
        <v>7</v>
      </c>
      <c r="CV30" s="68">
        <v>27593</v>
      </c>
      <c r="CW30" s="67">
        <f t="shared" si="97"/>
        <v>36</v>
      </c>
      <c r="CX30" s="58">
        <v>4416.3</v>
      </c>
      <c r="CY30" s="67">
        <f t="shared" si="98"/>
        <v>11.400000000000546</v>
      </c>
    </row>
    <row r="31" spans="1:103" ht="25.5" customHeight="1" thickBot="1" x14ac:dyDescent="0.45">
      <c r="A31" s="63">
        <v>44832</v>
      </c>
      <c r="B31" s="66"/>
      <c r="C31" s="58">
        <v>3.5127000000000002</v>
      </c>
      <c r="D31" s="64">
        <f t="shared" si="49"/>
        <v>2600.0000000001578</v>
      </c>
      <c r="E31" s="58">
        <v>4.7081999999999997</v>
      </c>
      <c r="F31" s="64">
        <f t="shared" si="50"/>
        <v>3299.9999999994143</v>
      </c>
      <c r="G31" s="58">
        <v>4.6893000000000002</v>
      </c>
      <c r="H31" s="64">
        <f t="shared" si="51"/>
        <v>3499.9999999998367</v>
      </c>
      <c r="I31" s="58">
        <v>2.3372999999999999</v>
      </c>
      <c r="J31" s="64">
        <f t="shared" si="52"/>
        <v>1100.000000000101</v>
      </c>
      <c r="K31" s="58">
        <v>3.6122999999999998</v>
      </c>
      <c r="L31" s="64">
        <f t="shared" si="53"/>
        <v>1999.9999999997797</v>
      </c>
      <c r="M31" s="58">
        <v>2.1333000000000002</v>
      </c>
      <c r="N31" s="64">
        <f t="shared" si="54"/>
        <v>1700.0000000000348</v>
      </c>
      <c r="O31" s="58">
        <v>23991</v>
      </c>
      <c r="P31" s="67">
        <f t="shared" si="55"/>
        <v>39</v>
      </c>
      <c r="Q31" s="58">
        <v>2958</v>
      </c>
      <c r="R31" s="67">
        <f t="shared" si="56"/>
        <v>5</v>
      </c>
      <c r="S31" s="58">
        <v>1502.8</v>
      </c>
      <c r="T31" s="67">
        <f t="shared" si="57"/>
        <v>1299.9999999999545</v>
      </c>
      <c r="U31" s="58">
        <v>600669.9</v>
      </c>
      <c r="V31" s="67">
        <f t="shared" si="58"/>
        <v>465.40000000002328</v>
      </c>
      <c r="W31" s="58">
        <v>548.84</v>
      </c>
      <c r="X31" s="65">
        <f t="shared" si="59"/>
        <v>269.99999999998181</v>
      </c>
      <c r="Y31" s="58">
        <v>4.1497000000000002</v>
      </c>
      <c r="Z31" s="65">
        <f t="shared" si="60"/>
        <v>3099.9999999998809</v>
      </c>
      <c r="AA31" s="58">
        <v>557.53</v>
      </c>
      <c r="AB31" s="65">
        <f t="shared" si="61"/>
        <v>279.99999999997272</v>
      </c>
      <c r="AC31" s="58">
        <v>551.65</v>
      </c>
      <c r="AD31" s="65">
        <f t="shared" si="62"/>
        <v>409.99999999996817</v>
      </c>
      <c r="AE31" s="58">
        <v>852.35</v>
      </c>
      <c r="AF31" s="65">
        <f t="shared" si="63"/>
        <v>860.00000000001364</v>
      </c>
      <c r="AG31" s="58">
        <v>21673</v>
      </c>
      <c r="AH31" s="67">
        <f t="shared" si="64"/>
        <v>38</v>
      </c>
      <c r="AI31" s="58">
        <v>937.53</v>
      </c>
      <c r="AJ31" s="65">
        <f t="shared" si="65"/>
        <v>809.99999999994543</v>
      </c>
      <c r="AK31" s="58">
        <v>311.77999999999997</v>
      </c>
      <c r="AL31" s="65">
        <f t="shared" si="66"/>
        <v>219.99999999997044</v>
      </c>
      <c r="AM31" s="58">
        <v>288.54000000000002</v>
      </c>
      <c r="AN31" s="65">
        <f t="shared" si="67"/>
        <v>210.00000000003638</v>
      </c>
      <c r="AO31" s="58">
        <v>278.37</v>
      </c>
      <c r="AP31" s="65">
        <f t="shared" si="68"/>
        <v>220.00000000002728</v>
      </c>
      <c r="AQ31" s="58">
        <v>331.7</v>
      </c>
      <c r="AR31" s="65">
        <f t="shared" si="69"/>
        <v>180.00000000000682</v>
      </c>
      <c r="AS31" s="58">
        <v>456.57</v>
      </c>
      <c r="AT31" s="65">
        <f t="shared" si="70"/>
        <v>159.99999999996817</v>
      </c>
      <c r="AU31" s="58">
        <v>363.7</v>
      </c>
      <c r="AV31" s="65">
        <f t="shared" si="71"/>
        <v>129.99999999999545</v>
      </c>
      <c r="AW31" s="58">
        <v>393.16</v>
      </c>
      <c r="AX31" s="65">
        <f t="shared" si="72"/>
        <v>130.0000000000523</v>
      </c>
      <c r="AY31" s="58">
        <v>429.06</v>
      </c>
      <c r="AZ31" s="65">
        <f t="shared" si="73"/>
        <v>120.00000000000455</v>
      </c>
      <c r="BA31" s="58">
        <v>445.72</v>
      </c>
      <c r="BB31" s="65">
        <f t="shared" si="74"/>
        <v>100.00000000002274</v>
      </c>
      <c r="BC31" s="58">
        <v>285.62</v>
      </c>
      <c r="BD31" s="65">
        <f t="shared" si="75"/>
        <v>60.000000000002274</v>
      </c>
      <c r="BE31" s="59">
        <v>55698</v>
      </c>
      <c r="BF31" s="67">
        <f t="shared" si="76"/>
        <v>30</v>
      </c>
      <c r="BG31" s="60">
        <v>252.56</v>
      </c>
      <c r="BH31" s="65">
        <f t="shared" si="77"/>
        <v>39.999999999992042</v>
      </c>
      <c r="BI31" s="60">
        <v>307.04000000000002</v>
      </c>
      <c r="BJ31" s="65">
        <f t="shared" si="78"/>
        <v>30.000000000029559</v>
      </c>
      <c r="BK31" s="60">
        <v>257.39</v>
      </c>
      <c r="BL31" s="65">
        <f t="shared" si="79"/>
        <v>50.000000000011369</v>
      </c>
      <c r="BM31" s="60">
        <v>242.39</v>
      </c>
      <c r="BN31" s="65">
        <f t="shared" si="80"/>
        <v>29.999999999972715</v>
      </c>
      <c r="BO31" s="60">
        <v>311.08999999999997</v>
      </c>
      <c r="BP31" s="65">
        <f t="shared" si="81"/>
        <v>39.99999999996362</v>
      </c>
      <c r="BQ31" s="60">
        <v>60620</v>
      </c>
      <c r="BR31" s="65">
        <f t="shared" si="82"/>
        <v>30</v>
      </c>
      <c r="BS31" s="60">
        <v>220.53</v>
      </c>
      <c r="BT31" s="65">
        <f t="shared" si="83"/>
        <v>39.999999999992042</v>
      </c>
      <c r="BU31" s="60">
        <v>58628</v>
      </c>
      <c r="BV31" s="65">
        <f t="shared" si="84"/>
        <v>36</v>
      </c>
      <c r="BW31" s="60">
        <v>248.6</v>
      </c>
      <c r="BX31" s="65">
        <f t="shared" si="85"/>
        <v>39.999999999992042</v>
      </c>
      <c r="BY31" s="60">
        <v>79040</v>
      </c>
      <c r="BZ31" s="67">
        <f t="shared" si="86"/>
        <v>42</v>
      </c>
      <c r="CA31" s="60">
        <v>55070.5</v>
      </c>
      <c r="CB31" s="67">
        <f t="shared" si="87"/>
        <v>52.5</v>
      </c>
      <c r="CC31" s="60">
        <v>17181.5</v>
      </c>
      <c r="CD31" s="67">
        <f t="shared" si="88"/>
        <v>20.5</v>
      </c>
      <c r="CE31" s="60">
        <v>8636</v>
      </c>
      <c r="CF31" s="67">
        <f t="shared" si="89"/>
        <v>0</v>
      </c>
      <c r="CG31" s="60">
        <v>81085</v>
      </c>
      <c r="CH31" s="67">
        <f t="shared" si="90"/>
        <v>61.80000000000291</v>
      </c>
      <c r="CI31" s="60">
        <v>1083639</v>
      </c>
      <c r="CJ31" s="67">
        <f t="shared" si="91"/>
        <v>279</v>
      </c>
      <c r="CK31" s="60">
        <v>1105.7</v>
      </c>
      <c r="CL31" s="64">
        <f t="shared" si="92"/>
        <v>900.00000000009095</v>
      </c>
      <c r="CM31" s="65">
        <f t="shared" si="93"/>
        <v>121.29999999999927</v>
      </c>
      <c r="CN31" s="62">
        <v>34</v>
      </c>
      <c r="CO31" s="62">
        <v>74</v>
      </c>
      <c r="CP31" s="68">
        <v>41879</v>
      </c>
      <c r="CQ31" s="67">
        <f t="shared" si="94"/>
        <v>102</v>
      </c>
      <c r="CR31" s="68">
        <v>24173.599999999999</v>
      </c>
      <c r="CS31" s="67">
        <f t="shared" si="95"/>
        <v>19.299999999999272</v>
      </c>
      <c r="CT31" s="75">
        <v>11529</v>
      </c>
      <c r="CU31" s="67">
        <f t="shared" si="96"/>
        <v>8</v>
      </c>
      <c r="CV31" s="68">
        <v>27628</v>
      </c>
      <c r="CW31" s="67">
        <f t="shared" si="97"/>
        <v>35</v>
      </c>
      <c r="CX31" s="58">
        <v>4428.2</v>
      </c>
      <c r="CY31" s="67">
        <f t="shared" si="98"/>
        <v>11.899999999999636</v>
      </c>
    </row>
    <row r="32" spans="1:103" ht="25.5" customHeight="1" thickBot="1" x14ac:dyDescent="0.45">
      <c r="A32" s="63">
        <v>44833</v>
      </c>
      <c r="B32" s="68"/>
      <c r="C32" s="58"/>
      <c r="D32" s="64" t="str">
        <f t="shared" si="49"/>
        <v>0</v>
      </c>
      <c r="E32" s="58"/>
      <c r="F32" s="64" t="str">
        <f t="shared" si="50"/>
        <v>0</v>
      </c>
      <c r="G32" s="58"/>
      <c r="H32" s="64" t="str">
        <f t="shared" si="51"/>
        <v>0</v>
      </c>
      <c r="I32" s="58"/>
      <c r="J32" s="64" t="str">
        <f t="shared" si="52"/>
        <v>0</v>
      </c>
      <c r="K32" s="58"/>
      <c r="L32" s="64" t="str">
        <f t="shared" si="53"/>
        <v>0</v>
      </c>
      <c r="M32" s="58"/>
      <c r="N32" s="64" t="str">
        <f t="shared" si="54"/>
        <v/>
      </c>
      <c r="O32" s="58"/>
      <c r="P32" s="67" t="str">
        <f t="shared" si="55"/>
        <v/>
      </c>
      <c r="Q32" s="58"/>
      <c r="R32" s="67" t="str">
        <f t="shared" si="56"/>
        <v/>
      </c>
      <c r="S32" s="58"/>
      <c r="T32" s="67" t="e">
        <f t="shared" si="57"/>
        <v>#VALUE!</v>
      </c>
      <c r="U32" s="58"/>
      <c r="V32" s="67" t="str">
        <f t="shared" si="58"/>
        <v/>
      </c>
      <c r="W32" s="58"/>
      <c r="X32" s="65" t="str">
        <f t="shared" si="59"/>
        <v/>
      </c>
      <c r="Y32" s="58"/>
      <c r="Z32" s="65" t="str">
        <f t="shared" si="60"/>
        <v/>
      </c>
      <c r="AA32" s="58"/>
      <c r="AB32" s="65" t="str">
        <f t="shared" si="61"/>
        <v/>
      </c>
      <c r="AC32" s="58"/>
      <c r="AD32" s="65" t="str">
        <f t="shared" si="62"/>
        <v/>
      </c>
      <c r="AE32" s="58"/>
      <c r="AF32" s="65" t="str">
        <f t="shared" si="63"/>
        <v/>
      </c>
      <c r="AG32" s="58"/>
      <c r="AH32" s="67" t="str">
        <f t="shared" si="64"/>
        <v/>
      </c>
      <c r="AI32" s="58"/>
      <c r="AJ32" s="65" t="str">
        <f t="shared" si="65"/>
        <v/>
      </c>
      <c r="AK32" s="58"/>
      <c r="AL32" s="65" t="str">
        <f t="shared" si="66"/>
        <v/>
      </c>
      <c r="AM32" s="58"/>
      <c r="AN32" s="65" t="str">
        <f t="shared" si="67"/>
        <v/>
      </c>
      <c r="AO32" s="58"/>
      <c r="AP32" s="65" t="str">
        <f t="shared" si="68"/>
        <v/>
      </c>
      <c r="AQ32" s="58"/>
      <c r="AR32" s="65" t="str">
        <f t="shared" si="69"/>
        <v/>
      </c>
      <c r="AS32" s="58"/>
      <c r="AT32" s="65" t="str">
        <f t="shared" si="70"/>
        <v/>
      </c>
      <c r="AU32" s="58"/>
      <c r="AV32" s="65" t="str">
        <f t="shared" si="71"/>
        <v/>
      </c>
      <c r="AW32" s="58"/>
      <c r="AX32" s="65" t="str">
        <f t="shared" si="72"/>
        <v/>
      </c>
      <c r="AY32" s="58"/>
      <c r="AZ32" s="65" t="str">
        <f t="shared" si="73"/>
        <v/>
      </c>
      <c r="BA32" s="58"/>
      <c r="BB32" s="65" t="str">
        <f t="shared" si="74"/>
        <v/>
      </c>
      <c r="BC32" s="58"/>
      <c r="BD32" s="65" t="str">
        <f t="shared" si="75"/>
        <v/>
      </c>
      <c r="BE32" s="59"/>
      <c r="BF32" s="67" t="str">
        <f t="shared" si="76"/>
        <v/>
      </c>
      <c r="BG32" s="60"/>
      <c r="BH32" s="65" t="str">
        <f t="shared" si="77"/>
        <v/>
      </c>
      <c r="BI32" s="60"/>
      <c r="BJ32" s="65" t="str">
        <f t="shared" si="78"/>
        <v/>
      </c>
      <c r="BK32" s="60"/>
      <c r="BL32" s="65" t="str">
        <f t="shared" si="79"/>
        <v/>
      </c>
      <c r="BM32" s="60"/>
      <c r="BN32" s="65" t="str">
        <f t="shared" si="80"/>
        <v/>
      </c>
      <c r="BO32" s="60"/>
      <c r="BP32" s="65" t="str">
        <f t="shared" si="81"/>
        <v/>
      </c>
      <c r="BQ32" s="60"/>
      <c r="BR32" s="65" t="str">
        <f t="shared" si="82"/>
        <v/>
      </c>
      <c r="BS32" s="60"/>
      <c r="BT32" s="65" t="str">
        <f t="shared" si="83"/>
        <v/>
      </c>
      <c r="BU32" s="60"/>
      <c r="BV32" s="65" t="str">
        <f t="shared" si="84"/>
        <v/>
      </c>
      <c r="BW32" s="60"/>
      <c r="BX32" s="65" t="str">
        <f t="shared" si="85"/>
        <v/>
      </c>
      <c r="BY32" s="60"/>
      <c r="BZ32" s="67" t="str">
        <f t="shared" si="86"/>
        <v/>
      </c>
      <c r="CA32" s="60"/>
      <c r="CB32" s="67" t="str">
        <f t="shared" si="87"/>
        <v/>
      </c>
      <c r="CC32" s="60"/>
      <c r="CD32" s="67" t="str">
        <f t="shared" si="88"/>
        <v/>
      </c>
      <c r="CE32" s="60"/>
      <c r="CF32" s="67" t="str">
        <f t="shared" si="89"/>
        <v/>
      </c>
      <c r="CG32" s="60"/>
      <c r="CH32" s="67" t="str">
        <f t="shared" si="90"/>
        <v/>
      </c>
      <c r="CI32" s="60"/>
      <c r="CJ32" s="67" t="str">
        <f t="shared" si="91"/>
        <v/>
      </c>
      <c r="CK32" s="60"/>
      <c r="CL32" s="64" t="str">
        <f t="shared" si="92"/>
        <v/>
      </c>
      <c r="CM32" s="65" t="e">
        <f t="shared" si="93"/>
        <v>#VALUE!</v>
      </c>
      <c r="CN32" s="62"/>
      <c r="CO32" s="62"/>
      <c r="CP32" s="68"/>
      <c r="CQ32" s="67" t="str">
        <f t="shared" si="94"/>
        <v/>
      </c>
      <c r="CR32" s="68"/>
      <c r="CS32" s="67" t="str">
        <f t="shared" si="95"/>
        <v/>
      </c>
      <c r="CT32" s="75"/>
      <c r="CU32" s="67" t="str">
        <f t="shared" si="96"/>
        <v/>
      </c>
      <c r="CV32" s="68"/>
      <c r="CW32" s="67" t="str">
        <f t="shared" si="97"/>
        <v/>
      </c>
      <c r="CX32" s="58"/>
      <c r="CY32" s="67" t="str">
        <f t="shared" si="98"/>
        <v/>
      </c>
    </row>
    <row r="33" spans="1:103" ht="25.5" customHeight="1" thickBot="1" x14ac:dyDescent="0.45">
      <c r="A33" s="63">
        <v>44834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57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2"/>
        <v>0</v>
      </c>
      <c r="CM33" s="65">
        <f t="shared" si="93"/>
        <v>0</v>
      </c>
      <c r="CN33" s="62"/>
      <c r="CO33" s="62"/>
      <c r="CP33" s="68"/>
      <c r="CQ33" s="67">
        <f t="shared" si="94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6" zoomScaleNormal="100" workbookViewId="0">
      <selection activeCell="B34" sqref="B34:D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79">
        <v>16</v>
      </c>
      <c r="D7" s="79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79">
        <v>16</v>
      </c>
      <c r="D8" s="79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79">
        <v>15</v>
      </c>
      <c r="D9" s="79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79">
        <v>11</v>
      </c>
      <c r="D10" s="79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79">
        <v>11</v>
      </c>
      <c r="D11" s="79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79">
        <v>15</v>
      </c>
      <c r="D12" s="79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79">
        <v>15</v>
      </c>
      <c r="D13" s="79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79">
        <v>15</v>
      </c>
      <c r="D14" s="79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79">
        <v>12</v>
      </c>
      <c r="D15" s="79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79">
        <v>12</v>
      </c>
      <c r="D16" s="79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79">
        <v>12</v>
      </c>
      <c r="D17" s="79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79">
        <v>12</v>
      </c>
      <c r="D18" s="79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79">
        <v>12</v>
      </c>
      <c r="D19" s="79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79">
        <v>11</v>
      </c>
      <c r="D20" s="79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79">
        <v>13</v>
      </c>
      <c r="D21" s="79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79">
        <v>12</v>
      </c>
      <c r="D22" s="79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79">
        <v>19</v>
      </c>
      <c r="D23" s="79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79">
        <v>24</v>
      </c>
      <c r="D24" s="79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79">
        <v>24</v>
      </c>
      <c r="D25" s="79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>
        <v>0</v>
      </c>
      <c r="C26" s="79">
        <v>24</v>
      </c>
      <c r="D26" s="79">
        <v>47</v>
      </c>
      <c r="E26" s="41">
        <v>40</v>
      </c>
      <c r="F26" s="41">
        <v>6834</v>
      </c>
      <c r="G26" s="41">
        <v>0</v>
      </c>
      <c r="H26" s="41">
        <v>979</v>
      </c>
      <c r="I26" s="41">
        <v>0</v>
      </c>
      <c r="J26" s="41">
        <v>2212</v>
      </c>
      <c r="K26" s="42">
        <v>82</v>
      </c>
      <c r="L26" s="42">
        <v>50</v>
      </c>
      <c r="M26" s="42">
        <v>1914</v>
      </c>
      <c r="N26" s="39">
        <v>0</v>
      </c>
      <c r="O26" s="39">
        <v>5</v>
      </c>
      <c r="P26" s="39">
        <v>80</v>
      </c>
      <c r="Q26" s="39">
        <v>5423</v>
      </c>
      <c r="R26" s="77">
        <v>60</v>
      </c>
      <c r="S26" s="77">
        <v>232</v>
      </c>
      <c r="T26">
        <f t="shared" si="1"/>
        <v>0</v>
      </c>
    </row>
    <row r="27" spans="1:20" x14ac:dyDescent="0.25">
      <c r="A27" s="73">
        <v>44824</v>
      </c>
      <c r="B27" s="40">
        <v>0</v>
      </c>
      <c r="C27" s="79">
        <v>24</v>
      </c>
      <c r="D27" s="79">
        <v>47</v>
      </c>
      <c r="E27" s="41">
        <v>30</v>
      </c>
      <c r="F27" s="41">
        <v>6834</v>
      </c>
      <c r="G27" s="41">
        <v>0</v>
      </c>
      <c r="H27" s="41">
        <v>981</v>
      </c>
      <c r="I27" s="41">
        <v>0</v>
      </c>
      <c r="J27" s="41">
        <v>2212</v>
      </c>
      <c r="K27" s="42">
        <v>82</v>
      </c>
      <c r="L27" s="42">
        <v>50</v>
      </c>
      <c r="M27" s="42">
        <v>1914</v>
      </c>
      <c r="N27" s="39">
        <v>0</v>
      </c>
      <c r="O27" s="39">
        <v>0</v>
      </c>
      <c r="P27" s="39">
        <v>70</v>
      </c>
      <c r="Q27" s="39">
        <v>5426</v>
      </c>
      <c r="R27" s="77">
        <v>60</v>
      </c>
      <c r="S27" s="77">
        <v>232</v>
      </c>
      <c r="T27">
        <f t="shared" si="1"/>
        <v>0</v>
      </c>
    </row>
    <row r="28" spans="1:20" x14ac:dyDescent="0.25">
      <c r="A28" s="73">
        <v>44825</v>
      </c>
      <c r="B28" s="40">
        <v>0</v>
      </c>
      <c r="C28" s="79">
        <v>24</v>
      </c>
      <c r="D28" s="79">
        <v>47</v>
      </c>
      <c r="E28" s="41">
        <v>83</v>
      </c>
      <c r="F28" s="41">
        <v>6834</v>
      </c>
      <c r="G28" s="41">
        <v>85</v>
      </c>
      <c r="H28" s="41">
        <v>982</v>
      </c>
      <c r="I28" s="41">
        <v>83</v>
      </c>
      <c r="J28" s="41">
        <v>2212</v>
      </c>
      <c r="K28" s="42">
        <v>82</v>
      </c>
      <c r="L28" s="42">
        <v>50</v>
      </c>
      <c r="M28" s="42">
        <v>1914</v>
      </c>
      <c r="N28" s="39">
        <v>85</v>
      </c>
      <c r="O28" s="39">
        <v>85</v>
      </c>
      <c r="P28" s="39">
        <v>75</v>
      </c>
      <c r="Q28" s="39">
        <v>5430</v>
      </c>
      <c r="R28" s="77">
        <v>60</v>
      </c>
      <c r="S28" s="77">
        <v>232</v>
      </c>
      <c r="T28">
        <f t="shared" si="1"/>
        <v>0</v>
      </c>
    </row>
    <row r="29" spans="1:20" x14ac:dyDescent="0.25">
      <c r="A29" s="73">
        <v>44826</v>
      </c>
      <c r="B29" s="40">
        <v>0</v>
      </c>
      <c r="C29" s="79">
        <v>24</v>
      </c>
      <c r="D29" s="79">
        <v>47</v>
      </c>
      <c r="E29" s="41">
        <v>75</v>
      </c>
      <c r="F29" s="41">
        <v>6834</v>
      </c>
      <c r="G29" s="41">
        <v>85</v>
      </c>
      <c r="H29" s="41">
        <v>985</v>
      </c>
      <c r="I29" s="41">
        <v>83</v>
      </c>
      <c r="J29" s="41">
        <v>2212</v>
      </c>
      <c r="K29" s="42">
        <v>82</v>
      </c>
      <c r="L29" s="42">
        <v>50</v>
      </c>
      <c r="M29" s="42">
        <v>1914</v>
      </c>
      <c r="N29" s="39">
        <v>85</v>
      </c>
      <c r="O29" s="39">
        <v>85</v>
      </c>
      <c r="P29" s="39">
        <v>70</v>
      </c>
      <c r="Q29" s="39">
        <v>5433</v>
      </c>
      <c r="R29" s="77">
        <v>60</v>
      </c>
      <c r="S29" s="77">
        <v>232</v>
      </c>
      <c r="T29">
        <f t="shared" si="1"/>
        <v>0</v>
      </c>
    </row>
    <row r="30" spans="1:20" x14ac:dyDescent="0.25">
      <c r="A30" s="73">
        <v>44827</v>
      </c>
      <c r="B30" s="40">
        <v>0</v>
      </c>
      <c r="C30" s="79">
        <v>26</v>
      </c>
      <c r="D30" s="79">
        <v>61</v>
      </c>
      <c r="E30" s="41">
        <v>65</v>
      </c>
      <c r="F30" s="41">
        <v>6834</v>
      </c>
      <c r="G30" s="41">
        <v>85</v>
      </c>
      <c r="H30" s="41">
        <v>987</v>
      </c>
      <c r="I30" s="41">
        <v>83</v>
      </c>
      <c r="J30" s="41">
        <v>2212</v>
      </c>
      <c r="K30" s="42">
        <v>82</v>
      </c>
      <c r="L30" s="42">
        <v>50</v>
      </c>
      <c r="M30" s="42">
        <v>1914</v>
      </c>
      <c r="N30" s="39">
        <v>85</v>
      </c>
      <c r="O30" s="39">
        <v>85</v>
      </c>
      <c r="P30" s="39">
        <v>70</v>
      </c>
      <c r="Q30" s="39">
        <v>5435</v>
      </c>
      <c r="R30" s="77">
        <v>60</v>
      </c>
      <c r="S30" s="77">
        <v>232</v>
      </c>
      <c r="T30">
        <f t="shared" si="1"/>
        <v>0</v>
      </c>
    </row>
    <row r="31" spans="1:20" x14ac:dyDescent="0.25">
      <c r="A31" s="73">
        <v>44828</v>
      </c>
      <c r="B31" s="40">
        <v>40</v>
      </c>
      <c r="C31" s="79">
        <v>20</v>
      </c>
      <c r="D31" s="79">
        <v>38</v>
      </c>
      <c r="E31" s="41">
        <v>65</v>
      </c>
      <c r="F31" s="41">
        <v>6834</v>
      </c>
      <c r="G31" s="41">
        <v>85</v>
      </c>
      <c r="H31" s="41">
        <v>990</v>
      </c>
      <c r="I31" s="41">
        <v>75</v>
      </c>
      <c r="J31" s="41">
        <v>2212</v>
      </c>
      <c r="K31" s="42">
        <v>82</v>
      </c>
      <c r="L31" s="42">
        <v>45</v>
      </c>
      <c r="M31" s="42">
        <v>1914</v>
      </c>
      <c r="N31" s="39">
        <v>85</v>
      </c>
      <c r="O31" s="39">
        <v>85</v>
      </c>
      <c r="P31" s="39">
        <v>65</v>
      </c>
      <c r="Q31" s="39">
        <v>5438</v>
      </c>
      <c r="R31" s="77">
        <v>60</v>
      </c>
      <c r="S31" s="77">
        <v>232</v>
      </c>
      <c r="T31">
        <f t="shared" si="1"/>
        <v>0</v>
      </c>
    </row>
    <row r="32" spans="1:20" x14ac:dyDescent="0.25">
      <c r="A32" s="73">
        <v>44829</v>
      </c>
      <c r="B32" s="40">
        <v>58</v>
      </c>
      <c r="C32" s="80">
        <v>34</v>
      </c>
      <c r="D32" s="80">
        <v>74</v>
      </c>
      <c r="E32" s="41">
        <v>50</v>
      </c>
      <c r="F32" s="41">
        <v>6834</v>
      </c>
      <c r="G32" s="41">
        <v>85</v>
      </c>
      <c r="H32" s="41">
        <v>992</v>
      </c>
      <c r="I32" s="41">
        <v>69</v>
      </c>
      <c r="J32" s="41">
        <v>2212</v>
      </c>
      <c r="K32" s="42">
        <v>82</v>
      </c>
      <c r="L32" s="42">
        <v>45</v>
      </c>
      <c r="M32" s="42">
        <v>1914</v>
      </c>
      <c r="N32" s="39">
        <v>85</v>
      </c>
      <c r="O32" s="39">
        <v>85</v>
      </c>
      <c r="P32" s="39">
        <v>62</v>
      </c>
      <c r="Q32" s="39">
        <v>5440</v>
      </c>
      <c r="R32" s="77">
        <v>60</v>
      </c>
      <c r="S32" s="77">
        <v>232</v>
      </c>
      <c r="T32">
        <f t="shared" si="1"/>
        <v>0</v>
      </c>
    </row>
    <row r="33" spans="1:20" x14ac:dyDescent="0.25">
      <c r="A33" s="73">
        <v>44830</v>
      </c>
      <c r="B33" s="40">
        <v>58</v>
      </c>
      <c r="C33" s="80">
        <v>34</v>
      </c>
      <c r="D33" s="80">
        <v>74</v>
      </c>
      <c r="E33" s="41">
        <v>83</v>
      </c>
      <c r="F33" s="41">
        <v>6834</v>
      </c>
      <c r="G33" s="41">
        <v>85</v>
      </c>
      <c r="H33" s="41">
        <v>995</v>
      </c>
      <c r="I33" s="41">
        <v>83</v>
      </c>
      <c r="J33" s="41">
        <v>2212</v>
      </c>
      <c r="K33" s="42">
        <v>82</v>
      </c>
      <c r="L33" s="42">
        <v>81</v>
      </c>
      <c r="M33" s="42">
        <v>1914</v>
      </c>
      <c r="N33" s="39">
        <v>85</v>
      </c>
      <c r="O33" s="39">
        <v>85</v>
      </c>
      <c r="P33" s="39">
        <v>83</v>
      </c>
      <c r="Q33" s="39">
        <v>5443</v>
      </c>
      <c r="R33" s="77">
        <v>60</v>
      </c>
      <c r="S33" s="77">
        <v>232</v>
      </c>
      <c r="T33">
        <f t="shared" si="1"/>
        <v>0</v>
      </c>
    </row>
    <row r="34" spans="1:20" x14ac:dyDescent="0.25">
      <c r="A34" s="73">
        <v>44831</v>
      </c>
      <c r="B34" s="40">
        <v>58</v>
      </c>
      <c r="C34" s="80">
        <v>34</v>
      </c>
      <c r="D34" s="80">
        <v>74</v>
      </c>
      <c r="E34" s="41">
        <v>75</v>
      </c>
      <c r="F34" s="41">
        <v>6834</v>
      </c>
      <c r="G34" s="41">
        <v>85</v>
      </c>
      <c r="H34" s="41">
        <v>998</v>
      </c>
      <c r="I34" s="41">
        <v>80</v>
      </c>
      <c r="J34" s="41">
        <v>2212</v>
      </c>
      <c r="K34" s="42">
        <v>82</v>
      </c>
      <c r="L34" s="42">
        <v>81</v>
      </c>
      <c r="M34" s="42">
        <v>1914</v>
      </c>
      <c r="N34" s="39">
        <v>85</v>
      </c>
      <c r="O34" s="39">
        <v>85</v>
      </c>
      <c r="P34" s="39">
        <v>81</v>
      </c>
      <c r="Q34" s="39">
        <v>5447</v>
      </c>
      <c r="R34" s="77">
        <v>60</v>
      </c>
      <c r="S34" s="77">
        <v>232</v>
      </c>
      <c r="T34">
        <f t="shared" si="1"/>
        <v>0</v>
      </c>
    </row>
    <row r="35" spans="1:20" x14ac:dyDescent="0.25">
      <c r="A35" s="73">
        <v>44832</v>
      </c>
      <c r="B35" s="40">
        <v>58</v>
      </c>
      <c r="C35" s="80">
        <v>34</v>
      </c>
      <c r="D35" s="80">
        <v>74</v>
      </c>
      <c r="E35" s="41">
        <v>65</v>
      </c>
      <c r="F35" s="41">
        <v>6834</v>
      </c>
      <c r="G35" s="41">
        <v>85</v>
      </c>
      <c r="H35" s="41">
        <v>1000</v>
      </c>
      <c r="I35" s="41">
        <v>80</v>
      </c>
      <c r="J35" s="41">
        <v>2212</v>
      </c>
      <c r="K35" s="42">
        <v>82</v>
      </c>
      <c r="L35" s="42">
        <v>81</v>
      </c>
      <c r="M35" s="42">
        <v>1914</v>
      </c>
      <c r="N35" s="39">
        <v>85</v>
      </c>
      <c r="O35" s="39">
        <v>85</v>
      </c>
      <c r="P35" s="39">
        <v>79</v>
      </c>
      <c r="Q35" s="39">
        <v>5450</v>
      </c>
      <c r="R35" s="77">
        <v>60</v>
      </c>
      <c r="S35" s="77">
        <v>232</v>
      </c>
      <c r="T35">
        <f t="shared" si="1"/>
        <v>0</v>
      </c>
    </row>
    <row r="36" spans="1:20" x14ac:dyDescent="0.25">
      <c r="A36" s="73">
        <v>44833</v>
      </c>
      <c r="B36" s="40"/>
      <c r="C36" s="80"/>
      <c r="D36" s="8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-232</v>
      </c>
    </row>
    <row r="37" spans="1:20" x14ac:dyDescent="0.25">
      <c r="A37" s="73">
        <v>44834</v>
      </c>
      <c r="B37" s="40"/>
      <c r="C37" s="80"/>
      <c r="D37" s="8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80"/>
      <c r="D38" s="8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80"/>
      <c r="D39" s="8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2022-09-29T18:27:05Z</dcterms:modified>
</cp:coreProperties>
</file>