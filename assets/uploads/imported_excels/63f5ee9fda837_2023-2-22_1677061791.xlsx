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D2" i="9"/>
  <c r="C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<sst xmlns="http://schemas.openxmlformats.org/spreadsheetml/2006/main" count="139" uniqueCount="59">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</sst>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0" fillId="2" borderId="2" xfId="0" applyFont="1" applyFill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1" fontId="7" fillId="3" borderId="2" xfId="0" applyNumberFormat="1" applyFont="1" applyFill="1" applyBorder="1" applyAlignment="1">
      <alignment horizontal="center"/>
    </xf>
    <xf numFmtId="1" fontId="10" fillId="3" borderId="0" xfId="0" applyNumberFormat="1" applyFont="1" applyFill="1" applyAlignment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9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Submetering!S2</f>
        <v>244.88100000000003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9</v>
      </c>
    </row>
    <row r="3" spans="1:11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Submetering!S3</f>
        <v>263.99099999999999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10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Submetering!S4</f>
        <v>264.53700000000003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7</v>
      </c>
    </row>
    <row r="5" spans="1:11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26710</v>
      </c>
      <c r="F5" s="11">
        <v>5.0000000000000001E-3</v>
      </c>
      <c r="G5" s="12">
        <f>Submetering!S5</f>
        <v>111.93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</v>
      </c>
    </row>
    <row r="6" spans="1:11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27060</v>
      </c>
      <c r="F6" s="11">
        <v>5.0000000000000001E-3</v>
      </c>
      <c r="G6" s="12">
        <f>Submetering!S6</f>
        <v>593.50200000000007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6</v>
      </c>
    </row>
    <row r="7" spans="1:11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30160</v>
      </c>
      <c r="F7" s="11">
        <v>5.0000000000000001E-3</v>
      </c>
      <c r="G7" s="12">
        <f>Submetering!S7</f>
        <v>262.35300000000001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11</v>
      </c>
    </row>
    <row r="8" spans="1:11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24480</v>
      </c>
      <c r="F8" s="11">
        <v>5.0000000000000001E-3</v>
      </c>
      <c r="G8" s="12">
        <f>Submetering!S8</f>
        <v>302.75700000000001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9</v>
      </c>
    </row>
    <row r="9" spans="1:11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25200</v>
      </c>
      <c r="F9" s="11">
        <v>5.0000000000000001E-3</v>
      </c>
      <c r="G9" s="12">
        <f>Submetering!S9</f>
        <v>307.125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9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27040</v>
      </c>
      <c r="F10" s="11">
        <v>5.0000000000000001E-3</v>
      </c>
      <c r="G10" s="12">
        <f>Submetering!S10</f>
        <v>307.94400000000002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9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26710</v>
      </c>
      <c r="F11" s="11">
        <v>5.0000000000000001E-3</v>
      </c>
      <c r="G11" s="12">
        <f>Submetering!S11</f>
        <v>407.31599999999997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24920</v>
      </c>
      <c r="F12" s="11">
        <v>5.0000000000000001E-3</v>
      </c>
      <c r="G12" s="12">
        <f>Submetering!S12</f>
        <v>315.315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24230</v>
      </c>
      <c r="F13" s="11">
        <v>5.0000000000000001E-3</v>
      </c>
      <c r="G13" s="12">
        <f>Submetering!S13</f>
        <v>399.94499999999999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10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24770</v>
      </c>
      <c r="F14" s="11">
        <v>5.0000000000000001E-3</v>
      </c>
      <c r="G14" s="12">
        <f>Submetering!S14</f>
        <v>540.54000000000008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10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24940</v>
      </c>
      <c r="F15" s="11">
        <v>5.0000000000000001E-3</v>
      </c>
      <c r="G15" s="12">
        <f>Submetering!S15</f>
        <v>270.27000000000004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10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31180</v>
      </c>
      <c r="F16" s="11">
        <v>5.0000000000000001E-3</v>
      </c>
      <c r="G16" s="12">
        <f>Submetering!S16</f>
        <v>273.27300000000002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10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22220</v>
      </c>
      <c r="F17" s="11">
        <v>5.0000000000000001E-3</v>
      </c>
      <c r="G17" s="12">
        <f>Submetering!S17</f>
        <v>206.93400000000003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10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28540</v>
      </c>
      <c r="F18" s="11">
        <v>5.0000000000000001E-3</v>
      </c>
      <c r="G18" s="12">
        <f>Submetering!S18</f>
        <v>319.41000000000003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10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17940</v>
      </c>
      <c r="F19" s="11">
        <v>5.0000000000000001E-3</v>
      </c>
      <c r="G19" s="12">
        <f>Submetering!S19</f>
        <v>274.911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10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24370</v>
      </c>
      <c r="F20" s="11">
        <v>5.0000000000000001E-3</v>
      </c>
      <c r="G20" s="12">
        <f>Submetering!S20</f>
        <v>527.70900000000006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10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26250</v>
      </c>
      <c r="F21" s="11">
        <v>5.0000000000000001E-3</v>
      </c>
      <c r="G21" s="12">
        <f>Submetering!S21</f>
        <v>711.7109999999999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10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27260</v>
      </c>
      <c r="F22" s="11">
        <v>5.0000000000000001E-3</v>
      </c>
      <c r="G22" s="12">
        <f>Submetering!S22</f>
        <v>500.68200000000002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27220</v>
      </c>
      <c r="F23" s="11">
        <v>5.0000000000000001E-3</v>
      </c>
      <c r="G23" s="12">
        <f>Submetering!S23</f>
        <v>925.197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22540</v>
      </c>
      <c r="F24" s="11">
        <v>5.0000000000000001E-3</v>
      </c>
      <c r="G24" s="12">
        <f>Submetering!S24</f>
        <v>599.78100000000006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10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25270</v>
      </c>
      <c r="F25" s="11">
        <v>5.0000000000000001E-3</v>
      </c>
      <c r="G25" s="12">
        <f>Submetering!S25</f>
        <v>822.27599999999995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10</v>
      </c>
    </row>
    <row r="26" spans="1:11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28110</v>
      </c>
      <c r="F26" s="11">
        <v>5.0000000000000001E-3</v>
      </c>
      <c r="G26" s="12">
        <f>Submetering!S26</f>
        <v>565.65599999999995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10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25000</v>
      </c>
      <c r="F27" s="11">
        <v>5.0000000000000001E-3</v>
      </c>
      <c r="G27" s="12">
        <f>Submetering!S27</f>
        <v>686.86799999999994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10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26250</v>
      </c>
      <c r="F28" s="11">
        <v>5.0000000000000001E-3</v>
      </c>
      <c r="G28" s="12">
        <f>Submetering!S28</f>
        <v>702.42900000000009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10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26860</v>
      </c>
      <c r="F29" s="11">
        <v>5.0000000000000001E-3</v>
      </c>
      <c r="G29" s="12">
        <f>Submetering!S29</f>
        <v>135.40799999999999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27220</v>
      </c>
      <c r="F30" s="11">
        <v>5.0000000000000001E-3</v>
      </c>
      <c r="G30" s="12">
        <f>Submetering!S30</f>
        <v>458.36700000000002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28580</v>
      </c>
      <c r="F31" s="11">
        <v>5.0000000000000001E-3</v>
      </c>
      <c r="G31" s="12">
        <f>Submetering!S31</f>
        <v>250.887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12</v>
      </c>
    </row>
    <row r="32" spans="1:1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26210</v>
      </c>
      <c r="F32" s="11">
        <v>5.0000000000000001E-3</v>
      </c>
      <c r="G32" s="12">
        <f>Submetering!S32</f>
        <v>239.42099999999999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5</v>
      </c>
      <c r="D2" s="11">
        <f>TOTAL!D2</f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Hotel!AT7</f>
        <v>0</v>
      </c>
      <c r="S2" s="4">
        <f>Hotel!BA7</f>
        <v>244.88100000000003</v>
      </c>
      <c r="T2" s="4">
        <f>Hotel!AX7</f>
        <v>0</v>
      </c>
      <c r="U2" s="4">
        <f>Hotel!B7</f>
        <v>9</v>
      </c>
    </row>
    <row r="3" spans="1:21" x14ac:dyDescent="0.25">
      <c r="A3" s="21" t="s">
        <v>31</v>
      </c>
      <c r="B3" s="2">
        <f>B2+1</f>
        <v>2</v>
      </c>
      <c r="C3" s="3">
        <f>TOTAL!C3</f>
        <v>5</v>
      </c>
      <c r="D3" s="11">
        <f>TOTAL!D3</f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Hotel!AT8</f>
        <v>0</v>
      </c>
      <c r="S3" s="4">
        <f>Hotel!BA8</f>
        <v>263.99099999999999</v>
      </c>
      <c r="T3" s="4">
        <f>Hotel!AX8</f>
        <v>0</v>
      </c>
      <c r="U3" s="4">
        <f>Hotel!B8</f>
        <v>10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5</v>
      </c>
      <c r="D4" s="11">
        <f>TOTAL!D4</f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Hotel!AT9</f>
        <v>0</v>
      </c>
      <c r="S4" s="4">
        <f>Hotel!BA9</f>
        <v>264.53700000000003</v>
      </c>
      <c r="T4" s="4">
        <f>Hotel!AX9</f>
        <v>0</v>
      </c>
      <c r="U4" s="4">
        <f>Hotel!B9</f>
        <v>7</v>
      </c>
    </row>
    <row r="5" spans="1:21" x14ac:dyDescent="0.25">
      <c r="A5" s="21" t="s">
        <v>31</v>
      </c>
      <c r="B5" s="2">
        <f t="shared" si="0"/>
        <v>4</v>
      </c>
      <c r="C5" s="3">
        <f>TOTAL!C5</f>
        <v>5</v>
      </c>
      <c r="D5" s="11">
        <f>TOTAL!D5</f>
        <v>2020</v>
      </c>
      <c r="E5" s="4">
        <f>Hotel!Q10</f>
        <v>580</v>
      </c>
      <c r="F5" s="4">
        <f>Hotel!R10</f>
        <v>1880</v>
      </c>
      <c r="G5" s="4">
        <f>Hotel!S10</f>
        <v>2850</v>
      </c>
      <c r="H5" s="4">
        <f>Hotel!T10</f>
        <v>1370</v>
      </c>
      <c r="I5" s="4">
        <f>Hotel!U10</f>
        <v>2960</v>
      </c>
      <c r="J5" s="4">
        <f>Hotel!V10</f>
        <v>2010</v>
      </c>
      <c r="K5" s="4">
        <f>Hotel!W10</f>
        <v>2080</v>
      </c>
      <c r="L5" s="4">
        <f>Hotel!X10</f>
        <v>1110</v>
      </c>
      <c r="M5" s="4">
        <f>Hotel!Y10</f>
        <v>1950</v>
      </c>
      <c r="N5" s="4">
        <f>Hotel!Z10</f>
        <v>2280</v>
      </c>
      <c r="O5" s="4">
        <f>Hotel!AA10</f>
        <v>1470</v>
      </c>
      <c r="P5" s="4">
        <f>Hotel!AB10</f>
        <v>3460</v>
      </c>
      <c r="Q5" s="4">
        <f>Hotel!AC10</f>
        <v>2710</v>
      </c>
      <c r="R5" s="4">
        <f>Hotel!AT10</f>
        <v>0</v>
      </c>
      <c r="S5" s="4">
        <f>Hotel!BA10</f>
        <v>111.93</v>
      </c>
      <c r="T5" s="4">
        <f>Hotel!AX10</f>
        <v>0</v>
      </c>
      <c r="U5" s="4">
        <f>Hotel!B10</f>
        <v>11</v>
      </c>
    </row>
    <row r="6" spans="1:21" x14ac:dyDescent="0.25">
      <c r="A6" s="21" t="s">
        <v>31</v>
      </c>
      <c r="B6" s="2">
        <f t="shared" si="0"/>
        <v>5</v>
      </c>
      <c r="C6" s="3">
        <f>TOTAL!C6</f>
        <v>5</v>
      </c>
      <c r="D6" s="11">
        <f>TOTAL!D6</f>
        <v>2020</v>
      </c>
      <c r="E6" s="4">
        <f>Hotel!Q11</f>
        <v>560</v>
      </c>
      <c r="F6" s="4">
        <f>Hotel!R11</f>
        <v>1880</v>
      </c>
      <c r="G6" s="4">
        <f>Hotel!S11</f>
        <v>2920</v>
      </c>
      <c r="H6" s="4">
        <f>Hotel!T11</f>
        <v>1380</v>
      </c>
      <c r="I6" s="4">
        <f>Hotel!U11</f>
        <v>2920</v>
      </c>
      <c r="J6" s="4">
        <f>Hotel!V11</f>
        <v>2060</v>
      </c>
      <c r="K6" s="4">
        <f>Hotel!W11</f>
        <v>2110</v>
      </c>
      <c r="L6" s="4">
        <f>Hotel!X11</f>
        <v>1170</v>
      </c>
      <c r="M6" s="4">
        <f>Hotel!Y11</f>
        <v>1960</v>
      </c>
      <c r="N6" s="4">
        <f>Hotel!Z11</f>
        <v>2300</v>
      </c>
      <c r="O6" s="4">
        <f>Hotel!AA11</f>
        <v>1410</v>
      </c>
      <c r="P6" s="4">
        <f>Hotel!AB11</f>
        <v>3650</v>
      </c>
      <c r="Q6" s="4">
        <f>Hotel!AC11</f>
        <v>2740</v>
      </c>
      <c r="R6" s="4">
        <f>Hotel!AT11</f>
        <v>0</v>
      </c>
      <c r="S6" s="4">
        <f>Hotel!BA11</f>
        <v>593.50200000000007</v>
      </c>
      <c r="T6" s="4">
        <f>Hotel!AX11</f>
        <v>0</v>
      </c>
      <c r="U6" s="4">
        <f>Hotel!B11</f>
        <v>6</v>
      </c>
    </row>
    <row r="7" spans="1:21" x14ac:dyDescent="0.25">
      <c r="A7" s="21" t="s">
        <v>31</v>
      </c>
      <c r="B7" s="2">
        <f t="shared" si="0"/>
        <v>6</v>
      </c>
      <c r="C7" s="3">
        <f>TOTAL!C7</f>
        <v>5</v>
      </c>
      <c r="D7" s="11">
        <f>TOTAL!D7</f>
        <v>2020</v>
      </c>
      <c r="E7" s="4">
        <f>Hotel!Q12</f>
        <v>640</v>
      </c>
      <c r="F7" s="4">
        <f>Hotel!R12</f>
        <v>2100</v>
      </c>
      <c r="G7" s="4">
        <f>Hotel!S12</f>
        <v>3330</v>
      </c>
      <c r="H7" s="4">
        <f>Hotel!T12</f>
        <v>1550</v>
      </c>
      <c r="I7" s="4">
        <f>Hotel!U12</f>
        <v>3190</v>
      </c>
      <c r="J7" s="4">
        <f>Hotel!V12</f>
        <v>2210</v>
      </c>
      <c r="K7" s="4">
        <f>Hotel!W12</f>
        <v>2380</v>
      </c>
      <c r="L7" s="4">
        <f>Hotel!X12</f>
        <v>1420</v>
      </c>
      <c r="M7" s="4">
        <f>Hotel!Y12</f>
        <v>2200</v>
      </c>
      <c r="N7" s="4">
        <f>Hotel!Z12</f>
        <v>2550</v>
      </c>
      <c r="O7" s="4">
        <f>Hotel!AA12</f>
        <v>1500</v>
      </c>
      <c r="P7" s="4">
        <f>Hotel!AB12</f>
        <v>4080</v>
      </c>
      <c r="Q7" s="4">
        <f>Hotel!AC12</f>
        <v>3010</v>
      </c>
      <c r="R7" s="4">
        <f>Hotel!AT12</f>
        <v>0</v>
      </c>
      <c r="S7" s="4">
        <f>Hotel!BA12</f>
        <v>262.35300000000001</v>
      </c>
      <c r="T7" s="4">
        <f>Hotel!AX12</f>
        <v>0</v>
      </c>
      <c r="U7" s="4">
        <f>Hotel!B12</f>
        <v>11</v>
      </c>
    </row>
    <row r="8" spans="1:21" x14ac:dyDescent="0.25">
      <c r="A8" s="21" t="s">
        <v>31</v>
      </c>
      <c r="B8" s="2">
        <f t="shared" si="0"/>
        <v>7</v>
      </c>
      <c r="C8" s="3">
        <f>TOTAL!C8</f>
        <v>5</v>
      </c>
      <c r="D8" s="11">
        <f>TOTAL!D8</f>
        <v>2020</v>
      </c>
      <c r="E8" s="4">
        <f>Hotel!Q13</f>
        <v>500</v>
      </c>
      <c r="F8" s="4">
        <f>Hotel!R13</f>
        <v>1660</v>
      </c>
      <c r="G8" s="4">
        <f>Hotel!S13</f>
        <v>2550</v>
      </c>
      <c r="H8" s="4">
        <f>Hotel!T13</f>
        <v>1210</v>
      </c>
      <c r="I8" s="4">
        <f>Hotel!U13</f>
        <v>2570</v>
      </c>
      <c r="J8" s="4">
        <f>Hotel!V13</f>
        <v>1790</v>
      </c>
      <c r="K8" s="4">
        <f>Hotel!W13</f>
        <v>2390</v>
      </c>
      <c r="L8" s="4">
        <f>Hotel!X13</f>
        <v>1120</v>
      </c>
      <c r="M8" s="4">
        <f>Hotel!Y13</f>
        <v>1720</v>
      </c>
      <c r="N8" s="4">
        <f>Hotel!Z13</f>
        <v>2070</v>
      </c>
      <c r="O8" s="4">
        <f>Hotel!AA13</f>
        <v>1230</v>
      </c>
      <c r="P8" s="4">
        <f>Hotel!AB13</f>
        <v>3160</v>
      </c>
      <c r="Q8" s="4">
        <f>Hotel!AC13</f>
        <v>2510</v>
      </c>
      <c r="R8" s="4">
        <f>Hotel!AT13</f>
        <v>0</v>
      </c>
      <c r="S8" s="4">
        <f>Hotel!BA13</f>
        <v>302.75700000000001</v>
      </c>
      <c r="T8" s="4">
        <f>Hotel!AX13</f>
        <v>0</v>
      </c>
      <c r="U8" s="4">
        <f>Hotel!B13</f>
        <v>9</v>
      </c>
    </row>
    <row r="9" spans="1:21" x14ac:dyDescent="0.25">
      <c r="A9" s="21" t="s">
        <v>31</v>
      </c>
      <c r="B9" s="2">
        <f t="shared" si="0"/>
        <v>8</v>
      </c>
      <c r="C9" s="3">
        <f>TOTAL!C9</f>
        <v>5</v>
      </c>
      <c r="D9" s="11">
        <f>TOTAL!D9</f>
        <v>2020</v>
      </c>
      <c r="E9" s="4">
        <f>Hotel!Q14</f>
        <v>550</v>
      </c>
      <c r="F9" s="4">
        <f>Hotel!R14</f>
        <v>1800</v>
      </c>
      <c r="G9" s="4">
        <f>Hotel!S14</f>
        <v>2770</v>
      </c>
      <c r="H9" s="4">
        <f>Hotel!T14</f>
        <v>1320</v>
      </c>
      <c r="I9" s="4">
        <f>Hotel!U14</f>
        <v>2650</v>
      </c>
      <c r="J9" s="4">
        <f>Hotel!V14</f>
        <v>1910</v>
      </c>
      <c r="K9" s="4">
        <f>Hotel!W14</f>
        <v>1400</v>
      </c>
      <c r="L9" s="4">
        <f>Hotel!X14</f>
        <v>1250</v>
      </c>
      <c r="M9" s="4">
        <f>Hotel!Y14</f>
        <v>1840</v>
      </c>
      <c r="N9" s="4">
        <f>Hotel!Z14</f>
        <v>2160</v>
      </c>
      <c r="O9" s="4">
        <f>Hotel!AA14</f>
        <v>1420</v>
      </c>
      <c r="P9" s="4">
        <f>Hotel!AB14</f>
        <v>3440</v>
      </c>
      <c r="Q9" s="4">
        <f>Hotel!AC14</f>
        <v>2690</v>
      </c>
      <c r="R9" s="4">
        <f>Hotel!AT14</f>
        <v>0</v>
      </c>
      <c r="S9" s="4">
        <f>Hotel!BA14</f>
        <v>307.125</v>
      </c>
      <c r="T9" s="4">
        <f>Hotel!AX14</f>
        <v>0</v>
      </c>
      <c r="U9" s="4">
        <f>Hotel!B14</f>
        <v>9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5</v>
      </c>
      <c r="D10" s="11">
        <f>TOTAL!D10</f>
        <v>2020</v>
      </c>
      <c r="E10" s="4">
        <f>Hotel!Q15</f>
        <v>560</v>
      </c>
      <c r="F10" s="4">
        <f>Hotel!R15</f>
        <v>1870</v>
      </c>
      <c r="G10" s="4">
        <f>Hotel!S15</f>
        <v>2910</v>
      </c>
      <c r="H10" s="4">
        <f>Hotel!T15</f>
        <v>1370</v>
      </c>
      <c r="I10" s="4">
        <f>Hotel!U15</f>
        <v>2840</v>
      </c>
      <c r="J10" s="4">
        <f>Hotel!V15</f>
        <v>1980</v>
      </c>
      <c r="K10" s="4">
        <f>Hotel!W15</f>
        <v>2060</v>
      </c>
      <c r="L10" s="4">
        <f>Hotel!X15</f>
        <v>1280</v>
      </c>
      <c r="M10" s="4">
        <f>Hotel!Y15</f>
        <v>1870</v>
      </c>
      <c r="N10" s="4">
        <f>Hotel!Z15</f>
        <v>2310</v>
      </c>
      <c r="O10" s="4">
        <f>Hotel!AA15</f>
        <v>1520</v>
      </c>
      <c r="P10" s="4">
        <f>Hotel!AB15</f>
        <v>3610</v>
      </c>
      <c r="Q10" s="4">
        <f>Hotel!AC15</f>
        <v>2860</v>
      </c>
      <c r="R10" s="4">
        <f>Hotel!AT15</f>
        <v>0</v>
      </c>
      <c r="S10" s="4">
        <f>Hotel!BA15</f>
        <v>307.94400000000002</v>
      </c>
      <c r="T10" s="4">
        <f>Hotel!AX15</f>
        <v>0</v>
      </c>
      <c r="U10" s="4">
        <f>Hotel!B15</f>
        <v>9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5</v>
      </c>
      <c r="D11" s="11">
        <f>TOTAL!D11</f>
        <v>2020</v>
      </c>
      <c r="E11" s="4">
        <f>Hotel!Q16</f>
        <v>580</v>
      </c>
      <c r="F11" s="4">
        <f>Hotel!R16</f>
        <v>1890</v>
      </c>
      <c r="G11" s="4">
        <f>Hotel!S16</f>
        <v>3030</v>
      </c>
      <c r="H11" s="4">
        <f>Hotel!T16</f>
        <v>1390</v>
      </c>
      <c r="I11" s="4">
        <f>Hotel!U16</f>
        <v>2830</v>
      </c>
      <c r="J11" s="4">
        <f>Hotel!V16</f>
        <v>1980</v>
      </c>
      <c r="K11" s="4">
        <f>Hotel!W16</f>
        <v>2080</v>
      </c>
      <c r="L11" s="4">
        <f>Hotel!X16</f>
        <v>1310</v>
      </c>
      <c r="M11" s="4">
        <f>Hotel!Y16</f>
        <v>1850</v>
      </c>
      <c r="N11" s="4">
        <f>Hotel!Z16</f>
        <v>2340</v>
      </c>
      <c r="O11" s="4">
        <f>Hotel!AA16</f>
        <v>1360</v>
      </c>
      <c r="P11" s="4">
        <f>Hotel!AB16</f>
        <v>3370</v>
      </c>
      <c r="Q11" s="4">
        <f>Hotel!AC16</f>
        <v>2700</v>
      </c>
      <c r="R11" s="4">
        <f>Hotel!AT16</f>
        <v>0</v>
      </c>
      <c r="S11" s="4">
        <f>Hotel!BA16</f>
        <v>407.31599999999997</v>
      </c>
      <c r="T11" s="4">
        <f>Hotel!AX16</f>
        <v>0</v>
      </c>
      <c r="U11" s="4">
        <f>Hotel!B16</f>
        <v>0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5</v>
      </c>
      <c r="D12" s="11">
        <f>TOTAL!D12</f>
        <v>2020</v>
      </c>
      <c r="E12" s="4">
        <f>Hotel!Q17</f>
        <v>560</v>
      </c>
      <c r="F12" s="4">
        <f>Hotel!R17</f>
        <v>1880</v>
      </c>
      <c r="G12" s="4">
        <f>Hotel!S17</f>
        <v>2910</v>
      </c>
      <c r="H12" s="4">
        <f>Hotel!T17</f>
        <v>1380</v>
      </c>
      <c r="I12" s="4">
        <f>Hotel!U17</f>
        <v>2520</v>
      </c>
      <c r="J12" s="4">
        <f>Hotel!V17</f>
        <v>1920</v>
      </c>
      <c r="K12" s="4">
        <f>Hotel!W17</f>
        <v>1980</v>
      </c>
      <c r="L12" s="4">
        <f>Hotel!X17</f>
        <v>1270</v>
      </c>
      <c r="M12" s="4">
        <f>Hotel!Y17</f>
        <v>1630</v>
      </c>
      <c r="N12" s="4">
        <f>Hotel!Z17</f>
        <v>2240</v>
      </c>
      <c r="O12" s="4">
        <f>Hotel!AA17</f>
        <v>1250</v>
      </c>
      <c r="P12" s="4">
        <f>Hotel!AB17</f>
        <v>2900</v>
      </c>
      <c r="Q12" s="4">
        <f>Hotel!AC17</f>
        <v>2480</v>
      </c>
      <c r="R12" s="4">
        <f>Hotel!AT17</f>
        <v>0</v>
      </c>
      <c r="S12" s="4">
        <f>Hotel!BA17</f>
        <v>315.315</v>
      </c>
      <c r="T12" s="4">
        <f>Hotel!AX17</f>
        <v>0</v>
      </c>
      <c r="U12" s="4">
        <f>Hotel!B17</f>
        <v>0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5</v>
      </c>
      <c r="D13" s="11">
        <f>TOTAL!D13</f>
        <v>2020</v>
      </c>
      <c r="E13" s="4">
        <f>Hotel!Q18</f>
        <v>570</v>
      </c>
      <c r="F13" s="4">
        <f>Hotel!R18</f>
        <v>1870</v>
      </c>
      <c r="G13" s="4">
        <f>Hotel!S18</f>
        <v>2880</v>
      </c>
      <c r="H13" s="4">
        <f>Hotel!T18</f>
        <v>1380</v>
      </c>
      <c r="I13" s="4">
        <f>Hotel!U18</f>
        <v>2500</v>
      </c>
      <c r="J13" s="4">
        <f>Hotel!V18</f>
        <v>1880</v>
      </c>
      <c r="K13" s="4">
        <f>Hotel!W18</f>
        <v>1910</v>
      </c>
      <c r="L13" s="4">
        <f>Hotel!X18</f>
        <v>1160</v>
      </c>
      <c r="M13" s="4">
        <f>Hotel!Y18</f>
        <v>1600</v>
      </c>
      <c r="N13" s="4">
        <f>Hotel!Z18</f>
        <v>2320</v>
      </c>
      <c r="O13" s="4">
        <f>Hotel!AA18</f>
        <v>1070</v>
      </c>
      <c r="P13" s="4">
        <f>Hotel!AB18</f>
        <v>2630</v>
      </c>
      <c r="Q13" s="4">
        <f>Hotel!AC18</f>
        <v>2460</v>
      </c>
      <c r="R13" s="4">
        <f>Hotel!AT18</f>
        <v>0</v>
      </c>
      <c r="S13" s="4">
        <f>Hotel!BA18</f>
        <v>399.94499999999999</v>
      </c>
      <c r="T13" s="4">
        <f>Hotel!AX18</f>
        <v>0</v>
      </c>
      <c r="U13" s="4">
        <f>Hotel!B18</f>
        <v>10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5</v>
      </c>
      <c r="D14" s="11">
        <f>TOTAL!D14</f>
        <v>2020</v>
      </c>
      <c r="E14" s="4">
        <f>Hotel!Q19</f>
        <v>570</v>
      </c>
      <c r="F14" s="4">
        <f>Hotel!R19</f>
        <v>1890</v>
      </c>
      <c r="G14" s="4">
        <f>Hotel!S19</f>
        <v>2910</v>
      </c>
      <c r="H14" s="4">
        <f>Hotel!T19</f>
        <v>1390</v>
      </c>
      <c r="I14" s="4">
        <f>Hotel!U19</f>
        <v>2530</v>
      </c>
      <c r="J14" s="4">
        <f>Hotel!V19</f>
        <v>1960</v>
      </c>
      <c r="K14" s="4">
        <f>Hotel!W19</f>
        <v>1940</v>
      </c>
      <c r="L14" s="4">
        <f>Hotel!X19</f>
        <v>1170</v>
      </c>
      <c r="M14" s="4">
        <f>Hotel!Y19</f>
        <v>1610</v>
      </c>
      <c r="N14" s="4">
        <f>Hotel!Z19</f>
        <v>2300</v>
      </c>
      <c r="O14" s="4">
        <f>Hotel!AA19</f>
        <v>1320</v>
      </c>
      <c r="P14" s="4">
        <f>Hotel!AB19</f>
        <v>2670</v>
      </c>
      <c r="Q14" s="4">
        <f>Hotel!AC19</f>
        <v>2510</v>
      </c>
      <c r="R14" s="4">
        <f>Hotel!AT19</f>
        <v>0</v>
      </c>
      <c r="S14" s="4">
        <f>Hotel!BA19</f>
        <v>540.54000000000008</v>
      </c>
      <c r="T14" s="4">
        <f>Hotel!AX19</f>
        <v>0</v>
      </c>
      <c r="U14" s="4">
        <f>Hotel!B19</f>
        <v>10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5</v>
      </c>
      <c r="D15" s="11">
        <f>TOTAL!D15</f>
        <v>2020</v>
      </c>
      <c r="E15" s="4">
        <f>Hotel!Q20</f>
        <v>570</v>
      </c>
      <c r="F15" s="4">
        <f>Hotel!R20</f>
        <v>1880</v>
      </c>
      <c r="G15" s="4">
        <f>Hotel!S20</f>
        <v>2950</v>
      </c>
      <c r="H15" s="4">
        <f>Hotel!T20</f>
        <v>1380</v>
      </c>
      <c r="I15" s="4">
        <f>Hotel!U20</f>
        <v>2490</v>
      </c>
      <c r="J15" s="4">
        <f>Hotel!V20</f>
        <v>1830</v>
      </c>
      <c r="K15" s="4">
        <f>Hotel!W20</f>
        <v>1900</v>
      </c>
      <c r="L15" s="4">
        <f>Hotel!X20</f>
        <v>1370</v>
      </c>
      <c r="M15" s="4">
        <f>Hotel!Y20</f>
        <v>1610</v>
      </c>
      <c r="N15" s="4">
        <f>Hotel!Z20</f>
        <v>2300</v>
      </c>
      <c r="O15" s="4">
        <f>Hotel!AA20</f>
        <v>1430</v>
      </c>
      <c r="P15" s="4">
        <f>Hotel!AB20</f>
        <v>2640</v>
      </c>
      <c r="Q15" s="4">
        <f>Hotel!AC20</f>
        <v>2590</v>
      </c>
      <c r="R15" s="4">
        <f>Hotel!AT20</f>
        <v>0</v>
      </c>
      <c r="S15" s="4">
        <f>Hotel!BA20</f>
        <v>270.27000000000004</v>
      </c>
      <c r="T15" s="4">
        <f>Hotel!AX20</f>
        <v>0</v>
      </c>
      <c r="U15" s="4">
        <f>Hotel!B20</f>
        <v>10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5</v>
      </c>
      <c r="D16" s="11">
        <f>TOTAL!D16</f>
        <v>2020</v>
      </c>
      <c r="E16" s="4">
        <f>Hotel!Q21</f>
        <v>720</v>
      </c>
      <c r="F16" s="4">
        <f>Hotel!R21</f>
        <v>2360</v>
      </c>
      <c r="G16" s="4">
        <f>Hotel!S21</f>
        <v>3710</v>
      </c>
      <c r="H16" s="4">
        <f>Hotel!T21</f>
        <v>1730</v>
      </c>
      <c r="I16" s="4">
        <f>Hotel!U21</f>
        <v>2790</v>
      </c>
      <c r="J16" s="4">
        <f>Hotel!V21</f>
        <v>2400</v>
      </c>
      <c r="K16" s="4">
        <f>Hotel!W21</f>
        <v>2380</v>
      </c>
      <c r="L16" s="4">
        <f>Hotel!X21</f>
        <v>1700</v>
      </c>
      <c r="M16" s="4">
        <f>Hotel!Y21</f>
        <v>2000</v>
      </c>
      <c r="N16" s="4">
        <f>Hotel!Z21</f>
        <v>2860</v>
      </c>
      <c r="O16" s="4">
        <f>Hotel!AA21</f>
        <v>1400</v>
      </c>
      <c r="P16" s="4">
        <f>Hotel!AB21</f>
        <v>3330</v>
      </c>
      <c r="Q16" s="4">
        <f>Hotel!AC21</f>
        <v>3800</v>
      </c>
      <c r="R16" s="4">
        <f>Hotel!AT21</f>
        <v>0</v>
      </c>
      <c r="S16" s="4">
        <f>Hotel!BA21</f>
        <v>273.27300000000002</v>
      </c>
      <c r="T16" s="4">
        <f>Hotel!AX21</f>
        <v>0</v>
      </c>
      <c r="U16" s="4">
        <f>Hotel!B21</f>
        <v>10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5</v>
      </c>
      <c r="D17" s="11">
        <f>TOTAL!D17</f>
        <v>2020</v>
      </c>
      <c r="E17" s="4">
        <f>Hotel!Q22</f>
        <v>500</v>
      </c>
      <c r="F17" s="4">
        <f>Hotel!R22</f>
        <v>1640</v>
      </c>
      <c r="G17" s="4">
        <f>Hotel!S22</f>
        <v>2700</v>
      </c>
      <c r="H17" s="4">
        <f>Hotel!T22</f>
        <v>1210</v>
      </c>
      <c r="I17" s="4">
        <f>Hotel!U22</f>
        <v>2040</v>
      </c>
      <c r="J17" s="4">
        <f>Hotel!V22</f>
        <v>1610</v>
      </c>
      <c r="K17" s="4">
        <f>Hotel!W22</f>
        <v>1670</v>
      </c>
      <c r="L17" s="4">
        <f>Hotel!X22</f>
        <v>1040</v>
      </c>
      <c r="M17" s="4">
        <f>Hotel!Y22</f>
        <v>1420</v>
      </c>
      <c r="N17" s="4">
        <f>Hotel!Z22</f>
        <v>2080</v>
      </c>
      <c r="O17" s="4">
        <f>Hotel!AA22</f>
        <v>890</v>
      </c>
      <c r="P17" s="4">
        <f>Hotel!AB22</f>
        <v>2430</v>
      </c>
      <c r="Q17" s="4">
        <f>Hotel!AC22</f>
        <v>2990</v>
      </c>
      <c r="R17" s="4">
        <f>Hotel!AT22</f>
        <v>0</v>
      </c>
      <c r="S17" s="4">
        <f>Hotel!BA22</f>
        <v>206.93400000000003</v>
      </c>
      <c r="T17" s="4">
        <f>Hotel!AX22</f>
        <v>0</v>
      </c>
      <c r="U17" s="4">
        <f>Hotel!B22</f>
        <v>10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5</v>
      </c>
      <c r="D18" s="11">
        <f>TOTAL!D18</f>
        <v>2020</v>
      </c>
      <c r="E18" s="4">
        <f>Hotel!Q23</f>
        <v>660</v>
      </c>
      <c r="F18" s="4">
        <f>Hotel!R23</f>
        <v>2160</v>
      </c>
      <c r="G18" s="4">
        <f>Hotel!S23</f>
        <v>3430</v>
      </c>
      <c r="H18" s="4">
        <f>Hotel!T23</f>
        <v>1580</v>
      </c>
      <c r="I18" s="4">
        <f>Hotel!U23</f>
        <v>2530</v>
      </c>
      <c r="J18" s="4">
        <f>Hotel!V23</f>
        <v>2070</v>
      </c>
      <c r="K18" s="4">
        <f>Hotel!W23</f>
        <v>2190</v>
      </c>
      <c r="L18" s="4">
        <f>Hotel!X23</f>
        <v>1320</v>
      </c>
      <c r="M18" s="4">
        <f>Hotel!Y23</f>
        <v>1840</v>
      </c>
      <c r="N18" s="4">
        <f>Hotel!Z23</f>
        <v>2590</v>
      </c>
      <c r="O18" s="4">
        <f>Hotel!AA23</f>
        <v>1190</v>
      </c>
      <c r="P18" s="4">
        <f>Hotel!AB23</f>
        <v>3030</v>
      </c>
      <c r="Q18" s="4">
        <f>Hotel!AC23</f>
        <v>3950</v>
      </c>
      <c r="R18" s="4">
        <f>Hotel!AT23</f>
        <v>0</v>
      </c>
      <c r="S18" s="4">
        <f>Hotel!BA23</f>
        <v>319.41000000000003</v>
      </c>
      <c r="T18" s="4">
        <f>Hotel!AX23</f>
        <v>0</v>
      </c>
      <c r="U18" s="4">
        <f>Hotel!B23</f>
        <v>10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5</v>
      </c>
      <c r="D19" s="11">
        <f>TOTAL!D19</f>
        <v>2020</v>
      </c>
      <c r="E19" s="4">
        <f>Hotel!Q24</f>
        <v>410</v>
      </c>
      <c r="F19" s="4">
        <f>Hotel!R24</f>
        <v>1340</v>
      </c>
      <c r="G19" s="4">
        <f>Hotel!S24</f>
        <v>2220</v>
      </c>
      <c r="H19" s="4">
        <f>Hotel!T24</f>
        <v>1000</v>
      </c>
      <c r="I19" s="4">
        <f>Hotel!U24</f>
        <v>1590</v>
      </c>
      <c r="J19" s="4">
        <f>Hotel!V24</f>
        <v>1310</v>
      </c>
      <c r="K19" s="4">
        <f>Hotel!W24</f>
        <v>1350</v>
      </c>
      <c r="L19" s="4">
        <f>Hotel!X24</f>
        <v>810</v>
      </c>
      <c r="M19" s="4">
        <f>Hotel!Y24</f>
        <v>1150</v>
      </c>
      <c r="N19" s="4">
        <f>Hotel!Z24</f>
        <v>1740</v>
      </c>
      <c r="O19" s="4">
        <f>Hotel!AA24</f>
        <v>670</v>
      </c>
      <c r="P19" s="4">
        <f>Hotel!AB24</f>
        <v>1940</v>
      </c>
      <c r="Q19" s="4">
        <f>Hotel!AC24</f>
        <v>2410</v>
      </c>
      <c r="R19" s="4">
        <f>Hotel!AT24</f>
        <v>0</v>
      </c>
      <c r="S19" s="4">
        <f>Hotel!BA24</f>
        <v>274.911</v>
      </c>
      <c r="T19" s="4">
        <f>Hotel!AX24</f>
        <v>0</v>
      </c>
      <c r="U19" s="4">
        <f>Hotel!B24</f>
        <v>10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5</v>
      </c>
      <c r="D20" s="11">
        <f>TOTAL!D20</f>
        <v>2020</v>
      </c>
      <c r="E20" s="4">
        <f>Hotel!Q25</f>
        <v>570</v>
      </c>
      <c r="F20" s="4">
        <f>Hotel!R25</f>
        <v>1880</v>
      </c>
      <c r="G20" s="4">
        <f>Hotel!S25</f>
        <v>3060</v>
      </c>
      <c r="H20" s="4">
        <f>Hotel!T25</f>
        <v>1390</v>
      </c>
      <c r="I20" s="4">
        <f>Hotel!U25</f>
        <v>2290</v>
      </c>
      <c r="J20" s="4">
        <f>Hotel!V25</f>
        <v>670</v>
      </c>
      <c r="K20" s="4">
        <f>Hotel!W25</f>
        <v>1890</v>
      </c>
      <c r="L20" s="4">
        <f>Hotel!X25</f>
        <v>1170</v>
      </c>
      <c r="M20" s="4">
        <f>Hotel!Y25</f>
        <v>1580</v>
      </c>
      <c r="N20" s="4">
        <f>Hotel!Z25</f>
        <v>2270</v>
      </c>
      <c r="O20" s="4">
        <f>Hotel!AA25</f>
        <v>1000</v>
      </c>
      <c r="P20" s="4">
        <f>Hotel!AB25</f>
        <v>2700</v>
      </c>
      <c r="Q20" s="4">
        <f>Hotel!AC25</f>
        <v>3900</v>
      </c>
      <c r="R20" s="4">
        <f>Hotel!AT25</f>
        <v>0</v>
      </c>
      <c r="S20" s="4">
        <f>Hotel!BA25</f>
        <v>527.70900000000006</v>
      </c>
      <c r="T20" s="4">
        <f>Hotel!AX25</f>
        <v>0</v>
      </c>
      <c r="U20" s="4">
        <f>Hotel!B25</f>
        <v>10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5</v>
      </c>
      <c r="D21" s="11">
        <f>TOTAL!D21</f>
        <v>2020</v>
      </c>
      <c r="E21" s="4">
        <f>Hotel!Q26</f>
        <v>580</v>
      </c>
      <c r="F21" s="4">
        <f>Hotel!R26</f>
        <v>1890</v>
      </c>
      <c r="G21" s="4">
        <f>Hotel!S26</f>
        <v>3080</v>
      </c>
      <c r="H21" s="4">
        <f>Hotel!T26</f>
        <v>1400</v>
      </c>
      <c r="I21" s="4">
        <f>Hotel!U26</f>
        <v>2190</v>
      </c>
      <c r="J21" s="4">
        <f>Hotel!V26</f>
        <v>3130</v>
      </c>
      <c r="K21" s="4">
        <f>Hotel!W26</f>
        <v>1920</v>
      </c>
      <c r="L21" s="4">
        <f>Hotel!X26</f>
        <v>1180</v>
      </c>
      <c r="M21" s="4">
        <f>Hotel!Y26</f>
        <v>1640</v>
      </c>
      <c r="N21" s="4">
        <f>Hotel!Z26</f>
        <v>2150</v>
      </c>
      <c r="O21" s="4">
        <f>Hotel!AA26</f>
        <v>1030</v>
      </c>
      <c r="P21" s="4">
        <f>Hotel!AB26</f>
        <v>2760</v>
      </c>
      <c r="Q21" s="4">
        <f>Hotel!AC26</f>
        <v>3300</v>
      </c>
      <c r="R21" s="4">
        <f>Hotel!AT26</f>
        <v>0</v>
      </c>
      <c r="S21" s="4">
        <f>Hotel!BA26</f>
        <v>711.7109999999999</v>
      </c>
      <c r="T21" s="4">
        <f>Hotel!AX26</f>
        <v>0</v>
      </c>
      <c r="U21" s="4">
        <f>Hotel!B26</f>
        <v>10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5</v>
      </c>
      <c r="D22" s="11">
        <f>TOTAL!D22</f>
        <v>2020</v>
      </c>
      <c r="E22" s="4">
        <f>Hotel!Q27</f>
        <v>560</v>
      </c>
      <c r="F22" s="4">
        <f>Hotel!R27</f>
        <v>3870</v>
      </c>
      <c r="G22" s="4">
        <f>Hotel!S27</f>
        <v>3230</v>
      </c>
      <c r="H22" s="4">
        <f>Hotel!T27</f>
        <v>1370</v>
      </c>
      <c r="I22" s="4">
        <f>Hotel!U27</f>
        <v>2010</v>
      </c>
      <c r="J22" s="4">
        <f>Hotel!V27</f>
        <v>2010</v>
      </c>
      <c r="K22" s="4">
        <f>Hotel!W27</f>
        <v>1920</v>
      </c>
      <c r="L22" s="4">
        <f>Hotel!X27</f>
        <v>1190</v>
      </c>
      <c r="M22" s="4">
        <f>Hotel!Y27</f>
        <v>1630</v>
      </c>
      <c r="N22" s="4">
        <f>Hotel!Z27</f>
        <v>2210</v>
      </c>
      <c r="O22" s="4">
        <f>Hotel!AA27</f>
        <v>1060</v>
      </c>
      <c r="P22" s="4">
        <f>Hotel!AB27</f>
        <v>2940</v>
      </c>
      <c r="Q22" s="4">
        <f>Hotel!AC27</f>
        <v>3260</v>
      </c>
      <c r="R22" s="4">
        <f>Hotel!AT27</f>
        <v>0</v>
      </c>
      <c r="S22" s="4">
        <f>Hotel!BA27</f>
        <v>500.68200000000002</v>
      </c>
      <c r="T22" s="4">
        <f>Hotel!AX27</f>
        <v>0</v>
      </c>
      <c r="U22" s="4">
        <f>Hotel!B27</f>
        <v>10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5</v>
      </c>
      <c r="D23" s="11">
        <f>TOTAL!D23</f>
        <v>2020</v>
      </c>
      <c r="E23" s="4">
        <f>Hotel!Q28</f>
        <v>670</v>
      </c>
      <c r="F23" s="4">
        <f>Hotel!R28</f>
        <v>190</v>
      </c>
      <c r="G23" s="4">
        <f>Hotel!S28</f>
        <v>3670</v>
      </c>
      <c r="H23" s="4">
        <f>Hotel!T28</f>
        <v>1590</v>
      </c>
      <c r="I23" s="4">
        <f>Hotel!U28</f>
        <v>2400</v>
      </c>
      <c r="J23" s="4">
        <f>Hotel!V28</f>
        <v>2250</v>
      </c>
      <c r="K23" s="4">
        <f>Hotel!W28</f>
        <v>2240</v>
      </c>
      <c r="L23" s="4">
        <f>Hotel!X28</f>
        <v>1360</v>
      </c>
      <c r="M23" s="4">
        <f>Hotel!Y28</f>
        <v>1850</v>
      </c>
      <c r="N23" s="4">
        <f>Hotel!Z28</f>
        <v>2740</v>
      </c>
      <c r="O23" s="4">
        <f>Hotel!AA28</f>
        <v>1020</v>
      </c>
      <c r="P23" s="4">
        <f>Hotel!AB28</f>
        <v>3550</v>
      </c>
      <c r="Q23" s="4">
        <f>Hotel!AC28</f>
        <v>3690</v>
      </c>
      <c r="R23" s="4">
        <f>Hotel!AT28</f>
        <v>0</v>
      </c>
      <c r="S23" s="4">
        <f>Hotel!BA28</f>
        <v>925.197</v>
      </c>
      <c r="T23" s="4">
        <f>Hotel!AX28</f>
        <v>0</v>
      </c>
      <c r="U23" s="4">
        <f>Hotel!B28</f>
        <v>10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5</v>
      </c>
      <c r="D24" s="11">
        <f>TOTAL!D24</f>
        <v>2020</v>
      </c>
      <c r="E24" s="4">
        <f>Hotel!Q29</f>
        <v>530</v>
      </c>
      <c r="F24" s="4">
        <f>Hotel!R29</f>
        <v>1680</v>
      </c>
      <c r="G24" s="4">
        <f>Hotel!S29</f>
        <v>2870</v>
      </c>
      <c r="H24" s="4">
        <f>Hotel!T29</f>
        <v>1240</v>
      </c>
      <c r="I24" s="4">
        <f>Hotel!U29</f>
        <v>1890</v>
      </c>
      <c r="J24" s="4">
        <f>Hotel!V29</f>
        <v>1720</v>
      </c>
      <c r="K24" s="4">
        <f>Hotel!W29</f>
        <v>1710</v>
      </c>
      <c r="L24" s="4">
        <f>Hotel!X29</f>
        <v>1040</v>
      </c>
      <c r="M24" s="4">
        <f>Hotel!Y29</f>
        <v>1420</v>
      </c>
      <c r="N24" s="4">
        <f>Hotel!Z29</f>
        <v>2160</v>
      </c>
      <c r="O24" s="4">
        <f>Hotel!AA29</f>
        <v>750</v>
      </c>
      <c r="P24" s="4">
        <f>Hotel!AB29</f>
        <v>2760</v>
      </c>
      <c r="Q24" s="4">
        <f>Hotel!AC29</f>
        <v>2770</v>
      </c>
      <c r="R24" s="4">
        <f>Hotel!AT29</f>
        <v>0</v>
      </c>
      <c r="S24" s="4">
        <f>Hotel!BA29</f>
        <v>599.78100000000006</v>
      </c>
      <c r="T24" s="4">
        <f>Hotel!AX29</f>
        <v>0</v>
      </c>
      <c r="U24" s="4">
        <f>Hotel!B29</f>
        <v>10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5</v>
      </c>
      <c r="D25" s="11">
        <f>TOTAL!D25</f>
        <v>2020</v>
      </c>
      <c r="E25" s="4">
        <f>Hotel!Q30</f>
        <v>550</v>
      </c>
      <c r="F25" s="4">
        <f>Hotel!R30</f>
        <v>1860</v>
      </c>
      <c r="G25" s="4">
        <f>Hotel!S30</f>
        <v>3260</v>
      </c>
      <c r="H25" s="4">
        <f>Hotel!T30</f>
        <v>1380</v>
      </c>
      <c r="I25" s="4">
        <f>Hotel!U30</f>
        <v>2140</v>
      </c>
      <c r="J25" s="4">
        <f>Hotel!V30</f>
        <v>1990</v>
      </c>
      <c r="K25" s="4">
        <f>Hotel!W30</f>
        <v>1720</v>
      </c>
      <c r="L25" s="4">
        <f>Hotel!X30</f>
        <v>1130</v>
      </c>
      <c r="M25" s="4">
        <f>Hotel!Y30</f>
        <v>1570</v>
      </c>
      <c r="N25" s="4">
        <f>Hotel!Z30</f>
        <v>2500</v>
      </c>
      <c r="O25" s="4">
        <f>Hotel!AA30</f>
        <v>1090</v>
      </c>
      <c r="P25" s="4">
        <f>Hotel!AB30</f>
        <v>2940</v>
      </c>
      <c r="Q25" s="4">
        <f>Hotel!AC30</f>
        <v>3140</v>
      </c>
      <c r="R25" s="4">
        <f>Hotel!AT30</f>
        <v>0</v>
      </c>
      <c r="S25" s="4">
        <f>Hotel!BA30</f>
        <v>822.27599999999995</v>
      </c>
      <c r="T25" s="4">
        <f>Hotel!AX30</f>
        <v>0</v>
      </c>
      <c r="U25" s="4">
        <f>Hotel!B30</f>
        <v>10</v>
      </c>
    </row>
    <row r="26" spans="1:21" x14ac:dyDescent="0.25">
      <c r="A26" s="21" t="s">
        <v>31</v>
      </c>
      <c r="B26" s="2">
        <f>B25+1</f>
        <v>25</v>
      </c>
      <c r="C26" s="3">
        <f>TOTAL!C26</f>
        <v>5</v>
      </c>
      <c r="D26" s="11">
        <f>TOTAL!D26</f>
        <v>2020</v>
      </c>
      <c r="E26" s="4">
        <f>Hotel!Q31</f>
        <v>590</v>
      </c>
      <c r="F26" s="4">
        <f>Hotel!R31</f>
        <v>1920</v>
      </c>
      <c r="G26" s="4">
        <f>Hotel!S31</f>
        <v>3240</v>
      </c>
      <c r="H26" s="4">
        <f>Hotel!T31</f>
        <v>1420</v>
      </c>
      <c r="I26" s="4">
        <f>Hotel!U31</f>
        <v>2360</v>
      </c>
      <c r="J26" s="4">
        <f>Hotel!V31</f>
        <v>2090</v>
      </c>
      <c r="K26" s="4">
        <f>Hotel!W31</f>
        <v>2220</v>
      </c>
      <c r="L26" s="4">
        <f>Hotel!X31</f>
        <v>1380</v>
      </c>
      <c r="M26" s="4">
        <f>Hotel!Y31</f>
        <v>1580</v>
      </c>
      <c r="N26" s="4">
        <f>Hotel!Z31</f>
        <v>2520</v>
      </c>
      <c r="O26" s="4">
        <f>Hotel!AA31</f>
        <v>1400</v>
      </c>
      <c r="P26" s="4">
        <f>Hotel!AB31</f>
        <v>3780</v>
      </c>
      <c r="Q26" s="4">
        <f>Hotel!AC31</f>
        <v>3610</v>
      </c>
      <c r="R26" s="4">
        <f>Hotel!AT31</f>
        <v>0</v>
      </c>
      <c r="S26" s="4">
        <f>Hotel!BA31</f>
        <v>565.65599999999995</v>
      </c>
      <c r="T26" s="4">
        <f>Hotel!AX31</f>
        <v>0</v>
      </c>
      <c r="U26" s="4">
        <f>Hotel!B31</f>
        <v>10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5</v>
      </c>
      <c r="D27" s="11">
        <f>TOTAL!D27</f>
        <v>2020</v>
      </c>
      <c r="E27" s="4">
        <f>Hotel!Q32</f>
        <v>530</v>
      </c>
      <c r="F27" s="4">
        <f>Hotel!R32</f>
        <v>1760</v>
      </c>
      <c r="G27" s="4">
        <f>Hotel!S32</f>
        <v>2860</v>
      </c>
      <c r="H27" s="4">
        <f>Hotel!T32</f>
        <v>1300</v>
      </c>
      <c r="I27" s="4">
        <f>Hotel!U32</f>
        <v>2280</v>
      </c>
      <c r="J27" s="4">
        <f>Hotel!V32</f>
        <v>1950</v>
      </c>
      <c r="K27" s="4">
        <f>Hotel!W32</f>
        <v>1970</v>
      </c>
      <c r="L27" s="4">
        <f>Hotel!X32</f>
        <v>1500</v>
      </c>
      <c r="M27" s="4">
        <f>Hotel!Y32</f>
        <v>1410</v>
      </c>
      <c r="N27" s="4">
        <f>Hotel!Z32</f>
        <v>1990</v>
      </c>
      <c r="O27" s="4">
        <f>Hotel!AA32</f>
        <v>1300</v>
      </c>
      <c r="P27" s="4">
        <f>Hotel!AB32</f>
        <v>3310</v>
      </c>
      <c r="Q27" s="4">
        <f>Hotel!AC32</f>
        <v>2840</v>
      </c>
      <c r="R27" s="4">
        <f>Hotel!AT32</f>
        <v>0</v>
      </c>
      <c r="S27" s="4">
        <f>Hotel!BA32</f>
        <v>686.86799999999994</v>
      </c>
      <c r="T27" s="4">
        <f>Hotel!AX32</f>
        <v>0</v>
      </c>
      <c r="U27" s="4">
        <f>Hotel!B32</f>
        <v>10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5</v>
      </c>
      <c r="D28" s="11">
        <f>TOTAL!D28</f>
        <v>2020</v>
      </c>
      <c r="E28" s="4">
        <f>Hotel!Q33</f>
        <v>570</v>
      </c>
      <c r="F28" s="4">
        <f>Hotel!R33</f>
        <v>1860</v>
      </c>
      <c r="G28" s="4">
        <f>Hotel!S33</f>
        <v>3150</v>
      </c>
      <c r="H28" s="4">
        <f>Hotel!T33</f>
        <v>1390</v>
      </c>
      <c r="I28" s="4">
        <f>Hotel!U33</f>
        <v>2580</v>
      </c>
      <c r="J28" s="4">
        <f>Hotel!V33</f>
        <v>2100</v>
      </c>
      <c r="K28" s="4">
        <f>Hotel!W33</f>
        <v>2070</v>
      </c>
      <c r="L28" s="4">
        <f>Hotel!X33</f>
        <v>1210</v>
      </c>
      <c r="M28" s="4">
        <f>Hotel!Y33</f>
        <v>1520</v>
      </c>
      <c r="N28" s="4">
        <f>Hotel!Z33</f>
        <v>2050</v>
      </c>
      <c r="O28" s="4">
        <f>Hotel!AA33</f>
        <v>1240</v>
      </c>
      <c r="P28" s="4">
        <f>Hotel!AB33</f>
        <v>3530</v>
      </c>
      <c r="Q28" s="4">
        <f>Hotel!AC33</f>
        <v>2980</v>
      </c>
      <c r="R28" s="4">
        <f>Hotel!AT33</f>
        <v>0</v>
      </c>
      <c r="S28" s="4">
        <f>Hotel!BA33</f>
        <v>702.42900000000009</v>
      </c>
      <c r="T28" s="4">
        <f>Hotel!AX33</f>
        <v>0</v>
      </c>
      <c r="U28" s="4">
        <f>Hotel!B33</f>
        <v>10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5</v>
      </c>
      <c r="D29" s="11">
        <f>TOTAL!D29</f>
        <v>2020</v>
      </c>
      <c r="E29" s="4">
        <f>Hotel!Q34</f>
        <v>570</v>
      </c>
      <c r="F29" s="4">
        <f>Hotel!R34</f>
        <v>1860</v>
      </c>
      <c r="G29" s="4">
        <f>Hotel!S34</f>
        <v>3280</v>
      </c>
      <c r="H29" s="4">
        <f>Hotel!T34</f>
        <v>1400</v>
      </c>
      <c r="I29" s="4">
        <f>Hotel!U34</f>
        <v>2630</v>
      </c>
      <c r="J29" s="4">
        <f>Hotel!V34</f>
        <v>2030</v>
      </c>
      <c r="K29" s="4">
        <f>Hotel!W34</f>
        <v>2010</v>
      </c>
      <c r="L29" s="4">
        <f>Hotel!X34</f>
        <v>1180</v>
      </c>
      <c r="M29" s="4">
        <f>Hotel!Y34</f>
        <v>1590</v>
      </c>
      <c r="N29" s="4">
        <f>Hotel!Z34</f>
        <v>2190</v>
      </c>
      <c r="O29" s="4">
        <f>Hotel!AA34</f>
        <v>1270</v>
      </c>
      <c r="P29" s="4">
        <f>Hotel!AB34</f>
        <v>3720</v>
      </c>
      <c r="Q29" s="4">
        <f>Hotel!AC34</f>
        <v>3130</v>
      </c>
      <c r="R29" s="4">
        <f>Hotel!AT34</f>
        <v>0</v>
      </c>
      <c r="S29" s="4">
        <f>Hotel!BA34</f>
        <v>135.40799999999999</v>
      </c>
      <c r="T29" s="4">
        <f>Hotel!AX34</f>
        <v>0</v>
      </c>
      <c r="U29" s="4">
        <f>Hotel!B34</f>
        <v>10</v>
      </c>
    </row>
    <row r="30" spans="1:21" x14ac:dyDescent="0.25">
      <c r="A30" s="21" t="s">
        <v>31</v>
      </c>
      <c r="B30" s="2">
        <f>B29+1</f>
        <v>29</v>
      </c>
      <c r="C30" s="3">
        <f>TOTAL!C30</f>
        <v>5</v>
      </c>
      <c r="D30" s="11">
        <f>TOTAL!D30</f>
        <v>2020</v>
      </c>
      <c r="E30" s="4">
        <f>Hotel!Q35</f>
        <v>580</v>
      </c>
      <c r="F30" s="4">
        <f>Hotel!R35</f>
        <v>1890</v>
      </c>
      <c r="G30" s="4">
        <f>Hotel!S35</f>
        <v>3440</v>
      </c>
      <c r="H30" s="4">
        <f>Hotel!T35</f>
        <v>1430</v>
      </c>
      <c r="I30" s="4">
        <f>Hotel!U35</f>
        <v>2450</v>
      </c>
      <c r="J30" s="4">
        <f>Hotel!V35</f>
        <v>1840</v>
      </c>
      <c r="K30" s="4">
        <f>Hotel!W35</f>
        <v>2050</v>
      </c>
      <c r="L30" s="4">
        <f>Hotel!X35</f>
        <v>1270</v>
      </c>
      <c r="M30" s="4">
        <f>Hotel!Y35</f>
        <v>1790</v>
      </c>
      <c r="N30" s="4">
        <f>Hotel!Z35</f>
        <v>2300</v>
      </c>
      <c r="O30" s="4">
        <f>Hotel!AA35</f>
        <v>1190</v>
      </c>
      <c r="P30" s="4">
        <f>Hotel!AB35</f>
        <v>3680</v>
      </c>
      <c r="Q30" s="4">
        <f>Hotel!AC35</f>
        <v>3310</v>
      </c>
      <c r="R30" s="4">
        <f>Hotel!AT35</f>
        <v>0</v>
      </c>
      <c r="S30" s="4">
        <f>Hotel!BA35</f>
        <v>458.36700000000002</v>
      </c>
      <c r="T30" s="4">
        <f>Hotel!AX35</f>
        <v>0</v>
      </c>
      <c r="U30" s="4">
        <f>Hotel!B35</f>
        <v>10</v>
      </c>
    </row>
    <row r="31" spans="1:21" x14ac:dyDescent="0.25">
      <c r="A31" s="21" t="s">
        <v>31</v>
      </c>
      <c r="B31" s="2">
        <f>B30+1</f>
        <v>30</v>
      </c>
      <c r="C31" s="3">
        <f>TOTAL!C31</f>
        <v>5</v>
      </c>
      <c r="D31" s="11">
        <f>TOTAL!D31</f>
        <v>2020</v>
      </c>
      <c r="E31" s="4">
        <f>Hotel!Q36</f>
        <v>630</v>
      </c>
      <c r="F31" s="4">
        <f>Hotel!R36</f>
        <v>2060</v>
      </c>
      <c r="G31" s="4">
        <f>Hotel!S36</f>
        <v>3680</v>
      </c>
      <c r="H31" s="4">
        <f>Hotel!T36</f>
        <v>1550</v>
      </c>
      <c r="I31" s="4">
        <f>Hotel!U36</f>
        <v>2470</v>
      </c>
      <c r="J31" s="4">
        <f>Hotel!V36</f>
        <v>1890</v>
      </c>
      <c r="K31" s="4">
        <f>Hotel!W36</f>
        <v>2210</v>
      </c>
      <c r="L31" s="4">
        <f>Hotel!X36</f>
        <v>1380</v>
      </c>
      <c r="M31" s="4">
        <f>Hotel!Y36</f>
        <v>1670</v>
      </c>
      <c r="N31" s="4">
        <f>Hotel!Z36</f>
        <v>2550</v>
      </c>
      <c r="O31" s="4">
        <f>Hotel!AA36</f>
        <v>1130</v>
      </c>
      <c r="P31" s="4">
        <f>Hotel!AB36</f>
        <v>3870</v>
      </c>
      <c r="Q31" s="4">
        <f>Hotel!AC36</f>
        <v>3490</v>
      </c>
      <c r="R31" s="4">
        <f>Hotel!AT36</f>
        <v>0</v>
      </c>
      <c r="S31" s="4">
        <f>Hotel!BA36</f>
        <v>250.887</v>
      </c>
      <c r="T31" s="4">
        <f>Hotel!AX36</f>
        <v>0</v>
      </c>
      <c r="U31" s="4">
        <f>Hotel!B36</f>
        <v>12</v>
      </c>
    </row>
    <row r="32" spans="1:21" x14ac:dyDescent="0.25">
      <c r="A32" s="21" t="s">
        <v>31</v>
      </c>
      <c r="B32" s="2">
        <f>B31+1</f>
        <v>31</v>
      </c>
      <c r="C32" s="3">
        <f>TOTAL!C32</f>
        <v>5</v>
      </c>
      <c r="D32" s="11">
        <f>TOTAL!D32</f>
        <v>2020</v>
      </c>
      <c r="E32" s="4">
        <f>Hotel!Q37</f>
        <v>580</v>
      </c>
      <c r="F32" s="4">
        <f>Hotel!R37</f>
        <v>1910</v>
      </c>
      <c r="G32" s="4">
        <f>Hotel!S37</f>
        <v>3380</v>
      </c>
      <c r="H32" s="4">
        <f>Hotel!T37</f>
        <v>1450</v>
      </c>
      <c r="I32" s="4">
        <f>Hotel!U37</f>
        <v>2230</v>
      </c>
      <c r="J32" s="4">
        <f>Hotel!V37</f>
        <v>1820</v>
      </c>
      <c r="K32" s="4">
        <f>Hotel!W37</f>
        <v>2050</v>
      </c>
      <c r="L32" s="4">
        <f>Hotel!X37</f>
        <v>1270</v>
      </c>
      <c r="M32" s="4">
        <f>Hotel!Y37</f>
        <v>1500</v>
      </c>
      <c r="N32" s="4">
        <f>Hotel!Z37</f>
        <v>2340</v>
      </c>
      <c r="O32" s="4">
        <f>Hotel!AA37</f>
        <v>970</v>
      </c>
      <c r="P32" s="4">
        <f>Hotel!AB37</f>
        <v>3680</v>
      </c>
      <c r="Q32" s="4">
        <f>Hotel!AC37</f>
        <v>3030</v>
      </c>
      <c r="R32" s="4">
        <f>Hotel!AT37</f>
        <v>0</v>
      </c>
      <c r="S32" s="4">
        <f>Hotel!BA37</f>
        <v>239.42099999999999</v>
      </c>
      <c r="T32" s="4">
        <f>Hotel!AX37</f>
        <v>0</v>
      </c>
      <c r="U32" s="4">
        <f>Hotel!B37</f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" zoomScale="93" zoomScaleNormal="93" workbookViewId="0">
      <selection activeCell="AY11" sqref="AY1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8" customWidth="1"/>
    <col min="47" max="47" width="7.28515625" customWidth="1"/>
    <col min="48" max="50" width="11.85546875" style="51" customWidth="1"/>
    <col min="51" max="51" width="11.85546875" style="5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69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2"/>
      <c r="AW2" s="52"/>
      <c r="AX2" s="52"/>
      <c r="AY2" s="74">
        <v>905510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1" t="s">
        <v>23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Q4" s="63" t="s">
        <v>24</v>
      </c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5"/>
      <c r="AD4" s="28" t="s">
        <v>25</v>
      </c>
      <c r="AF4" s="66" t="s">
        <v>26</v>
      </c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29" t="s">
        <v>27</v>
      </c>
      <c r="AT4" s="67" t="s">
        <v>51</v>
      </c>
      <c r="AV4" s="68" t="s">
        <v>53</v>
      </c>
      <c r="AW4" s="68" t="s">
        <v>55</v>
      </c>
      <c r="AX4" s="68" t="s">
        <v>56</v>
      </c>
      <c r="AY4" s="57" t="s">
        <v>28</v>
      </c>
      <c r="AZ4" s="58" t="s">
        <v>29</v>
      </c>
      <c r="BA4" s="58" t="s">
        <v>48</v>
      </c>
      <c r="BB4" s="60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7"/>
      <c r="AV5" s="68"/>
      <c r="AW5" s="68"/>
      <c r="AX5" s="68"/>
      <c r="AY5" s="57"/>
      <c r="AZ5" s="59"/>
      <c r="BA5" s="59"/>
      <c r="BB5" s="60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2">
        <v>298912</v>
      </c>
      <c r="AW6" s="52"/>
      <c r="AX6" s="52" t="s">
        <v>57</v>
      </c>
      <c r="AY6" s="74">
        <v>905510</v>
      </c>
    </row>
    <row r="7" spans="1:54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 t="shared" ref="Q7:AC7" si="0">IF((C7-C2&lt;0), "0",C7-C2)</f>
        <v>590</v>
      </c>
      <c r="R7" s="37">
        <f t="shared" si="0"/>
        <v>1960</v>
      </c>
      <c r="S7" s="37">
        <f t="shared" si="0"/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T7" s="49"/>
      <c r="AV7" s="53">
        <v>0</v>
      </c>
      <c r="AW7" s="52">
        <f t="shared" ref="AW7:AW39" si="14">(AV8-AV7)*1000</f>
        <v>0</v>
      </c>
      <c r="AX7" s="54">
        <f>AW7*$AX$44</f>
        <v>0</v>
      </c>
      <c r="AY7" s="74">
        <v>906407</v>
      </c>
      <c r="AZ7" s="37">
        <f>(IF((AY7-AY6&lt;0),"0",AY7-AY6))*100</f>
        <v>89700</v>
      </c>
      <c r="BA7" s="37">
        <f>AZ7*$AZ$44*60%</f>
        <v>244.88100000000003</v>
      </c>
      <c r="BB7" s="47">
        <f>BA7*0.4444</f>
        <v>108.82511640000001</v>
      </c>
    </row>
    <row r="8" spans="1:54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5">IF((D8-D7&lt;0), "0",D8-D7)</f>
        <v>1880</v>
      </c>
      <c r="S8" s="37">
        <f t="shared" ref="S8:S35" si="16">IF((E8-E7&lt;0), "0",E8-E7)</f>
        <v>2950</v>
      </c>
      <c r="T8" s="37">
        <f t="shared" si="15"/>
        <v>1380</v>
      </c>
      <c r="U8" s="37">
        <f t="shared" si="15"/>
        <v>3050</v>
      </c>
      <c r="V8" s="37">
        <f t="shared" si="15"/>
        <v>2340</v>
      </c>
      <c r="W8" s="37">
        <f t="shared" si="15"/>
        <v>2040</v>
      </c>
      <c r="X8" s="37">
        <f t="shared" si="15"/>
        <v>1190</v>
      </c>
      <c r="Y8" s="37">
        <f t="shared" si="15"/>
        <v>1940</v>
      </c>
      <c r="Z8" s="37">
        <f t="shared" si="15"/>
        <v>2350</v>
      </c>
      <c r="AA8" s="37">
        <f t="shared" si="15"/>
        <v>1460</v>
      </c>
      <c r="AB8" s="37">
        <f t="shared" si="15"/>
        <v>3180</v>
      </c>
      <c r="AC8" s="37">
        <f t="shared" si="15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T8" s="49"/>
      <c r="AV8" s="53">
        <v>0</v>
      </c>
      <c r="AW8" s="52">
        <f t="shared" si="14"/>
        <v>0</v>
      </c>
      <c r="AX8" s="54">
        <f t="shared" ref="AX8:AX39" si="17">AW8*$AX$44</f>
        <v>0</v>
      </c>
      <c r="AY8" s="74">
        <v>907374</v>
      </c>
      <c r="AZ8" s="37">
        <f t="shared" ref="AZ8:AZ38" si="18">(IF((AY8-AY7&lt;0),"0",AY8-AY7))*100</f>
        <v>96700</v>
      </c>
      <c r="BA8" s="37">
        <f t="shared" ref="BA8:BA39" si="19">AZ8*$AZ$44*60%</f>
        <v>263.99099999999999</v>
      </c>
      <c r="BB8" s="47">
        <f t="shared" ref="BB8:BB38" si="20">BA8*0.4444</f>
        <v>117.3176004</v>
      </c>
    </row>
    <row r="9" spans="1:54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21">IF((C9-C8&lt;0), "0",C9-C8)</f>
        <v>560</v>
      </c>
      <c r="R9" s="37">
        <f t="shared" ref="R9:R37" si="22">IF((D9-D8&lt;0), "0",D9-D8)</f>
        <v>1880</v>
      </c>
      <c r="S9" s="37">
        <f t="shared" si="16"/>
        <v>2890</v>
      </c>
      <c r="T9" s="37">
        <f t="shared" ref="T9:T35" si="23">IF((F9-F8&lt;0), "0",F9-F8)</f>
        <v>1370</v>
      </c>
      <c r="U9" s="37">
        <f t="shared" ref="U9:U35" si="24">IF((G9-G8&lt;0), "0",G9-G8)</f>
        <v>3020</v>
      </c>
      <c r="V9" s="37">
        <f t="shared" ref="V9:V35" si="25">IF((H9-H8&lt;0), "0",H9-H8)</f>
        <v>2030</v>
      </c>
      <c r="W9" s="37">
        <f t="shared" ref="W9:W35" si="26">IF((I9-I8&lt;0), "0",I9-I8)</f>
        <v>2080</v>
      </c>
      <c r="X9" s="37">
        <f t="shared" ref="X9:X37" si="27">IF((J9-J8&lt;0), "0",J9-J8)</f>
        <v>1100</v>
      </c>
      <c r="Y9" s="37">
        <f t="shared" ref="Y9:Y35" si="28">IF((K9-K8&lt;0), "0",K9-K8)</f>
        <v>1950</v>
      </c>
      <c r="Z9" s="37">
        <f t="shared" ref="Z9:Z35" si="29">IF((L9-L8&lt;0), "0",L9-L8)</f>
        <v>2310</v>
      </c>
      <c r="AA9" s="37">
        <f t="shared" ref="AA9:AA35" si="30">IF((M9-M8&lt;0), "0",M9-M8)</f>
        <v>1470</v>
      </c>
      <c r="AB9" s="37">
        <f t="shared" ref="AB9:AB37" si="31">IF((N9-N8&lt;0), "0",N9-N8)</f>
        <v>3460</v>
      </c>
      <c r="AC9" s="37">
        <f t="shared" ref="AC9:AC37" si="32">IF((O9-O8&lt;0), "0",O9-O8)</f>
        <v>2650</v>
      </c>
      <c r="AD9" s="35">
        <f t="shared" ref="AD9:AD37" si="33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34">SUM(AF9:AR9)</f>
        <v>133.85</v>
      </c>
      <c r="AT9" s="49"/>
      <c r="AV9" s="53">
        <v>0</v>
      </c>
      <c r="AW9" s="52">
        <f t="shared" si="14"/>
        <v>0</v>
      </c>
      <c r="AX9" s="54">
        <f t="shared" si="17"/>
        <v>0</v>
      </c>
      <c r="AY9" s="74">
        <v>908343</v>
      </c>
      <c r="AZ9" s="37">
        <f t="shared" si="18"/>
        <v>96900</v>
      </c>
      <c r="BA9" s="37">
        <f t="shared" si="19"/>
        <v>264.53700000000003</v>
      </c>
      <c r="BB9" s="47">
        <f t="shared" si="20"/>
        <v>117.56024280000003</v>
      </c>
    </row>
    <row r="10" spans="1:54" x14ac:dyDescent="0.25">
      <c r="A10" s="23">
        <v>43955</v>
      </c>
      <c r="B10" s="40">
        <v>11</v>
      </c>
      <c r="C10" s="24">
        <v>6006970</v>
      </c>
      <c r="D10" s="24">
        <v>13021480</v>
      </c>
      <c r="E10" s="24">
        <v>1680130</v>
      </c>
      <c r="F10" s="24">
        <v>2823390</v>
      </c>
      <c r="G10" s="24">
        <v>8730680</v>
      </c>
      <c r="H10" s="24">
        <v>4344760</v>
      </c>
      <c r="I10" s="24">
        <v>4170620</v>
      </c>
      <c r="J10" s="24">
        <v>4742890</v>
      </c>
      <c r="K10" s="24">
        <v>7477270</v>
      </c>
      <c r="L10" s="24">
        <v>2832060</v>
      </c>
      <c r="M10" s="24">
        <v>6756960</v>
      </c>
      <c r="N10" s="24">
        <v>9565840</v>
      </c>
      <c r="O10" s="24">
        <v>13029790</v>
      </c>
      <c r="Q10" s="37">
        <f t="shared" si="21"/>
        <v>580</v>
      </c>
      <c r="R10" s="37">
        <f t="shared" si="22"/>
        <v>1880</v>
      </c>
      <c r="S10" s="37">
        <f t="shared" si="16"/>
        <v>2850</v>
      </c>
      <c r="T10" s="37">
        <f t="shared" si="23"/>
        <v>1370</v>
      </c>
      <c r="U10" s="37">
        <f t="shared" si="24"/>
        <v>2960</v>
      </c>
      <c r="V10" s="37">
        <f t="shared" si="25"/>
        <v>2010</v>
      </c>
      <c r="W10" s="37">
        <f t="shared" si="26"/>
        <v>2080</v>
      </c>
      <c r="X10" s="37">
        <f t="shared" si="27"/>
        <v>1110</v>
      </c>
      <c r="Y10" s="37">
        <f t="shared" si="28"/>
        <v>1950</v>
      </c>
      <c r="Z10" s="37">
        <f t="shared" si="29"/>
        <v>2280</v>
      </c>
      <c r="AA10" s="37">
        <f t="shared" si="30"/>
        <v>1470</v>
      </c>
      <c r="AB10" s="37">
        <f t="shared" si="31"/>
        <v>3460</v>
      </c>
      <c r="AC10" s="37">
        <f t="shared" si="32"/>
        <v>2710</v>
      </c>
      <c r="AD10" s="35">
        <f t="shared" si="33"/>
        <v>26710</v>
      </c>
      <c r="AF10" s="20">
        <f t="shared" si="1"/>
        <v>2.9</v>
      </c>
      <c r="AG10" s="20">
        <f t="shared" si="2"/>
        <v>9.4</v>
      </c>
      <c r="AH10" s="20">
        <f t="shared" si="3"/>
        <v>14.25</v>
      </c>
      <c r="AI10" s="20">
        <f t="shared" si="4"/>
        <v>6.8500000000000005</v>
      </c>
      <c r="AJ10" s="20">
        <f t="shared" si="5"/>
        <v>14.8</v>
      </c>
      <c r="AK10" s="20">
        <f t="shared" si="6"/>
        <v>10.050000000000001</v>
      </c>
      <c r="AL10" s="20">
        <f t="shared" si="7"/>
        <v>10.4</v>
      </c>
      <c r="AM10" s="20">
        <f t="shared" si="8"/>
        <v>5.55</v>
      </c>
      <c r="AN10" s="20">
        <f t="shared" si="9"/>
        <v>9.75</v>
      </c>
      <c r="AO10" s="20">
        <f t="shared" si="10"/>
        <v>11.4</v>
      </c>
      <c r="AP10" s="20">
        <f t="shared" si="11"/>
        <v>7.3500000000000005</v>
      </c>
      <c r="AQ10" s="20">
        <f t="shared" si="12"/>
        <v>17.3</v>
      </c>
      <c r="AR10" s="20">
        <f t="shared" si="13"/>
        <v>13.55</v>
      </c>
      <c r="AS10" s="35">
        <f t="shared" si="34"/>
        <v>133.55000000000001</v>
      </c>
      <c r="AT10" s="49"/>
      <c r="AV10" s="53">
        <v>0</v>
      </c>
      <c r="AW10" s="52">
        <f t="shared" si="14"/>
        <v>0</v>
      </c>
      <c r="AX10" s="54">
        <f t="shared" si="17"/>
        <v>0</v>
      </c>
      <c r="AY10" s="74">
        <v>908753</v>
      </c>
      <c r="AZ10" s="37">
        <f t="shared" si="18"/>
        <v>41000</v>
      </c>
      <c r="BA10" s="37">
        <f t="shared" si="19"/>
        <v>111.93</v>
      </c>
      <c r="BB10" s="47">
        <f t="shared" si="20"/>
        <v>49.741692000000008</v>
      </c>
    </row>
    <row r="11" spans="1:54" x14ac:dyDescent="0.25">
      <c r="A11" s="23">
        <v>43956</v>
      </c>
      <c r="B11" s="40">
        <v>6</v>
      </c>
      <c r="C11" s="24">
        <v>6007530</v>
      </c>
      <c r="D11" s="24">
        <v>13023360</v>
      </c>
      <c r="E11" s="24">
        <v>1683050</v>
      </c>
      <c r="F11" s="24">
        <v>2824770</v>
      </c>
      <c r="G11" s="24">
        <v>8733600</v>
      </c>
      <c r="H11" s="24">
        <v>4346820</v>
      </c>
      <c r="I11" s="24">
        <v>4172730</v>
      </c>
      <c r="J11" s="24">
        <v>4744060</v>
      </c>
      <c r="K11" s="24">
        <v>7479230</v>
      </c>
      <c r="L11" s="24">
        <v>2834360</v>
      </c>
      <c r="M11" s="24">
        <v>6758370</v>
      </c>
      <c r="N11" s="24">
        <v>9569490</v>
      </c>
      <c r="O11" s="24">
        <v>13032530</v>
      </c>
      <c r="Q11" s="37">
        <f t="shared" si="21"/>
        <v>560</v>
      </c>
      <c r="R11" s="37">
        <f t="shared" si="22"/>
        <v>1880</v>
      </c>
      <c r="S11" s="37">
        <f t="shared" si="16"/>
        <v>2920</v>
      </c>
      <c r="T11" s="37">
        <f t="shared" si="23"/>
        <v>1380</v>
      </c>
      <c r="U11" s="37">
        <f t="shared" si="24"/>
        <v>2920</v>
      </c>
      <c r="V11" s="37">
        <f t="shared" si="25"/>
        <v>2060</v>
      </c>
      <c r="W11" s="37">
        <f t="shared" si="26"/>
        <v>2110</v>
      </c>
      <c r="X11" s="37">
        <f t="shared" si="27"/>
        <v>1170</v>
      </c>
      <c r="Y11" s="37">
        <f t="shared" si="28"/>
        <v>1960</v>
      </c>
      <c r="Z11" s="37">
        <f t="shared" si="29"/>
        <v>2300</v>
      </c>
      <c r="AA11" s="37">
        <f t="shared" si="30"/>
        <v>1410</v>
      </c>
      <c r="AB11" s="37">
        <f t="shared" si="31"/>
        <v>3650</v>
      </c>
      <c r="AC11" s="37">
        <f t="shared" si="32"/>
        <v>2740</v>
      </c>
      <c r="AD11" s="35">
        <f t="shared" si="33"/>
        <v>27060</v>
      </c>
      <c r="AF11" s="20">
        <f t="shared" si="1"/>
        <v>2.8000000000000003</v>
      </c>
      <c r="AG11" s="20">
        <f t="shared" si="2"/>
        <v>9.4</v>
      </c>
      <c r="AH11" s="20">
        <f t="shared" si="3"/>
        <v>14.6</v>
      </c>
      <c r="AI11" s="20">
        <f t="shared" si="4"/>
        <v>6.9</v>
      </c>
      <c r="AJ11" s="20">
        <f t="shared" si="5"/>
        <v>14.6</v>
      </c>
      <c r="AK11" s="20">
        <f t="shared" si="6"/>
        <v>10.3</v>
      </c>
      <c r="AL11" s="20">
        <f t="shared" si="7"/>
        <v>10.55</v>
      </c>
      <c r="AM11" s="20">
        <f t="shared" si="8"/>
        <v>5.8500000000000005</v>
      </c>
      <c r="AN11" s="20">
        <f t="shared" si="9"/>
        <v>9.8000000000000007</v>
      </c>
      <c r="AO11" s="20">
        <f t="shared" si="10"/>
        <v>11.5</v>
      </c>
      <c r="AP11" s="20">
        <f t="shared" si="11"/>
        <v>7.05</v>
      </c>
      <c r="AQ11" s="20">
        <f t="shared" si="12"/>
        <v>18.25</v>
      </c>
      <c r="AR11" s="20">
        <f t="shared" si="13"/>
        <v>13.700000000000001</v>
      </c>
      <c r="AS11" s="35">
        <f t="shared" si="34"/>
        <v>135.29999999999998</v>
      </c>
      <c r="AT11" s="49"/>
      <c r="AV11" s="53">
        <v>0</v>
      </c>
      <c r="AW11" s="52">
        <f t="shared" si="14"/>
        <v>0</v>
      </c>
      <c r="AX11" s="54">
        <f t="shared" si="17"/>
        <v>0</v>
      </c>
      <c r="AY11" s="74">
        <v>910927</v>
      </c>
      <c r="AZ11" s="37">
        <f t="shared" si="18"/>
        <v>217400</v>
      </c>
      <c r="BA11" s="37">
        <f t="shared" si="19"/>
        <v>593.50200000000007</v>
      </c>
      <c r="BB11" s="47">
        <f t="shared" si="20"/>
        <v>263.75228880000003</v>
      </c>
    </row>
    <row r="12" spans="1:54" x14ac:dyDescent="0.25">
      <c r="A12" s="23">
        <v>43957</v>
      </c>
      <c r="B12" s="40">
        <v>11</v>
      </c>
      <c r="C12" s="70">
        <v>6008170</v>
      </c>
      <c r="D12" s="24">
        <v>13025460</v>
      </c>
      <c r="E12" s="24">
        <v>1686380</v>
      </c>
      <c r="F12" s="24">
        <v>2826320</v>
      </c>
      <c r="G12" s="24">
        <v>8736790</v>
      </c>
      <c r="H12" s="24">
        <v>4349030</v>
      </c>
      <c r="I12" s="24">
        <v>4175110</v>
      </c>
      <c r="J12" s="24">
        <v>4745480</v>
      </c>
      <c r="K12" s="24">
        <v>7481430</v>
      </c>
      <c r="L12" s="24">
        <v>2836910</v>
      </c>
      <c r="M12" s="24">
        <v>6759870</v>
      </c>
      <c r="N12" s="24">
        <v>9573570</v>
      </c>
      <c r="O12" s="24">
        <v>13035540</v>
      </c>
      <c r="Q12" s="37">
        <f t="shared" si="21"/>
        <v>640</v>
      </c>
      <c r="R12" s="37">
        <f t="shared" si="22"/>
        <v>2100</v>
      </c>
      <c r="S12" s="37">
        <f t="shared" si="16"/>
        <v>3330</v>
      </c>
      <c r="T12" s="37">
        <f t="shared" ref="T12:W14" si="35">IF((F12-F11&lt;0), "0",F12-F11)</f>
        <v>1550</v>
      </c>
      <c r="U12" s="37">
        <f t="shared" si="35"/>
        <v>3190</v>
      </c>
      <c r="V12" s="37">
        <f t="shared" si="35"/>
        <v>2210</v>
      </c>
      <c r="W12" s="37">
        <f t="shared" si="35"/>
        <v>2380</v>
      </c>
      <c r="X12" s="37">
        <f t="shared" si="27"/>
        <v>1420</v>
      </c>
      <c r="Y12" s="37">
        <f t="shared" si="28"/>
        <v>2200</v>
      </c>
      <c r="Z12" s="37">
        <f>IF((L12-L11&lt;0), "0",L12-L11)</f>
        <v>2550</v>
      </c>
      <c r="AA12" s="37">
        <f t="shared" si="30"/>
        <v>1500</v>
      </c>
      <c r="AB12" s="37">
        <f t="shared" si="31"/>
        <v>4080</v>
      </c>
      <c r="AC12" s="37">
        <f t="shared" si="32"/>
        <v>3010</v>
      </c>
      <c r="AD12" s="35">
        <f t="shared" si="33"/>
        <v>30160</v>
      </c>
      <c r="AF12" s="20">
        <f t="shared" si="1"/>
        <v>3.2</v>
      </c>
      <c r="AG12" s="20">
        <f t="shared" si="2"/>
        <v>10.5</v>
      </c>
      <c r="AH12" s="20">
        <f t="shared" si="3"/>
        <v>16.649999999999999</v>
      </c>
      <c r="AI12" s="20">
        <f t="shared" si="4"/>
        <v>7.75</v>
      </c>
      <c r="AJ12" s="20">
        <f t="shared" si="5"/>
        <v>15.950000000000001</v>
      </c>
      <c r="AK12" s="20">
        <f t="shared" si="6"/>
        <v>11.05</v>
      </c>
      <c r="AL12" s="20">
        <f t="shared" si="7"/>
        <v>11.9</v>
      </c>
      <c r="AM12" s="20">
        <f t="shared" si="8"/>
        <v>7.1000000000000005</v>
      </c>
      <c r="AN12" s="20">
        <f t="shared" si="9"/>
        <v>11</v>
      </c>
      <c r="AO12" s="20">
        <f t="shared" si="10"/>
        <v>12.75</v>
      </c>
      <c r="AP12" s="20">
        <f t="shared" si="11"/>
        <v>7.5</v>
      </c>
      <c r="AQ12" s="20">
        <f t="shared" si="12"/>
        <v>20.400000000000002</v>
      </c>
      <c r="AR12" s="20">
        <f t="shared" si="13"/>
        <v>15.05</v>
      </c>
      <c r="AS12" s="35">
        <f t="shared" si="34"/>
        <v>150.80000000000001</v>
      </c>
      <c r="AT12" s="49"/>
      <c r="AV12" s="53">
        <v>0</v>
      </c>
      <c r="AW12" s="52">
        <f t="shared" si="14"/>
        <v>0</v>
      </c>
      <c r="AX12" s="54">
        <f t="shared" si="17"/>
        <v>0</v>
      </c>
      <c r="AY12" s="74">
        <v>911888</v>
      </c>
      <c r="AZ12" s="37">
        <f t="shared" si="18"/>
        <v>96100</v>
      </c>
      <c r="BA12" s="37">
        <f t="shared" si="19"/>
        <v>262.35300000000001</v>
      </c>
      <c r="BB12" s="47">
        <f t="shared" si="20"/>
        <v>116.58967320000001</v>
      </c>
    </row>
    <row r="13" spans="1:54" x14ac:dyDescent="0.25">
      <c r="A13" s="23">
        <v>43958</v>
      </c>
      <c r="B13" s="40">
        <v>9</v>
      </c>
      <c r="C13" s="24">
        <v>6008670</v>
      </c>
      <c r="D13" s="24">
        <v>13027120</v>
      </c>
      <c r="E13" s="24">
        <v>1688930</v>
      </c>
      <c r="F13" s="24">
        <v>2827530</v>
      </c>
      <c r="G13" s="24">
        <v>8739360</v>
      </c>
      <c r="H13" s="24">
        <v>4350820</v>
      </c>
      <c r="I13" s="24">
        <v>4177500</v>
      </c>
      <c r="J13" s="24">
        <v>4746600</v>
      </c>
      <c r="K13" s="24">
        <v>7483150</v>
      </c>
      <c r="L13" s="24">
        <v>2838980</v>
      </c>
      <c r="M13" s="24">
        <v>6761100</v>
      </c>
      <c r="N13" s="24">
        <v>9576730</v>
      </c>
      <c r="O13" s="24">
        <v>13038050</v>
      </c>
      <c r="Q13" s="37">
        <f t="shared" si="21"/>
        <v>500</v>
      </c>
      <c r="R13" s="37">
        <f t="shared" si="22"/>
        <v>1660</v>
      </c>
      <c r="S13" s="37">
        <f t="shared" si="16"/>
        <v>2550</v>
      </c>
      <c r="T13" s="37">
        <f t="shared" si="35"/>
        <v>1210</v>
      </c>
      <c r="U13" s="37">
        <f t="shared" si="35"/>
        <v>2570</v>
      </c>
      <c r="V13" s="37">
        <f t="shared" si="35"/>
        <v>1790</v>
      </c>
      <c r="W13" s="37">
        <f t="shared" si="35"/>
        <v>2390</v>
      </c>
      <c r="X13" s="37">
        <f t="shared" si="27"/>
        <v>1120</v>
      </c>
      <c r="Y13" s="37">
        <f t="shared" si="28"/>
        <v>1720</v>
      </c>
      <c r="Z13" s="37">
        <f>IF((L13-L12&lt;0), "0",L13-L12)</f>
        <v>2070</v>
      </c>
      <c r="AA13" s="37">
        <f t="shared" si="30"/>
        <v>1230</v>
      </c>
      <c r="AB13" s="37">
        <f t="shared" si="31"/>
        <v>3160</v>
      </c>
      <c r="AC13" s="37">
        <f t="shared" si="32"/>
        <v>2510</v>
      </c>
      <c r="AD13" s="35">
        <f t="shared" si="33"/>
        <v>24480</v>
      </c>
      <c r="AF13" s="20">
        <f t="shared" si="1"/>
        <v>2.5</v>
      </c>
      <c r="AG13" s="20">
        <f t="shared" si="2"/>
        <v>8.3000000000000007</v>
      </c>
      <c r="AH13" s="20">
        <f t="shared" si="3"/>
        <v>12.75</v>
      </c>
      <c r="AI13" s="20">
        <f t="shared" si="4"/>
        <v>6.05</v>
      </c>
      <c r="AJ13" s="20">
        <f t="shared" si="5"/>
        <v>12.85</v>
      </c>
      <c r="AK13" s="20">
        <f t="shared" si="6"/>
        <v>8.9500000000000011</v>
      </c>
      <c r="AL13" s="20">
        <f t="shared" si="7"/>
        <v>11.950000000000001</v>
      </c>
      <c r="AM13" s="20">
        <f t="shared" si="8"/>
        <v>5.6000000000000005</v>
      </c>
      <c r="AN13" s="20">
        <f t="shared" si="9"/>
        <v>8.6</v>
      </c>
      <c r="AO13" s="20">
        <f t="shared" si="10"/>
        <v>10.35</v>
      </c>
      <c r="AP13" s="20">
        <f t="shared" si="11"/>
        <v>6.15</v>
      </c>
      <c r="AQ13" s="20">
        <f t="shared" si="12"/>
        <v>15.8</v>
      </c>
      <c r="AR13" s="20">
        <f t="shared" si="13"/>
        <v>12.55</v>
      </c>
      <c r="AS13" s="35">
        <f t="shared" si="34"/>
        <v>122.39999999999999</v>
      </c>
      <c r="AT13" s="49"/>
      <c r="AV13" s="53">
        <v>0</v>
      </c>
      <c r="AW13" s="52">
        <f t="shared" si="14"/>
        <v>0</v>
      </c>
      <c r="AX13" s="54">
        <f t="shared" si="17"/>
        <v>0</v>
      </c>
      <c r="AY13" s="74">
        <v>912997</v>
      </c>
      <c r="AZ13" s="37">
        <f t="shared" si="18"/>
        <v>110900</v>
      </c>
      <c r="BA13" s="37">
        <f t="shared" si="19"/>
        <v>302.75700000000001</v>
      </c>
      <c r="BB13" s="47">
        <f t="shared" si="20"/>
        <v>134.54521080000001</v>
      </c>
    </row>
    <row r="14" spans="1:54" x14ac:dyDescent="0.25">
      <c r="A14" s="23">
        <v>43959</v>
      </c>
      <c r="B14" s="40">
        <v>9</v>
      </c>
      <c r="C14" s="24">
        <v>6009220</v>
      </c>
      <c r="D14" s="24">
        <v>13028920</v>
      </c>
      <c r="E14" s="24">
        <v>1691700</v>
      </c>
      <c r="F14" s="24">
        <v>2828850</v>
      </c>
      <c r="G14" s="24">
        <v>8742010</v>
      </c>
      <c r="H14" s="24">
        <v>4352730</v>
      </c>
      <c r="I14" s="24">
        <v>4178900</v>
      </c>
      <c r="J14" s="24">
        <v>4747850</v>
      </c>
      <c r="K14" s="24">
        <v>7484990</v>
      </c>
      <c r="L14" s="24">
        <v>2841140</v>
      </c>
      <c r="M14" s="24">
        <v>6762520</v>
      </c>
      <c r="N14" s="24">
        <v>9580170</v>
      </c>
      <c r="O14" s="24">
        <v>13040740</v>
      </c>
      <c r="P14" s="46"/>
      <c r="Q14" s="37">
        <f t="shared" si="21"/>
        <v>550</v>
      </c>
      <c r="R14" s="37">
        <f t="shared" si="22"/>
        <v>1800</v>
      </c>
      <c r="S14" s="37">
        <f t="shared" si="16"/>
        <v>2770</v>
      </c>
      <c r="T14" s="37">
        <f t="shared" si="35"/>
        <v>1320</v>
      </c>
      <c r="U14" s="37">
        <f t="shared" si="35"/>
        <v>2650</v>
      </c>
      <c r="V14" s="37">
        <f t="shared" si="35"/>
        <v>1910</v>
      </c>
      <c r="W14" s="37">
        <f t="shared" si="35"/>
        <v>1400</v>
      </c>
      <c r="X14" s="37">
        <f t="shared" si="27"/>
        <v>1250</v>
      </c>
      <c r="Y14" s="37">
        <f t="shared" si="28"/>
        <v>1840</v>
      </c>
      <c r="Z14" s="37">
        <f>IF((L14-L13&lt;0), "0",L14-L13)</f>
        <v>2160</v>
      </c>
      <c r="AA14" s="37">
        <f t="shared" si="30"/>
        <v>1420</v>
      </c>
      <c r="AB14" s="37">
        <f t="shared" si="31"/>
        <v>3440</v>
      </c>
      <c r="AC14" s="37">
        <f t="shared" si="32"/>
        <v>2690</v>
      </c>
      <c r="AD14" s="35">
        <f t="shared" si="33"/>
        <v>25200</v>
      </c>
      <c r="AF14" s="20">
        <f t="shared" si="1"/>
        <v>2.75</v>
      </c>
      <c r="AG14" s="20">
        <f t="shared" si="2"/>
        <v>9</v>
      </c>
      <c r="AH14" s="20">
        <f t="shared" si="3"/>
        <v>13.85</v>
      </c>
      <c r="AI14" s="20">
        <f t="shared" si="4"/>
        <v>6.6000000000000005</v>
      </c>
      <c r="AJ14" s="20">
        <f t="shared" si="5"/>
        <v>13.25</v>
      </c>
      <c r="AK14" s="20">
        <f t="shared" si="6"/>
        <v>9.5500000000000007</v>
      </c>
      <c r="AL14" s="20">
        <f t="shared" si="7"/>
        <v>7</v>
      </c>
      <c r="AM14" s="20">
        <f t="shared" si="8"/>
        <v>6.25</v>
      </c>
      <c r="AN14" s="20">
        <f t="shared" si="9"/>
        <v>9.2000000000000011</v>
      </c>
      <c r="AO14" s="20">
        <f t="shared" si="10"/>
        <v>10.8</v>
      </c>
      <c r="AP14" s="20">
        <f t="shared" si="11"/>
        <v>7.1000000000000005</v>
      </c>
      <c r="AQ14" s="20">
        <f t="shared" si="12"/>
        <v>17.2</v>
      </c>
      <c r="AR14" s="20">
        <f t="shared" si="13"/>
        <v>13.450000000000001</v>
      </c>
      <c r="AS14" s="35">
        <f t="shared" si="34"/>
        <v>126</v>
      </c>
      <c r="AT14" s="49"/>
      <c r="AV14" s="53">
        <v>0</v>
      </c>
      <c r="AW14" s="52">
        <f t="shared" si="14"/>
        <v>0</v>
      </c>
      <c r="AX14" s="54">
        <f t="shared" si="17"/>
        <v>0</v>
      </c>
      <c r="AY14" s="74">
        <v>914122</v>
      </c>
      <c r="AZ14" s="37">
        <f t="shared" si="18"/>
        <v>112500</v>
      </c>
      <c r="BA14" s="37">
        <f t="shared" si="19"/>
        <v>307.125</v>
      </c>
      <c r="BB14" s="47">
        <f t="shared" si="20"/>
        <v>136.48635000000002</v>
      </c>
    </row>
    <row r="15" spans="1:54" x14ac:dyDescent="0.25">
      <c r="A15" s="23">
        <v>43960</v>
      </c>
      <c r="B15" s="40">
        <v>9</v>
      </c>
      <c r="C15" s="24">
        <v>6009780</v>
      </c>
      <c r="D15" s="24">
        <v>13030790</v>
      </c>
      <c r="E15" s="24">
        <v>1694610</v>
      </c>
      <c r="F15" s="24">
        <v>2830220</v>
      </c>
      <c r="G15" s="24">
        <v>8744850</v>
      </c>
      <c r="H15" s="24">
        <v>4354710</v>
      </c>
      <c r="I15" s="24">
        <v>4180960</v>
      </c>
      <c r="J15" s="24">
        <v>4749130</v>
      </c>
      <c r="K15" s="24">
        <v>7486860</v>
      </c>
      <c r="L15" s="24">
        <v>2843450</v>
      </c>
      <c r="M15" s="24">
        <v>6764040</v>
      </c>
      <c r="N15" s="24">
        <v>9583780</v>
      </c>
      <c r="O15" s="24">
        <v>13043600</v>
      </c>
      <c r="Q15" s="37">
        <f t="shared" si="21"/>
        <v>560</v>
      </c>
      <c r="R15" s="37">
        <f t="shared" si="22"/>
        <v>1870</v>
      </c>
      <c r="S15" s="37">
        <f t="shared" si="16"/>
        <v>2910</v>
      </c>
      <c r="T15" s="37">
        <f t="shared" si="23"/>
        <v>1370</v>
      </c>
      <c r="U15" s="37">
        <f t="shared" si="24"/>
        <v>2840</v>
      </c>
      <c r="V15" s="37">
        <f t="shared" si="25"/>
        <v>1980</v>
      </c>
      <c r="W15" s="37">
        <f t="shared" si="26"/>
        <v>2060</v>
      </c>
      <c r="X15" s="37">
        <f t="shared" si="27"/>
        <v>1280</v>
      </c>
      <c r="Y15" s="37">
        <f t="shared" si="28"/>
        <v>1870</v>
      </c>
      <c r="Z15" s="37">
        <f t="shared" si="29"/>
        <v>2310</v>
      </c>
      <c r="AA15" s="37">
        <f t="shared" si="30"/>
        <v>1520</v>
      </c>
      <c r="AB15" s="37">
        <f t="shared" si="31"/>
        <v>3610</v>
      </c>
      <c r="AC15" s="37">
        <f t="shared" si="32"/>
        <v>2860</v>
      </c>
      <c r="AD15" s="35">
        <f t="shared" si="33"/>
        <v>27040</v>
      </c>
      <c r="AF15" s="20">
        <f t="shared" si="1"/>
        <v>2.8000000000000003</v>
      </c>
      <c r="AG15" s="20">
        <f t="shared" si="2"/>
        <v>9.35</v>
      </c>
      <c r="AH15" s="20">
        <f t="shared" si="3"/>
        <v>14.55</v>
      </c>
      <c r="AI15" s="20">
        <f t="shared" si="4"/>
        <v>6.8500000000000005</v>
      </c>
      <c r="AJ15" s="20">
        <f t="shared" si="5"/>
        <v>14.200000000000001</v>
      </c>
      <c r="AK15" s="20">
        <f t="shared" si="6"/>
        <v>9.9</v>
      </c>
      <c r="AL15" s="20">
        <f t="shared" si="7"/>
        <v>10.3</v>
      </c>
      <c r="AM15" s="20">
        <f t="shared" si="8"/>
        <v>6.4</v>
      </c>
      <c r="AN15" s="20">
        <f t="shared" si="9"/>
        <v>9.35</v>
      </c>
      <c r="AO15" s="20">
        <f t="shared" si="10"/>
        <v>11.55</v>
      </c>
      <c r="AP15" s="20">
        <f t="shared" si="11"/>
        <v>7.6000000000000005</v>
      </c>
      <c r="AQ15" s="20">
        <f t="shared" si="12"/>
        <v>18.05</v>
      </c>
      <c r="AR15" s="20">
        <f t="shared" si="13"/>
        <v>14.3</v>
      </c>
      <c r="AS15" s="35">
        <f t="shared" si="34"/>
        <v>135.19999999999999</v>
      </c>
      <c r="AT15" s="49"/>
      <c r="AV15" s="53">
        <v>0</v>
      </c>
      <c r="AW15" s="52">
        <f t="shared" si="14"/>
        <v>0</v>
      </c>
      <c r="AX15" s="54">
        <f t="shared" si="17"/>
        <v>0</v>
      </c>
      <c r="AY15" s="74">
        <v>915250</v>
      </c>
      <c r="AZ15" s="37">
        <f t="shared" si="18"/>
        <v>112800</v>
      </c>
      <c r="BA15" s="37">
        <f t="shared" si="19"/>
        <v>307.94400000000002</v>
      </c>
      <c r="BB15" s="47">
        <f t="shared" si="20"/>
        <v>136.85031360000002</v>
      </c>
    </row>
    <row r="16" spans="1:54" x14ac:dyDescent="0.25">
      <c r="A16" s="23">
        <v>43961</v>
      </c>
      <c r="B16" s="40">
        <v>0</v>
      </c>
      <c r="C16" s="24">
        <v>6010360</v>
      </c>
      <c r="D16" s="24">
        <v>13032680</v>
      </c>
      <c r="E16" s="24">
        <v>1697640</v>
      </c>
      <c r="F16" s="24">
        <v>2831610</v>
      </c>
      <c r="G16" s="24">
        <v>8747680</v>
      </c>
      <c r="H16" s="24">
        <v>4356690</v>
      </c>
      <c r="I16" s="24">
        <v>4183040</v>
      </c>
      <c r="J16" s="24">
        <v>4750440</v>
      </c>
      <c r="K16" s="24">
        <v>7488710</v>
      </c>
      <c r="L16" s="24">
        <v>2845790</v>
      </c>
      <c r="M16" s="24">
        <v>6765400</v>
      </c>
      <c r="N16" s="24">
        <v>9587150</v>
      </c>
      <c r="O16" s="24">
        <v>13046300</v>
      </c>
      <c r="Q16" s="37">
        <f t="shared" si="21"/>
        <v>580</v>
      </c>
      <c r="R16" s="37">
        <f t="shared" si="22"/>
        <v>1890</v>
      </c>
      <c r="S16" s="37">
        <f t="shared" si="16"/>
        <v>3030</v>
      </c>
      <c r="T16" s="37">
        <f t="shared" si="23"/>
        <v>1390</v>
      </c>
      <c r="U16" s="37">
        <f>IF((G16-G15&lt;0), "0",G16-G15)</f>
        <v>2830</v>
      </c>
      <c r="V16" s="37">
        <f>IF((H16-H15&lt;0), "0",H16-H15)</f>
        <v>1980</v>
      </c>
      <c r="W16" s="37">
        <f t="shared" si="26"/>
        <v>2080</v>
      </c>
      <c r="X16" s="37">
        <f t="shared" si="27"/>
        <v>1310</v>
      </c>
      <c r="Y16" s="37">
        <f t="shared" si="28"/>
        <v>1850</v>
      </c>
      <c r="Z16" s="37">
        <f t="shared" si="29"/>
        <v>2340</v>
      </c>
      <c r="AA16" s="37">
        <f t="shared" si="30"/>
        <v>1360</v>
      </c>
      <c r="AB16" s="37">
        <f t="shared" si="31"/>
        <v>3370</v>
      </c>
      <c r="AC16" s="37">
        <f t="shared" si="32"/>
        <v>2700</v>
      </c>
      <c r="AD16" s="35">
        <f t="shared" si="33"/>
        <v>26710</v>
      </c>
      <c r="AF16" s="20">
        <f t="shared" si="1"/>
        <v>2.9</v>
      </c>
      <c r="AG16" s="20">
        <f t="shared" si="2"/>
        <v>9.4500000000000011</v>
      </c>
      <c r="AH16" s="20">
        <f t="shared" si="3"/>
        <v>15.15</v>
      </c>
      <c r="AI16" s="20">
        <f t="shared" si="4"/>
        <v>6.95</v>
      </c>
      <c r="AJ16" s="20">
        <f t="shared" si="5"/>
        <v>14.15</v>
      </c>
      <c r="AK16" s="20">
        <f t="shared" si="6"/>
        <v>9.9</v>
      </c>
      <c r="AL16" s="20">
        <f t="shared" si="7"/>
        <v>10.4</v>
      </c>
      <c r="AM16" s="20">
        <f t="shared" si="8"/>
        <v>6.55</v>
      </c>
      <c r="AN16" s="20">
        <f t="shared" si="9"/>
        <v>9.25</v>
      </c>
      <c r="AO16" s="20">
        <f t="shared" si="10"/>
        <v>11.700000000000001</v>
      </c>
      <c r="AP16" s="20">
        <f t="shared" si="11"/>
        <v>6.8</v>
      </c>
      <c r="AQ16" s="20">
        <f t="shared" si="12"/>
        <v>16.850000000000001</v>
      </c>
      <c r="AR16" s="20">
        <f t="shared" si="13"/>
        <v>13.5</v>
      </c>
      <c r="AS16" s="35">
        <f t="shared" si="34"/>
        <v>133.55000000000001</v>
      </c>
      <c r="AT16" s="49"/>
      <c r="AV16" s="53">
        <v>0</v>
      </c>
      <c r="AW16" s="52">
        <f t="shared" si="14"/>
        <v>0</v>
      </c>
      <c r="AX16" s="54">
        <f t="shared" si="17"/>
        <v>0</v>
      </c>
      <c r="AY16" s="74">
        <v>916742</v>
      </c>
      <c r="AZ16" s="37">
        <f t="shared" si="18"/>
        <v>149200</v>
      </c>
      <c r="BA16" s="37">
        <f t="shared" si="19"/>
        <v>407.31599999999997</v>
      </c>
      <c r="BB16" s="47">
        <f t="shared" si="20"/>
        <v>181.01123039999999</v>
      </c>
    </row>
    <row r="17" spans="1:54" x14ac:dyDescent="0.25">
      <c r="A17" s="23">
        <v>43962</v>
      </c>
      <c r="B17" s="40">
        <v>0</v>
      </c>
      <c r="C17" s="24">
        <v>6010920</v>
      </c>
      <c r="D17" s="24">
        <v>13034560</v>
      </c>
      <c r="E17" s="24">
        <v>1700550</v>
      </c>
      <c r="F17" s="24">
        <v>2832990</v>
      </c>
      <c r="G17" s="24">
        <v>8750200</v>
      </c>
      <c r="H17" s="24">
        <v>4358610</v>
      </c>
      <c r="I17" s="24">
        <v>4185020</v>
      </c>
      <c r="J17" s="24">
        <v>4751710</v>
      </c>
      <c r="K17" s="24">
        <v>7490340</v>
      </c>
      <c r="L17" s="24">
        <v>2848030</v>
      </c>
      <c r="M17" s="24">
        <v>6766650</v>
      </c>
      <c r="N17" s="24">
        <v>9590050</v>
      </c>
      <c r="O17" s="24">
        <v>13048780</v>
      </c>
      <c r="Q17" s="37">
        <f t="shared" si="21"/>
        <v>560</v>
      </c>
      <c r="R17" s="37">
        <f t="shared" si="22"/>
        <v>1880</v>
      </c>
      <c r="S17" s="37">
        <f t="shared" si="16"/>
        <v>2910</v>
      </c>
      <c r="T17" s="37">
        <f t="shared" si="23"/>
        <v>1380</v>
      </c>
      <c r="U17" s="37">
        <f>IF((G17-G16&lt;0), "0",G17-G16)</f>
        <v>2520</v>
      </c>
      <c r="V17" s="37">
        <f>IF((H17-H16&lt;0), "0",H17-H16)</f>
        <v>1920</v>
      </c>
      <c r="W17" s="37">
        <f t="shared" si="26"/>
        <v>1980</v>
      </c>
      <c r="X17" s="37">
        <f t="shared" si="27"/>
        <v>1270</v>
      </c>
      <c r="Y17" s="37">
        <f t="shared" si="28"/>
        <v>1630</v>
      </c>
      <c r="Z17" s="37">
        <f t="shared" si="29"/>
        <v>2240</v>
      </c>
      <c r="AA17" s="37">
        <f t="shared" si="30"/>
        <v>1250</v>
      </c>
      <c r="AB17" s="37">
        <f t="shared" si="31"/>
        <v>2900</v>
      </c>
      <c r="AC17" s="37">
        <f t="shared" si="32"/>
        <v>2480</v>
      </c>
      <c r="AD17" s="35">
        <f t="shared" si="33"/>
        <v>24920</v>
      </c>
      <c r="AF17" s="20">
        <f t="shared" si="1"/>
        <v>2.8000000000000003</v>
      </c>
      <c r="AG17" s="20">
        <f t="shared" si="2"/>
        <v>9.4</v>
      </c>
      <c r="AH17" s="20">
        <f t="shared" si="3"/>
        <v>14.55</v>
      </c>
      <c r="AI17" s="20">
        <f t="shared" si="4"/>
        <v>6.9</v>
      </c>
      <c r="AJ17" s="20">
        <f t="shared" si="5"/>
        <v>12.6</v>
      </c>
      <c r="AK17" s="20">
        <f t="shared" si="6"/>
        <v>9.6</v>
      </c>
      <c r="AL17" s="20">
        <f t="shared" si="7"/>
        <v>9.9</v>
      </c>
      <c r="AM17" s="20">
        <f t="shared" si="8"/>
        <v>6.3500000000000005</v>
      </c>
      <c r="AN17" s="20">
        <f t="shared" si="9"/>
        <v>8.15</v>
      </c>
      <c r="AO17" s="20">
        <f t="shared" si="10"/>
        <v>11.200000000000001</v>
      </c>
      <c r="AP17" s="20">
        <f t="shared" si="11"/>
        <v>6.25</v>
      </c>
      <c r="AQ17" s="20">
        <f t="shared" si="12"/>
        <v>14.5</v>
      </c>
      <c r="AR17" s="20">
        <f t="shared" si="13"/>
        <v>12.4</v>
      </c>
      <c r="AS17" s="35">
        <f t="shared" si="34"/>
        <v>124.60000000000001</v>
      </c>
      <c r="AT17" s="49"/>
      <c r="AV17" s="53">
        <v>0</v>
      </c>
      <c r="AW17" s="52">
        <f t="shared" si="14"/>
        <v>0</v>
      </c>
      <c r="AX17" s="54">
        <f t="shared" si="17"/>
        <v>0</v>
      </c>
      <c r="AY17" s="74">
        <v>917897</v>
      </c>
      <c r="AZ17" s="37">
        <f t="shared" si="18"/>
        <v>115500</v>
      </c>
      <c r="BA17" s="37">
        <f t="shared" si="19"/>
        <v>315.315</v>
      </c>
      <c r="BB17" s="47">
        <f t="shared" si="20"/>
        <v>140.12598600000001</v>
      </c>
    </row>
    <row r="18" spans="1:54" x14ac:dyDescent="0.25">
      <c r="A18" s="23">
        <v>43963</v>
      </c>
      <c r="B18" s="40">
        <v>10</v>
      </c>
      <c r="C18" s="24">
        <v>6011490</v>
      </c>
      <c r="D18" s="24">
        <v>13036430</v>
      </c>
      <c r="E18" s="24">
        <v>1703430</v>
      </c>
      <c r="F18" s="24">
        <v>2834370</v>
      </c>
      <c r="G18" s="24">
        <v>8752700</v>
      </c>
      <c r="H18" s="24">
        <v>4360490</v>
      </c>
      <c r="I18" s="24">
        <v>4186930</v>
      </c>
      <c r="J18" s="24">
        <v>4752870</v>
      </c>
      <c r="K18" s="24">
        <v>7491940</v>
      </c>
      <c r="L18" s="24">
        <v>2850350</v>
      </c>
      <c r="M18" s="24">
        <v>6767720</v>
      </c>
      <c r="N18" s="24">
        <v>9592680</v>
      </c>
      <c r="O18" s="24">
        <v>13051240</v>
      </c>
      <c r="Q18" s="37">
        <f t="shared" si="21"/>
        <v>570</v>
      </c>
      <c r="R18" s="37">
        <f t="shared" si="22"/>
        <v>1870</v>
      </c>
      <c r="S18" s="37">
        <f t="shared" si="16"/>
        <v>2880</v>
      </c>
      <c r="T18" s="37">
        <f t="shared" si="23"/>
        <v>1380</v>
      </c>
      <c r="U18" s="37">
        <f t="shared" si="24"/>
        <v>2500</v>
      </c>
      <c r="V18" s="37">
        <f t="shared" si="25"/>
        <v>1880</v>
      </c>
      <c r="W18" s="37">
        <f t="shared" si="26"/>
        <v>1910</v>
      </c>
      <c r="X18" s="37">
        <f t="shared" si="27"/>
        <v>1160</v>
      </c>
      <c r="Y18" s="37">
        <f t="shared" si="28"/>
        <v>1600</v>
      </c>
      <c r="Z18" s="37">
        <f t="shared" si="29"/>
        <v>2320</v>
      </c>
      <c r="AA18" s="37">
        <f t="shared" si="30"/>
        <v>1070</v>
      </c>
      <c r="AB18" s="37">
        <f t="shared" si="31"/>
        <v>2630</v>
      </c>
      <c r="AC18" s="37">
        <f t="shared" si="32"/>
        <v>2460</v>
      </c>
      <c r="AD18" s="35">
        <f t="shared" si="33"/>
        <v>24230</v>
      </c>
      <c r="AF18" s="20">
        <f t="shared" si="1"/>
        <v>2.85</v>
      </c>
      <c r="AG18" s="20">
        <f t="shared" si="2"/>
        <v>9.35</v>
      </c>
      <c r="AH18" s="20">
        <f t="shared" si="3"/>
        <v>14.4</v>
      </c>
      <c r="AI18" s="20">
        <f t="shared" si="4"/>
        <v>6.9</v>
      </c>
      <c r="AJ18" s="20">
        <f t="shared" si="5"/>
        <v>12.5</v>
      </c>
      <c r="AK18" s="20">
        <f t="shared" si="6"/>
        <v>9.4</v>
      </c>
      <c r="AL18" s="20">
        <f t="shared" si="7"/>
        <v>9.5500000000000007</v>
      </c>
      <c r="AM18" s="20">
        <f t="shared" si="8"/>
        <v>5.8</v>
      </c>
      <c r="AN18" s="20">
        <f t="shared" si="9"/>
        <v>8</v>
      </c>
      <c r="AO18" s="20">
        <f t="shared" si="10"/>
        <v>11.6</v>
      </c>
      <c r="AP18" s="20">
        <f t="shared" si="11"/>
        <v>5.3500000000000005</v>
      </c>
      <c r="AQ18" s="20">
        <f t="shared" si="12"/>
        <v>13.15</v>
      </c>
      <c r="AR18" s="20">
        <f t="shared" si="13"/>
        <v>12.3</v>
      </c>
      <c r="AS18" s="35">
        <f t="shared" si="34"/>
        <v>121.14999999999999</v>
      </c>
      <c r="AT18" s="49"/>
      <c r="AV18" s="53">
        <v>0</v>
      </c>
      <c r="AW18" s="52">
        <f t="shared" si="14"/>
        <v>0</v>
      </c>
      <c r="AX18" s="54">
        <f t="shared" si="17"/>
        <v>0</v>
      </c>
      <c r="AY18" s="74">
        <v>919362</v>
      </c>
      <c r="AZ18" s="37">
        <f t="shared" si="18"/>
        <v>146500</v>
      </c>
      <c r="BA18" s="37">
        <f t="shared" si="19"/>
        <v>399.94499999999999</v>
      </c>
      <c r="BB18" s="47">
        <f t="shared" si="20"/>
        <v>177.735558</v>
      </c>
    </row>
    <row r="19" spans="1:54" x14ac:dyDescent="0.25">
      <c r="A19" s="23">
        <v>43964</v>
      </c>
      <c r="B19" s="40">
        <v>10</v>
      </c>
      <c r="C19" s="24">
        <v>6012060</v>
      </c>
      <c r="D19" s="24">
        <v>13038320</v>
      </c>
      <c r="E19" s="24">
        <v>1706340</v>
      </c>
      <c r="F19" s="24">
        <v>2835760</v>
      </c>
      <c r="G19" s="24">
        <v>8755230</v>
      </c>
      <c r="H19" s="24">
        <v>4362450</v>
      </c>
      <c r="I19" s="24">
        <v>4188870</v>
      </c>
      <c r="J19" s="24">
        <v>4754040</v>
      </c>
      <c r="K19" s="24">
        <v>7493550</v>
      </c>
      <c r="L19" s="24">
        <v>2852650</v>
      </c>
      <c r="M19" s="24">
        <v>6769040</v>
      </c>
      <c r="N19" s="24">
        <v>9595350</v>
      </c>
      <c r="O19" s="24">
        <v>13053750</v>
      </c>
      <c r="Q19" s="37">
        <f t="shared" si="21"/>
        <v>570</v>
      </c>
      <c r="R19" s="37">
        <f t="shared" si="22"/>
        <v>1890</v>
      </c>
      <c r="S19" s="37">
        <f t="shared" si="16"/>
        <v>2910</v>
      </c>
      <c r="T19" s="37">
        <f t="shared" si="23"/>
        <v>1390</v>
      </c>
      <c r="U19" s="37">
        <f t="shared" si="24"/>
        <v>2530</v>
      </c>
      <c r="V19" s="37">
        <f t="shared" si="25"/>
        <v>1960</v>
      </c>
      <c r="W19" s="37">
        <f t="shared" si="26"/>
        <v>1940</v>
      </c>
      <c r="X19" s="37">
        <f t="shared" si="27"/>
        <v>1170</v>
      </c>
      <c r="Y19" s="37">
        <f t="shared" si="28"/>
        <v>1610</v>
      </c>
      <c r="Z19" s="37">
        <f t="shared" si="29"/>
        <v>2300</v>
      </c>
      <c r="AA19" s="37">
        <f t="shared" si="30"/>
        <v>1320</v>
      </c>
      <c r="AB19" s="37">
        <f t="shared" si="31"/>
        <v>2670</v>
      </c>
      <c r="AC19" s="37">
        <f t="shared" si="32"/>
        <v>2510</v>
      </c>
      <c r="AD19" s="35">
        <f t="shared" si="33"/>
        <v>24770</v>
      </c>
      <c r="AF19" s="20">
        <f t="shared" si="1"/>
        <v>2.85</v>
      </c>
      <c r="AG19" s="20">
        <f t="shared" si="2"/>
        <v>9.4500000000000011</v>
      </c>
      <c r="AH19" s="20">
        <f t="shared" si="3"/>
        <v>14.55</v>
      </c>
      <c r="AI19" s="20">
        <f t="shared" si="4"/>
        <v>6.95</v>
      </c>
      <c r="AJ19" s="20">
        <f t="shared" si="5"/>
        <v>12.65</v>
      </c>
      <c r="AK19" s="20">
        <f t="shared" si="6"/>
        <v>9.8000000000000007</v>
      </c>
      <c r="AL19" s="20">
        <f t="shared" si="7"/>
        <v>9.7000000000000011</v>
      </c>
      <c r="AM19" s="20">
        <f t="shared" si="8"/>
        <v>5.8500000000000005</v>
      </c>
      <c r="AN19" s="20">
        <f t="shared" si="9"/>
        <v>8.0500000000000007</v>
      </c>
      <c r="AO19" s="20">
        <f t="shared" si="10"/>
        <v>11.5</v>
      </c>
      <c r="AP19" s="20">
        <f t="shared" si="11"/>
        <v>6.6000000000000005</v>
      </c>
      <c r="AQ19" s="20">
        <f t="shared" si="12"/>
        <v>13.35</v>
      </c>
      <c r="AR19" s="20">
        <f t="shared" si="13"/>
        <v>12.55</v>
      </c>
      <c r="AS19" s="35">
        <f t="shared" si="34"/>
        <v>123.84999999999998</v>
      </c>
      <c r="AT19" s="49"/>
      <c r="AV19" s="53">
        <v>0</v>
      </c>
      <c r="AW19" s="52">
        <f t="shared" si="14"/>
        <v>0</v>
      </c>
      <c r="AX19" s="54">
        <f t="shared" si="17"/>
        <v>0</v>
      </c>
      <c r="AY19" s="74">
        <v>921342</v>
      </c>
      <c r="AZ19" s="37">
        <f t="shared" si="18"/>
        <v>198000</v>
      </c>
      <c r="BA19" s="37">
        <f t="shared" si="19"/>
        <v>540.54000000000008</v>
      </c>
      <c r="BB19" s="47">
        <f t="shared" si="20"/>
        <v>240.21597600000004</v>
      </c>
    </row>
    <row r="20" spans="1:54" x14ac:dyDescent="0.25">
      <c r="A20" s="23">
        <v>43965</v>
      </c>
      <c r="B20" s="40">
        <v>10</v>
      </c>
      <c r="C20" s="24">
        <v>6012630</v>
      </c>
      <c r="D20" s="24">
        <v>13040200</v>
      </c>
      <c r="E20" s="24">
        <v>1709290</v>
      </c>
      <c r="F20" s="24">
        <v>2837140</v>
      </c>
      <c r="G20" s="24">
        <v>8757720</v>
      </c>
      <c r="H20" s="24">
        <v>4364280</v>
      </c>
      <c r="I20" s="24">
        <v>4190770</v>
      </c>
      <c r="J20" s="24">
        <v>4755410</v>
      </c>
      <c r="K20" s="24">
        <v>7495160</v>
      </c>
      <c r="L20" s="24">
        <v>2854950</v>
      </c>
      <c r="M20" s="24">
        <v>6770470</v>
      </c>
      <c r="N20" s="24">
        <v>9597990</v>
      </c>
      <c r="O20" s="24">
        <v>13056340</v>
      </c>
      <c r="Q20" s="37">
        <f t="shared" si="21"/>
        <v>570</v>
      </c>
      <c r="R20" s="37">
        <f t="shared" si="22"/>
        <v>1880</v>
      </c>
      <c r="S20" s="37">
        <f t="shared" si="16"/>
        <v>2950</v>
      </c>
      <c r="T20" s="37">
        <f t="shared" si="23"/>
        <v>1380</v>
      </c>
      <c r="U20" s="37">
        <f t="shared" si="24"/>
        <v>2490</v>
      </c>
      <c r="V20" s="37">
        <f t="shared" si="25"/>
        <v>1830</v>
      </c>
      <c r="W20" s="37">
        <f t="shared" si="26"/>
        <v>1900</v>
      </c>
      <c r="X20" s="37">
        <f t="shared" si="27"/>
        <v>1370</v>
      </c>
      <c r="Y20" s="37">
        <f t="shared" si="28"/>
        <v>1610</v>
      </c>
      <c r="Z20" s="37">
        <f t="shared" si="29"/>
        <v>2300</v>
      </c>
      <c r="AA20" s="37">
        <f t="shared" si="30"/>
        <v>1430</v>
      </c>
      <c r="AB20" s="37">
        <f t="shared" si="31"/>
        <v>2640</v>
      </c>
      <c r="AC20" s="37">
        <f t="shared" si="32"/>
        <v>2590</v>
      </c>
      <c r="AD20" s="35">
        <f t="shared" si="33"/>
        <v>24940</v>
      </c>
      <c r="AF20" s="20">
        <f t="shared" si="1"/>
        <v>2.85</v>
      </c>
      <c r="AG20" s="20">
        <f t="shared" si="2"/>
        <v>9.4</v>
      </c>
      <c r="AH20" s="20">
        <f t="shared" si="3"/>
        <v>14.75</v>
      </c>
      <c r="AI20" s="20">
        <f t="shared" si="4"/>
        <v>6.9</v>
      </c>
      <c r="AJ20" s="20">
        <f t="shared" si="5"/>
        <v>12.450000000000001</v>
      </c>
      <c r="AK20" s="20">
        <f t="shared" si="6"/>
        <v>9.15</v>
      </c>
      <c r="AL20" s="20">
        <f t="shared" si="7"/>
        <v>9.5</v>
      </c>
      <c r="AM20" s="20">
        <f t="shared" si="8"/>
        <v>6.8500000000000005</v>
      </c>
      <c r="AN20" s="20">
        <f t="shared" si="9"/>
        <v>8.0500000000000007</v>
      </c>
      <c r="AO20" s="20">
        <f t="shared" si="10"/>
        <v>11.5</v>
      </c>
      <c r="AP20" s="20">
        <f t="shared" si="11"/>
        <v>7.15</v>
      </c>
      <c r="AQ20" s="20">
        <f t="shared" si="12"/>
        <v>13.200000000000001</v>
      </c>
      <c r="AR20" s="20">
        <f t="shared" si="13"/>
        <v>12.950000000000001</v>
      </c>
      <c r="AS20" s="35">
        <f t="shared" si="34"/>
        <v>124.7</v>
      </c>
      <c r="AT20" s="49"/>
      <c r="AV20" s="53">
        <v>0</v>
      </c>
      <c r="AW20" s="52">
        <f t="shared" si="14"/>
        <v>0</v>
      </c>
      <c r="AX20" s="54">
        <f t="shared" si="17"/>
        <v>0</v>
      </c>
      <c r="AY20" s="74">
        <v>922332</v>
      </c>
      <c r="AZ20" s="37">
        <f t="shared" si="18"/>
        <v>99000</v>
      </c>
      <c r="BA20" s="37">
        <f t="shared" si="19"/>
        <v>270.27000000000004</v>
      </c>
      <c r="BB20" s="47">
        <f t="shared" si="20"/>
        <v>120.10798800000002</v>
      </c>
    </row>
    <row r="21" spans="1:54" x14ac:dyDescent="0.25">
      <c r="A21" s="23">
        <v>43966</v>
      </c>
      <c r="B21" s="40">
        <v>10</v>
      </c>
      <c r="C21" s="24">
        <v>6013350</v>
      </c>
      <c r="D21" s="24">
        <v>13042560</v>
      </c>
      <c r="E21" s="24">
        <v>1713000</v>
      </c>
      <c r="F21" s="24">
        <v>2838870</v>
      </c>
      <c r="G21" s="24">
        <v>8760510</v>
      </c>
      <c r="H21" s="24">
        <v>4366680</v>
      </c>
      <c r="I21" s="24">
        <v>4193150</v>
      </c>
      <c r="J21" s="24">
        <v>4757110</v>
      </c>
      <c r="K21" s="24">
        <v>7497160</v>
      </c>
      <c r="L21" s="24">
        <v>2857810</v>
      </c>
      <c r="M21" s="24">
        <v>6771870</v>
      </c>
      <c r="N21" s="24">
        <v>9601320</v>
      </c>
      <c r="O21" s="24">
        <v>13060140</v>
      </c>
      <c r="Q21" s="37">
        <f t="shared" si="21"/>
        <v>720</v>
      </c>
      <c r="R21" s="37">
        <f t="shared" si="22"/>
        <v>2360</v>
      </c>
      <c r="S21" s="37">
        <f t="shared" si="16"/>
        <v>3710</v>
      </c>
      <c r="T21" s="37">
        <f t="shared" si="23"/>
        <v>1730</v>
      </c>
      <c r="U21" s="37">
        <f t="shared" si="24"/>
        <v>2790</v>
      </c>
      <c r="V21" s="37">
        <f t="shared" si="25"/>
        <v>2400</v>
      </c>
      <c r="W21" s="37">
        <f t="shared" si="26"/>
        <v>2380</v>
      </c>
      <c r="X21" s="37">
        <f t="shared" si="27"/>
        <v>1700</v>
      </c>
      <c r="Y21" s="37">
        <f t="shared" si="28"/>
        <v>2000</v>
      </c>
      <c r="Z21" s="37">
        <f t="shared" si="29"/>
        <v>2860</v>
      </c>
      <c r="AA21" s="37">
        <f t="shared" si="30"/>
        <v>1400</v>
      </c>
      <c r="AB21" s="37">
        <f t="shared" si="31"/>
        <v>3330</v>
      </c>
      <c r="AC21" s="37">
        <f t="shared" si="32"/>
        <v>3800</v>
      </c>
      <c r="AD21" s="35">
        <f t="shared" si="33"/>
        <v>31180</v>
      </c>
      <c r="AF21" s="20">
        <f t="shared" si="1"/>
        <v>3.6</v>
      </c>
      <c r="AG21" s="20">
        <f t="shared" si="2"/>
        <v>11.8</v>
      </c>
      <c r="AH21" s="20">
        <f t="shared" si="3"/>
        <v>18.55</v>
      </c>
      <c r="AI21" s="20">
        <f t="shared" si="4"/>
        <v>8.65</v>
      </c>
      <c r="AJ21" s="20">
        <f t="shared" si="5"/>
        <v>13.950000000000001</v>
      </c>
      <c r="AK21" s="20">
        <f t="shared" si="6"/>
        <v>12</v>
      </c>
      <c r="AL21" s="20">
        <f t="shared" si="7"/>
        <v>11.9</v>
      </c>
      <c r="AM21" s="20">
        <f t="shared" si="8"/>
        <v>8.5</v>
      </c>
      <c r="AN21" s="20">
        <f t="shared" si="9"/>
        <v>10</v>
      </c>
      <c r="AO21" s="20">
        <f t="shared" si="10"/>
        <v>14.3</v>
      </c>
      <c r="AP21" s="20">
        <f t="shared" si="11"/>
        <v>7</v>
      </c>
      <c r="AQ21" s="20">
        <f t="shared" si="12"/>
        <v>16.649999999999999</v>
      </c>
      <c r="AR21" s="20">
        <f t="shared" si="13"/>
        <v>19</v>
      </c>
      <c r="AS21" s="35">
        <f t="shared" si="34"/>
        <v>155.9</v>
      </c>
      <c r="AT21" s="49"/>
      <c r="AV21" s="53">
        <v>0</v>
      </c>
      <c r="AW21" s="52">
        <f t="shared" si="14"/>
        <v>0</v>
      </c>
      <c r="AX21" s="54">
        <f t="shared" si="17"/>
        <v>0</v>
      </c>
      <c r="AY21" s="74">
        <v>923333</v>
      </c>
      <c r="AZ21" s="37">
        <f t="shared" si="18"/>
        <v>100100</v>
      </c>
      <c r="BA21" s="37">
        <f t="shared" si="19"/>
        <v>273.27300000000002</v>
      </c>
      <c r="BB21" s="47">
        <f t="shared" si="20"/>
        <v>121.44252120000002</v>
      </c>
    </row>
    <row r="22" spans="1:54" x14ac:dyDescent="0.25">
      <c r="A22" s="23">
        <v>43967</v>
      </c>
      <c r="B22" s="40">
        <v>10</v>
      </c>
      <c r="C22" s="24">
        <v>6013850</v>
      </c>
      <c r="D22" s="24">
        <v>13044200</v>
      </c>
      <c r="E22" s="24">
        <v>1715700</v>
      </c>
      <c r="F22" s="24">
        <v>2840080</v>
      </c>
      <c r="G22" s="24">
        <v>8762550</v>
      </c>
      <c r="H22" s="24">
        <v>4368290</v>
      </c>
      <c r="I22" s="24">
        <v>4194820</v>
      </c>
      <c r="J22" s="71">
        <v>4758150</v>
      </c>
      <c r="K22" s="24">
        <v>7498580</v>
      </c>
      <c r="L22" s="24">
        <v>2859890</v>
      </c>
      <c r="M22" s="24">
        <v>6772760</v>
      </c>
      <c r="N22" s="24">
        <v>9603750</v>
      </c>
      <c r="O22" s="71">
        <v>13063130</v>
      </c>
      <c r="Q22" s="37">
        <f t="shared" si="21"/>
        <v>500</v>
      </c>
      <c r="R22" s="37">
        <f t="shared" si="22"/>
        <v>1640</v>
      </c>
      <c r="S22" s="37">
        <f t="shared" si="16"/>
        <v>2700</v>
      </c>
      <c r="T22" s="37">
        <f t="shared" si="23"/>
        <v>1210</v>
      </c>
      <c r="U22" s="37">
        <f t="shared" si="24"/>
        <v>2040</v>
      </c>
      <c r="V22" s="37">
        <f t="shared" si="25"/>
        <v>1610</v>
      </c>
      <c r="W22" s="37">
        <f t="shared" si="26"/>
        <v>1670</v>
      </c>
      <c r="X22" s="37">
        <f t="shared" si="27"/>
        <v>1040</v>
      </c>
      <c r="Y22" s="37">
        <f t="shared" si="28"/>
        <v>1420</v>
      </c>
      <c r="Z22" s="37">
        <f t="shared" si="29"/>
        <v>2080</v>
      </c>
      <c r="AA22" s="37">
        <f t="shared" si="30"/>
        <v>890</v>
      </c>
      <c r="AB22" s="37">
        <f t="shared" si="31"/>
        <v>2430</v>
      </c>
      <c r="AC22" s="37">
        <f t="shared" si="32"/>
        <v>2990</v>
      </c>
      <c r="AD22" s="35">
        <f t="shared" si="33"/>
        <v>22220</v>
      </c>
      <c r="AF22" s="20">
        <f t="shared" si="1"/>
        <v>2.5</v>
      </c>
      <c r="AG22" s="20">
        <f t="shared" si="2"/>
        <v>8.1999999999999993</v>
      </c>
      <c r="AH22" s="20">
        <f t="shared" si="3"/>
        <v>13.5</v>
      </c>
      <c r="AI22" s="20">
        <f t="shared" si="4"/>
        <v>6.05</v>
      </c>
      <c r="AJ22" s="20">
        <f t="shared" si="5"/>
        <v>10.200000000000001</v>
      </c>
      <c r="AK22" s="20">
        <f t="shared" si="6"/>
        <v>8.0500000000000007</v>
      </c>
      <c r="AL22" s="20">
        <f t="shared" si="7"/>
        <v>8.35</v>
      </c>
      <c r="AM22" s="20">
        <f t="shared" si="8"/>
        <v>5.2</v>
      </c>
      <c r="AN22" s="20">
        <f t="shared" si="9"/>
        <v>7.1000000000000005</v>
      </c>
      <c r="AO22" s="20">
        <f t="shared" si="10"/>
        <v>10.4</v>
      </c>
      <c r="AP22" s="20">
        <f t="shared" si="11"/>
        <v>4.45</v>
      </c>
      <c r="AQ22" s="20">
        <f t="shared" si="12"/>
        <v>12.15</v>
      </c>
      <c r="AR22" s="20">
        <f t="shared" si="13"/>
        <v>14.950000000000001</v>
      </c>
      <c r="AS22" s="35">
        <f t="shared" si="34"/>
        <v>111.10000000000002</v>
      </c>
      <c r="AT22" s="49"/>
      <c r="AV22" s="53">
        <v>0</v>
      </c>
      <c r="AW22" s="52">
        <f t="shared" si="14"/>
        <v>0</v>
      </c>
      <c r="AX22" s="54">
        <f t="shared" si="17"/>
        <v>0</v>
      </c>
      <c r="AY22" s="74">
        <v>924091</v>
      </c>
      <c r="AZ22" s="37">
        <f t="shared" si="18"/>
        <v>75800</v>
      </c>
      <c r="BA22" s="37">
        <f t="shared" si="19"/>
        <v>206.93400000000003</v>
      </c>
      <c r="BB22" s="47">
        <f t="shared" si="20"/>
        <v>91.961469600000015</v>
      </c>
    </row>
    <row r="23" spans="1:54" x14ac:dyDescent="0.25">
      <c r="A23" s="23">
        <v>43968</v>
      </c>
      <c r="B23" s="40">
        <v>10</v>
      </c>
      <c r="C23" s="24">
        <v>6014510</v>
      </c>
      <c r="D23" s="24">
        <v>13046360</v>
      </c>
      <c r="E23" s="24">
        <v>1719130</v>
      </c>
      <c r="F23" s="24">
        <v>2841660</v>
      </c>
      <c r="G23" s="24">
        <v>8765080</v>
      </c>
      <c r="H23" s="24">
        <v>4370360</v>
      </c>
      <c r="I23" s="24">
        <v>4197010</v>
      </c>
      <c r="J23" s="24">
        <v>4759470</v>
      </c>
      <c r="K23" s="24">
        <v>7500420</v>
      </c>
      <c r="L23" s="24">
        <v>2862480</v>
      </c>
      <c r="M23" s="24">
        <v>6773950</v>
      </c>
      <c r="N23" s="24">
        <v>9606780</v>
      </c>
      <c r="O23" s="24">
        <v>13067080</v>
      </c>
      <c r="Q23" s="37">
        <f t="shared" si="21"/>
        <v>660</v>
      </c>
      <c r="R23" s="37">
        <f t="shared" si="22"/>
        <v>2160</v>
      </c>
      <c r="S23" s="37">
        <f t="shared" si="16"/>
        <v>3430</v>
      </c>
      <c r="T23" s="37">
        <f t="shared" si="23"/>
        <v>1580</v>
      </c>
      <c r="U23" s="37">
        <f t="shared" si="24"/>
        <v>2530</v>
      </c>
      <c r="V23" s="37">
        <f t="shared" si="25"/>
        <v>2070</v>
      </c>
      <c r="W23" s="37">
        <f t="shared" si="26"/>
        <v>2190</v>
      </c>
      <c r="X23" s="37">
        <f t="shared" si="27"/>
        <v>1320</v>
      </c>
      <c r="Y23" s="37">
        <f t="shared" si="28"/>
        <v>1840</v>
      </c>
      <c r="Z23" s="37">
        <f t="shared" si="29"/>
        <v>2590</v>
      </c>
      <c r="AA23" s="37">
        <f t="shared" si="30"/>
        <v>1190</v>
      </c>
      <c r="AB23" s="37">
        <f t="shared" si="31"/>
        <v>3030</v>
      </c>
      <c r="AC23" s="37">
        <f t="shared" si="32"/>
        <v>3950</v>
      </c>
      <c r="AD23" s="35">
        <f t="shared" si="33"/>
        <v>28540</v>
      </c>
      <c r="AF23" s="20">
        <f t="shared" si="1"/>
        <v>3.3000000000000003</v>
      </c>
      <c r="AG23" s="20">
        <f t="shared" si="2"/>
        <v>10.8</v>
      </c>
      <c r="AH23" s="20">
        <f t="shared" si="3"/>
        <v>17.150000000000002</v>
      </c>
      <c r="AI23" s="20">
        <f t="shared" si="4"/>
        <v>7.9</v>
      </c>
      <c r="AJ23" s="20">
        <f t="shared" si="5"/>
        <v>12.65</v>
      </c>
      <c r="AK23" s="20">
        <f t="shared" si="6"/>
        <v>10.35</v>
      </c>
      <c r="AL23" s="20">
        <f t="shared" si="7"/>
        <v>10.950000000000001</v>
      </c>
      <c r="AM23" s="20">
        <f t="shared" si="8"/>
        <v>6.6000000000000005</v>
      </c>
      <c r="AN23" s="20">
        <f t="shared" si="9"/>
        <v>9.2000000000000011</v>
      </c>
      <c r="AO23" s="20">
        <f t="shared" si="10"/>
        <v>12.950000000000001</v>
      </c>
      <c r="AP23" s="20">
        <f t="shared" si="11"/>
        <v>5.95</v>
      </c>
      <c r="AQ23" s="20">
        <f t="shared" si="12"/>
        <v>15.15</v>
      </c>
      <c r="AR23" s="20">
        <f t="shared" si="13"/>
        <v>19.75</v>
      </c>
      <c r="AS23" s="35">
        <f t="shared" si="34"/>
        <v>142.70000000000002</v>
      </c>
      <c r="AT23" s="49"/>
      <c r="AV23" s="53">
        <v>0</v>
      </c>
      <c r="AW23" s="52">
        <f t="shared" si="14"/>
        <v>0</v>
      </c>
      <c r="AX23" s="54">
        <f t="shared" si="17"/>
        <v>0</v>
      </c>
      <c r="AY23" s="74">
        <v>925261</v>
      </c>
      <c r="AZ23" s="37">
        <f t="shared" si="18"/>
        <v>117000</v>
      </c>
      <c r="BA23" s="37">
        <f t="shared" si="19"/>
        <v>319.41000000000003</v>
      </c>
      <c r="BB23" s="47">
        <f t="shared" si="20"/>
        <v>141.94580400000001</v>
      </c>
    </row>
    <row r="24" spans="1:54" x14ac:dyDescent="0.25">
      <c r="A24" s="23">
        <v>43969</v>
      </c>
      <c r="B24" s="40">
        <v>10</v>
      </c>
      <c r="C24" s="24">
        <v>6014920</v>
      </c>
      <c r="D24" s="24">
        <v>13047700</v>
      </c>
      <c r="E24" s="24">
        <v>1721350</v>
      </c>
      <c r="F24" s="24">
        <v>2842660</v>
      </c>
      <c r="G24" s="24">
        <v>8766670</v>
      </c>
      <c r="H24" s="24">
        <v>4371670</v>
      </c>
      <c r="I24" s="24">
        <v>4198360</v>
      </c>
      <c r="J24" s="24">
        <v>4760280</v>
      </c>
      <c r="K24" s="24">
        <v>7501570</v>
      </c>
      <c r="L24" s="24">
        <v>2864220</v>
      </c>
      <c r="M24" s="24">
        <v>6774620</v>
      </c>
      <c r="N24" s="24">
        <v>9608720</v>
      </c>
      <c r="O24" s="24">
        <v>13069490</v>
      </c>
      <c r="Q24" s="37">
        <f t="shared" si="21"/>
        <v>410</v>
      </c>
      <c r="R24" s="37">
        <f t="shared" si="22"/>
        <v>1340</v>
      </c>
      <c r="S24" s="37">
        <f t="shared" si="16"/>
        <v>2220</v>
      </c>
      <c r="T24" s="37">
        <f t="shared" si="23"/>
        <v>1000</v>
      </c>
      <c r="U24" s="37">
        <f t="shared" si="24"/>
        <v>1590</v>
      </c>
      <c r="V24" s="37">
        <f t="shared" si="25"/>
        <v>1310</v>
      </c>
      <c r="W24" s="37">
        <f t="shared" si="26"/>
        <v>1350</v>
      </c>
      <c r="X24" s="37">
        <f t="shared" si="27"/>
        <v>810</v>
      </c>
      <c r="Y24" s="37">
        <f t="shared" si="28"/>
        <v>1150</v>
      </c>
      <c r="Z24" s="37">
        <f t="shared" si="29"/>
        <v>1740</v>
      </c>
      <c r="AA24" s="37">
        <f t="shared" si="30"/>
        <v>670</v>
      </c>
      <c r="AB24" s="37">
        <f t="shared" si="31"/>
        <v>1940</v>
      </c>
      <c r="AC24" s="37">
        <f t="shared" si="32"/>
        <v>2410</v>
      </c>
      <c r="AD24" s="35">
        <f t="shared" si="33"/>
        <v>17940</v>
      </c>
      <c r="AF24" s="20">
        <f t="shared" si="1"/>
        <v>2.0499999999999998</v>
      </c>
      <c r="AG24" s="20">
        <f t="shared" si="2"/>
        <v>6.7</v>
      </c>
      <c r="AH24" s="20">
        <f t="shared" si="3"/>
        <v>11.1</v>
      </c>
      <c r="AI24" s="20">
        <f t="shared" si="4"/>
        <v>5</v>
      </c>
      <c r="AJ24" s="20">
        <f t="shared" si="5"/>
        <v>7.95</v>
      </c>
      <c r="AK24" s="20">
        <f t="shared" si="6"/>
        <v>6.55</v>
      </c>
      <c r="AL24" s="20">
        <f t="shared" si="7"/>
        <v>6.75</v>
      </c>
      <c r="AM24" s="20">
        <f t="shared" si="8"/>
        <v>4.05</v>
      </c>
      <c r="AN24" s="20">
        <f t="shared" si="9"/>
        <v>5.75</v>
      </c>
      <c r="AO24" s="20">
        <f t="shared" si="10"/>
        <v>8.7000000000000011</v>
      </c>
      <c r="AP24" s="20">
        <f t="shared" si="11"/>
        <v>3.35</v>
      </c>
      <c r="AQ24" s="20">
        <f t="shared" si="12"/>
        <v>9.7000000000000011</v>
      </c>
      <c r="AR24" s="20">
        <f t="shared" si="13"/>
        <v>12.05</v>
      </c>
      <c r="AS24" s="35">
        <f t="shared" si="34"/>
        <v>89.699999999999989</v>
      </c>
      <c r="AT24" s="49"/>
      <c r="AV24" s="53">
        <v>0</v>
      </c>
      <c r="AW24" s="52">
        <f t="shared" si="14"/>
        <v>0</v>
      </c>
      <c r="AX24" s="54">
        <f t="shared" si="17"/>
        <v>0</v>
      </c>
      <c r="AY24" s="74">
        <v>926268</v>
      </c>
      <c r="AZ24" s="37">
        <f t="shared" si="18"/>
        <v>100700</v>
      </c>
      <c r="BA24" s="37">
        <f t="shared" si="19"/>
        <v>274.911</v>
      </c>
      <c r="BB24" s="47">
        <f t="shared" si="20"/>
        <v>122.17044840000001</v>
      </c>
    </row>
    <row r="25" spans="1:54" x14ac:dyDescent="0.25">
      <c r="A25" s="23">
        <v>43970</v>
      </c>
      <c r="B25" s="40">
        <v>10</v>
      </c>
      <c r="C25" s="24">
        <v>6015490</v>
      </c>
      <c r="D25" s="24">
        <v>13049580</v>
      </c>
      <c r="E25" s="24">
        <v>1724410</v>
      </c>
      <c r="F25" s="24">
        <v>2844050</v>
      </c>
      <c r="G25" s="24">
        <v>8768960</v>
      </c>
      <c r="H25" s="24">
        <v>4372340</v>
      </c>
      <c r="I25" s="24">
        <v>4200250</v>
      </c>
      <c r="J25" s="24">
        <v>4761450</v>
      </c>
      <c r="K25" s="24">
        <v>7503150</v>
      </c>
      <c r="L25" s="24">
        <v>2866490</v>
      </c>
      <c r="M25" s="24">
        <v>6775620</v>
      </c>
      <c r="N25" s="24">
        <v>9611420</v>
      </c>
      <c r="O25" s="24">
        <v>13073390</v>
      </c>
      <c r="Q25" s="37">
        <f t="shared" ref="Q25:AC27" si="36">IF((C25-C24&lt;0), "0",C25-C24)</f>
        <v>570</v>
      </c>
      <c r="R25" s="37">
        <f t="shared" si="22"/>
        <v>1880</v>
      </c>
      <c r="S25" s="37">
        <f t="shared" si="36"/>
        <v>3060</v>
      </c>
      <c r="T25" s="37">
        <f t="shared" si="36"/>
        <v>1390</v>
      </c>
      <c r="U25" s="37">
        <f t="shared" si="36"/>
        <v>2290</v>
      </c>
      <c r="V25" s="37">
        <f t="shared" si="36"/>
        <v>670</v>
      </c>
      <c r="W25" s="37">
        <f t="shared" si="36"/>
        <v>1890</v>
      </c>
      <c r="X25" s="37">
        <f t="shared" si="36"/>
        <v>1170</v>
      </c>
      <c r="Y25" s="37">
        <f t="shared" si="36"/>
        <v>1580</v>
      </c>
      <c r="Z25" s="37">
        <f t="shared" si="36"/>
        <v>2270</v>
      </c>
      <c r="AA25" s="37">
        <f t="shared" si="36"/>
        <v>1000</v>
      </c>
      <c r="AB25" s="37">
        <f t="shared" si="36"/>
        <v>2700</v>
      </c>
      <c r="AC25" s="37">
        <f t="shared" si="36"/>
        <v>3900</v>
      </c>
      <c r="AD25" s="35">
        <f t="shared" si="33"/>
        <v>24370</v>
      </c>
      <c r="AF25" s="20">
        <f t="shared" si="1"/>
        <v>2.85</v>
      </c>
      <c r="AG25" s="20">
        <f t="shared" si="2"/>
        <v>9.4</v>
      </c>
      <c r="AH25" s="20">
        <f t="shared" si="3"/>
        <v>15.3</v>
      </c>
      <c r="AI25" s="20">
        <f t="shared" si="4"/>
        <v>6.95</v>
      </c>
      <c r="AJ25" s="20">
        <f t="shared" si="5"/>
        <v>11.450000000000001</v>
      </c>
      <c r="AK25" s="20">
        <f t="shared" si="6"/>
        <v>3.35</v>
      </c>
      <c r="AL25" s="20">
        <f t="shared" si="7"/>
        <v>9.4500000000000011</v>
      </c>
      <c r="AM25" s="20">
        <f t="shared" si="8"/>
        <v>5.8500000000000005</v>
      </c>
      <c r="AN25" s="20">
        <f t="shared" si="9"/>
        <v>7.9</v>
      </c>
      <c r="AO25" s="20">
        <f t="shared" si="10"/>
        <v>11.35</v>
      </c>
      <c r="AP25" s="20">
        <f t="shared" si="11"/>
        <v>5</v>
      </c>
      <c r="AQ25" s="20">
        <f t="shared" si="12"/>
        <v>13.5</v>
      </c>
      <c r="AR25" s="20">
        <f t="shared" si="13"/>
        <v>19.5</v>
      </c>
      <c r="AS25" s="35">
        <f t="shared" si="34"/>
        <v>121.85000000000001</v>
      </c>
      <c r="AT25" s="49"/>
      <c r="AV25" s="53">
        <v>0</v>
      </c>
      <c r="AW25" s="52">
        <f t="shared" si="14"/>
        <v>0</v>
      </c>
      <c r="AX25" s="54">
        <f t="shared" si="17"/>
        <v>0</v>
      </c>
      <c r="AY25" s="74">
        <v>928201</v>
      </c>
      <c r="AZ25" s="37">
        <f t="shared" si="18"/>
        <v>193300</v>
      </c>
      <c r="BA25" s="37">
        <f t="shared" si="19"/>
        <v>527.70900000000006</v>
      </c>
      <c r="BB25" s="47">
        <f t="shared" si="20"/>
        <v>234.51387960000002</v>
      </c>
    </row>
    <row r="26" spans="1:54" x14ac:dyDescent="0.25">
      <c r="A26" s="23">
        <v>43971</v>
      </c>
      <c r="B26" s="40">
        <v>10</v>
      </c>
      <c r="C26" s="24">
        <v>6016070</v>
      </c>
      <c r="D26" s="24">
        <v>13051470</v>
      </c>
      <c r="E26" s="24">
        <v>1727490</v>
      </c>
      <c r="F26" s="24">
        <v>2845450</v>
      </c>
      <c r="G26" s="24">
        <v>8771150</v>
      </c>
      <c r="H26" s="24">
        <v>4375470</v>
      </c>
      <c r="I26" s="24">
        <v>4202170</v>
      </c>
      <c r="J26" s="24">
        <v>4762630</v>
      </c>
      <c r="K26" s="24">
        <v>7504790</v>
      </c>
      <c r="L26" s="24">
        <v>2868640</v>
      </c>
      <c r="M26" s="24">
        <v>6776650</v>
      </c>
      <c r="N26" s="24">
        <v>9614180</v>
      </c>
      <c r="O26" s="24">
        <v>13076690</v>
      </c>
      <c r="Q26" s="37">
        <f t="shared" si="36"/>
        <v>580</v>
      </c>
      <c r="R26" s="37">
        <f t="shared" si="22"/>
        <v>1890</v>
      </c>
      <c r="S26" s="37">
        <f t="shared" si="36"/>
        <v>3080</v>
      </c>
      <c r="T26" s="37">
        <f t="shared" si="36"/>
        <v>1400</v>
      </c>
      <c r="U26" s="37">
        <f t="shared" si="36"/>
        <v>2190</v>
      </c>
      <c r="V26" s="37">
        <f t="shared" si="36"/>
        <v>3130</v>
      </c>
      <c r="W26" s="37">
        <f t="shared" si="36"/>
        <v>1920</v>
      </c>
      <c r="X26" s="37">
        <f t="shared" si="36"/>
        <v>1180</v>
      </c>
      <c r="Y26" s="37">
        <f t="shared" si="36"/>
        <v>1640</v>
      </c>
      <c r="Z26" s="37">
        <f t="shared" si="36"/>
        <v>2150</v>
      </c>
      <c r="AA26" s="37">
        <f t="shared" si="36"/>
        <v>1030</v>
      </c>
      <c r="AB26" s="37">
        <f t="shared" si="36"/>
        <v>2760</v>
      </c>
      <c r="AC26" s="37">
        <f t="shared" si="36"/>
        <v>3300</v>
      </c>
      <c r="AD26" s="35">
        <f t="shared" si="33"/>
        <v>26250</v>
      </c>
      <c r="AF26" s="20">
        <f t="shared" si="1"/>
        <v>2.9</v>
      </c>
      <c r="AG26" s="20">
        <f t="shared" si="2"/>
        <v>9.4500000000000011</v>
      </c>
      <c r="AH26" s="20">
        <f t="shared" si="3"/>
        <v>15.4</v>
      </c>
      <c r="AI26" s="20">
        <f t="shared" si="4"/>
        <v>7</v>
      </c>
      <c r="AJ26" s="20">
        <f t="shared" si="5"/>
        <v>10.950000000000001</v>
      </c>
      <c r="AK26" s="20">
        <f t="shared" si="6"/>
        <v>15.65</v>
      </c>
      <c r="AL26" s="20">
        <f t="shared" si="7"/>
        <v>9.6</v>
      </c>
      <c r="AM26" s="20">
        <f t="shared" si="8"/>
        <v>5.9</v>
      </c>
      <c r="AN26" s="20">
        <f t="shared" si="9"/>
        <v>8.1999999999999993</v>
      </c>
      <c r="AO26" s="20">
        <f t="shared" si="10"/>
        <v>10.75</v>
      </c>
      <c r="AP26" s="20">
        <f t="shared" si="11"/>
        <v>5.15</v>
      </c>
      <c r="AQ26" s="20">
        <f t="shared" si="12"/>
        <v>13.8</v>
      </c>
      <c r="AR26" s="20">
        <f t="shared" si="13"/>
        <v>16.5</v>
      </c>
      <c r="AS26" s="35">
        <f t="shared" si="34"/>
        <v>131.25</v>
      </c>
      <c r="AT26" s="49"/>
      <c r="AV26" s="53">
        <v>0</v>
      </c>
      <c r="AW26" s="52">
        <f t="shared" si="14"/>
        <v>0</v>
      </c>
      <c r="AX26" s="54">
        <f t="shared" si="17"/>
        <v>0</v>
      </c>
      <c r="AY26" s="74">
        <v>930808</v>
      </c>
      <c r="AZ26" s="37">
        <f t="shared" si="18"/>
        <v>260700</v>
      </c>
      <c r="BA26" s="37">
        <f t="shared" si="19"/>
        <v>711.7109999999999</v>
      </c>
      <c r="BB26" s="47">
        <f t="shared" si="20"/>
        <v>316.28436839999995</v>
      </c>
    </row>
    <row r="27" spans="1:54" x14ac:dyDescent="0.25">
      <c r="A27" s="23">
        <v>43972</v>
      </c>
      <c r="B27" s="40">
        <v>10</v>
      </c>
      <c r="C27" s="24">
        <v>6016630</v>
      </c>
      <c r="D27" s="24">
        <v>13055340</v>
      </c>
      <c r="E27" s="24">
        <v>1730720</v>
      </c>
      <c r="F27" s="24">
        <v>2846820</v>
      </c>
      <c r="G27" s="24">
        <v>8773160</v>
      </c>
      <c r="H27" s="24">
        <v>4377480</v>
      </c>
      <c r="I27" s="24">
        <v>4204090</v>
      </c>
      <c r="J27" s="24">
        <v>4763820</v>
      </c>
      <c r="K27" s="24">
        <v>7506420</v>
      </c>
      <c r="L27" s="24">
        <v>2870850</v>
      </c>
      <c r="M27" s="24">
        <v>6777710</v>
      </c>
      <c r="N27" s="24">
        <v>9617120</v>
      </c>
      <c r="O27" s="24">
        <v>13079950</v>
      </c>
      <c r="Q27" s="37">
        <f t="shared" si="36"/>
        <v>560</v>
      </c>
      <c r="R27" s="37">
        <f t="shared" si="22"/>
        <v>3870</v>
      </c>
      <c r="S27" s="37">
        <f t="shared" si="36"/>
        <v>3230</v>
      </c>
      <c r="T27" s="37">
        <f t="shared" si="36"/>
        <v>1370</v>
      </c>
      <c r="U27" s="37">
        <f t="shared" si="36"/>
        <v>2010</v>
      </c>
      <c r="V27" s="37">
        <f t="shared" si="36"/>
        <v>2010</v>
      </c>
      <c r="W27" s="37">
        <f t="shared" si="36"/>
        <v>1920</v>
      </c>
      <c r="X27" s="37">
        <f t="shared" si="36"/>
        <v>1190</v>
      </c>
      <c r="Y27" s="37">
        <f t="shared" si="36"/>
        <v>1630</v>
      </c>
      <c r="Z27" s="37">
        <f t="shared" si="36"/>
        <v>2210</v>
      </c>
      <c r="AA27" s="37">
        <f t="shared" si="36"/>
        <v>1060</v>
      </c>
      <c r="AB27" s="37">
        <f t="shared" si="36"/>
        <v>2940</v>
      </c>
      <c r="AC27" s="37">
        <f t="shared" si="36"/>
        <v>3260</v>
      </c>
      <c r="AD27" s="35">
        <f t="shared" si="33"/>
        <v>27260</v>
      </c>
      <c r="AF27" s="20">
        <f t="shared" si="1"/>
        <v>2.8000000000000003</v>
      </c>
      <c r="AG27" s="20">
        <f t="shared" si="2"/>
        <v>19.350000000000001</v>
      </c>
      <c r="AH27" s="20">
        <f t="shared" si="3"/>
        <v>16.149999999999999</v>
      </c>
      <c r="AI27" s="20">
        <f t="shared" si="4"/>
        <v>6.8500000000000005</v>
      </c>
      <c r="AJ27" s="20">
        <f t="shared" si="5"/>
        <v>10.050000000000001</v>
      </c>
      <c r="AK27" s="20">
        <f t="shared" si="6"/>
        <v>10.050000000000001</v>
      </c>
      <c r="AL27" s="20">
        <f t="shared" si="7"/>
        <v>9.6</v>
      </c>
      <c r="AM27" s="20">
        <f t="shared" si="8"/>
        <v>5.95</v>
      </c>
      <c r="AN27" s="20">
        <f t="shared" si="9"/>
        <v>8.15</v>
      </c>
      <c r="AO27" s="20">
        <f t="shared" si="10"/>
        <v>11.05</v>
      </c>
      <c r="AP27" s="20">
        <f t="shared" si="11"/>
        <v>5.3</v>
      </c>
      <c r="AQ27" s="20">
        <f t="shared" si="12"/>
        <v>14.700000000000001</v>
      </c>
      <c r="AR27" s="20">
        <f t="shared" si="13"/>
        <v>16.3</v>
      </c>
      <c r="AS27" s="35">
        <f t="shared" si="34"/>
        <v>136.30000000000001</v>
      </c>
      <c r="AT27" s="49"/>
      <c r="AV27" s="53">
        <v>0</v>
      </c>
      <c r="AW27" s="52">
        <f t="shared" si="14"/>
        <v>0</v>
      </c>
      <c r="AX27" s="54">
        <f t="shared" si="17"/>
        <v>0</v>
      </c>
      <c r="AY27" s="74">
        <v>932642</v>
      </c>
      <c r="AZ27" s="37">
        <f t="shared" si="18"/>
        <v>183400</v>
      </c>
      <c r="BA27" s="37">
        <f t="shared" si="19"/>
        <v>500.68200000000002</v>
      </c>
      <c r="BB27" s="47">
        <f t="shared" si="20"/>
        <v>222.50308080000002</v>
      </c>
    </row>
    <row r="28" spans="1:54" x14ac:dyDescent="0.25">
      <c r="A28" s="23">
        <v>43973</v>
      </c>
      <c r="B28" s="40">
        <v>10</v>
      </c>
      <c r="C28" s="24">
        <v>6017300</v>
      </c>
      <c r="D28" s="24">
        <v>13055530</v>
      </c>
      <c r="E28" s="24">
        <v>1734390</v>
      </c>
      <c r="F28" s="24">
        <v>2848410</v>
      </c>
      <c r="G28" s="24">
        <v>8775560</v>
      </c>
      <c r="H28" s="24">
        <v>4379730</v>
      </c>
      <c r="I28" s="24">
        <v>4206330</v>
      </c>
      <c r="J28" s="24">
        <v>4765180</v>
      </c>
      <c r="K28" s="24">
        <v>7508270</v>
      </c>
      <c r="L28" s="24">
        <v>2873590</v>
      </c>
      <c r="M28" s="24">
        <v>6778730</v>
      </c>
      <c r="N28" s="24">
        <v>9620670</v>
      </c>
      <c r="O28" s="24">
        <v>13083640</v>
      </c>
      <c r="Q28" s="37">
        <f t="shared" si="21"/>
        <v>670</v>
      </c>
      <c r="R28" s="37">
        <f t="shared" si="22"/>
        <v>190</v>
      </c>
      <c r="S28" s="37">
        <f t="shared" si="16"/>
        <v>3670</v>
      </c>
      <c r="T28" s="37">
        <f t="shared" si="23"/>
        <v>1590</v>
      </c>
      <c r="U28" s="37">
        <f t="shared" si="24"/>
        <v>2400</v>
      </c>
      <c r="V28" s="37">
        <f t="shared" si="25"/>
        <v>2250</v>
      </c>
      <c r="W28" s="37">
        <f t="shared" si="26"/>
        <v>2240</v>
      </c>
      <c r="X28" s="37">
        <f t="shared" si="27"/>
        <v>1360</v>
      </c>
      <c r="Y28" s="37">
        <f t="shared" si="28"/>
        <v>1850</v>
      </c>
      <c r="Z28" s="37">
        <f t="shared" si="29"/>
        <v>2740</v>
      </c>
      <c r="AA28" s="37">
        <f t="shared" si="30"/>
        <v>1020</v>
      </c>
      <c r="AB28" s="37">
        <f t="shared" si="31"/>
        <v>3550</v>
      </c>
      <c r="AC28" s="37">
        <f t="shared" si="32"/>
        <v>3690</v>
      </c>
      <c r="AD28" s="35">
        <f t="shared" si="33"/>
        <v>27220</v>
      </c>
      <c r="AF28" s="20">
        <f t="shared" si="1"/>
        <v>3.35</v>
      </c>
      <c r="AG28" s="20">
        <f t="shared" si="2"/>
        <v>0.95000000000000007</v>
      </c>
      <c r="AH28" s="20">
        <f t="shared" si="3"/>
        <v>18.350000000000001</v>
      </c>
      <c r="AI28" s="20">
        <f t="shared" si="4"/>
        <v>7.95</v>
      </c>
      <c r="AJ28" s="20">
        <f t="shared" si="5"/>
        <v>12</v>
      </c>
      <c r="AK28" s="20">
        <f t="shared" si="6"/>
        <v>11.25</v>
      </c>
      <c r="AL28" s="20">
        <f t="shared" si="7"/>
        <v>11.200000000000001</v>
      </c>
      <c r="AM28" s="20">
        <f t="shared" si="8"/>
        <v>6.8</v>
      </c>
      <c r="AN28" s="20">
        <f t="shared" si="9"/>
        <v>9.25</v>
      </c>
      <c r="AO28" s="20">
        <f t="shared" si="10"/>
        <v>13.700000000000001</v>
      </c>
      <c r="AP28" s="20">
        <f t="shared" si="11"/>
        <v>5.1000000000000005</v>
      </c>
      <c r="AQ28" s="20">
        <f t="shared" si="12"/>
        <v>17.75</v>
      </c>
      <c r="AR28" s="20">
        <f t="shared" si="13"/>
        <v>18.45</v>
      </c>
      <c r="AS28" s="35">
        <f t="shared" si="34"/>
        <v>136.1</v>
      </c>
      <c r="AT28" s="49"/>
      <c r="AV28" s="53">
        <v>0</v>
      </c>
      <c r="AW28" s="52">
        <f t="shared" si="14"/>
        <v>0</v>
      </c>
      <c r="AX28" s="54">
        <f t="shared" si="17"/>
        <v>0</v>
      </c>
      <c r="AY28" s="74">
        <v>936031</v>
      </c>
      <c r="AZ28" s="37">
        <f t="shared" si="18"/>
        <v>338900</v>
      </c>
      <c r="BA28" s="37">
        <f t="shared" si="19"/>
        <v>925.197</v>
      </c>
      <c r="BB28" s="47">
        <f t="shared" si="20"/>
        <v>411.15754680000003</v>
      </c>
    </row>
    <row r="29" spans="1:54" x14ac:dyDescent="0.25">
      <c r="A29" s="23">
        <v>43974</v>
      </c>
      <c r="B29" s="40">
        <v>10</v>
      </c>
      <c r="C29" s="24">
        <v>6017830</v>
      </c>
      <c r="D29" s="24">
        <v>13057210</v>
      </c>
      <c r="E29" s="24">
        <v>1737260</v>
      </c>
      <c r="F29" s="24">
        <v>2849650</v>
      </c>
      <c r="G29" s="24">
        <v>8777450</v>
      </c>
      <c r="H29" s="24">
        <v>4381450</v>
      </c>
      <c r="I29" s="24">
        <v>4208040</v>
      </c>
      <c r="J29" s="24">
        <v>4766220</v>
      </c>
      <c r="K29" s="24">
        <v>7509690</v>
      </c>
      <c r="L29" s="24">
        <v>2875750</v>
      </c>
      <c r="M29" s="24">
        <v>6779480</v>
      </c>
      <c r="N29" s="24">
        <v>9623430</v>
      </c>
      <c r="O29" s="24">
        <v>13086410</v>
      </c>
      <c r="Q29" s="37">
        <f t="shared" si="21"/>
        <v>530</v>
      </c>
      <c r="R29" s="37">
        <f t="shared" si="22"/>
        <v>1680</v>
      </c>
      <c r="S29" s="37">
        <f t="shared" si="16"/>
        <v>2870</v>
      </c>
      <c r="T29" s="37">
        <f t="shared" si="23"/>
        <v>1240</v>
      </c>
      <c r="U29" s="37">
        <f t="shared" si="24"/>
        <v>1890</v>
      </c>
      <c r="V29" s="37">
        <f t="shared" si="25"/>
        <v>1720</v>
      </c>
      <c r="W29" s="37">
        <f t="shared" si="26"/>
        <v>1710</v>
      </c>
      <c r="X29" s="37">
        <f t="shared" si="27"/>
        <v>1040</v>
      </c>
      <c r="Y29" s="37">
        <f t="shared" si="28"/>
        <v>1420</v>
      </c>
      <c r="Z29" s="37">
        <f t="shared" si="29"/>
        <v>2160</v>
      </c>
      <c r="AA29" s="37">
        <f t="shared" si="30"/>
        <v>750</v>
      </c>
      <c r="AB29" s="37">
        <f t="shared" si="31"/>
        <v>2760</v>
      </c>
      <c r="AC29" s="37">
        <f t="shared" si="32"/>
        <v>2770</v>
      </c>
      <c r="AD29" s="35">
        <f t="shared" si="33"/>
        <v>22540</v>
      </c>
      <c r="AF29" s="20">
        <f t="shared" si="1"/>
        <v>2.65</v>
      </c>
      <c r="AG29" s="20">
        <f t="shared" si="2"/>
        <v>8.4</v>
      </c>
      <c r="AH29" s="20">
        <f t="shared" si="3"/>
        <v>14.35</v>
      </c>
      <c r="AI29" s="20">
        <f t="shared" si="4"/>
        <v>6.2</v>
      </c>
      <c r="AJ29" s="20">
        <f t="shared" si="5"/>
        <v>9.4500000000000011</v>
      </c>
      <c r="AK29" s="20">
        <f t="shared" si="6"/>
        <v>8.6</v>
      </c>
      <c r="AL29" s="20">
        <f t="shared" si="7"/>
        <v>8.5500000000000007</v>
      </c>
      <c r="AM29" s="20">
        <f t="shared" si="8"/>
        <v>5.2</v>
      </c>
      <c r="AN29" s="20">
        <f t="shared" si="9"/>
        <v>7.1000000000000005</v>
      </c>
      <c r="AO29" s="20">
        <f t="shared" si="10"/>
        <v>10.8</v>
      </c>
      <c r="AP29" s="20">
        <f t="shared" si="11"/>
        <v>3.75</v>
      </c>
      <c r="AQ29" s="20">
        <f t="shared" si="12"/>
        <v>13.8</v>
      </c>
      <c r="AR29" s="20">
        <f t="shared" si="13"/>
        <v>13.85</v>
      </c>
      <c r="AS29" s="35">
        <f t="shared" si="34"/>
        <v>112.69999999999999</v>
      </c>
      <c r="AT29" s="49"/>
      <c r="AV29" s="53">
        <v>0</v>
      </c>
      <c r="AW29" s="52">
        <f t="shared" si="14"/>
        <v>0</v>
      </c>
      <c r="AX29" s="54">
        <f t="shared" si="17"/>
        <v>0</v>
      </c>
      <c r="AY29" s="74">
        <v>938228</v>
      </c>
      <c r="AZ29" s="37">
        <f t="shared" si="18"/>
        <v>219700</v>
      </c>
      <c r="BA29" s="37">
        <f t="shared" si="19"/>
        <v>599.78100000000006</v>
      </c>
      <c r="BB29" s="47">
        <f t="shared" si="20"/>
        <v>266.54267640000006</v>
      </c>
    </row>
    <row r="30" spans="1:54" x14ac:dyDescent="0.25">
      <c r="A30" s="23">
        <v>43975</v>
      </c>
      <c r="B30" s="40">
        <v>10</v>
      </c>
      <c r="C30" s="24">
        <v>6018380</v>
      </c>
      <c r="D30" s="24">
        <v>13059070</v>
      </c>
      <c r="E30" s="24">
        <v>1740520</v>
      </c>
      <c r="F30" s="24">
        <v>2851030</v>
      </c>
      <c r="G30" s="24">
        <v>8779590</v>
      </c>
      <c r="H30" s="24">
        <v>4383440</v>
      </c>
      <c r="I30" s="24">
        <v>4209760</v>
      </c>
      <c r="J30" s="24">
        <v>4767350</v>
      </c>
      <c r="K30" s="24">
        <v>7511260</v>
      </c>
      <c r="L30" s="24">
        <v>2878250</v>
      </c>
      <c r="M30" s="24">
        <v>6780570</v>
      </c>
      <c r="N30" s="24">
        <v>9626370</v>
      </c>
      <c r="O30" s="24">
        <v>13089550</v>
      </c>
      <c r="Q30" s="37">
        <f t="shared" si="21"/>
        <v>550</v>
      </c>
      <c r="R30" s="37">
        <f t="shared" si="22"/>
        <v>1860</v>
      </c>
      <c r="S30" s="37">
        <f t="shared" si="16"/>
        <v>3260</v>
      </c>
      <c r="T30" s="37">
        <f t="shared" si="23"/>
        <v>1380</v>
      </c>
      <c r="U30" s="37">
        <f t="shared" si="24"/>
        <v>2140</v>
      </c>
      <c r="V30" s="37">
        <f t="shared" si="25"/>
        <v>1990</v>
      </c>
      <c r="W30" s="37">
        <f t="shared" si="26"/>
        <v>1720</v>
      </c>
      <c r="X30" s="37">
        <f t="shared" si="27"/>
        <v>1130</v>
      </c>
      <c r="Y30" s="37">
        <f t="shared" si="28"/>
        <v>1570</v>
      </c>
      <c r="Z30" s="37">
        <f t="shared" si="29"/>
        <v>2500</v>
      </c>
      <c r="AA30" s="37">
        <f t="shared" si="30"/>
        <v>1090</v>
      </c>
      <c r="AB30" s="37">
        <f t="shared" si="31"/>
        <v>2940</v>
      </c>
      <c r="AC30" s="37">
        <f t="shared" si="32"/>
        <v>3140</v>
      </c>
      <c r="AD30" s="35">
        <f t="shared" si="33"/>
        <v>25270</v>
      </c>
      <c r="AF30" s="20">
        <f t="shared" si="1"/>
        <v>2.75</v>
      </c>
      <c r="AG30" s="20">
        <f t="shared" si="2"/>
        <v>9.3000000000000007</v>
      </c>
      <c r="AH30" s="20">
        <f t="shared" si="3"/>
        <v>16.3</v>
      </c>
      <c r="AI30" s="20">
        <f t="shared" si="4"/>
        <v>6.9</v>
      </c>
      <c r="AJ30" s="20">
        <f t="shared" si="5"/>
        <v>10.700000000000001</v>
      </c>
      <c r="AK30" s="20">
        <f t="shared" si="6"/>
        <v>9.9500000000000011</v>
      </c>
      <c r="AL30" s="20">
        <f t="shared" si="7"/>
        <v>8.6</v>
      </c>
      <c r="AM30" s="20">
        <f t="shared" si="8"/>
        <v>5.65</v>
      </c>
      <c r="AN30" s="20">
        <f t="shared" si="9"/>
        <v>7.8500000000000005</v>
      </c>
      <c r="AO30" s="20">
        <f t="shared" si="10"/>
        <v>12.5</v>
      </c>
      <c r="AP30" s="20">
        <f t="shared" si="11"/>
        <v>5.45</v>
      </c>
      <c r="AQ30" s="20">
        <f t="shared" si="12"/>
        <v>14.700000000000001</v>
      </c>
      <c r="AR30" s="20">
        <f t="shared" si="13"/>
        <v>15.700000000000001</v>
      </c>
      <c r="AS30" s="35">
        <f t="shared" si="34"/>
        <v>126.35000000000001</v>
      </c>
      <c r="AT30" s="49"/>
      <c r="AV30" s="53">
        <v>0</v>
      </c>
      <c r="AW30" s="52">
        <f t="shared" si="14"/>
        <v>0</v>
      </c>
      <c r="AX30" s="54">
        <f t="shared" si="17"/>
        <v>0</v>
      </c>
      <c r="AY30" s="74">
        <v>941240</v>
      </c>
      <c r="AZ30" s="37">
        <f t="shared" si="18"/>
        <v>301200</v>
      </c>
      <c r="BA30" s="37">
        <f t="shared" si="19"/>
        <v>822.27599999999995</v>
      </c>
      <c r="BB30" s="47">
        <f t="shared" si="20"/>
        <v>365.41945440000001</v>
      </c>
    </row>
    <row r="31" spans="1:54" x14ac:dyDescent="0.25">
      <c r="A31" s="23">
        <v>43976</v>
      </c>
      <c r="B31" s="40">
        <v>10</v>
      </c>
      <c r="C31" s="24">
        <v>6018970</v>
      </c>
      <c r="D31" s="24">
        <v>13060990</v>
      </c>
      <c r="E31" s="24">
        <v>1743760</v>
      </c>
      <c r="F31" s="24">
        <v>2852450</v>
      </c>
      <c r="G31" s="24">
        <v>8781950</v>
      </c>
      <c r="H31" s="24">
        <v>4385530</v>
      </c>
      <c r="I31" s="24">
        <v>4211980</v>
      </c>
      <c r="J31" s="24">
        <v>4768730</v>
      </c>
      <c r="K31" s="24">
        <v>7512840</v>
      </c>
      <c r="L31" s="24">
        <v>2880770</v>
      </c>
      <c r="M31" s="24">
        <v>6781970</v>
      </c>
      <c r="N31" s="24">
        <v>9630150</v>
      </c>
      <c r="O31" s="24">
        <v>13093160</v>
      </c>
      <c r="Q31" s="37">
        <f>IF((C31-C30&lt;0), "0",C31-C30)</f>
        <v>590</v>
      </c>
      <c r="R31" s="37">
        <f t="shared" si="22"/>
        <v>1920</v>
      </c>
      <c r="S31" s="37">
        <f t="shared" si="16"/>
        <v>3240</v>
      </c>
      <c r="T31" s="37">
        <f t="shared" si="23"/>
        <v>1420</v>
      </c>
      <c r="U31" s="37">
        <f t="shared" si="24"/>
        <v>2360</v>
      </c>
      <c r="V31" s="37">
        <f t="shared" si="25"/>
        <v>2090</v>
      </c>
      <c r="W31" s="37">
        <f t="shared" si="26"/>
        <v>2220</v>
      </c>
      <c r="X31" s="37">
        <f t="shared" si="27"/>
        <v>1380</v>
      </c>
      <c r="Y31" s="37">
        <f t="shared" si="28"/>
        <v>1580</v>
      </c>
      <c r="Z31" s="37">
        <f t="shared" si="29"/>
        <v>2520</v>
      </c>
      <c r="AA31" s="37">
        <f t="shared" si="30"/>
        <v>1400</v>
      </c>
      <c r="AB31" s="37">
        <f t="shared" si="31"/>
        <v>3780</v>
      </c>
      <c r="AC31" s="37">
        <f t="shared" si="32"/>
        <v>3610</v>
      </c>
      <c r="AD31" s="35">
        <f t="shared" si="33"/>
        <v>28110</v>
      </c>
      <c r="AF31" s="20">
        <f t="shared" si="1"/>
        <v>2.95</v>
      </c>
      <c r="AG31" s="20">
        <f t="shared" si="2"/>
        <v>9.6</v>
      </c>
      <c r="AH31" s="20">
        <f t="shared" si="3"/>
        <v>16.2</v>
      </c>
      <c r="AI31" s="20">
        <f t="shared" si="4"/>
        <v>7.1000000000000005</v>
      </c>
      <c r="AJ31" s="20">
        <f t="shared" si="5"/>
        <v>11.8</v>
      </c>
      <c r="AK31" s="20">
        <f t="shared" si="6"/>
        <v>10.450000000000001</v>
      </c>
      <c r="AL31" s="20">
        <f t="shared" si="7"/>
        <v>11.1</v>
      </c>
      <c r="AM31" s="20">
        <f t="shared" si="8"/>
        <v>6.9</v>
      </c>
      <c r="AN31" s="20">
        <f t="shared" si="9"/>
        <v>7.9</v>
      </c>
      <c r="AO31" s="20">
        <f t="shared" si="10"/>
        <v>12.6</v>
      </c>
      <c r="AP31" s="20">
        <f t="shared" si="11"/>
        <v>7</v>
      </c>
      <c r="AQ31" s="20">
        <f t="shared" si="12"/>
        <v>18.900000000000002</v>
      </c>
      <c r="AR31" s="20">
        <f t="shared" si="13"/>
        <v>18.05</v>
      </c>
      <c r="AS31" s="35">
        <f t="shared" si="34"/>
        <v>140.55000000000001</v>
      </c>
      <c r="AT31" s="49"/>
      <c r="AV31" s="53">
        <v>0</v>
      </c>
      <c r="AW31" s="52">
        <f t="shared" si="14"/>
        <v>0</v>
      </c>
      <c r="AX31" s="54">
        <f t="shared" si="17"/>
        <v>0</v>
      </c>
      <c r="AY31" s="74">
        <v>943312</v>
      </c>
      <c r="AZ31" s="37">
        <f t="shared" si="18"/>
        <v>207200</v>
      </c>
      <c r="BA31" s="37">
        <f t="shared" si="19"/>
        <v>565.65599999999995</v>
      </c>
      <c r="BB31" s="47">
        <f t="shared" si="20"/>
        <v>251.37752639999999</v>
      </c>
    </row>
    <row r="32" spans="1:54" x14ac:dyDescent="0.25">
      <c r="A32" s="23">
        <v>43977</v>
      </c>
      <c r="B32" s="40">
        <v>10</v>
      </c>
      <c r="C32" s="24">
        <v>6019500</v>
      </c>
      <c r="D32" s="24">
        <v>13062750</v>
      </c>
      <c r="E32" s="24">
        <v>1746620</v>
      </c>
      <c r="F32" s="24">
        <v>2853750</v>
      </c>
      <c r="G32" s="24">
        <v>8784230</v>
      </c>
      <c r="H32" s="24">
        <v>4387480</v>
      </c>
      <c r="I32" s="24">
        <v>4213950</v>
      </c>
      <c r="J32" s="24">
        <v>4770230</v>
      </c>
      <c r="K32" s="24">
        <v>7514250</v>
      </c>
      <c r="L32" s="24">
        <v>2882760</v>
      </c>
      <c r="M32" s="24">
        <v>6783270</v>
      </c>
      <c r="N32" s="24">
        <v>9633460</v>
      </c>
      <c r="O32" s="24">
        <v>13096000</v>
      </c>
      <c r="Q32" s="37">
        <f>IF((C32-C31&lt;0), "0",C32-C31)</f>
        <v>530</v>
      </c>
      <c r="R32" s="37">
        <f t="shared" si="22"/>
        <v>1760</v>
      </c>
      <c r="S32" s="37">
        <f t="shared" si="16"/>
        <v>2860</v>
      </c>
      <c r="T32" s="37">
        <f t="shared" si="23"/>
        <v>1300</v>
      </c>
      <c r="U32" s="37">
        <f t="shared" si="24"/>
        <v>2280</v>
      </c>
      <c r="V32" s="37">
        <f t="shared" si="25"/>
        <v>1950</v>
      </c>
      <c r="W32" s="37">
        <f t="shared" si="26"/>
        <v>1970</v>
      </c>
      <c r="X32" s="37">
        <f t="shared" si="27"/>
        <v>1500</v>
      </c>
      <c r="Y32" s="37">
        <f t="shared" si="28"/>
        <v>1410</v>
      </c>
      <c r="Z32" s="37">
        <f t="shared" si="29"/>
        <v>1990</v>
      </c>
      <c r="AA32" s="37">
        <f t="shared" si="30"/>
        <v>1300</v>
      </c>
      <c r="AB32" s="37">
        <f t="shared" si="31"/>
        <v>3310</v>
      </c>
      <c r="AC32" s="37">
        <f t="shared" si="32"/>
        <v>2840</v>
      </c>
      <c r="AD32" s="35">
        <f t="shared" si="33"/>
        <v>25000</v>
      </c>
      <c r="AF32" s="20">
        <f t="shared" si="1"/>
        <v>2.65</v>
      </c>
      <c r="AG32" s="20">
        <f t="shared" si="2"/>
        <v>8.8000000000000007</v>
      </c>
      <c r="AH32" s="20">
        <f t="shared" si="3"/>
        <v>14.3</v>
      </c>
      <c r="AI32" s="20">
        <f t="shared" si="4"/>
        <v>6.5</v>
      </c>
      <c r="AJ32" s="20">
        <f t="shared" si="5"/>
        <v>11.4</v>
      </c>
      <c r="AK32" s="20">
        <f t="shared" si="6"/>
        <v>9.75</v>
      </c>
      <c r="AL32" s="20">
        <f t="shared" si="7"/>
        <v>9.85</v>
      </c>
      <c r="AM32" s="20">
        <f t="shared" si="8"/>
        <v>7.5</v>
      </c>
      <c r="AN32" s="20">
        <f t="shared" si="9"/>
        <v>7.05</v>
      </c>
      <c r="AO32" s="20">
        <f t="shared" si="10"/>
        <v>9.9500000000000011</v>
      </c>
      <c r="AP32" s="20">
        <f t="shared" si="11"/>
        <v>6.5</v>
      </c>
      <c r="AQ32" s="20">
        <f t="shared" si="12"/>
        <v>16.55</v>
      </c>
      <c r="AR32" s="20">
        <f t="shared" si="13"/>
        <v>14.200000000000001</v>
      </c>
      <c r="AS32" s="35">
        <f t="shared" si="34"/>
        <v>125</v>
      </c>
      <c r="AT32" s="49"/>
      <c r="AV32" s="53">
        <v>0</v>
      </c>
      <c r="AW32" s="52">
        <f t="shared" si="14"/>
        <v>0</v>
      </c>
      <c r="AX32" s="54">
        <f t="shared" si="17"/>
        <v>0</v>
      </c>
      <c r="AY32" s="74">
        <v>945828</v>
      </c>
      <c r="AZ32" s="37">
        <f t="shared" si="18"/>
        <v>251600</v>
      </c>
      <c r="BA32" s="37">
        <f t="shared" si="19"/>
        <v>686.86799999999994</v>
      </c>
      <c r="BB32" s="47">
        <f t="shared" si="20"/>
        <v>305.24413920000001</v>
      </c>
    </row>
    <row r="33" spans="1:54" x14ac:dyDescent="0.25">
      <c r="A33" s="23">
        <v>43978</v>
      </c>
      <c r="B33" s="40">
        <v>10</v>
      </c>
      <c r="C33" s="24">
        <v>6020070</v>
      </c>
      <c r="D33" s="24">
        <v>13064610</v>
      </c>
      <c r="E33" s="24">
        <v>1749770</v>
      </c>
      <c r="F33" s="24">
        <v>2855140</v>
      </c>
      <c r="G33" s="24">
        <v>8786810</v>
      </c>
      <c r="H33" s="24">
        <v>4389580</v>
      </c>
      <c r="I33" s="24">
        <v>4216020</v>
      </c>
      <c r="J33" s="24">
        <v>4771440</v>
      </c>
      <c r="K33" s="24">
        <v>7515770</v>
      </c>
      <c r="L33" s="24">
        <v>2884810</v>
      </c>
      <c r="M33" s="24">
        <v>6784510</v>
      </c>
      <c r="N33" s="24">
        <v>9636990</v>
      </c>
      <c r="O33" s="24">
        <v>13098980</v>
      </c>
      <c r="Q33" s="37">
        <f>IF((C33-C32&lt;0), "0",C33-C32)</f>
        <v>570</v>
      </c>
      <c r="R33" s="37">
        <f t="shared" si="22"/>
        <v>1860</v>
      </c>
      <c r="S33" s="37">
        <f t="shared" si="16"/>
        <v>3150</v>
      </c>
      <c r="T33" s="37">
        <f t="shared" si="23"/>
        <v>1390</v>
      </c>
      <c r="U33" s="37">
        <f t="shared" si="24"/>
        <v>2580</v>
      </c>
      <c r="V33" s="37">
        <f t="shared" si="25"/>
        <v>2100</v>
      </c>
      <c r="W33" s="37">
        <f t="shared" si="26"/>
        <v>2070</v>
      </c>
      <c r="X33" s="37">
        <f t="shared" si="27"/>
        <v>1210</v>
      </c>
      <c r="Y33" s="37">
        <f t="shared" si="28"/>
        <v>1520</v>
      </c>
      <c r="Z33" s="37">
        <f t="shared" si="29"/>
        <v>2050</v>
      </c>
      <c r="AA33" s="37">
        <f t="shared" si="30"/>
        <v>1240</v>
      </c>
      <c r="AB33" s="37">
        <f t="shared" si="31"/>
        <v>3530</v>
      </c>
      <c r="AC33" s="37">
        <f t="shared" si="32"/>
        <v>2980</v>
      </c>
      <c r="AD33" s="35">
        <f t="shared" si="33"/>
        <v>26250</v>
      </c>
      <c r="AF33" s="20">
        <f t="shared" si="1"/>
        <v>2.85</v>
      </c>
      <c r="AG33" s="20">
        <f t="shared" si="2"/>
        <v>9.3000000000000007</v>
      </c>
      <c r="AH33" s="20">
        <f t="shared" si="3"/>
        <v>15.75</v>
      </c>
      <c r="AI33" s="20">
        <f t="shared" si="4"/>
        <v>6.95</v>
      </c>
      <c r="AJ33" s="20">
        <f t="shared" si="5"/>
        <v>12.9</v>
      </c>
      <c r="AK33" s="20">
        <f t="shared" si="6"/>
        <v>10.5</v>
      </c>
      <c r="AL33" s="20">
        <f t="shared" si="7"/>
        <v>10.35</v>
      </c>
      <c r="AM33" s="20">
        <f t="shared" si="8"/>
        <v>6.05</v>
      </c>
      <c r="AN33" s="20">
        <f t="shared" si="9"/>
        <v>7.6000000000000005</v>
      </c>
      <c r="AO33" s="20">
        <f t="shared" si="10"/>
        <v>10.25</v>
      </c>
      <c r="AP33" s="20">
        <f t="shared" si="11"/>
        <v>6.2</v>
      </c>
      <c r="AQ33" s="20">
        <f t="shared" si="12"/>
        <v>17.650000000000002</v>
      </c>
      <c r="AR33" s="20">
        <f t="shared" si="13"/>
        <v>14.9</v>
      </c>
      <c r="AS33" s="35">
        <f t="shared" si="34"/>
        <v>131.25</v>
      </c>
      <c r="AT33" s="49"/>
      <c r="AV33" s="53">
        <v>0</v>
      </c>
      <c r="AW33" s="52">
        <f t="shared" si="14"/>
        <v>0</v>
      </c>
      <c r="AX33" s="54">
        <f t="shared" si="17"/>
        <v>0</v>
      </c>
      <c r="AY33" s="74">
        <v>948401</v>
      </c>
      <c r="AZ33" s="37">
        <f t="shared" si="18"/>
        <v>257300</v>
      </c>
      <c r="BA33" s="37">
        <f t="shared" si="19"/>
        <v>702.42900000000009</v>
      </c>
      <c r="BB33" s="47">
        <f t="shared" si="20"/>
        <v>312.15944760000008</v>
      </c>
    </row>
    <row r="34" spans="1:54" x14ac:dyDescent="0.25">
      <c r="A34" s="23">
        <v>43979</v>
      </c>
      <c r="B34" s="72">
        <v>10</v>
      </c>
      <c r="C34" s="73">
        <v>6020640</v>
      </c>
      <c r="D34" s="45">
        <v>13066470</v>
      </c>
      <c r="E34" s="24">
        <v>1753050</v>
      </c>
      <c r="F34" s="24">
        <v>2856540</v>
      </c>
      <c r="G34" s="24">
        <v>8789440</v>
      </c>
      <c r="H34" s="24">
        <v>4391610</v>
      </c>
      <c r="I34" s="24">
        <v>4218030</v>
      </c>
      <c r="J34" s="24">
        <v>4772620</v>
      </c>
      <c r="K34" s="24">
        <v>7517360</v>
      </c>
      <c r="L34" s="24">
        <v>2887000</v>
      </c>
      <c r="M34" s="24">
        <v>6785780</v>
      </c>
      <c r="N34" s="24">
        <v>9640710</v>
      </c>
      <c r="O34" s="24">
        <v>13102110</v>
      </c>
      <c r="Q34" s="37">
        <f>IF((C34-C33&lt;0), "0",C34-C33)</f>
        <v>570</v>
      </c>
      <c r="R34" s="37">
        <f t="shared" si="22"/>
        <v>1860</v>
      </c>
      <c r="S34" s="37">
        <f t="shared" si="16"/>
        <v>3280</v>
      </c>
      <c r="T34" s="37">
        <f t="shared" si="23"/>
        <v>1400</v>
      </c>
      <c r="U34" s="37">
        <f t="shared" si="24"/>
        <v>2630</v>
      </c>
      <c r="V34" s="37">
        <f t="shared" si="25"/>
        <v>2030</v>
      </c>
      <c r="W34" s="37">
        <f t="shared" si="26"/>
        <v>2010</v>
      </c>
      <c r="X34" s="37">
        <f t="shared" si="27"/>
        <v>1180</v>
      </c>
      <c r="Y34" s="37">
        <f t="shared" si="28"/>
        <v>1590</v>
      </c>
      <c r="Z34" s="37">
        <f t="shared" si="29"/>
        <v>2190</v>
      </c>
      <c r="AA34" s="37">
        <f t="shared" si="30"/>
        <v>1270</v>
      </c>
      <c r="AB34" s="37">
        <f t="shared" si="31"/>
        <v>3720</v>
      </c>
      <c r="AC34" s="37">
        <f t="shared" si="32"/>
        <v>3130</v>
      </c>
      <c r="AD34" s="35">
        <f t="shared" si="33"/>
        <v>26860</v>
      </c>
      <c r="AF34" s="20">
        <f>Q34*$D$39</f>
        <v>2.85</v>
      </c>
      <c r="AG34" s="20">
        <f t="shared" si="2"/>
        <v>9.3000000000000007</v>
      </c>
      <c r="AH34" s="20">
        <f t="shared" si="3"/>
        <v>16.399999999999999</v>
      </c>
      <c r="AI34" s="20">
        <f t="shared" si="4"/>
        <v>7</v>
      </c>
      <c r="AJ34" s="20">
        <f t="shared" si="5"/>
        <v>13.15</v>
      </c>
      <c r="AK34" s="20">
        <f t="shared" si="6"/>
        <v>10.15</v>
      </c>
      <c r="AL34" s="20">
        <f t="shared" si="7"/>
        <v>10.050000000000001</v>
      </c>
      <c r="AM34" s="20">
        <f t="shared" si="8"/>
        <v>5.9</v>
      </c>
      <c r="AN34" s="20">
        <f t="shared" si="9"/>
        <v>7.95</v>
      </c>
      <c r="AO34" s="20">
        <f t="shared" si="10"/>
        <v>10.950000000000001</v>
      </c>
      <c r="AP34" s="20">
        <f t="shared" si="11"/>
        <v>6.3500000000000005</v>
      </c>
      <c r="AQ34" s="20">
        <f t="shared" si="12"/>
        <v>18.600000000000001</v>
      </c>
      <c r="AR34" s="20">
        <f t="shared" si="13"/>
        <v>15.65</v>
      </c>
      <c r="AS34" s="35">
        <f>SUM(AF34:AR34)</f>
        <v>134.30000000000001</v>
      </c>
      <c r="AT34" s="49"/>
      <c r="AV34" s="53">
        <v>0</v>
      </c>
      <c r="AW34" s="52">
        <f t="shared" si="14"/>
        <v>0</v>
      </c>
      <c r="AX34" s="54">
        <f t="shared" si="17"/>
        <v>0</v>
      </c>
      <c r="AY34" s="74">
        <v>948897</v>
      </c>
      <c r="AZ34" s="37">
        <f t="shared" si="18"/>
        <v>49600</v>
      </c>
      <c r="BA34" s="37">
        <f t="shared" si="19"/>
        <v>135.40799999999999</v>
      </c>
      <c r="BB34" s="47">
        <f t="shared" si="20"/>
        <v>60.1753152</v>
      </c>
    </row>
    <row r="35" spans="1:54" x14ac:dyDescent="0.25">
      <c r="A35" s="23">
        <v>43980</v>
      </c>
      <c r="B35" s="40">
        <v>10</v>
      </c>
      <c r="C35" s="24">
        <v>6021220</v>
      </c>
      <c r="D35" s="24">
        <v>13068360</v>
      </c>
      <c r="E35" s="24">
        <v>1756490</v>
      </c>
      <c r="F35" s="24">
        <v>2857970</v>
      </c>
      <c r="G35" s="24">
        <v>8791890</v>
      </c>
      <c r="H35" s="24">
        <v>4393450</v>
      </c>
      <c r="I35" s="24">
        <v>4220080</v>
      </c>
      <c r="J35" s="24">
        <v>4773890</v>
      </c>
      <c r="K35" s="24">
        <v>7519150</v>
      </c>
      <c r="L35" s="24">
        <v>2889300</v>
      </c>
      <c r="M35" s="24">
        <v>6786970</v>
      </c>
      <c r="N35" s="24">
        <v>9644390</v>
      </c>
      <c r="O35" s="24">
        <v>13105420</v>
      </c>
      <c r="Q35" s="37">
        <f>IF((C35-C34&lt;0), "0",C35-C34)</f>
        <v>580</v>
      </c>
      <c r="R35" s="37">
        <f t="shared" si="22"/>
        <v>1890</v>
      </c>
      <c r="S35" s="37">
        <f t="shared" si="16"/>
        <v>3440</v>
      </c>
      <c r="T35" s="37">
        <f t="shared" si="23"/>
        <v>1430</v>
      </c>
      <c r="U35" s="37">
        <f t="shared" si="24"/>
        <v>2450</v>
      </c>
      <c r="V35" s="37">
        <f t="shared" si="25"/>
        <v>1840</v>
      </c>
      <c r="W35" s="37">
        <f t="shared" si="26"/>
        <v>2050</v>
      </c>
      <c r="X35" s="37">
        <f t="shared" si="27"/>
        <v>1270</v>
      </c>
      <c r="Y35" s="37">
        <f t="shared" si="28"/>
        <v>1790</v>
      </c>
      <c r="Z35" s="37">
        <f t="shared" si="29"/>
        <v>2300</v>
      </c>
      <c r="AA35" s="37">
        <f t="shared" si="30"/>
        <v>1190</v>
      </c>
      <c r="AB35" s="37">
        <f t="shared" si="31"/>
        <v>3680</v>
      </c>
      <c r="AC35" s="37">
        <f t="shared" si="32"/>
        <v>3310</v>
      </c>
      <c r="AD35" s="35">
        <f t="shared" si="33"/>
        <v>27220</v>
      </c>
      <c r="AF35" s="20">
        <f t="shared" si="1"/>
        <v>2.9</v>
      </c>
      <c r="AG35" s="20">
        <f t="shared" si="2"/>
        <v>9.4500000000000011</v>
      </c>
      <c r="AH35" s="20">
        <f t="shared" si="3"/>
        <v>17.2</v>
      </c>
      <c r="AI35" s="20">
        <f t="shared" si="4"/>
        <v>7.15</v>
      </c>
      <c r="AJ35" s="20">
        <f t="shared" si="5"/>
        <v>12.25</v>
      </c>
      <c r="AK35" s="20">
        <f t="shared" si="6"/>
        <v>9.2000000000000011</v>
      </c>
      <c r="AL35" s="20">
        <f t="shared" si="7"/>
        <v>10.25</v>
      </c>
      <c r="AM35" s="20">
        <f t="shared" si="8"/>
        <v>6.3500000000000005</v>
      </c>
      <c r="AN35" s="20">
        <f t="shared" si="9"/>
        <v>8.9500000000000011</v>
      </c>
      <c r="AO35" s="20">
        <f t="shared" si="10"/>
        <v>11.5</v>
      </c>
      <c r="AP35" s="20">
        <f t="shared" si="11"/>
        <v>5.95</v>
      </c>
      <c r="AQ35" s="20">
        <f t="shared" si="12"/>
        <v>18.400000000000002</v>
      </c>
      <c r="AR35" s="20">
        <f t="shared" si="13"/>
        <v>16.55</v>
      </c>
      <c r="AS35" s="35">
        <f>SUM(AF35:AR35)</f>
        <v>136.10000000000002</v>
      </c>
      <c r="AT35" s="49"/>
      <c r="AV35" s="53">
        <v>0</v>
      </c>
      <c r="AW35" s="52">
        <f t="shared" si="14"/>
        <v>0</v>
      </c>
      <c r="AX35" s="54">
        <f t="shared" si="17"/>
        <v>0</v>
      </c>
      <c r="AY35" s="74">
        <v>950576</v>
      </c>
      <c r="AZ35" s="37">
        <f t="shared" si="18"/>
        <v>167900</v>
      </c>
      <c r="BA35" s="37">
        <f t="shared" si="19"/>
        <v>458.36700000000002</v>
      </c>
      <c r="BB35" s="47">
        <f t="shared" si="20"/>
        <v>203.69829480000001</v>
      </c>
    </row>
    <row r="36" spans="1:54" x14ac:dyDescent="0.25">
      <c r="A36" s="23">
        <v>43981</v>
      </c>
      <c r="B36" s="40">
        <v>12</v>
      </c>
      <c r="C36" s="24">
        <v>6021850</v>
      </c>
      <c r="D36" s="24">
        <v>13070420</v>
      </c>
      <c r="E36" s="24">
        <v>1760170</v>
      </c>
      <c r="F36" s="24">
        <v>2859520</v>
      </c>
      <c r="G36" s="24">
        <v>8794360</v>
      </c>
      <c r="H36" s="24">
        <v>4395340</v>
      </c>
      <c r="I36" s="24">
        <v>4222290</v>
      </c>
      <c r="J36" s="69">
        <v>4775270</v>
      </c>
      <c r="K36" s="24">
        <v>7520820</v>
      </c>
      <c r="L36" s="24">
        <v>2891850</v>
      </c>
      <c r="M36" s="24">
        <v>6788100</v>
      </c>
      <c r="N36" s="24">
        <v>9648260</v>
      </c>
      <c r="O36" s="24">
        <v>13108910</v>
      </c>
      <c r="Q36" s="37">
        <f t="shared" ref="Q36:AA36" si="37">IF((C36-C35&lt;0), "0",C36-C35)</f>
        <v>630</v>
      </c>
      <c r="R36" s="37">
        <f t="shared" si="22"/>
        <v>2060</v>
      </c>
      <c r="S36" s="37">
        <f t="shared" si="37"/>
        <v>3680</v>
      </c>
      <c r="T36" s="37">
        <f t="shared" si="37"/>
        <v>1550</v>
      </c>
      <c r="U36" s="37">
        <f t="shared" si="37"/>
        <v>2470</v>
      </c>
      <c r="V36" s="37">
        <f t="shared" si="37"/>
        <v>1890</v>
      </c>
      <c r="W36" s="37">
        <f t="shared" si="37"/>
        <v>2210</v>
      </c>
      <c r="X36" s="37">
        <f t="shared" si="27"/>
        <v>1380</v>
      </c>
      <c r="Y36" s="37">
        <f t="shared" si="37"/>
        <v>1670</v>
      </c>
      <c r="Z36" s="37">
        <f t="shared" si="37"/>
        <v>2550</v>
      </c>
      <c r="AA36" s="37">
        <f t="shared" si="37"/>
        <v>1130</v>
      </c>
      <c r="AB36" s="37">
        <f t="shared" si="31"/>
        <v>3870</v>
      </c>
      <c r="AC36" s="37">
        <f t="shared" si="32"/>
        <v>3490</v>
      </c>
      <c r="AD36" s="35">
        <f t="shared" si="33"/>
        <v>28580</v>
      </c>
      <c r="AF36" s="20">
        <f t="shared" si="1"/>
        <v>3.15</v>
      </c>
      <c r="AG36" s="20">
        <f t="shared" si="2"/>
        <v>10.3</v>
      </c>
      <c r="AH36" s="20">
        <f t="shared" si="3"/>
        <v>18.400000000000002</v>
      </c>
      <c r="AI36" s="20">
        <f t="shared" si="4"/>
        <v>7.75</v>
      </c>
      <c r="AJ36" s="20">
        <f t="shared" si="5"/>
        <v>12.35</v>
      </c>
      <c r="AK36" s="20">
        <f t="shared" si="6"/>
        <v>9.4500000000000011</v>
      </c>
      <c r="AL36" s="20">
        <f t="shared" si="7"/>
        <v>11.05</v>
      </c>
      <c r="AM36" s="20">
        <f t="shared" si="8"/>
        <v>6.9</v>
      </c>
      <c r="AN36" s="20">
        <f t="shared" si="9"/>
        <v>8.35</v>
      </c>
      <c r="AO36" s="20">
        <f t="shared" si="10"/>
        <v>12.75</v>
      </c>
      <c r="AP36" s="20">
        <f t="shared" si="11"/>
        <v>5.65</v>
      </c>
      <c r="AQ36" s="20">
        <f t="shared" si="12"/>
        <v>19.350000000000001</v>
      </c>
      <c r="AR36" s="20">
        <f t="shared" si="13"/>
        <v>17.45</v>
      </c>
      <c r="AS36" s="35">
        <f>SUM(AF36:AR36)</f>
        <v>142.9</v>
      </c>
      <c r="AT36" s="49"/>
      <c r="AV36" s="53">
        <v>0</v>
      </c>
      <c r="AW36" s="52">
        <f t="shared" si="14"/>
        <v>0</v>
      </c>
      <c r="AX36" s="54">
        <f t="shared" si="17"/>
        <v>0</v>
      </c>
      <c r="AY36" s="74">
        <v>951495</v>
      </c>
      <c r="AZ36" s="37">
        <f t="shared" si="18"/>
        <v>91900</v>
      </c>
      <c r="BA36" s="37">
        <f t="shared" si="19"/>
        <v>250.887</v>
      </c>
      <c r="BB36" s="47">
        <f t="shared" si="20"/>
        <v>111.4941828</v>
      </c>
    </row>
    <row r="37" spans="1:54" x14ac:dyDescent="0.25">
      <c r="A37" s="23">
        <v>43982</v>
      </c>
      <c r="B37" s="40">
        <v>12</v>
      </c>
      <c r="C37" s="24">
        <v>6022430</v>
      </c>
      <c r="D37" s="24">
        <v>13072330</v>
      </c>
      <c r="E37" s="24">
        <v>1763550</v>
      </c>
      <c r="F37" s="24">
        <v>2860970</v>
      </c>
      <c r="G37" s="24">
        <v>8796590</v>
      </c>
      <c r="H37" s="24">
        <v>4397160</v>
      </c>
      <c r="I37" s="24">
        <v>4224340</v>
      </c>
      <c r="J37" s="24">
        <v>4776540</v>
      </c>
      <c r="K37" s="24">
        <v>7522320</v>
      </c>
      <c r="L37" s="24">
        <v>2894190</v>
      </c>
      <c r="M37" s="24">
        <v>6789070</v>
      </c>
      <c r="N37" s="24">
        <v>9651940</v>
      </c>
      <c r="O37" s="24">
        <v>13111940</v>
      </c>
      <c r="Q37" s="37">
        <f t="shared" ref="Q37" si="38">IF((C37-C36&lt;0), "0",C37-C36)</f>
        <v>580</v>
      </c>
      <c r="R37" s="37">
        <f t="shared" si="22"/>
        <v>1910</v>
      </c>
      <c r="S37" s="37">
        <f t="shared" ref="S37" si="39">IF((E37-E36&lt;0), "0",E37-E36)</f>
        <v>3380</v>
      </c>
      <c r="T37" s="37">
        <f t="shared" ref="T37" si="40">IF((F37-F36&lt;0), "0",F37-F36)</f>
        <v>1450</v>
      </c>
      <c r="U37" s="37">
        <f t="shared" ref="U37" si="41">IF((G37-G36&lt;0), "0",G37-G36)</f>
        <v>2230</v>
      </c>
      <c r="V37" s="37">
        <f t="shared" ref="V37" si="42">IF((H37-H36&lt;0), "0",H37-H36)</f>
        <v>1820</v>
      </c>
      <c r="W37" s="37">
        <f t="shared" ref="W37" si="43">IF((I37-I36&lt;0), "0",I37-I36)</f>
        <v>2050</v>
      </c>
      <c r="X37" s="37">
        <f t="shared" si="27"/>
        <v>1270</v>
      </c>
      <c r="Y37" s="37">
        <f t="shared" ref="Y37" si="44">IF((K37-K36&lt;0), "0",K37-K36)</f>
        <v>1500</v>
      </c>
      <c r="Z37" s="37">
        <f t="shared" ref="Z37" si="45">IF((L37-L36&lt;0), "0",L37-L36)</f>
        <v>2340</v>
      </c>
      <c r="AA37" s="37">
        <f t="shared" ref="AA37" si="46">IF((M37-M36&lt;0), "0",M37-M36)</f>
        <v>970</v>
      </c>
      <c r="AB37" s="37">
        <f t="shared" si="31"/>
        <v>3680</v>
      </c>
      <c r="AC37" s="37">
        <f t="shared" si="32"/>
        <v>3030</v>
      </c>
      <c r="AD37" s="35">
        <f t="shared" si="33"/>
        <v>26210</v>
      </c>
      <c r="AF37" s="20">
        <f t="shared" ref="AF37" si="47">Q37*$D$39</f>
        <v>2.9</v>
      </c>
      <c r="AG37" s="20">
        <f t="shared" ref="AG37" si="48">R37*$D$39</f>
        <v>9.5500000000000007</v>
      </c>
      <c r="AH37" s="20">
        <f t="shared" ref="AH37" si="49">S37*$D$39</f>
        <v>16.899999999999999</v>
      </c>
      <c r="AI37" s="20">
        <f t="shared" ref="AI37" si="50">T37*$D$39</f>
        <v>7.25</v>
      </c>
      <c r="AJ37" s="20">
        <f t="shared" ref="AJ37" si="51">U37*$D$39</f>
        <v>11.15</v>
      </c>
      <c r="AK37" s="20">
        <f t="shared" ref="AK37" si="52">V37*$D$39</f>
        <v>9.1</v>
      </c>
      <c r="AL37" s="20">
        <f t="shared" ref="AL37" si="53">W37*$D$39</f>
        <v>10.25</v>
      </c>
      <c r="AM37" s="20">
        <f t="shared" ref="AM37" si="54">X37*$D$39</f>
        <v>6.3500000000000005</v>
      </c>
      <c r="AN37" s="20">
        <f t="shared" ref="AN37" si="55">Y37*$D$39</f>
        <v>7.5</v>
      </c>
      <c r="AO37" s="20">
        <f t="shared" ref="AO37" si="56">Z37*$D$39</f>
        <v>11.700000000000001</v>
      </c>
      <c r="AP37" s="20">
        <f t="shared" ref="AP37" si="57">AA37*$D$39</f>
        <v>4.8500000000000005</v>
      </c>
      <c r="AQ37" s="20">
        <f t="shared" ref="AQ37" si="58">AB37*$D$39</f>
        <v>18.400000000000002</v>
      </c>
      <c r="AR37" s="20">
        <f t="shared" ref="AR37" si="59">AC37*$D$39</f>
        <v>15.15</v>
      </c>
      <c r="AS37" s="35">
        <f>SUM(AF37:AR37)</f>
        <v>131.04999999999998</v>
      </c>
      <c r="AT37" s="49"/>
      <c r="AV37" s="53">
        <v>0</v>
      </c>
      <c r="AW37" s="52">
        <f t="shared" si="14"/>
        <v>0</v>
      </c>
      <c r="AX37" s="54">
        <f t="shared" si="17"/>
        <v>0</v>
      </c>
      <c r="AY37" s="74">
        <v>952372</v>
      </c>
      <c r="AZ37" s="37">
        <f t="shared" si="18"/>
        <v>87700</v>
      </c>
      <c r="BA37" s="37">
        <f t="shared" si="19"/>
        <v>239.42099999999999</v>
      </c>
      <c r="BB37" s="47">
        <f t="shared" si="20"/>
        <v>106.3986924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17760</v>
      </c>
      <c r="R38" s="38">
        <f t="shared" ref="R38:AD38" si="60">SUM(R7:R37)</f>
        <v>58450</v>
      </c>
      <c r="S38" s="38">
        <f t="shared" si="60"/>
        <v>95200</v>
      </c>
      <c r="T38" s="38">
        <f t="shared" si="60"/>
        <v>43140</v>
      </c>
      <c r="U38" s="38">
        <f t="shared" si="60"/>
        <v>78060</v>
      </c>
      <c r="V38" s="38">
        <f t="shared" si="60"/>
        <v>61080</v>
      </c>
      <c r="W38" s="38">
        <f t="shared" si="60"/>
        <v>62110</v>
      </c>
      <c r="X38" s="38">
        <f t="shared" si="60"/>
        <v>38470</v>
      </c>
      <c r="Y38" s="38">
        <f t="shared" si="60"/>
        <v>52930</v>
      </c>
      <c r="Z38" s="38">
        <f t="shared" si="60"/>
        <v>71480</v>
      </c>
      <c r="AA38" s="38">
        <f t="shared" si="60"/>
        <v>38000</v>
      </c>
      <c r="AB38" s="38">
        <f t="shared" si="60"/>
        <v>100100</v>
      </c>
      <c r="AC38" s="38">
        <f t="shared" si="60"/>
        <v>93070</v>
      </c>
      <c r="AD38" s="38">
        <f t="shared" si="60"/>
        <v>809850</v>
      </c>
      <c r="AF38" s="35">
        <f>SUM(AF7:AF37)</f>
        <v>88.800000000000011</v>
      </c>
      <c r="AG38" s="35">
        <f t="shared" ref="AG38:AT38" si="61">SUM(AG7:AG37)</f>
        <v>292.25</v>
      </c>
      <c r="AH38" s="35">
        <f t="shared" si="61"/>
        <v>476</v>
      </c>
      <c r="AI38" s="35">
        <f t="shared" si="61"/>
        <v>215.7</v>
      </c>
      <c r="AJ38" s="35">
        <f t="shared" si="61"/>
        <v>390.2999999999999</v>
      </c>
      <c r="AK38" s="35">
        <f t="shared" si="61"/>
        <v>305.39999999999998</v>
      </c>
      <c r="AL38" s="35">
        <f t="shared" si="61"/>
        <v>310.55</v>
      </c>
      <c r="AM38" s="35">
        <f t="shared" si="61"/>
        <v>192.35</v>
      </c>
      <c r="AN38" s="35">
        <f t="shared" si="61"/>
        <v>264.64999999999998</v>
      </c>
      <c r="AO38" s="35">
        <f t="shared" si="61"/>
        <v>357.4</v>
      </c>
      <c r="AP38" s="35">
        <f t="shared" si="61"/>
        <v>189.99999999999994</v>
      </c>
      <c r="AQ38" s="35">
        <f t="shared" si="61"/>
        <v>500.49999999999994</v>
      </c>
      <c r="AR38" s="35">
        <f t="shared" si="61"/>
        <v>465.34999999999997</v>
      </c>
      <c r="AS38" s="35">
        <f t="shared" si="61"/>
        <v>4049.25</v>
      </c>
      <c r="AT38" s="50">
        <f t="shared" si="61"/>
        <v>0</v>
      </c>
      <c r="AV38" s="53">
        <v>0</v>
      </c>
      <c r="AW38" s="52">
        <f t="shared" si="14"/>
        <v>0</v>
      </c>
      <c r="AX38" s="54">
        <f t="shared" si="17"/>
        <v>0</v>
      </c>
      <c r="AY38" s="56"/>
      <c r="AZ38" s="37">
        <f t="shared" si="18"/>
        <v>0</v>
      </c>
      <c r="BA38" s="37">
        <f>SUM(BA7:BA37)</f>
        <v>12793.326000000001</v>
      </c>
      <c r="BB38" s="47">
        <f t="shared" si="20"/>
        <v>5685.3540744000011</v>
      </c>
    </row>
    <row r="39" spans="1:54" x14ac:dyDescent="0.25">
      <c r="B39" s="39">
        <f>SUM(B7:B37)</f>
        <v>285</v>
      </c>
      <c r="D39">
        <v>5.0000000000000001E-3</v>
      </c>
      <c r="AV39" s="53">
        <v>0</v>
      </c>
      <c r="AW39" s="52">
        <f t="shared" si="14"/>
        <v>0</v>
      </c>
      <c r="AX39" s="54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1">
        <v>0.52800000000000002</v>
      </c>
      <c r="AX44" s="51">
        <v>3.79E-3</v>
      </c>
      <c r="AY44" s="5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