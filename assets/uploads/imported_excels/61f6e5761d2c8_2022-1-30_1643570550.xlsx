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M3" i="7" l="1"/>
  <c r="T7" i="10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M23" i="7" s="1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4" i="7" l="1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<sst xmlns="http://schemas.openxmlformats.org/spreadsheetml/2006/main" count="315" uniqueCount="148">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</sst>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6"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2022</v>
      </c>
      <c r="E2" s="12">
        <f>Submetering!E2+Submetering!F2+Submetering!G2+Submetering!H2+Submetering!J2-Submetering!AV2</f>
        <v>11149.999999999323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84.600000000002183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2022</v>
      </c>
      <c r="E3" s="12">
        <f>Submetering!E3+Submetering!F3+Submetering!G3+Submetering!H3+Submetering!J3-Submetering!AV3</f>
        <v>11450.0000000005</v>
      </c>
      <c r="F3" s="11">
        <f>F2</f>
        <v>0.58765030286592534</v>
      </c>
      <c r="G3" s="12">
        <f>(Submetering!AX3+Submetering!AY3+Submetering!AZ3+Submetering!BA3+Submetering!BB3)</f>
        <v>23.8095</v>
      </c>
      <c r="H3" s="11">
        <f>H2</f>
        <v>0.99</v>
      </c>
      <c r="I3" s="12">
        <f>'FS Desroches Daily'!CM5</f>
        <v>114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2022</v>
      </c>
      <c r="E4" s="12">
        <f>Submetering!E4+Submetering!F4+Submetering!G4+Submetering!H4+Submetering!J4-Submetering!AV4</f>
        <v>12289.999999999864</v>
      </c>
      <c r="F4" s="11">
        <f t="shared" ref="F4:F32" si="1">F3</f>
        <v>0.58765030286592534</v>
      </c>
      <c r="G4" s="12">
        <f>(Submetering!AX4+Submetering!AY4+Submetering!AZ4+Submetering!BA4+Submetering!BB4)</f>
        <v>18.314999999999998</v>
      </c>
      <c r="H4" s="11">
        <f t="shared" ref="H4:H32" si="2">H3</f>
        <v>0.99</v>
      </c>
      <c r="I4" s="12">
        <f>'FS Desroches Daily'!CM6</f>
        <v>100.20000000000073</v>
      </c>
      <c r="J4" s="11">
        <f t="shared" ref="J4:J32" si="3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2022</v>
      </c>
      <c r="E5" s="12">
        <f>Submetering!E5+Submetering!F5+Submetering!G5+Submetering!H5+Submetering!J5-Submetering!AV5</f>
        <v>12570.000000000515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95</v>
      </c>
      <c r="J5" s="11">
        <f t="shared" si="3"/>
        <v>10.487297712684205</v>
      </c>
      <c r="K5" s="13">
        <f>'FS Desroches Daily'!CN7</f>
        <v>23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2022</v>
      </c>
      <c r="E6" s="12">
        <f>Submetering!E6+Submetering!F6+Submetering!G6+Submetering!H6+Submetering!J6-Submetering!AV6</f>
        <v>12079.999999999931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'FS Desroches Daily'!CM8</f>
        <v>96.399999999997817</v>
      </c>
      <c r="J6" s="11">
        <f t="shared" si="3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2022</v>
      </c>
      <c r="E7" s="12">
        <f>Submetering!E7+Submetering!F7+Submetering!G7+Submetering!H7+Submetering!J7-Submetering!AV7</f>
        <v>12029.999999999342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88.900000000001455</v>
      </c>
      <c r="J7" s="11">
        <f t="shared" si="3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2022</v>
      </c>
      <c r="E8" s="12">
        <f>Submetering!E8+Submetering!F8+Submetering!G8+Submetering!H8+Submetering!J8-Submetering!AV8</f>
        <v>12540.000000000273</v>
      </c>
      <c r="F8" s="11">
        <f t="shared" si="1"/>
        <v>0.58765030286592534</v>
      </c>
      <c r="G8" s="12">
        <f>(Submetering!AX8+Submetering!AY8+Submetering!AZ8+Submetering!BA8+Submetering!BB8)</f>
        <v>34.798499999999997</v>
      </c>
      <c r="H8" s="11">
        <f t="shared" si="2"/>
        <v>0.99</v>
      </c>
      <c r="I8" s="12">
        <f>'FS Desroches Daily'!CM10</f>
        <v>91</v>
      </c>
      <c r="J8" s="11">
        <f t="shared" si="3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2022</v>
      </c>
      <c r="E9" s="12">
        <f>Submetering!E9+Submetering!F9+Submetering!G9+Submetering!H9+Submetering!J9-Submetering!AV9</f>
        <v>11929.999999999985</v>
      </c>
      <c r="F9" s="11">
        <f t="shared" si="1"/>
        <v>0.58765030286592534</v>
      </c>
      <c r="G9" s="12">
        <f>(Submetering!AX9+Submetering!AY9+Submetering!AZ9+Submetering!BA9+Submetering!BB9)</f>
        <v>40.292999999999999</v>
      </c>
      <c r="H9" s="11">
        <f t="shared" si="2"/>
        <v>0.99</v>
      </c>
      <c r="I9" s="12">
        <f>'FS Desroches Daily'!CM11</f>
        <v>73.299999999999272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2022</v>
      </c>
      <c r="E10" s="12">
        <f>Submetering!E10+Submetering!F10+Submetering!G10+Submetering!H10+Submetering!J10-Submetering!AV10</f>
        <v>13039.999999999962</v>
      </c>
      <c r="F10" s="11">
        <f t="shared" si="1"/>
        <v>0.58765030286592534</v>
      </c>
      <c r="G10" s="12">
        <f>(Submetering!AX10+Submetering!AY10+Submetering!AZ10+Submetering!BA10+Submetering!BB10)</f>
        <v>32.966999999999999</v>
      </c>
      <c r="H10" s="11">
        <f t="shared" si="2"/>
        <v>0.99</v>
      </c>
      <c r="I10" s="12">
        <f>'FS Desroches Daily'!CM12</f>
        <v>75</v>
      </c>
      <c r="J10" s="11">
        <f t="shared" si="3"/>
        <v>10.487297712684205</v>
      </c>
      <c r="K10" s="13">
        <f>'FS Desroches Daily'!CN12</f>
        <v>23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2022</v>
      </c>
      <c r="E11" s="12">
        <f>Submetering!E11+Submetering!F11+Submetering!G11+Submetering!H11+Submetering!J11-Submetering!AV11</f>
        <v>10540.000000000131</v>
      </c>
      <c r="F11" s="11">
        <f t="shared" si="1"/>
        <v>0.58765030286592534</v>
      </c>
      <c r="G11" s="12">
        <f>(Submetering!AX11+Submetering!AY11+Submetering!AZ11+Submetering!BA11+Submetering!BB11)</f>
        <v>23.809499999999996</v>
      </c>
      <c r="H11" s="11">
        <f t="shared" si="2"/>
        <v>0.99</v>
      </c>
      <c r="I11" s="12">
        <f>'FS Desroches Daily'!CM13</f>
        <v>77.200000000000728</v>
      </c>
      <c r="J11" s="11">
        <f t="shared" si="3"/>
        <v>10.487297712684205</v>
      </c>
      <c r="K11" s="13">
        <f>'FS Desroches Daily'!CN13</f>
        <v>23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2022</v>
      </c>
      <c r="E12" s="12">
        <f>Submetering!E12+Submetering!F12+Submetering!G12+Submetering!H12+Submetering!J12-Submetering!AV12</f>
        <v>10919.999999999836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80.799999999999272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2022</v>
      </c>
      <c r="E13" s="12">
        <f>Submetering!E13+Submetering!F13+Submetering!G13+Submetering!H13+Submetering!J13-Submetering!AV13</f>
        <v>11680.000000000196</v>
      </c>
      <c r="F13" s="11">
        <f t="shared" si="1"/>
        <v>0.58765030286592534</v>
      </c>
      <c r="G13" s="12">
        <f>(Submetering!AX13+Submetering!AY13+Submetering!AZ13+Submetering!BA13+Submetering!BB13)</f>
        <v>21.977999999999998</v>
      </c>
      <c r="H13" s="11">
        <f t="shared" si="2"/>
        <v>0.99</v>
      </c>
      <c r="I13" s="12">
        <f>'FS Desroches Daily'!CM15</f>
        <v>97</v>
      </c>
      <c r="J13" s="11">
        <f t="shared" si="3"/>
        <v>10.487297712684205</v>
      </c>
      <c r="K13" s="13">
        <f>'FS Desroches Daily'!CN15</f>
        <v>18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2022</v>
      </c>
      <c r="E14" s="12">
        <f>Submetering!E14+Submetering!F14+Submetering!G14+Submetering!H14+Submetering!J14-Submetering!AV14</f>
        <v>11450.000000000022</v>
      </c>
      <c r="F14" s="11">
        <f t="shared" si="1"/>
        <v>0.58765030286592534</v>
      </c>
      <c r="G14" s="12">
        <f>(Submetering!AX14+Submetering!AY14+Submetering!AZ14+Submetering!BA14+Submetering!BB14)</f>
        <v>21.977999999999998</v>
      </c>
      <c r="H14" s="11">
        <f t="shared" si="2"/>
        <v>0.99</v>
      </c>
      <c r="I14" s="12">
        <f>'FS Desroches Daily'!CM16</f>
        <v>85.599999999998545</v>
      </c>
      <c r="J14" s="11">
        <f t="shared" si="3"/>
        <v>10.487297712684205</v>
      </c>
      <c r="K14" s="13">
        <f>'FS Desroches Daily'!CN16</f>
        <v>16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2022</v>
      </c>
      <c r="E15" s="12">
        <f>Submetering!E15+Submetering!F15+Submetering!G15+Submetering!H15+Submetering!J15-Submetering!AV15</f>
        <v>10509.999999999633</v>
      </c>
      <c r="F15" s="11">
        <f t="shared" si="1"/>
        <v>0.58765030286592534</v>
      </c>
      <c r="G15" s="12">
        <f>(Submetering!AX15+Submetering!AY15+Submetering!AZ15+Submetering!BA15+Submetering!BB15)</f>
        <v>18.314999999999998</v>
      </c>
      <c r="H15" s="11">
        <f t="shared" si="2"/>
        <v>0.99</v>
      </c>
      <c r="I15" s="12">
        <f>'FS Desroches Daily'!CM17</f>
        <v>96.400000000001455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2022</v>
      </c>
      <c r="E16" s="12">
        <f>Submetering!E16+Submetering!F16+Submetering!G16+Submetering!H16+Submetering!J16-Submetering!AV16</f>
        <v>9680.0000000000036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83.099999999998545</v>
      </c>
      <c r="J16" s="11">
        <f t="shared" si="3"/>
        <v>10.487297712684205</v>
      </c>
      <c r="K16" s="13">
        <f>'FS Desroches Daily'!CN18</f>
        <v>17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2022</v>
      </c>
      <c r="E17" s="12">
        <f>Submetering!E17+Submetering!F17+Submetering!G17+Submetering!H17+Submetering!J17-Submetering!AV17</f>
        <v>11429.999999999853</v>
      </c>
      <c r="F17" s="11">
        <f t="shared" si="1"/>
        <v>0.58765030286592534</v>
      </c>
      <c r="G17" s="12">
        <f>(Submetering!AX17+Submetering!AY17+Submetering!AZ17+Submetering!BA17+Submetering!BB17)</f>
        <v>27.472499999999997</v>
      </c>
      <c r="H17" s="11">
        <f t="shared" si="2"/>
        <v>0.99</v>
      </c>
      <c r="I17" s="12">
        <f>'FS Desroches Daily'!CM19</f>
        <v>79.900000000001455</v>
      </c>
      <c r="J17" s="11">
        <f t="shared" si="3"/>
        <v>10.487297712684205</v>
      </c>
      <c r="K17" s="13">
        <f>'FS Desroches Daily'!CN19</f>
        <v>14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2022</v>
      </c>
      <c r="E18" s="12">
        <f>Submetering!E18+Submetering!F18+Submetering!G18+Submetering!H18+Submetering!J18-Submetering!AV18</f>
        <v>11790.000000000397</v>
      </c>
      <c r="F18" s="11">
        <f t="shared" si="1"/>
        <v>0.58765030286592534</v>
      </c>
      <c r="G18" s="12">
        <f>(Submetering!AX18+Submetering!AY18+Submetering!AZ18+Submetering!BA18+Submetering!BB18)</f>
        <v>21.977999999999998</v>
      </c>
      <c r="H18" s="11">
        <f t="shared" si="2"/>
        <v>0.99</v>
      </c>
      <c r="I18" s="12">
        <f>'FS Desroches Daily'!CM20</f>
        <v>79.69999999999709</v>
      </c>
      <c r="J18" s="11">
        <f t="shared" si="3"/>
        <v>10.487297712684205</v>
      </c>
      <c r="K18" s="13">
        <f>'FS Desroches Daily'!CN20</f>
        <v>19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2022</v>
      </c>
      <c r="E19" s="12">
        <f>Submetering!E19+Submetering!F19+Submetering!G19+Submetering!H19+Submetering!J19-Submetering!AV19</f>
        <v>12570.000000000106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93.900000000001455</v>
      </c>
      <c r="J19" s="11">
        <f t="shared" si="3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2022</v>
      </c>
      <c r="E20" s="12">
        <f>Submetering!E20+Submetering!F20+Submetering!G20+Submetering!H20+Submetering!J20-Submetering!AV20</f>
        <v>12079.999999999931</v>
      </c>
      <c r="F20" s="11">
        <f t="shared" si="1"/>
        <v>0.58765030286592534</v>
      </c>
      <c r="G20" s="12">
        <f>(Submetering!AX20+Submetering!AY20+Submetering!AZ20+Submetering!BA20+Submetering!BB20)</f>
        <v>18.314999999999998</v>
      </c>
      <c r="H20" s="11">
        <f t="shared" si="2"/>
        <v>0.99</v>
      </c>
      <c r="I20" s="12">
        <f>'FS Desroches Daily'!CM22</f>
        <v>81.400000000001455</v>
      </c>
      <c r="J20" s="11">
        <f t="shared" si="3"/>
        <v>10.487297712684205</v>
      </c>
      <c r="K20" s="13">
        <f>'FS Desroches Daily'!CN22</f>
        <v>17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2022</v>
      </c>
      <c r="E21" s="12">
        <f>Submetering!E21+Submetering!F21+Submetering!G21+Submetering!H21+Submetering!J21-Submetering!AV21</f>
        <v>12469.999999999894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78.200000000000728</v>
      </c>
      <c r="J21" s="11">
        <f t="shared" si="3"/>
        <v>10.487297712684205</v>
      </c>
      <c r="K21" s="13">
        <f>'FS Desroches Daily'!CN23</f>
        <v>17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2022</v>
      </c>
      <c r="E22" s="12">
        <f>Submetering!E22+Submetering!F22+Submetering!G22+Submetering!H22+Submetering!J22-Submetering!AV22</f>
        <v>12079.999999999674</v>
      </c>
      <c r="F22" s="11">
        <f t="shared" si="1"/>
        <v>0.58765030286592534</v>
      </c>
      <c r="G22" s="12">
        <f>(Submetering!AX22+Submetering!AY22+Submetering!AZ22+Submetering!BA22+Submetering!BB22)</f>
        <v>14.651999999999999</v>
      </c>
      <c r="H22" s="11">
        <f t="shared" si="2"/>
        <v>0.99</v>
      </c>
      <c r="I22" s="12">
        <f>'FS Desroches Daily'!CM24</f>
        <v>69.799999999999272</v>
      </c>
      <c r="J22" s="11">
        <f t="shared" si="3"/>
        <v>10.487297712684205</v>
      </c>
      <c r="K22" s="13">
        <f>'FS Desroches Daily'!CN24</f>
        <v>18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2022</v>
      </c>
      <c r="E23" s="12">
        <f>Submetering!E23+Submetering!F23+Submetering!G23+Submetering!H23+Submetering!J23-Submetering!AV23</f>
        <v>11460.000000000491</v>
      </c>
      <c r="F23" s="11">
        <f t="shared" si="1"/>
        <v>0.58765030286592534</v>
      </c>
      <c r="G23" s="12">
        <f>(Submetering!AX23+Submetering!AY23+Submetering!AZ23+Submetering!BA23+Submetering!BB23)</f>
        <v>18.314999999999998</v>
      </c>
      <c r="H23" s="11">
        <f t="shared" si="2"/>
        <v>0.99</v>
      </c>
      <c r="I23" s="12">
        <f>'FS Desroches Daily'!CM25</f>
        <v>73.700000000000728</v>
      </c>
      <c r="J23" s="11">
        <f t="shared" si="3"/>
        <v>10.487297712684205</v>
      </c>
      <c r="K23" s="13">
        <f>'FS Desroches Daily'!CN25</f>
        <v>18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2022</v>
      </c>
      <c r="E24" s="12">
        <f>Submetering!E24+Submetering!F24+Submetering!G24+Submetering!H24+Submetering!J24-Submetering!AV24</f>
        <v>13010.000000000025</v>
      </c>
      <c r="F24" s="11">
        <f t="shared" si="1"/>
        <v>0.58765030286592534</v>
      </c>
      <c r="G24" s="12">
        <f>(Submetering!AX24+Submetering!AY24+Submetering!AZ24+Submetering!BA24+Submetering!BB24)</f>
        <v>25.640999999999998</v>
      </c>
      <c r="H24" s="11">
        <f t="shared" si="2"/>
        <v>0.99</v>
      </c>
      <c r="I24" s="12">
        <f>'FS Desroches Daily'!CM26</f>
        <v>82.299999999999272</v>
      </c>
      <c r="J24" s="11">
        <f t="shared" si="3"/>
        <v>10.487297712684205</v>
      </c>
      <c r="K24" s="13">
        <f>'FS Desroches Daily'!CN26</f>
        <v>22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2022</v>
      </c>
      <c r="E25" s="12">
        <f>Submetering!E25+Submetering!F25+Submetering!G25+Submetering!H25+Submetering!J25-Submetering!AV25</f>
        <v>11569.999999999516</v>
      </c>
      <c r="F25" s="11">
        <f t="shared" si="1"/>
        <v>0.58765030286592534</v>
      </c>
      <c r="G25" s="12">
        <f>(Submetering!AX25+Submetering!AY25+Submetering!AZ25+Submetering!BA25+Submetering!BB25)</f>
        <v>20.1465</v>
      </c>
      <c r="H25" s="11">
        <f t="shared" si="2"/>
        <v>0.99</v>
      </c>
      <c r="I25" s="12">
        <f>'FS Desroches Daily'!CM27</f>
        <v>83</v>
      </c>
      <c r="J25" s="11">
        <f t="shared" si="3"/>
        <v>10.487297712684205</v>
      </c>
      <c r="K25" s="13">
        <f>'FS Desroches Daily'!CN27</f>
        <v>22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2022</v>
      </c>
      <c r="E26" s="12">
        <f>Submetering!E26+Submetering!F26+Submetering!G26+Submetering!H26+Submetering!J26-Submetering!AV26</f>
        <v>11030.000000000562</v>
      </c>
      <c r="F26" s="11">
        <f t="shared" si="1"/>
        <v>0.58765030286592534</v>
      </c>
      <c r="G26" s="12">
        <f>(Submetering!AX26+Submetering!AY26+Submetering!AZ26+Submetering!BA26+Submetering!BB26)</f>
        <v>20.1465</v>
      </c>
      <c r="H26" s="11">
        <f t="shared" si="2"/>
        <v>0.99</v>
      </c>
      <c r="I26" s="12">
        <f>'FS Desroches Daily'!CM28</f>
        <v>77</v>
      </c>
      <c r="J26" s="11">
        <f t="shared" si="3"/>
        <v>10.487297712684205</v>
      </c>
      <c r="K26" s="13">
        <f>'FS Desroches Daily'!CN28</f>
        <v>22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2022</v>
      </c>
      <c r="E27" s="12">
        <f>Submetering!E27+Submetering!F27+Submetering!G27+Submetering!H27+Submetering!J27-Submetering!AV27</f>
        <v>10579.999999999571</v>
      </c>
      <c r="F27" s="11">
        <f t="shared" si="1"/>
        <v>0.58765030286592534</v>
      </c>
      <c r="G27" s="12">
        <f>(Submetering!AX27+Submetering!AY27+Submetering!AZ27+Submetering!BA27+Submetering!BB27)</f>
        <v>36.629999999999995</v>
      </c>
      <c r="H27" s="11">
        <f t="shared" si="2"/>
        <v>0.99</v>
      </c>
      <c r="I27" s="12">
        <f>'FS Desroches Daily'!CM29</f>
        <v>67</v>
      </c>
      <c r="J27" s="11">
        <f t="shared" si="3"/>
        <v>10.487297712684205</v>
      </c>
      <c r="K27" s="13">
        <f>'FS Desroches Daily'!CN29</f>
        <v>31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2022</v>
      </c>
      <c r="E28" s="12">
        <f>Submetering!E28+Submetering!F28+Submetering!G28+Submetering!H28+Submetering!J28-Submetering!AV28</f>
        <v>10620.000000000171</v>
      </c>
      <c r="F28" s="11">
        <f t="shared" si="1"/>
        <v>0.58765030286592534</v>
      </c>
      <c r="G28" s="12">
        <f>(Submetering!AX28+Submetering!AY28+Submetering!AZ28+Submetering!BA28+Submetering!BB28)</f>
        <v>34.79849999999999</v>
      </c>
      <c r="H28" s="11">
        <f t="shared" si="2"/>
        <v>0.99</v>
      </c>
      <c r="I28" s="12">
        <f>'FS Desroches Daily'!CM30</f>
        <v>71</v>
      </c>
      <c r="J28" s="11">
        <f t="shared" si="3"/>
        <v>10.487297712684205</v>
      </c>
      <c r="K28" s="13">
        <f>'FS Desroches Daily'!CN30</f>
        <v>31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2022</v>
      </c>
      <c r="E29" s="12">
        <f>Submetering!E29+Submetering!F29+Submetering!G29+Submetering!H29+Submetering!J29-Submetering!AV29</f>
        <v>10060.000000000087</v>
      </c>
      <c r="F29" s="11">
        <f t="shared" si="1"/>
        <v>0.58765030286592534</v>
      </c>
      <c r="G29" s="12">
        <f>(Submetering!AX29+Submetering!AY29+Submetering!AZ29+Submetering!BA29+Submetering!BB29)</f>
        <v>7.3259999999999996</v>
      </c>
      <c r="H29" s="11">
        <f t="shared" si="2"/>
        <v>0.99</v>
      </c>
      <c r="I29" s="12">
        <f>'FS Desroches Daily'!CM31</f>
        <v>72</v>
      </c>
      <c r="J29" s="11">
        <f t="shared" si="3"/>
        <v>10.487297712684205</v>
      </c>
      <c r="K29" s="13">
        <f>'FS Desroches Daily'!CN31</f>
        <v>31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2022</v>
      </c>
      <c r="E30" s="12">
        <f>Submetering!E30+Submetering!F30+Submetering!G30+Submetering!H30+Submetering!J30-Submetering!AV30</f>
        <v>11019.999999999938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77.700000000000728</v>
      </c>
      <c r="J30" s="11">
        <f t="shared" si="3"/>
        <v>10.487297712684205</v>
      </c>
      <c r="K30" s="13">
        <f>'FS Desroches Daily'!CN32</f>
        <v>28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2022</v>
      </c>
      <c r="E31" s="12" t="e">
        <f>Submetering!E31+Submetering!F31+Submetering!G31+Submetering!H31+Submetering!J31-Submetering!AV31</f>
        <v>#VALUE!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 t="e">
        <f>'FS Desroches Daily'!CM33</f>
        <v>#VALUE!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2022</v>
      </c>
      <c r="E2" s="31">
        <f>'FS Desroches Daily'!D4</f>
        <v>3200.0000000000919</v>
      </c>
      <c r="F2" s="32">
        <f>'FS Desroches Daily'!F4</f>
        <v>3199.9999999996476</v>
      </c>
      <c r="G2" s="31">
        <f>'FS Desroches Daily'!H4</f>
        <v>3099.9999999998809</v>
      </c>
      <c r="H2" s="32">
        <f>'FS Desroches Daily'!J4</f>
        <v>1399.9999999998458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5</v>
      </c>
      <c r="L2" s="31">
        <f>'FS Desroches Daily'!R4</f>
        <v>5</v>
      </c>
      <c r="M2" s="31">
        <f>'FS Desroches Daily'!T4</f>
        <v>1.7000000000000455</v>
      </c>
      <c r="N2" s="31">
        <f>'FS Desroches Daily'!V4</f>
        <v>444.5</v>
      </c>
      <c r="O2" s="31">
        <f>'FS Desroches Daily'!X4</f>
        <v>329.99999999998408</v>
      </c>
      <c r="P2" s="31">
        <f>'FS Desroches Daily'!Z4</f>
        <v>3900.0000000002365</v>
      </c>
      <c r="Q2" s="31">
        <f>'FS Desroches Daily'!AB4</f>
        <v>459.99999999997954</v>
      </c>
      <c r="R2" s="31">
        <f>'FS Desroches Daily'!AD4</f>
        <v>490.00000000000909</v>
      </c>
      <c r="S2" s="31">
        <f>'FS Desroches Daily'!AF4</f>
        <v>460.00000000003638</v>
      </c>
      <c r="T2" s="31">
        <f>'FS Desroches Daily'!AH4</f>
        <v>30</v>
      </c>
      <c r="U2" s="35">
        <f>'FS Desroches Daily'!AJ4</f>
        <v>740.00000000000909</v>
      </c>
      <c r="V2" s="35">
        <f>'FS Desroches Daily'!AL4</f>
        <v>280.00000000000114</v>
      </c>
      <c r="W2" s="35">
        <f>'FS Desroches Daily'!AN4</f>
        <v>270.00000000001023</v>
      </c>
      <c r="X2" s="35">
        <f>'FS Desroches Daily'!AP4</f>
        <v>189.99999999999773</v>
      </c>
      <c r="Y2" s="35">
        <f>'FS Desroches Daily'!AR4</f>
        <v>220.00000000002728</v>
      </c>
      <c r="Z2" s="35">
        <f>'FS Desroches Daily'!AT4</f>
        <v>280.00000000002956</v>
      </c>
      <c r="AA2" s="35">
        <f>'FS Desroches Daily'!AT4</f>
        <v>280.00000000002956</v>
      </c>
      <c r="AB2" s="35">
        <f>'FS Desroches Daily'!AV4</f>
        <v>230.00000000001819</v>
      </c>
      <c r="AC2" s="35">
        <f>'FS Desroches Daily'!AZ4</f>
        <v>310.00000000000227</v>
      </c>
      <c r="AD2" s="35">
        <f>'FS Desroches Daily'!BB4</f>
        <v>189.99999999999773</v>
      </c>
      <c r="AE2" s="35">
        <f>'FS Desroches Daily'!BD4</f>
        <v>200.00000000004547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29.999999999972715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42</v>
      </c>
      <c r="AM2" s="32">
        <f>'FS Desroches Daily'!BT4</f>
        <v>50.000000000011369</v>
      </c>
      <c r="AN2" s="32">
        <f>'FS Desroches Daily'!BV4</f>
        <v>29</v>
      </c>
      <c r="AO2" s="32">
        <f>'FS Desroches Daily'!BX4</f>
        <v>19.99999999998181</v>
      </c>
      <c r="AP2" s="32">
        <f>'FS Desroches Daily'!BZ4</f>
        <v>21</v>
      </c>
      <c r="AQ2" s="31">
        <f>'FS Desroches Daily'!CB4</f>
        <v>51.400000000001455</v>
      </c>
      <c r="AR2" s="31">
        <f>'FS Desroches Daily'!CD4</f>
        <v>13</v>
      </c>
      <c r="AS2" s="31">
        <f>'FS Desroches Daily'!CF4</f>
        <v>4.6999999999998181</v>
      </c>
      <c r="AT2" s="31">
        <f>'FS Desroches Daily'!CH4</f>
        <v>21.099999999991269</v>
      </c>
      <c r="AU2" s="31">
        <f>'FS Desroches Daily'!CJ4</f>
        <v>278</v>
      </c>
      <c r="AV2" s="31">
        <f>'FS Desroches Daily'!CL4</f>
        <v>850.00000000002274</v>
      </c>
      <c r="AW2" s="31">
        <f>'FS Desroches Daily'!CM4</f>
        <v>84.600000000002183</v>
      </c>
      <c r="AX2" s="31">
        <f>IF(LPG!F9-LPG!F8&lt;0,"0",(LPG!F9-LPG!F8)*1.8315)</f>
        <v>3.6629999999999998</v>
      </c>
      <c r="AY2" s="31">
        <f>IF(LPG!H9-LPG!H8&lt;0,"0",(LPG!H9-LPG!H8)*1.8315)</f>
        <v>1.8314999999999999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1.8314999999999999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2022</v>
      </c>
      <c r="E3" s="31">
        <f>'FS Desroches Daily'!D5</f>
        <v>2200.0000000002019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1500.0000000000568</v>
      </c>
      <c r="I3" s="31">
        <f>'FS Desroches Daily'!L5</f>
        <v>2699.9999999999245</v>
      </c>
      <c r="J3" s="32">
        <f>'FS Desroches Daily'!N5</f>
        <v>1100.000000000101</v>
      </c>
      <c r="K3" s="13">
        <f>'FS Desroches Daily'!P5</f>
        <v>11</v>
      </c>
      <c r="L3" s="31">
        <f>'FS Desroches Daily'!R5</f>
        <v>1</v>
      </c>
      <c r="M3" s="31">
        <f>'FS Desroches Daily'!T5</f>
        <v>1</v>
      </c>
      <c r="N3" s="31">
        <f>'FS Desroches Daily'!V5</f>
        <v>464.29999999998836</v>
      </c>
      <c r="O3" s="31">
        <f>'FS Desroches Daily'!X6</f>
        <v>329.99999999998408</v>
      </c>
      <c r="P3" s="31">
        <f>'FS Desroches Daily'!Z5</f>
        <v>2299.9999999999686</v>
      </c>
      <c r="Q3" s="31">
        <f>'FS Desroches Daily'!AB5</f>
        <v>290.00000000002046</v>
      </c>
      <c r="R3" s="31">
        <f>'FS Desroches Daily'!AD5</f>
        <v>189.99999999999773</v>
      </c>
      <c r="S3" s="31">
        <f>'FS Desroches Daily'!AF5</f>
        <v>39.99999999996362</v>
      </c>
      <c r="T3" s="31">
        <f>'FS Desroches Daily'!AH5</f>
        <v>37</v>
      </c>
      <c r="U3" s="35">
        <f>'FS Desroches Daily'!AJ5</f>
        <v>560.00000000005912</v>
      </c>
      <c r="V3" s="35">
        <f>'FS Desroches Daily'!AL5</f>
        <v>280.00000000000114</v>
      </c>
      <c r="W3" s="35">
        <f>'FS Desroches Daily'!AN5</f>
        <v>250</v>
      </c>
      <c r="X3" s="35">
        <f>'FS Desroches Daily'!AP5</f>
        <v>169.99999999998749</v>
      </c>
      <c r="Y3" s="35">
        <f>'FS Desroches Daily'!AR5</f>
        <v>69.999999999993179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50.000000000011369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139.99999999998636</v>
      </c>
      <c r="AF3" s="31">
        <f>'FS Desroches Daily'!BF5</f>
        <v>49</v>
      </c>
      <c r="AG3" s="32">
        <f>'FS Desroches Daily'!BH5</f>
        <v>50.000000000011369</v>
      </c>
      <c r="AH3" s="32">
        <f>'FS Desroches Daily'!BJ5</f>
        <v>29.999999999972715</v>
      </c>
      <c r="AI3" s="32">
        <f>'FS Desroches Daily'!BL5</f>
        <v>60.000000000002274</v>
      </c>
      <c r="AJ3" s="32">
        <f>'FS Desroches Daily'!BN5</f>
        <v>39.999999999992042</v>
      </c>
      <c r="AK3" s="32">
        <f>'FS Desroches Daily'!BP5</f>
        <v>60.000000000002274</v>
      </c>
      <c r="AL3" s="32">
        <f>'FS Desroches Daily'!BR5</f>
        <v>14</v>
      </c>
      <c r="AM3" s="32">
        <f>'FS Desroches Daily'!BT5</f>
        <v>50.000000000011369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26</v>
      </c>
      <c r="AQ3" s="31">
        <f>'FS Desroches Daily'!CB5</f>
        <v>84.69999999999709</v>
      </c>
      <c r="AR3" s="31">
        <f>'FS Desroches Daily'!CD5</f>
        <v>12.899999999999636</v>
      </c>
      <c r="AS3" s="31">
        <f>'FS Desroches Daily'!CF5</f>
        <v>9.6000000000003638</v>
      </c>
      <c r="AT3" s="31">
        <f>'FS Desroches Daily'!CH5</f>
        <v>66.600000000005821</v>
      </c>
      <c r="AU3" s="31">
        <f>'FS Desroches Daily'!CJ5</f>
        <v>275</v>
      </c>
      <c r="AV3" s="31">
        <f>'FS Desroches Daily'!CL5</f>
        <v>549.99999999995453</v>
      </c>
      <c r="AW3" s="31">
        <f>'FS Desroches Daily'!CM5</f>
        <v>114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2022</v>
      </c>
      <c r="E4" s="31">
        <f>'FS Desroches Daily'!D6</f>
        <v>3600.0000000000477</v>
      </c>
      <c r="F4" s="32">
        <f>'FS Desroches Daily'!F6</f>
        <v>3400.0000000000696</v>
      </c>
      <c r="G4" s="31">
        <f>'FS Desroches Daily'!H6</f>
        <v>3099.9999999998809</v>
      </c>
      <c r="H4" s="32">
        <f>'FS Desroches Daily'!J6</f>
        <v>1600.0000000000459</v>
      </c>
      <c r="I4" s="31">
        <f>'FS Desroches Daily'!L6</f>
        <v>2199.9999999997576</v>
      </c>
      <c r="J4" s="32">
        <f>'FS Desroches Daily'!N6</f>
        <v>1299.9999999998568</v>
      </c>
      <c r="K4" s="13">
        <f>'FS Desroches Daily'!P6</f>
        <v>9</v>
      </c>
      <c r="L4" s="31">
        <f>'FS Desroches Daily'!R6</f>
        <v>4</v>
      </c>
      <c r="M4" s="31">
        <f>'FS Desroches Daily'!T6</f>
        <v>1.5</v>
      </c>
      <c r="N4" s="31">
        <f>'FS Desroches Daily'!V6</f>
        <v>529.79999999998836</v>
      </c>
      <c r="O4" s="31">
        <f>'FS Desroches Daily'!X7</f>
        <v>310.00000000000227</v>
      </c>
      <c r="P4" s="31">
        <f>'FS Desroches Daily'!Z6</f>
        <v>3200.0000000000919</v>
      </c>
      <c r="Q4" s="31">
        <f>'FS Desroches Daily'!AB6</f>
        <v>449.99999999998863</v>
      </c>
      <c r="R4" s="31">
        <f>'FS Desroches Daily'!AD6</f>
        <v>360.00000000001364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1000</v>
      </c>
      <c r="V4" s="35">
        <f>'FS Desroches Daily'!AL6</f>
        <v>319.99999999999318</v>
      </c>
      <c r="W4" s="35">
        <f>'FS Desroches Daily'!AN6</f>
        <v>280.00000000000114</v>
      </c>
      <c r="X4" s="35">
        <f>'FS Desroches Daily'!AP6</f>
        <v>270.00000000001023</v>
      </c>
      <c r="Y4" s="35">
        <f>'FS Desroches Daily'!AR6</f>
        <v>139.99999999998636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159.99999999996817</v>
      </c>
      <c r="AC4" s="35">
        <f>'FS Desroches Daily'!AZ6</f>
        <v>259.99999999999091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29</v>
      </c>
      <c r="AG4" s="32">
        <f>'FS Desroches Daily'!BH6</f>
        <v>39.999999999992042</v>
      </c>
      <c r="AH4" s="32">
        <f>'FS Desroches Daily'!BJ6</f>
        <v>19.99999999998181</v>
      </c>
      <c r="AI4" s="32">
        <f>'FS Desroches Daily'!BL6</f>
        <v>40.000000000020464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49.999999999982947</v>
      </c>
      <c r="AN4" s="32">
        <f>'FS Desroches Daily'!BV6</f>
        <v>27</v>
      </c>
      <c r="AO4" s="32">
        <f>'FS Desroches Daily'!BX6</f>
        <v>30.000000000001137</v>
      </c>
      <c r="AP4" s="32">
        <f>'FS Desroches Daily'!BZ6</f>
        <v>28</v>
      </c>
      <c r="AQ4" s="31">
        <f>'FS Desroches Daily'!CB6</f>
        <v>58.5</v>
      </c>
      <c r="AR4" s="31">
        <f>'FS Desroches Daily'!CD6</f>
        <v>9.6000000000003638</v>
      </c>
      <c r="AS4" s="31">
        <f>'FS Desroches Daily'!CF6</f>
        <v>0.8000000000001819</v>
      </c>
      <c r="AT4" s="31">
        <f>'FS Desroches Daily'!CH6</f>
        <v>42.600000000005821</v>
      </c>
      <c r="AU4" s="31">
        <f>'FS Desroches Daily'!CJ6</f>
        <v>284</v>
      </c>
      <c r="AV4" s="31">
        <f>'FS Desroches Daily'!CL6</f>
        <v>710.00000000003638</v>
      </c>
      <c r="AW4" s="31">
        <f>'FS Desroches Daily'!CM6</f>
        <v>100.20000000000073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2022</v>
      </c>
      <c r="E5" s="31">
        <f>'FS Desroches Daily'!D7</f>
        <v>3400.0000000000696</v>
      </c>
      <c r="F5" s="32">
        <f>'FS Desroches Daily'!F7</f>
        <v>3500.0000000002806</v>
      </c>
      <c r="G5" s="31">
        <f>'FS Desroches Daily'!H7</f>
        <v>3400.0000000000696</v>
      </c>
      <c r="H5" s="32">
        <f>'FS Desroches Daily'!J7</f>
        <v>1600.0000000000459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9</v>
      </c>
      <c r="L5" s="31">
        <f>'FS Desroches Daily'!R7</f>
        <v>4</v>
      </c>
      <c r="M5" s="31">
        <f>'FS Desroches Daily'!T7</f>
        <v>1.5999999999999091</v>
      </c>
      <c r="N5" s="31">
        <f>'FS Desroches Daily'!V7</f>
        <v>552.79999999998836</v>
      </c>
      <c r="O5" s="31">
        <f>'FS Desroches Daily'!X8</f>
        <v>260.00000000004775</v>
      </c>
      <c r="P5" s="31">
        <f>'FS Desroches Daily'!Z7</f>
        <v>3299.9999999998586</v>
      </c>
      <c r="Q5" s="31">
        <f>'FS Desroches Daily'!AB7</f>
        <v>370.00000000000455</v>
      </c>
      <c r="R5" s="31">
        <f>'FS Desroches Daily'!AD7</f>
        <v>339.99999999997499</v>
      </c>
      <c r="S5" s="31">
        <f>'FS Desroches Daily'!AF7</f>
        <v>539.99999999996362</v>
      </c>
      <c r="T5" s="31">
        <f>'FS Desroches Daily'!AH7</f>
        <v>40</v>
      </c>
      <c r="U5" s="35">
        <f>'FS Desroches Daily'!AJ7</f>
        <v>1000</v>
      </c>
      <c r="V5" s="35">
        <f>'FS Desroches Daily'!AL7</f>
        <v>300.00000000001137</v>
      </c>
      <c r="W5" s="35">
        <f>'FS Desroches Daily'!AN7</f>
        <v>219.99999999999886</v>
      </c>
      <c r="X5" s="35">
        <f>'FS Desroches Daily'!AP7</f>
        <v>250</v>
      </c>
      <c r="Y5" s="35">
        <f>'FS Desroches Daily'!AR7</f>
        <v>120.00000000000455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260.00000000004775</v>
      </c>
      <c r="AE5" s="35">
        <f>'FS Desroches Daily'!BD7</f>
        <v>129.99999999999545</v>
      </c>
      <c r="AF5" s="31">
        <f>'FS Desroches Daily'!BF7</f>
        <v>48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49.999999999982947</v>
      </c>
      <c r="AJ5" s="32">
        <f>'FS Desroches Daily'!BN7</f>
        <v>39.999999999992042</v>
      </c>
      <c r="AK5" s="32">
        <f>'FS Desroches Daily'!BP7</f>
        <v>49.999999999954525</v>
      </c>
      <c r="AL5" s="32">
        <f>'FS Desroches Daily'!BR7</f>
        <v>28</v>
      </c>
      <c r="AM5" s="32">
        <f>'FS Desroches Daily'!BT7</f>
        <v>39.999999999992042</v>
      </c>
      <c r="AN5" s="32">
        <f>'FS Desroches Daily'!BV7</f>
        <v>34</v>
      </c>
      <c r="AO5" s="32">
        <f>'FS Desroches Daily'!BX7</f>
        <v>30.000000000001137</v>
      </c>
      <c r="AP5" s="32">
        <f>'FS Desroches Daily'!BZ7</f>
        <v>29</v>
      </c>
      <c r="AQ5" s="31">
        <f>'FS Desroches Daily'!CB7</f>
        <v>70</v>
      </c>
      <c r="AR5" s="31">
        <f>'FS Desroches Daily'!CD7</f>
        <v>9.3999999999996362</v>
      </c>
      <c r="AS5" s="31">
        <f>'FS Desroches Daily'!CF7</f>
        <v>20.199999999999818</v>
      </c>
      <c r="AT5" s="31">
        <f>'FS Desroches Daily'!CH7</f>
        <v>60.099999999991269</v>
      </c>
      <c r="AU5" s="31">
        <f>'FS Desroches Daily'!CJ7</f>
        <v>305</v>
      </c>
      <c r="AV5" s="31">
        <f>'FS Desroches Daily'!CL7</f>
        <v>730.00000000001819</v>
      </c>
      <c r="AW5" s="31">
        <f>'FS Desroches Daily'!CM7</f>
        <v>95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5.4944999999999995</v>
      </c>
      <c r="BC5" s="13">
        <f>'FS Desroches Daily'!CN7</f>
        <v>23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2022</v>
      </c>
      <c r="E6" s="31">
        <f>'FS Desroches Daily'!D8</f>
        <v>3099.9999999998809</v>
      </c>
      <c r="F6" s="32">
        <f>'FS Desroches Daily'!F8</f>
        <v>3499.9999999998367</v>
      </c>
      <c r="G6" s="31">
        <f>'FS Desroches Daily'!H8</f>
        <v>3200.0000000000919</v>
      </c>
      <c r="H6" s="32">
        <f>'FS Desroches Daily'!J8</f>
        <v>1500.0000000000568</v>
      </c>
      <c r="I6" s="31">
        <f>'FS Desroches Daily'!L8</f>
        <v>2099.9999999999909</v>
      </c>
      <c r="J6" s="32">
        <f>'FS Desroches Daily'!N8</f>
        <v>1400.0000000000678</v>
      </c>
      <c r="K6" s="13">
        <f>'FS Desroches Daily'!P8</f>
        <v>11</v>
      </c>
      <c r="L6" s="31">
        <f>'FS Desroches Daily'!R8</f>
        <v>4</v>
      </c>
      <c r="M6" s="31">
        <f>'FS Desroches Daily'!T8</f>
        <v>1.4000000000000909</v>
      </c>
      <c r="N6" s="31">
        <f>'FS Desroches Daily'!V8</f>
        <v>461</v>
      </c>
      <c r="O6" s="31">
        <f>'FS Desroches Daily'!X8</f>
        <v>260.00000000004775</v>
      </c>
      <c r="P6" s="31">
        <f>'FS Desroches Daily'!Z8</f>
        <v>3200.0000000000919</v>
      </c>
      <c r="Q6" s="31">
        <f>'FS Desroches Daily'!AB8</f>
        <v>280.00000000002956</v>
      </c>
      <c r="R6" s="31">
        <f>'FS Desroches Daily'!AD8</f>
        <v>319.99999999999318</v>
      </c>
      <c r="S6" s="31">
        <f>'FS Desroches Daily'!AF8</f>
        <v>580.00000000004093</v>
      </c>
      <c r="T6" s="31">
        <f>'FS Desroches Daily'!AH8</f>
        <v>39</v>
      </c>
      <c r="U6" s="35">
        <f>'FS Desroches Daily'!AJ8</f>
        <v>769.99999999998181</v>
      </c>
      <c r="V6" s="35">
        <f>'FS Desroches Daily'!AL8</f>
        <v>319.99999999999318</v>
      </c>
      <c r="W6" s="35">
        <f>'FS Desroches Daily'!AN8</f>
        <v>259.99999999999091</v>
      </c>
      <c r="X6" s="35">
        <f>'FS Desroches Daily'!AP8</f>
        <v>219.99999999999886</v>
      </c>
      <c r="Y6" s="35">
        <f>'FS Desroches Daily'!AR8</f>
        <v>139.99999999998636</v>
      </c>
      <c r="Z6" s="35">
        <f>'FS Desroches Daily'!AT8</f>
        <v>160.00000000002501</v>
      </c>
      <c r="AA6" s="35">
        <f>'FS Desroches Daily'!AT8</f>
        <v>160.00000000002501</v>
      </c>
      <c r="AB6" s="35">
        <f>'FS Desroches Daily'!AV8</f>
        <v>130.0000000000523</v>
      </c>
      <c r="AC6" s="35">
        <f>'FS Desroches Daily'!AZ8</f>
        <v>120.00000000000455</v>
      </c>
      <c r="AD6" s="35">
        <f>'FS Desroches Daily'!BB8</f>
        <v>239.99999999995225</v>
      </c>
      <c r="AE6" s="35">
        <f>'FS Desroches Daily'!BD8</f>
        <v>170.00000000001592</v>
      </c>
      <c r="AF6" s="31">
        <f>'FS Desroches Daily'!BF8</f>
        <v>44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29</v>
      </c>
      <c r="AM6" s="32">
        <f>'FS Desroches Daily'!BT8</f>
        <v>40.000000000020464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28</v>
      </c>
      <c r="AQ6" s="31">
        <f>'FS Desroches Daily'!CB8</f>
        <v>64.599999999998545</v>
      </c>
      <c r="AR6" s="31">
        <f>'FS Desroches Daily'!CD8</f>
        <v>9</v>
      </c>
      <c r="AS6" s="31">
        <f>'FS Desroches Daily'!CF8</f>
        <v>5.6999999999998181</v>
      </c>
      <c r="AT6" s="31">
        <f>'FS Desroches Daily'!CH8</f>
        <v>31</v>
      </c>
      <c r="AU6" s="31">
        <f>'FS Desroches Daily'!CJ8</f>
        <v>289</v>
      </c>
      <c r="AV6" s="31">
        <f>'FS Desroches Daily'!CL8</f>
        <v>620.00000000000455</v>
      </c>
      <c r="AW6" s="31">
        <f>'FS Desroches Daily'!CM8</f>
        <v>96.399999999997817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10.988999999999999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2022</v>
      </c>
      <c r="E7" s="31">
        <f>'FS Desroches Daily'!D9</f>
        <v>3099.9999999998809</v>
      </c>
      <c r="F7" s="32">
        <f>'FS Desroches Daily'!F9</f>
        <v>3400.0000000000696</v>
      </c>
      <c r="G7" s="31">
        <f>'FS Desroches Daily'!H9</f>
        <v>2999.9999999996694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1499.9999999998347</v>
      </c>
      <c r="K7" s="13">
        <f>'FS Desroches Daily'!P9</f>
        <v>24</v>
      </c>
      <c r="L7" s="31">
        <f>'FS Desroches Daily'!R9</f>
        <v>5</v>
      </c>
      <c r="M7" s="31">
        <f>'FS Desroches Daily'!T9</f>
        <v>1.2999999999999545</v>
      </c>
      <c r="N7" s="31">
        <f>'FS Desroches Daily'!V9</f>
        <v>443</v>
      </c>
      <c r="O7" s="31">
        <f>'FS Desroches Daily'!X9</f>
        <v>250</v>
      </c>
      <c r="P7" s="31">
        <f>'FS Desroches Daily'!Z9</f>
        <v>3299.9999999998586</v>
      </c>
      <c r="Q7" s="31">
        <f>'FS Desroches Daily'!AB9</f>
        <v>529.99999999997272</v>
      </c>
      <c r="R7" s="31">
        <f>'FS Desroches Daily'!AD9</f>
        <v>340.00000000003183</v>
      </c>
      <c r="S7" s="31">
        <f>'FS Desroches Daily'!AF9</f>
        <v>629.99999999999545</v>
      </c>
      <c r="T7" s="31">
        <f>'FS Desroches Daily'!AH9</f>
        <v>42</v>
      </c>
      <c r="U7" s="35">
        <f>'FS Desroches Daily'!AJ9</f>
        <v>659.99999999996817</v>
      </c>
      <c r="V7" s="35">
        <f>'FS Desroches Daily'!AL9</f>
        <v>330.00000000001251</v>
      </c>
      <c r="W7" s="35">
        <f>'FS Desroches Daily'!AN9</f>
        <v>259.99999999999091</v>
      </c>
      <c r="X7" s="35">
        <f>'FS Desroches Daily'!AP9</f>
        <v>250</v>
      </c>
      <c r="Y7" s="35">
        <f>'FS Desroches Daily'!AR9</f>
        <v>189.99999999999773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139.99999999998636</v>
      </c>
      <c r="AC7" s="35">
        <f>'FS Desroches Daily'!AZ9</f>
        <v>150.00000000003411</v>
      </c>
      <c r="AD7" s="35">
        <f>'FS Desroches Daily'!BB9</f>
        <v>320.00000000005002</v>
      </c>
      <c r="AE7" s="35">
        <f>'FS Desroches Daily'!BD9</f>
        <v>180.00000000000682</v>
      </c>
      <c r="AF7" s="31">
        <f>'FS Desroches Daily'!BF9</f>
        <v>35</v>
      </c>
      <c r="AG7" s="32">
        <f>'FS Desroches Daily'!BH9</f>
        <v>50.000000000011369</v>
      </c>
      <c r="AH7" s="32">
        <f>'FS Desroches Daily'!BJ9</f>
        <v>30.000000000029559</v>
      </c>
      <c r="AI7" s="32">
        <f>'FS Desroches Daily'!BL9</f>
        <v>49.999999999982947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35</v>
      </c>
      <c r="AM7" s="32">
        <f>'FS Desroches Daily'!BT9</f>
        <v>69.999999999993179</v>
      </c>
      <c r="AN7" s="32">
        <f>'FS Desroches Daily'!BV9</f>
        <v>34</v>
      </c>
      <c r="AO7" s="32">
        <f>'FS Desroches Daily'!BX9</f>
        <v>30.000000000001137</v>
      </c>
      <c r="AP7" s="32">
        <f>'FS Desroches Daily'!BZ9</f>
        <v>32</v>
      </c>
      <c r="AQ7" s="31">
        <f>'FS Desroches Daily'!CB9</f>
        <v>65.30000000000291</v>
      </c>
      <c r="AR7" s="31">
        <f>'FS Desroches Daily'!CD9</f>
        <v>8.2000000000007276</v>
      </c>
      <c r="AS7" s="31">
        <f>'FS Desroches Daily'!CF9</f>
        <v>5.1000000000003638</v>
      </c>
      <c r="AT7" s="31">
        <f>'FS Desroches Daily'!CH9</f>
        <v>23.80000000000291</v>
      </c>
      <c r="AU7" s="31">
        <f>'FS Desroches Daily'!CJ9</f>
        <v>328</v>
      </c>
      <c r="AV7" s="31">
        <f>'FS Desroches Daily'!CL9</f>
        <v>569.99999999993634</v>
      </c>
      <c r="AW7" s="31">
        <f>'FS Desroches Daily'!CM9</f>
        <v>88.900000000001455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2022</v>
      </c>
      <c r="E8" s="31">
        <f>'FS Desroches Daily'!D10</f>
        <v>3400.0000000000696</v>
      </c>
      <c r="F8" s="32">
        <f>'FS Desroches Daily'!F10</f>
        <v>3499.9999999998367</v>
      </c>
      <c r="G8" s="31">
        <f>'FS Desroches Daily'!H10</f>
        <v>3100.0000000003247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15</v>
      </c>
      <c r="L8" s="31">
        <f>'FS Desroches Daily'!R10</f>
        <v>5</v>
      </c>
      <c r="M8" s="31">
        <f>'FS Desroches Daily'!T10</f>
        <v>1.2999999999999545</v>
      </c>
      <c r="N8" s="31">
        <f>'FS Desroches Daily'!V10</f>
        <v>531.29999999998836</v>
      </c>
      <c r="O8" s="31">
        <f>'FS Desroches Daily'!X10</f>
        <v>279.99999999997272</v>
      </c>
      <c r="P8" s="31">
        <f>'FS Desroches Daily'!Z10</f>
        <v>3299.9999999998586</v>
      </c>
      <c r="Q8" s="31">
        <f>'FS Desroches Daily'!AB10</f>
        <v>350.00000000002274</v>
      </c>
      <c r="R8" s="31">
        <f>'FS Desroches Daily'!AD10</f>
        <v>490.00000000000909</v>
      </c>
      <c r="S8" s="31">
        <f>'FS Desroches Daily'!AF10</f>
        <v>539.99999999996362</v>
      </c>
      <c r="T8" s="31">
        <f>'FS Desroches Daily'!AH10</f>
        <v>43</v>
      </c>
      <c r="U8" s="35">
        <f>'FS Desroches Daily'!AJ10</f>
        <v>759.99999999999091</v>
      </c>
      <c r="V8" s="35">
        <f>'FS Desroches Daily'!AL10</f>
        <v>389.99999999998636</v>
      </c>
      <c r="W8" s="35">
        <f>'FS Desroches Daily'!AN10</f>
        <v>320.0000000000216</v>
      </c>
      <c r="X8" s="35">
        <f>'FS Desroches Daily'!AP10</f>
        <v>239.99999999998067</v>
      </c>
      <c r="Y8" s="35">
        <f>'FS Desroches Daily'!AR10</f>
        <v>189.99999999999773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149.99999999997726</v>
      </c>
      <c r="AC8" s="35">
        <f>'FS Desroches Daily'!AZ10</f>
        <v>139.99999999998636</v>
      </c>
      <c r="AD8" s="35">
        <f>'FS Desroches Daily'!BB10</f>
        <v>329.99999999998408</v>
      </c>
      <c r="AE8" s="35">
        <f>'FS Desroches Daily'!BD10</f>
        <v>189.99999999999773</v>
      </c>
      <c r="AF8" s="31">
        <f>'FS Desroches Daily'!BF10</f>
        <v>19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59.999999999973852</v>
      </c>
      <c r="AK8" s="32">
        <f>'FS Desroches Daily'!BP10</f>
        <v>70.000000000050022</v>
      </c>
      <c r="AL8" s="32">
        <f>'FS Desroches Daily'!BR10</f>
        <v>32</v>
      </c>
      <c r="AM8" s="32">
        <f>'FS Desroches Daily'!BT10</f>
        <v>80.000000000012506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65.799999999995634</v>
      </c>
      <c r="AR8" s="31">
        <f>'FS Desroches Daily'!CD10</f>
        <v>8</v>
      </c>
      <c r="AS8" s="31">
        <f>'FS Desroches Daily'!CF10</f>
        <v>2.6999999999998181</v>
      </c>
      <c r="AT8" s="31">
        <f>'FS Desroches Daily'!CH10</f>
        <v>115.39999999999418</v>
      </c>
      <c r="AU8" s="31">
        <f>'FS Desroches Daily'!CJ10</f>
        <v>302</v>
      </c>
      <c r="AV8" s="31">
        <f>'FS Desroches Daily'!CL10</f>
        <v>560.00000000005912</v>
      </c>
      <c r="AW8" s="31">
        <f>'FS Desroches Daily'!CM10</f>
        <v>91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5.4944999999999995</v>
      </c>
      <c r="BB8" s="31">
        <f>IF(LPG!Q15-LPG!Q14&lt;0,"0",(LPG!Q15-LPG!Q14)*1.8315)</f>
        <v>3.6629999999999998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2022</v>
      </c>
      <c r="E9" s="31">
        <f>'FS Desroches Daily'!D11</f>
        <v>3200.0000000000919</v>
      </c>
      <c r="F9" s="32">
        <f>'FS Desroches Daily'!F11</f>
        <v>3600.0000000000477</v>
      </c>
      <c r="G9" s="31">
        <f>'FS Desroches Daily'!H11</f>
        <v>2799.9999999996917</v>
      </c>
      <c r="H9" s="32">
        <f>'FS Desroches Daily'!J11</f>
        <v>1600.0000000000459</v>
      </c>
      <c r="I9" s="31">
        <f>'FS Desroches Daily'!L11</f>
        <v>2200.0000000002019</v>
      </c>
      <c r="J9" s="32">
        <f>'FS Desroches Daily'!N11</f>
        <v>1400.0000000000678</v>
      </c>
      <c r="K9" s="13">
        <f>'FS Desroches Daily'!P11</f>
        <v>45</v>
      </c>
      <c r="L9" s="31">
        <f>'FS Desroches Daily'!R11</f>
        <v>4</v>
      </c>
      <c r="M9" s="31">
        <f>'FS Desroches Daily'!T11</f>
        <v>1.3000000000001819</v>
      </c>
      <c r="N9" s="31">
        <f>'FS Desroches Daily'!V11</f>
        <v>469.60000000003492</v>
      </c>
      <c r="O9" s="31">
        <f>'FS Desroches Daily'!X11</f>
        <v>370.00000000000455</v>
      </c>
      <c r="P9" s="31">
        <f>'FS Desroches Daily'!Z11</f>
        <v>3600.0000000000477</v>
      </c>
      <c r="Q9" s="31">
        <f>'FS Desroches Daily'!AB11</f>
        <v>370.00000000000455</v>
      </c>
      <c r="R9" s="31">
        <f>'FS Desroches Daily'!AD11</f>
        <v>430.00000000000682</v>
      </c>
      <c r="S9" s="31">
        <f>'FS Desroches Daily'!AF11</f>
        <v>580.00000000004093</v>
      </c>
      <c r="T9" s="31">
        <f>'FS Desroches Daily'!AH11</f>
        <v>46</v>
      </c>
      <c r="U9" s="35">
        <f>'FS Desroches Daily'!AJ11</f>
        <v>850.00000000002274</v>
      </c>
      <c r="V9" s="35">
        <f>'FS Desroches Daily'!AL11</f>
        <v>350.00000000002274</v>
      </c>
      <c r="W9" s="35">
        <f>'FS Desroches Daily'!AN11</f>
        <v>319.99999999999318</v>
      </c>
      <c r="X9" s="35">
        <f>'FS Desroches Daily'!AP11</f>
        <v>240.00000000000909</v>
      </c>
      <c r="Y9" s="35">
        <f>'FS Desroches Daily'!AR11</f>
        <v>230.00000000001819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150.00000000003411</v>
      </c>
      <c r="AC9" s="35">
        <f>'FS Desroches Daily'!AZ11</f>
        <v>120.00000000000455</v>
      </c>
      <c r="AD9" s="35">
        <f>'FS Desroches Daily'!BB11</f>
        <v>289.99999999996362</v>
      </c>
      <c r="AE9" s="35">
        <f>'FS Desroches Daily'!BD11</f>
        <v>180.00000000000682</v>
      </c>
      <c r="AF9" s="31">
        <f>'FS Desroches Daily'!BF11</f>
        <v>35</v>
      </c>
      <c r="AG9" s="32">
        <f>'FS Desroches Daily'!BH11</f>
        <v>49.999999999982947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50.000000000011369</v>
      </c>
      <c r="AK9" s="32">
        <f>'FS Desroches Daily'!BP11</f>
        <v>59.99999999994543</v>
      </c>
      <c r="AL9" s="32">
        <f>'FS Desroches Daily'!BR11</f>
        <v>36</v>
      </c>
      <c r="AM9" s="32">
        <f>'FS Desroches Daily'!BT11</f>
        <v>49.999999999982947</v>
      </c>
      <c r="AN9" s="32">
        <f>'FS Desroches Daily'!BV11</f>
        <v>28</v>
      </c>
      <c r="AO9" s="32">
        <f>'FS Desroches Daily'!BX11</f>
        <v>30.000000000001137</v>
      </c>
      <c r="AP9" s="32">
        <f>'FS Desroches Daily'!BZ11</f>
        <v>31</v>
      </c>
      <c r="AQ9" s="31">
        <f>'FS Desroches Daily'!CB11</f>
        <v>66.700000000004366</v>
      </c>
      <c r="AR9" s="31">
        <f>'FS Desroches Daily'!CD11</f>
        <v>10.100000000000364</v>
      </c>
      <c r="AS9" s="31">
        <f>'FS Desroches Daily'!CF11</f>
        <v>5.3999999999996362</v>
      </c>
      <c r="AT9" s="31">
        <f>'FS Desroches Daily'!CH11</f>
        <v>22.400000000008731</v>
      </c>
      <c r="AU9" s="31">
        <f>'FS Desroches Daily'!CJ11</f>
        <v>310</v>
      </c>
      <c r="AV9" s="31">
        <f>'FS Desroches Daily'!CL11</f>
        <v>669.99999999995907</v>
      </c>
      <c r="AW9" s="31">
        <f>'FS Desroches Daily'!CM11</f>
        <v>73.299999999999272</v>
      </c>
      <c r="AX9" s="31">
        <f>IF(LPG!F17-LPG!F15&lt;0,"0",(LPG!F17-LPG!F15)*1.8315)</f>
        <v>18.314999999999998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7.3259999999999996</v>
      </c>
      <c r="BB9" s="31">
        <f>IF(LPG!Q16-LPG!Q15&lt;0,"0",(LPG!Q16-LPG!Q15)*1.8315)</f>
        <v>7.3259999999999996</v>
      </c>
      <c r="BC9" s="13">
        <f>'FS Desroches Daily'!CN11</f>
        <v>23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2022</v>
      </c>
      <c r="E10" s="31">
        <f>'FS Desroches Daily'!D12</f>
        <v>3699.9999999998145</v>
      </c>
      <c r="F10" s="32">
        <f>'FS Desroches Daily'!F12</f>
        <v>3699.9999999998145</v>
      </c>
      <c r="G10" s="31">
        <f>'FS Desroches Daily'!H12</f>
        <v>3100.0000000003247</v>
      </c>
      <c r="H10" s="32">
        <f>'FS Desroches Daily'!J12</f>
        <v>1600.0000000000459</v>
      </c>
      <c r="I10" s="31">
        <f>'FS Desroches Daily'!L12</f>
        <v>2099.9999999999909</v>
      </c>
      <c r="J10" s="32">
        <f>'FS Desroches Daily'!N12</f>
        <v>1600.0000000000459</v>
      </c>
      <c r="K10" s="13">
        <f>'FS Desroches Daily'!P12</f>
        <v>42</v>
      </c>
      <c r="L10" s="31">
        <f>'FS Desroches Daily'!R12</f>
        <v>6</v>
      </c>
      <c r="M10" s="31">
        <f>'FS Desroches Daily'!T12</f>
        <v>1.0999999999999091</v>
      </c>
      <c r="N10" s="31">
        <f>'FS Desroches Daily'!V12</f>
        <v>420.09999999997672</v>
      </c>
      <c r="O10" s="31">
        <f>'FS Desroches Daily'!X12</f>
        <v>269.99999999998181</v>
      </c>
      <c r="P10" s="31">
        <f>'FS Desroches Daily'!Z12</f>
        <v>3100.0000000003247</v>
      </c>
      <c r="Q10" s="31">
        <f>'FS Desroches Daily'!AB12</f>
        <v>430.00000000000682</v>
      </c>
      <c r="R10" s="31">
        <f>'FS Desroches Daily'!AD12</f>
        <v>489.99999999995225</v>
      </c>
      <c r="S10" s="31">
        <f>'FS Desroches Daily'!AF12</f>
        <v>519.99999999998181</v>
      </c>
      <c r="T10" s="31">
        <f>'FS Desroches Daily'!AH12</f>
        <v>41</v>
      </c>
      <c r="U10" s="35">
        <f>'FS Desroches Daily'!AJ12</f>
        <v>920.00000000007276</v>
      </c>
      <c r="V10" s="35">
        <f>'FS Desroches Daily'!AL12</f>
        <v>319.99999999999318</v>
      </c>
      <c r="W10" s="35">
        <f>'FS Desroches Daily'!AN12</f>
        <v>289.99999999999204</v>
      </c>
      <c r="X10" s="35">
        <f>'FS Desroches Daily'!AP12</f>
        <v>240.00000000000909</v>
      </c>
      <c r="Y10" s="35">
        <f>'FS Desroches Daily'!AR12</f>
        <v>290.00000000002046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89.999999999974989</v>
      </c>
      <c r="AC10" s="35">
        <f>'FS Desroches Daily'!AZ12</f>
        <v>139.99999999998636</v>
      </c>
      <c r="AD10" s="35">
        <f>'FS Desroches Daily'!BB12</f>
        <v>300.00000000001137</v>
      </c>
      <c r="AE10" s="35">
        <f>'FS Desroches Daily'!BD12</f>
        <v>209.99999999997954</v>
      </c>
      <c r="AF10" s="31">
        <f>'FS Desroches Daily'!BF12</f>
        <v>37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60.000000000002274</v>
      </c>
      <c r="AJ10" s="32">
        <f>'FS Desroches Daily'!BN12</f>
        <v>39.999999999992042</v>
      </c>
      <c r="AK10" s="32">
        <f>'FS Desroches Daily'!BP12</f>
        <v>70.000000000050022</v>
      </c>
      <c r="AL10" s="32">
        <f>'FS Desroches Daily'!BR12</f>
        <v>34</v>
      </c>
      <c r="AM10" s="32">
        <f>'FS Desroches Daily'!BT12</f>
        <v>69.999999999993179</v>
      </c>
      <c r="AN10" s="32">
        <f>'FS Desroches Daily'!BV12</f>
        <v>32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64</v>
      </c>
      <c r="AR10" s="31">
        <f>'FS Desroches Daily'!CD12</f>
        <v>3.5</v>
      </c>
      <c r="AS10" s="31">
        <f>'FS Desroches Daily'!CF12</f>
        <v>9.6000000000003638</v>
      </c>
      <c r="AT10" s="31">
        <f>'FS Desroches Daily'!CH12</f>
        <v>42.099999999991269</v>
      </c>
      <c r="AU10" s="31">
        <f>'FS Desroches Daily'!CJ12</f>
        <v>285</v>
      </c>
      <c r="AV10" s="31">
        <f>'FS Desroches Daily'!CL12</f>
        <v>660.00000000008185</v>
      </c>
      <c r="AW10" s="31">
        <f>'FS Desroches Daily'!CM12</f>
        <v>75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3.6629999999999998</v>
      </c>
      <c r="BC10" s="13">
        <f>'FS Desroches Daily'!CN12</f>
        <v>23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2022</v>
      </c>
      <c r="E11" s="31">
        <f>'FS Desroches Daily'!D13</f>
        <v>2400.0000000001796</v>
      </c>
      <c r="F11" s="32">
        <f>'FS Desroches Daily'!F13</f>
        <v>3100.0000000003247</v>
      </c>
      <c r="G11" s="31">
        <f>'FS Desroches Daily'!H13</f>
        <v>2899.9999999999027</v>
      </c>
      <c r="H11" s="32">
        <f>'FS Desroches Daily'!J13</f>
        <v>1399.9999999998458</v>
      </c>
      <c r="I11" s="31">
        <f>'FS Desroches Daily'!L13</f>
        <v>1900.0000000000127</v>
      </c>
      <c r="J11" s="32">
        <f>'FS Desroches Daily'!N13</f>
        <v>1399.9999999998458</v>
      </c>
      <c r="K11" s="13">
        <f>'FS Desroches Daily'!P13</f>
        <v>18</v>
      </c>
      <c r="L11" s="31">
        <f>'FS Desroches Daily'!R13</f>
        <v>2</v>
      </c>
      <c r="M11" s="31">
        <f>'FS Desroches Daily'!T13</f>
        <v>1.0999999999999091</v>
      </c>
      <c r="N11" s="31">
        <f>'FS Desroches Daily'!V13</f>
        <v>347.70000000001164</v>
      </c>
      <c r="O11" s="31">
        <f>'FS Desroches Daily'!X13</f>
        <v>240.00000000000909</v>
      </c>
      <c r="P11" s="31">
        <f>'FS Desroches Daily'!Z13</f>
        <v>2899.9999999999027</v>
      </c>
      <c r="Q11" s="31">
        <f>'FS Desroches Daily'!AB13</f>
        <v>369.9999999999477</v>
      </c>
      <c r="R11" s="31">
        <f>'FS Desroches Daily'!AD13</f>
        <v>400.00000000003411</v>
      </c>
      <c r="S11" s="31">
        <f>'FS Desroches Daily'!AF13</f>
        <v>529.99999999997272</v>
      </c>
      <c r="T11" s="31">
        <f>'FS Desroches Daily'!AH13</f>
        <v>33</v>
      </c>
      <c r="U11" s="35">
        <f>'FS Desroches Daily'!AJ13</f>
        <v>539.99999999996362</v>
      </c>
      <c r="V11" s="35">
        <f>'FS Desroches Daily'!AL13</f>
        <v>210.00000000000796</v>
      </c>
      <c r="W11" s="35">
        <f>'FS Desroches Daily'!AN13</f>
        <v>180.00000000000682</v>
      </c>
      <c r="X11" s="35">
        <f>'FS Desroches Daily'!AP13</f>
        <v>199.99999999998863</v>
      </c>
      <c r="Y11" s="35">
        <f>'FS Desroches Daily'!AR13</f>
        <v>169.99999999995907</v>
      </c>
      <c r="Z11" s="35">
        <f>'FS Desroches Daily'!AT13</f>
        <v>149.99999999997726</v>
      </c>
      <c r="AA11" s="35">
        <f>'FS Desroches Daily'!AT13</f>
        <v>149.99999999997726</v>
      </c>
      <c r="AB11" s="35">
        <f>'FS Desroches Daily'!AV13</f>
        <v>89.999999999974989</v>
      </c>
      <c r="AC11" s="35">
        <f>'FS Desroches Daily'!AZ13</f>
        <v>100.00000000002274</v>
      </c>
      <c r="AD11" s="35">
        <f>'FS Desroches Daily'!BB13</f>
        <v>220.00000000002728</v>
      </c>
      <c r="AE11" s="35">
        <f>'FS Desroches Daily'!BD13</f>
        <v>189.99999999999773</v>
      </c>
      <c r="AF11" s="31">
        <f>'FS Desroches Daily'!BF13</f>
        <v>35</v>
      </c>
      <c r="AG11" s="32">
        <f>'FS Desroches Daily'!BH13</f>
        <v>30.000000000001137</v>
      </c>
      <c r="AH11" s="32">
        <f>'FS Desroches Daily'!BJ13</f>
        <v>20.000000000038654</v>
      </c>
      <c r="AI11" s="32">
        <f>'FS Desroches Daily'!BL13</f>
        <v>40.000000000020464</v>
      </c>
      <c r="AJ11" s="32">
        <f>'FS Desroches Daily'!BN13</f>
        <v>30.000000000001137</v>
      </c>
      <c r="AK11" s="32">
        <f>'FS Desroches Daily'!BP13</f>
        <v>49.999999999954525</v>
      </c>
      <c r="AL11" s="32">
        <f>'FS Desroches Daily'!BR13</f>
        <v>25</v>
      </c>
      <c r="AM11" s="32">
        <f>'FS Desroches Daily'!BT13</f>
        <v>40.000000000020464</v>
      </c>
      <c r="AN11" s="32">
        <f>'FS Desroches Daily'!BV13</f>
        <v>23</v>
      </c>
      <c r="AO11" s="32">
        <f>'FS Desroches Daily'!BX13</f>
        <v>20.000000000010232</v>
      </c>
      <c r="AP11" s="32">
        <f>'FS Desroches Daily'!BZ13</f>
        <v>25</v>
      </c>
      <c r="AQ11" s="31">
        <f>'FS Desroches Daily'!CB13</f>
        <v>52.799999999995634</v>
      </c>
      <c r="AR11" s="31">
        <f>'FS Desroches Daily'!CD13</f>
        <v>5.6999999999989086</v>
      </c>
      <c r="AS11" s="31">
        <f>'FS Desroches Daily'!CF13</f>
        <v>5</v>
      </c>
      <c r="AT11" s="31">
        <f>'FS Desroches Daily'!CH13</f>
        <v>52.200000000011642</v>
      </c>
      <c r="AU11" s="31">
        <f>'FS Desroches Daily'!CJ13</f>
        <v>281</v>
      </c>
      <c r="AV11" s="31">
        <f>'FS Desroches Daily'!CL13</f>
        <v>659.99999999996817</v>
      </c>
      <c r="AW11" s="31">
        <f>'FS Desroches Daily'!CM13</f>
        <v>77.200000000000728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5.4944999999999995</v>
      </c>
      <c r="BB11" s="31">
        <f>IF(LPG!Q18-LPG!Q17&lt;0,"0",(LPG!Q18-LPG!Q17)*1.8315)</f>
        <v>5.4944999999999995</v>
      </c>
      <c r="BC11" s="13">
        <f>'FS Desroches Daily'!CN13</f>
        <v>23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2022</v>
      </c>
      <c r="E12" s="31">
        <f>'FS Desroches Daily'!D14</f>
        <v>2399.9999999997358</v>
      </c>
      <c r="F12" s="32">
        <f>'FS Desroches Daily'!F14</f>
        <v>3600.0000000000477</v>
      </c>
      <c r="G12" s="31">
        <f>'FS Desroches Daily'!H14</f>
        <v>2699.9999999999245</v>
      </c>
      <c r="H12" s="32">
        <f>'FS Desroches Daily'!J14</f>
        <v>1400.0000000000678</v>
      </c>
      <c r="I12" s="31">
        <f>'FS Desroches Daily'!L14</f>
        <v>1999.9999999997797</v>
      </c>
      <c r="J12" s="32">
        <f>'FS Desroches Daily'!N14</f>
        <v>1300.0000000000789</v>
      </c>
      <c r="K12" s="13">
        <f>'FS Desroches Daily'!P14</f>
        <v>31</v>
      </c>
      <c r="L12" s="31">
        <f>'FS Desroches Daily'!R14</f>
        <v>4</v>
      </c>
      <c r="M12" s="31">
        <f>'FS Desroches Daily'!T14</f>
        <v>1</v>
      </c>
      <c r="N12" s="31">
        <f>'FS Desroches Daily'!V14</f>
        <v>391.79999999998836</v>
      </c>
      <c r="O12" s="31">
        <f>'FS Desroches Daily'!X14</f>
        <v>300.00000000001137</v>
      </c>
      <c r="P12" s="31">
        <f>'FS Desroches Daily'!Z14</f>
        <v>3400.0000000000696</v>
      </c>
      <c r="Q12" s="31">
        <f>'FS Desroches Daily'!AB14</f>
        <v>270.00000000003865</v>
      </c>
      <c r="R12" s="31">
        <f>'FS Desroches Daily'!AD14</f>
        <v>430.00000000000682</v>
      </c>
      <c r="S12" s="31">
        <f>'FS Desroches Daily'!AF14</f>
        <v>490.00000000000909</v>
      </c>
      <c r="T12" s="31">
        <f>'FS Desroches Daily'!AH14</f>
        <v>35</v>
      </c>
      <c r="U12" s="35">
        <f>'FS Desroches Daily'!AJ14</f>
        <v>610.00000000001364</v>
      </c>
      <c r="V12" s="35">
        <f>'FS Desroches Daily'!AL14</f>
        <v>219.99999999999886</v>
      </c>
      <c r="W12" s="35">
        <f>'FS Desroches Daily'!AN14</f>
        <v>229.99999999998977</v>
      </c>
      <c r="X12" s="35">
        <f>'FS Desroches Daily'!AP14</f>
        <v>210.00000000000796</v>
      </c>
      <c r="Y12" s="35">
        <f>'FS Desroches Daily'!AR14</f>
        <v>150.00000000003411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100.00000000002274</v>
      </c>
      <c r="AC12" s="35">
        <f>'FS Desroches Daily'!AZ14</f>
        <v>120.00000000000455</v>
      </c>
      <c r="AD12" s="35">
        <f>'FS Desroches Daily'!BB14</f>
        <v>180.00000000000682</v>
      </c>
      <c r="AE12" s="35">
        <f>'FS Desroches Daily'!BD14</f>
        <v>180.00000000000682</v>
      </c>
      <c r="AF12" s="31">
        <f>'FS Desroches Daily'!BF14</f>
        <v>31</v>
      </c>
      <c r="AG12" s="32">
        <f>'FS Desroches Daily'!BH14</f>
        <v>39.999999999992042</v>
      </c>
      <c r="AH12" s="32">
        <f>'FS Desroches Daily'!BJ14</f>
        <v>39.99999999996362</v>
      </c>
      <c r="AI12" s="32">
        <f>'FS Desroches Daily'!BL14</f>
        <v>49.999999999982947</v>
      </c>
      <c r="AJ12" s="32">
        <f>'FS Desroches Daily'!BN14</f>
        <v>40.000000000020464</v>
      </c>
      <c r="AK12" s="32">
        <f>'FS Desroches Daily'!BP14</f>
        <v>50.000000000011369</v>
      </c>
      <c r="AL12" s="32">
        <f>'FS Desroches Daily'!BR14</f>
        <v>30</v>
      </c>
      <c r="AM12" s="32">
        <f>'FS Desroches Daily'!BT14</f>
        <v>39.999999999992042</v>
      </c>
      <c r="AN12" s="32">
        <f>'FS Desroches Daily'!BV14</f>
        <v>27</v>
      </c>
      <c r="AO12" s="32">
        <f>'FS Desroches Daily'!BX14</f>
        <v>39.999999999992042</v>
      </c>
      <c r="AP12" s="32">
        <f>'FS Desroches Daily'!BZ14</f>
        <v>28</v>
      </c>
      <c r="AQ12" s="31">
        <f>'FS Desroches Daily'!CB14</f>
        <v>54</v>
      </c>
      <c r="AR12" s="31">
        <f>'FS Desroches Daily'!CD14</f>
        <v>7.1000000000003638</v>
      </c>
      <c r="AS12" s="31" t="str">
        <f>'FS Desroches Daily'!CF14</f>
        <v/>
      </c>
      <c r="AT12" s="31">
        <f>'FS Desroches Daily'!CH14</f>
        <v>50.899999999994179</v>
      </c>
      <c r="AU12" s="31">
        <f>'FS Desroches Daily'!CJ14</f>
        <v>272</v>
      </c>
      <c r="AV12" s="31">
        <f>'FS Desroches Daily'!CL14</f>
        <v>480.00000000001819</v>
      </c>
      <c r="AW12" s="31">
        <f>'FS Desroches Daily'!CM14</f>
        <v>80.799999999999272</v>
      </c>
      <c r="AX12" s="31">
        <f>IF(LPG!F19-LPG!F18&lt;0,"0",(LPG!F19-LPG!F18)*1.8315)</f>
        <v>10.988999999999999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5.4944999999999995</v>
      </c>
      <c r="BB12" s="31">
        <f>IF(LPG!Q20-LPG!Q18&lt;0,"0",(LPG!Q20-LPG!Q18)*1.8315)</f>
        <v>14.651999999999999</v>
      </c>
      <c r="BC12" s="13">
        <f>'FS Desroches Daily'!CN14</f>
        <v>21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2022</v>
      </c>
      <c r="E13" s="31">
        <f>'FS Desroches Daily'!D15</f>
        <v>2700.0000000003688</v>
      </c>
      <c r="F13" s="32">
        <f>'FS Desroches Daily'!F15</f>
        <v>3599.9999999996035</v>
      </c>
      <c r="G13" s="31">
        <f>'FS Desroches Daily'!H15</f>
        <v>3000.0000000001137</v>
      </c>
      <c r="H13" s="32">
        <f>'FS Desroches Daily'!J15</f>
        <v>1600.0000000000459</v>
      </c>
      <c r="I13" s="31">
        <f>'FS Desroches Daily'!L15</f>
        <v>2200.0000000002019</v>
      </c>
      <c r="J13" s="32">
        <f>'FS Desroches Daily'!N15</f>
        <v>1400.0000000000678</v>
      </c>
      <c r="K13" s="13">
        <f>'FS Desroches Daily'!P15</f>
        <v>24</v>
      </c>
      <c r="L13" s="31">
        <f>'FS Desroches Daily'!R15</f>
        <v>5</v>
      </c>
      <c r="M13" s="31">
        <f>'FS Desroches Daily'!T15</f>
        <v>1.3000000000001819</v>
      </c>
      <c r="N13" s="31">
        <f>'FS Desroches Daily'!V15</f>
        <v>433.29999999998836</v>
      </c>
      <c r="O13" s="31">
        <f>'FS Desroches Daily'!X15</f>
        <v>360.00000000001364</v>
      </c>
      <c r="P13" s="31">
        <f>'FS Desroches Daily'!Z15</f>
        <v>3499.9999999998367</v>
      </c>
      <c r="Q13" s="31">
        <f>'FS Desroches Daily'!AB15</f>
        <v>389.99999999998636</v>
      </c>
      <c r="R13" s="31">
        <f>'FS Desroches Daily'!AD15</f>
        <v>519.99999999998181</v>
      </c>
      <c r="S13" s="31">
        <f>'FS Desroches Daily'!AF15</f>
        <v>430.00000000006366</v>
      </c>
      <c r="T13" s="31">
        <f>'FS Desroches Daily'!AH15</f>
        <v>42</v>
      </c>
      <c r="U13" s="35">
        <f>'FS Desroches Daily'!AJ15</f>
        <v>689.99999999994088</v>
      </c>
      <c r="V13" s="35">
        <f>'FS Desroches Daily'!AL15</f>
        <v>269.99999999998181</v>
      </c>
      <c r="W13" s="35">
        <f>'FS Desroches Daily'!AN15</f>
        <v>250</v>
      </c>
      <c r="X13" s="35">
        <f>'FS Desroches Daily'!AP15</f>
        <v>259.99999999999091</v>
      </c>
      <c r="Y13" s="35">
        <f>'FS Desroches Daily'!AR15</f>
        <v>199.99999999998863</v>
      </c>
      <c r="Z13" s="35">
        <f>'FS Desroches Daily'!AT15</f>
        <v>160.00000000002501</v>
      </c>
      <c r="AA13" s="35">
        <f>'FS Desroches Daily'!AT15</f>
        <v>160.00000000002501</v>
      </c>
      <c r="AB13" s="35">
        <f>'FS Desroches Daily'!AV15</f>
        <v>120.00000000000455</v>
      </c>
      <c r="AC13" s="35">
        <f>'FS Desroches Daily'!AZ15</f>
        <v>109.9999999999568</v>
      </c>
      <c r="AD13" s="35">
        <f>'FS Desroches Daily'!BB15</f>
        <v>199.99999999998863</v>
      </c>
      <c r="AE13" s="35">
        <f>'FS Desroches Daily'!BD15</f>
        <v>150.00000000003411</v>
      </c>
      <c r="AF13" s="31">
        <f>'FS Desroches Daily'!BF15</f>
        <v>34</v>
      </c>
      <c r="AG13" s="32">
        <f>'FS Desroches Daily'!BH15</f>
        <v>39.999999999992042</v>
      </c>
      <c r="AH13" s="32">
        <f>'FS Desroches Daily'!BJ15</f>
        <v>20.000000000038654</v>
      </c>
      <c r="AI13" s="32">
        <f>'FS Desroches Daily'!BL15</f>
        <v>39.999999999992042</v>
      </c>
      <c r="AJ13" s="32">
        <f>'FS Desroches Daily'!BN15</f>
        <v>39.999999999992042</v>
      </c>
      <c r="AK13" s="32">
        <f>'FS Desroches Daily'!BP15</f>
        <v>60.000000000002274</v>
      </c>
      <c r="AL13" s="32">
        <f>'FS Desroches Daily'!BR15</f>
        <v>30</v>
      </c>
      <c r="AM13" s="32">
        <f>'FS Desroches Daily'!BT15</f>
        <v>60.000000000002274</v>
      </c>
      <c r="AN13" s="32">
        <f>'FS Desroches Daily'!BV15</f>
        <v>37</v>
      </c>
      <c r="AO13" s="32">
        <f>'FS Desroches Daily'!BX15</f>
        <v>39.999999999992042</v>
      </c>
      <c r="AP13" s="32">
        <f>'FS Desroches Daily'!BZ15</f>
        <v>27</v>
      </c>
      <c r="AQ13" s="31">
        <f>'FS Desroches Daily'!CB15</f>
        <v>91.600000000005821</v>
      </c>
      <c r="AR13" s="31">
        <f>'FS Desroches Daily'!CD15</f>
        <v>7.7000000000007276</v>
      </c>
      <c r="AS13" s="31">
        <f>'FS Desroches Daily'!CF15</f>
        <v>14.699999999999818</v>
      </c>
      <c r="AT13" s="31">
        <f>'FS Desroches Daily'!CH15</f>
        <v>49.30000000000291</v>
      </c>
      <c r="AU13" s="31">
        <f>'FS Desroches Daily'!CJ15</f>
        <v>287</v>
      </c>
      <c r="AV13" s="31">
        <f>'FS Desroches Daily'!CL15</f>
        <v>620.00000000000455</v>
      </c>
      <c r="AW13" s="31">
        <f>'FS Desroches Daily'!CM15</f>
        <v>97</v>
      </c>
      <c r="AX13" s="31">
        <f>IF(LPG!F20-LPG!F19&lt;0,"0",(LPG!F20-LPG!F19)*1.8315)</f>
        <v>10.988999999999999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2022</v>
      </c>
      <c r="E14" s="31">
        <f>'FS Desroches Daily'!D16</f>
        <v>2699.9999999999245</v>
      </c>
      <c r="F14" s="32">
        <f>'FS Desroches Daily'!F16</f>
        <v>3500.0000000002806</v>
      </c>
      <c r="G14" s="31">
        <f>'FS Desroches Daily'!H16</f>
        <v>2899.9999999999027</v>
      </c>
      <c r="H14" s="32">
        <f>'FS Desroches Daily'!J16</f>
        <v>1600.0000000000459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26</v>
      </c>
      <c r="L14" s="31">
        <f>'FS Desroches Daily'!R16</f>
        <v>4</v>
      </c>
      <c r="M14" s="31">
        <f>'FS Desroches Daily'!T16</f>
        <v>1</v>
      </c>
      <c r="N14" s="31">
        <f>'FS Desroches Daily'!V16</f>
        <v>345.80000000004657</v>
      </c>
      <c r="O14" s="31">
        <f>'FS Desroches Daily'!X16</f>
        <v>289.99999999996362</v>
      </c>
      <c r="P14" s="31">
        <f>'FS Desroches Daily'!Z16</f>
        <v>3099.9999999998809</v>
      </c>
      <c r="Q14" s="31">
        <f>'FS Desroches Daily'!AB16</f>
        <v>269.99999999998181</v>
      </c>
      <c r="R14" s="31">
        <f>'FS Desroches Daily'!AD16</f>
        <v>470.00000000002728</v>
      </c>
      <c r="S14" s="31">
        <f>'FS Desroches Daily'!AF16</f>
        <v>409.99999999996817</v>
      </c>
      <c r="T14" s="31">
        <f>'FS Desroches Daily'!AH16</f>
        <v>40</v>
      </c>
      <c r="U14" s="35">
        <f>'FS Desroches Daily'!AJ16</f>
        <v>759.99999999999091</v>
      </c>
      <c r="V14" s="35">
        <f>'FS Desroches Daily'!AL16</f>
        <v>250</v>
      </c>
      <c r="W14" s="35">
        <f>'FS Desroches Daily'!AN16</f>
        <v>250</v>
      </c>
      <c r="X14" s="35">
        <f>'FS Desroches Daily'!AP16</f>
        <v>189.99999999999773</v>
      </c>
      <c r="Y14" s="35">
        <f>'FS Desroches Daily'!AR16</f>
        <v>199.99999999998863</v>
      </c>
      <c r="Z14" s="35">
        <f>'FS Desroches Daily'!AT16</f>
        <v>129.99999999999545</v>
      </c>
      <c r="AA14" s="35">
        <f>'FS Desroches Daily'!AT16</f>
        <v>129.99999999999545</v>
      </c>
      <c r="AB14" s="35">
        <f>'FS Desroches Daily'!AV16</f>
        <v>100.00000000002274</v>
      </c>
      <c r="AC14" s="35">
        <f>'FS Desroches Daily'!AZ16</f>
        <v>110.00000000001364</v>
      </c>
      <c r="AD14" s="35">
        <f>'FS Desroches Daily'!BB16</f>
        <v>170.00000000001592</v>
      </c>
      <c r="AE14" s="35">
        <f>'FS Desroches Daily'!BD16</f>
        <v>69.999999999993179</v>
      </c>
      <c r="AF14" s="31">
        <f>'FS Desroches Daily'!BF16</f>
        <v>42</v>
      </c>
      <c r="AG14" s="32">
        <f>'FS Desroches Daily'!BH16</f>
        <v>50.000000000011369</v>
      </c>
      <c r="AH14" s="32">
        <f>'FS Desroches Daily'!BJ16</f>
        <v>39.99999999996362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30</v>
      </c>
      <c r="AM14" s="32">
        <f>'FS Desroches Daily'!BT16</f>
        <v>60.000000000002274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28</v>
      </c>
      <c r="AQ14" s="31">
        <f>'FS Desroches Daily'!CB16</f>
        <v>67.19999999999709</v>
      </c>
      <c r="AR14" s="31">
        <f>'FS Desroches Daily'!CD16</f>
        <v>9.1000000000003638</v>
      </c>
      <c r="AS14" s="31">
        <f>'FS Desroches Daily'!CF16</f>
        <v>20</v>
      </c>
      <c r="AT14" s="31">
        <f>'FS Desroches Daily'!CH16</f>
        <v>46.099999999991269</v>
      </c>
      <c r="AU14" s="31">
        <f>'FS Desroches Daily'!CJ16</f>
        <v>267</v>
      </c>
      <c r="AV14" s="31">
        <f>'FS Desroches Daily'!CL16</f>
        <v>649.99999999997726</v>
      </c>
      <c r="AW14" s="31">
        <f>'FS Desroches Daily'!CM16</f>
        <v>85.599999999998545</v>
      </c>
      <c r="AX14" s="31">
        <f>IF(LPG!F21-LPG!F20&lt;0,"0",(LPG!F21-LPG!F20)*1.8315)</f>
        <v>9.1574999999999989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16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2022</v>
      </c>
      <c r="E15" s="31">
        <f>'FS Desroches Daily'!D17</f>
        <v>2399.9999999997358</v>
      </c>
      <c r="F15" s="32">
        <f>'FS Desroches Daily'!F17</f>
        <v>3400.0000000000696</v>
      </c>
      <c r="G15" s="31">
        <f>'FS Desroches Daily'!H17</f>
        <v>2499.9999999999468</v>
      </c>
      <c r="H15" s="32">
        <f>'FS Desroches Daily'!J17</f>
        <v>1499.9999999998347</v>
      </c>
      <c r="I15" s="31">
        <f>'FS Desroches Daily'!L17</f>
        <v>2099.9999999999909</v>
      </c>
      <c r="J15" s="32">
        <f>'FS Desroches Daily'!N17</f>
        <v>1300.0000000000789</v>
      </c>
      <c r="K15" s="13">
        <f>'FS Desroches Daily'!P17</f>
        <v>33</v>
      </c>
      <c r="L15" s="31">
        <f>'FS Desroches Daily'!R17</f>
        <v>4</v>
      </c>
      <c r="M15" s="31">
        <f>'FS Desroches Daily'!T17</f>
        <v>1</v>
      </c>
      <c r="N15" s="31">
        <f>'FS Desroches Daily'!V17</f>
        <v>353.39999999996508</v>
      </c>
      <c r="O15" s="31">
        <f>'FS Desroches Daily'!X17</f>
        <v>280.00000000002956</v>
      </c>
      <c r="P15" s="31">
        <f>'FS Desroches Daily'!Z17</f>
        <v>3100.0000000003247</v>
      </c>
      <c r="Q15" s="31">
        <f>'FS Desroches Daily'!AB17</f>
        <v>450.00000000004547</v>
      </c>
      <c r="R15" s="31">
        <f>'FS Desroches Daily'!AD17</f>
        <v>409.99999999996817</v>
      </c>
      <c r="S15" s="31">
        <f>'FS Desroches Daily'!AF17</f>
        <v>370.00000000000455</v>
      </c>
      <c r="T15" s="31">
        <f>'FS Desroches Daily'!AH17</f>
        <v>41</v>
      </c>
      <c r="U15" s="35">
        <f>'FS Desroches Daily'!AJ17</f>
        <v>670.00000000007276</v>
      </c>
      <c r="V15" s="35">
        <f>'FS Desroches Daily'!AL17</f>
        <v>240.00000000000909</v>
      </c>
      <c r="W15" s="35">
        <f>'FS Desroches Daily'!AN17</f>
        <v>250</v>
      </c>
      <c r="X15" s="35">
        <f>'FS Desroches Daily'!AP17</f>
        <v>140.00000000001478</v>
      </c>
      <c r="Y15" s="35">
        <f>'FS Desroches Daily'!AR17</f>
        <v>199.99999999998863</v>
      </c>
      <c r="Z15" s="35">
        <f>'FS Desroches Daily'!AT17</f>
        <v>120.00000000000455</v>
      </c>
      <c r="AA15" s="35">
        <f>'FS Desroches Daily'!AT17</f>
        <v>120.00000000000455</v>
      </c>
      <c r="AB15" s="35">
        <f>'FS Desroches Daily'!AV17</f>
        <v>89.999999999974989</v>
      </c>
      <c r="AC15" s="35">
        <f>'FS Desroches Daily'!AZ17</f>
        <v>110.00000000001364</v>
      </c>
      <c r="AD15" s="35">
        <f>'FS Desroches Daily'!BB17</f>
        <v>169.99999999995907</v>
      </c>
      <c r="AE15" s="35">
        <f>'FS Desroches Daily'!BD17</f>
        <v>50.000000000011369</v>
      </c>
      <c r="AF15" s="31">
        <f>'FS Desroches Daily'!BF17</f>
        <v>34</v>
      </c>
      <c r="AG15" s="32">
        <f>'FS Desroches Daily'!BH17</f>
        <v>39.999999999992042</v>
      </c>
      <c r="AH15" s="32">
        <f>'FS Desroches Daily'!BJ17</f>
        <v>30.000000000029559</v>
      </c>
      <c r="AI15" s="32">
        <f>'FS Desroches Daily'!BL17</f>
        <v>60.000000000002274</v>
      </c>
      <c r="AJ15" s="32">
        <f>'FS Desroches Daily'!BN17</f>
        <v>39.999999999992042</v>
      </c>
      <c r="AK15" s="32">
        <f>'FS Desroches Daily'!BP17</f>
        <v>79.999999999984084</v>
      </c>
      <c r="AL15" s="32">
        <f>'FS Desroches Daily'!BR17</f>
        <v>36</v>
      </c>
      <c r="AM15" s="32">
        <f>'FS Desroches Daily'!BT17</f>
        <v>79.999999999984084</v>
      </c>
      <c r="AN15" s="32">
        <f>'FS Desroches Daily'!BV17</f>
        <v>50</v>
      </c>
      <c r="AO15" s="32">
        <f>'FS Desroches Daily'!BX17</f>
        <v>40.000000000020464</v>
      </c>
      <c r="AP15" s="32">
        <f>'FS Desroches Daily'!BZ17</f>
        <v>35</v>
      </c>
      <c r="AQ15" s="31">
        <f>'FS Desroches Daily'!CB17</f>
        <v>59.80000000000291</v>
      </c>
      <c r="AR15" s="31">
        <f>'FS Desroches Daily'!CD17</f>
        <v>9.7999999999992724</v>
      </c>
      <c r="AS15" s="31">
        <f>'FS Desroches Daily'!CF17</f>
        <v>15</v>
      </c>
      <c r="AT15" s="31">
        <f>'FS Desroches Daily'!CH17</f>
        <v>31.80000000000291</v>
      </c>
      <c r="AU15" s="31">
        <f>'FS Desroches Daily'!CJ17</f>
        <v>293</v>
      </c>
      <c r="AV15" s="31">
        <f>'FS Desroches Daily'!CL17</f>
        <v>590.00000000003183</v>
      </c>
      <c r="AW15" s="31">
        <f>'FS Desroches Daily'!CM17</f>
        <v>96.400000000001455</v>
      </c>
      <c r="AX15" s="31">
        <f>IF(LPG!F22-LPG!F21&lt;0,"0",(LPG!F22-LPG!F21)*1.8315)</f>
        <v>10.988999999999999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2022</v>
      </c>
      <c r="E16" s="31">
        <f>'FS Desroches Daily'!D18</f>
        <v>2299.9999999999686</v>
      </c>
      <c r="F16" s="32">
        <f>'FS Desroches Daily'!F18</f>
        <v>2999.9999999996694</v>
      </c>
      <c r="G16" s="31">
        <f>'FS Desroches Daily'!H18</f>
        <v>2400.0000000001796</v>
      </c>
      <c r="H16" s="32">
        <f>'FS Desroches Daily'!J18</f>
        <v>1500.0000000000568</v>
      </c>
      <c r="I16" s="31">
        <f>'FS Desroches Daily'!L18</f>
        <v>1999.9999999997797</v>
      </c>
      <c r="J16" s="32">
        <f>'FS Desroches Daily'!N18</f>
        <v>1000.0000000001119</v>
      </c>
      <c r="K16" s="13">
        <f>'FS Desroches Daily'!P18</f>
        <v>14</v>
      </c>
      <c r="L16" s="31">
        <f>'FS Desroches Daily'!R18</f>
        <v>4</v>
      </c>
      <c r="M16" s="31">
        <f>'FS Desroches Daily'!T18</f>
        <v>0.89999999999986358</v>
      </c>
      <c r="N16" s="31">
        <f>'FS Desroches Daily'!V18</f>
        <v>358.5</v>
      </c>
      <c r="O16" s="31">
        <f>'FS Desroches Daily'!X18</f>
        <v>269.99999999998181</v>
      </c>
      <c r="P16" s="31">
        <f>'FS Desroches Daily'!Z18</f>
        <v>2999.9999999996694</v>
      </c>
      <c r="Q16" s="31">
        <f>'FS Desroches Daily'!AB18</f>
        <v>239.99999999995225</v>
      </c>
      <c r="R16" s="31">
        <f>'FS Desroches Daily'!AD18</f>
        <v>400.00000000003411</v>
      </c>
      <c r="S16" s="31">
        <f>'FS Desroches Daily'!AF18</f>
        <v>329.99999999992724</v>
      </c>
      <c r="T16" s="31">
        <f>'FS Desroches Daily'!AH18</f>
        <v>40</v>
      </c>
      <c r="U16" s="35">
        <f>'FS Desroches Daily'!AJ18</f>
        <v>730.00000000001819</v>
      </c>
      <c r="V16" s="35">
        <f>'FS Desroches Daily'!AL18</f>
        <v>199.99999999998863</v>
      </c>
      <c r="W16" s="35">
        <f>'FS Desroches Daily'!AN18</f>
        <v>270.00000000001023</v>
      </c>
      <c r="X16" s="35">
        <f>'FS Desroches Daily'!AP18</f>
        <v>169.99999999998749</v>
      </c>
      <c r="Y16" s="35">
        <f>'FS Desroches Daily'!AR18</f>
        <v>180.00000000000682</v>
      </c>
      <c r="Z16" s="35">
        <f>'FS Desroches Daily'!AT18</f>
        <v>119.9999999999477</v>
      </c>
      <c r="AA16" s="35">
        <f>'FS Desroches Daily'!AT18</f>
        <v>119.9999999999477</v>
      </c>
      <c r="AB16" s="35">
        <f>'FS Desroches Daily'!AV18</f>
        <v>100.00000000002274</v>
      </c>
      <c r="AC16" s="35">
        <f>'FS Desroches Daily'!AZ18</f>
        <v>89.999999999974989</v>
      </c>
      <c r="AD16" s="35">
        <f>'FS Desroches Daily'!BB18</f>
        <v>160.00000000002501</v>
      </c>
      <c r="AE16" s="35">
        <f>'FS Desroches Daily'!BD18</f>
        <v>39.99999999996362</v>
      </c>
      <c r="AF16" s="31">
        <f>'FS Desroches Daily'!BF18</f>
        <v>18</v>
      </c>
      <c r="AG16" s="32">
        <f>'FS Desroches Daily'!BH18</f>
        <v>39.999999999992042</v>
      </c>
      <c r="AH16" s="32">
        <f>'FS Desroches Daily'!BJ18</f>
        <v>29.999999999972715</v>
      </c>
      <c r="AI16" s="32">
        <f>'FS Desroches Daily'!BL18</f>
        <v>39.999999999992042</v>
      </c>
      <c r="AJ16" s="32">
        <f>'FS Desroches Daily'!BN18</f>
        <v>40.000000000020464</v>
      </c>
      <c r="AK16" s="32">
        <f>'FS Desroches Daily'!BP18</f>
        <v>60.000000000002274</v>
      </c>
      <c r="AL16" s="32">
        <f>'FS Desroches Daily'!BR18</f>
        <v>30</v>
      </c>
      <c r="AM16" s="32">
        <f>'FS Desroches Daily'!BT18</f>
        <v>50.000000000011369</v>
      </c>
      <c r="AN16" s="32">
        <f>'FS Desroches Daily'!BV18</f>
        <v>32</v>
      </c>
      <c r="AO16" s="32">
        <f>'FS Desroches Daily'!BX18</f>
        <v>30.000000000001137</v>
      </c>
      <c r="AP16" s="32">
        <f>'FS Desroches Daily'!BZ18</f>
        <v>38</v>
      </c>
      <c r="AQ16" s="31">
        <f>'FS Desroches Daily'!CB18</f>
        <v>86.899999999994179</v>
      </c>
      <c r="AR16" s="31">
        <f>'FS Desroches Daily'!CD18</f>
        <v>9.2000000000007276</v>
      </c>
      <c r="AS16" s="31">
        <f>'FS Desroches Daily'!CF18</f>
        <v>5.1999999999998181</v>
      </c>
      <c r="AT16" s="31">
        <f>'FS Desroches Daily'!CH18</f>
        <v>53.400000000008731</v>
      </c>
      <c r="AU16" s="31">
        <f>'FS Desroches Daily'!CJ18</f>
        <v>272</v>
      </c>
      <c r="AV16" s="31">
        <f>'FS Desroches Daily'!CL18</f>
        <v>519.99999999998181</v>
      </c>
      <c r="AW16" s="31">
        <f>'FS Desroches Daily'!CM18</f>
        <v>83.099999999998545</v>
      </c>
      <c r="AX16" s="31">
        <f>IF(LPG!F23-LPG!F22&lt;0,"0",(LPG!F23-LPG!F22)*1.8315)</f>
        <v>7.3259999999999996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7.3259999999999996</v>
      </c>
      <c r="BB16" s="31">
        <f>IF(LPG!Q23-LPG!Q22&lt;0,"0",(LPG!Q23-LPG!Q22)*1.8315)</f>
        <v>1.8314999999999999</v>
      </c>
      <c r="BC16" s="13">
        <f>'FS Desroches Daily'!CN18</f>
        <v>17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2022</v>
      </c>
      <c r="E17" s="31">
        <f>'FS Desroches Daily'!D19</f>
        <v>2800.0000000001355</v>
      </c>
      <c r="F17" s="32">
        <f>'FS Desroches Daily'!F19</f>
        <v>3600.0000000000477</v>
      </c>
      <c r="G17" s="31">
        <f>'FS Desroches Daily'!H19</f>
        <v>2799.9999999996917</v>
      </c>
      <c r="H17" s="32">
        <f>'FS Desroches Daily'!J19</f>
        <v>1500.0000000000568</v>
      </c>
      <c r="I17" s="31">
        <f>'FS Desroches Daily'!L19</f>
        <v>2299.9999999999686</v>
      </c>
      <c r="J17" s="32">
        <f>'FS Desroches Daily'!N19</f>
        <v>1299.9999999998568</v>
      </c>
      <c r="K17" s="13">
        <f>'FS Desroches Daily'!P19</f>
        <v>69</v>
      </c>
      <c r="L17" s="31">
        <f>'FS Desroches Daily'!R19</f>
        <v>5</v>
      </c>
      <c r="M17" s="31">
        <f>'FS Desroches Daily'!T19</f>
        <v>1.1000000000001364</v>
      </c>
      <c r="N17" s="31">
        <f>'FS Desroches Daily'!V19</f>
        <v>410.10000000003492</v>
      </c>
      <c r="O17" s="31">
        <f>'FS Desroches Daily'!X19</f>
        <v>280.00000000002956</v>
      </c>
      <c r="P17" s="31">
        <f>'FS Desroches Daily'!Z19</f>
        <v>3100.0000000003247</v>
      </c>
      <c r="Q17" s="31">
        <f>'FS Desroches Daily'!AB19</f>
        <v>379.99999999999545</v>
      </c>
      <c r="R17" s="31">
        <f>'FS Desroches Daily'!AD19</f>
        <v>429.99999999994998</v>
      </c>
      <c r="S17" s="31">
        <f>'FS Desroches Daily'!AF19</f>
        <v>320.00000000005002</v>
      </c>
      <c r="T17" s="31">
        <f>'FS Desroches Daily'!AH19</f>
        <v>37</v>
      </c>
      <c r="U17" s="35">
        <f>'FS Desroches Daily'!AJ19</f>
        <v>699.99999999993179</v>
      </c>
      <c r="V17" s="35">
        <f>'FS Desroches Daily'!AL19</f>
        <v>219.99999999999886</v>
      </c>
      <c r="W17" s="35">
        <f>'FS Desroches Daily'!AN19</f>
        <v>299.99999999998295</v>
      </c>
      <c r="X17" s="35">
        <f>'FS Desroches Daily'!AP19</f>
        <v>189.99999999999773</v>
      </c>
      <c r="Y17" s="35">
        <f>'FS Desroches Daily'!AR19</f>
        <v>160.00000000002501</v>
      </c>
      <c r="Z17" s="35">
        <f>'FS Desroches Daily'!AU20</f>
        <v>316.27999999999997</v>
      </c>
      <c r="AA17" s="35">
        <f>'FS Desroches Daily'!AU20</f>
        <v>316.27999999999997</v>
      </c>
      <c r="AB17" s="35">
        <f>'FS Desroches Daily'!AV19</f>
        <v>169.99999999995907</v>
      </c>
      <c r="AC17" s="35">
        <f>'FS Desroches Daily'!AZ19</f>
        <v>160.00000000002501</v>
      </c>
      <c r="AD17" s="35">
        <f>'FS Desroches Daily'!BB19</f>
        <v>159.99999999996817</v>
      </c>
      <c r="AE17" s="35">
        <f>'FS Desroches Daily'!BD19</f>
        <v>50.000000000011369</v>
      </c>
      <c r="AF17" s="31">
        <f>'FS Desroches Daily'!BF19</f>
        <v>46</v>
      </c>
      <c r="AG17" s="32">
        <f>'FS Desroches Daily'!BH19</f>
        <v>40.000000000020464</v>
      </c>
      <c r="AH17" s="32">
        <f>'FS Desroches Daily'!BJ19</f>
        <v>40.000000000020464</v>
      </c>
      <c r="AI17" s="32">
        <f>'FS Desroches Daily'!BL19</f>
        <v>60.000000000002274</v>
      </c>
      <c r="AJ17" s="32">
        <f>'FS Desroches Daily'!BN19</f>
        <v>39.999999999992042</v>
      </c>
      <c r="AK17" s="32">
        <f>'FS Desroches Daily'!BP19</f>
        <v>69.999999999993179</v>
      </c>
      <c r="AL17" s="32">
        <f>'FS Desroches Daily'!BR19</f>
        <v>28</v>
      </c>
      <c r="AM17" s="32">
        <f>'FS Desroches Daily'!BT19</f>
        <v>69.999999999993179</v>
      </c>
      <c r="AN17" s="32">
        <f>'FS Desroches Daily'!BV19</f>
        <v>38</v>
      </c>
      <c r="AO17" s="32">
        <f>'FS Desroches Daily'!BX19</f>
        <v>39.999999999992042</v>
      </c>
      <c r="AP17" s="32">
        <f>'FS Desroches Daily'!BZ19</f>
        <v>40</v>
      </c>
      <c r="AQ17" s="31">
        <f>'FS Desroches Daily'!CB19</f>
        <v>64.80000000000291</v>
      </c>
      <c r="AR17" s="31">
        <f>'FS Desroches Daily'!CD19</f>
        <v>11.399999999999636</v>
      </c>
      <c r="AS17" s="31">
        <f>'FS Desroches Daily'!CF19</f>
        <v>7.1999999999998181</v>
      </c>
      <c r="AT17" s="31">
        <f>'FS Desroches Daily'!CH19</f>
        <v>31</v>
      </c>
      <c r="AU17" s="31">
        <f>'FS Desroches Daily'!CJ19</f>
        <v>286</v>
      </c>
      <c r="AV17" s="31">
        <f>'FS Desroches Daily'!CL19</f>
        <v>569.99999999993634</v>
      </c>
      <c r="AW17" s="31">
        <f>'FS Desroches Daily'!CM19</f>
        <v>79.900000000001455</v>
      </c>
      <c r="AX17" s="31">
        <f>IF(LPG!F24-LPG!F23&lt;0,"0",(LPG!F24-LPG!F23)*1.8315)</f>
        <v>10.988999999999999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3.6629999999999998</v>
      </c>
      <c r="BB17" s="31">
        <f>IF(LPG!Q24-LPG!Q23&lt;0,"0",(LPG!Q24-LPG!Q23)*1.8315)</f>
        <v>9.1574999999999989</v>
      </c>
      <c r="BC17" s="13">
        <f>'FS Desroches Daily'!CN19</f>
        <v>14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2022</v>
      </c>
      <c r="E18" s="31">
        <f>'FS Desroches Daily'!D20</f>
        <v>3099.9999999998809</v>
      </c>
      <c r="F18" s="32">
        <f>'FS Desroches Daily'!F20</f>
        <v>3400.0000000000696</v>
      </c>
      <c r="G18" s="31">
        <f>'FS Desroches Daily'!H20</f>
        <v>2700.0000000003688</v>
      </c>
      <c r="H18" s="32">
        <f>'FS Desroches Daily'!J20</f>
        <v>1700.0000000000348</v>
      </c>
      <c r="I18" s="31">
        <f>'FS Desroches Daily'!L20</f>
        <v>2299.9999999999686</v>
      </c>
      <c r="J18" s="32">
        <f>'FS Desroches Daily'!N20</f>
        <v>1500.0000000000568</v>
      </c>
      <c r="K18" s="13">
        <f>'FS Desroches Daily'!P20</f>
        <v>22</v>
      </c>
      <c r="L18" s="31">
        <f>'FS Desroches Daily'!R20</f>
        <v>6</v>
      </c>
      <c r="M18" s="31">
        <f>'FS Desroches Daily'!T20</f>
        <v>1</v>
      </c>
      <c r="N18" s="31">
        <f>'FS Desroches Daily'!V20</f>
        <v>441.89999999996508</v>
      </c>
      <c r="O18" s="31">
        <f>'FS Desroches Daily'!X20</f>
        <v>369.9999999999477</v>
      </c>
      <c r="P18" s="31">
        <f>'FS Desroches Daily'!Z20</f>
        <v>3199.9999999996476</v>
      </c>
      <c r="Q18" s="31">
        <f>'FS Desroches Daily'!AB20</f>
        <v>430.00000000000682</v>
      </c>
      <c r="R18" s="31">
        <f>'FS Desroches Daily'!AD20</f>
        <v>520.00000000003865</v>
      </c>
      <c r="S18" s="31">
        <f>'FS Desroches Daily'!AF20</f>
        <v>529.99999999997272</v>
      </c>
      <c r="T18" s="31">
        <f>'FS Desroches Daily'!AH20</f>
        <v>43</v>
      </c>
      <c r="U18" s="35">
        <f>'FS Desroches Daily'!AJ20</f>
        <v>860.00000000001364</v>
      </c>
      <c r="V18" s="35">
        <f>'FS Desroches Daily'!AL20</f>
        <v>300.00000000001137</v>
      </c>
      <c r="W18" s="35">
        <f>'FS Desroches Daily'!AN20</f>
        <v>330.00000000001251</v>
      </c>
      <c r="X18" s="35">
        <f>'FS Desroches Daily'!AP20</f>
        <v>260.00000000001933</v>
      </c>
      <c r="Y18" s="35">
        <f>'FS Desroches Daily'!AR20</f>
        <v>129.99999999999545</v>
      </c>
      <c r="Z18" s="35">
        <f>'FS Desroches Daily'!AT20</f>
        <v>149.99999999997726</v>
      </c>
      <c r="AA18" s="35">
        <f>'FS Desroches Daily'!AT20</f>
        <v>149.99999999997726</v>
      </c>
      <c r="AB18" s="35">
        <f>'FS Desroches Daily'!AV20</f>
        <v>319.99999999999318</v>
      </c>
      <c r="AC18" s="35">
        <f>'FS Desroches Daily'!AZ20</f>
        <v>120.00000000000455</v>
      </c>
      <c r="AD18" s="35">
        <f>'FS Desroches Daily'!BB20</f>
        <v>200.00000000004547</v>
      </c>
      <c r="AE18" s="35">
        <f>'FS Desroches Daily'!BD20</f>
        <v>60.000000000002274</v>
      </c>
      <c r="AF18" s="31">
        <f>'FS Desroches Daily'!BF20</f>
        <v>54</v>
      </c>
      <c r="AG18" s="32">
        <f>'FS Desroches Daily'!BH20</f>
        <v>69.999999999993179</v>
      </c>
      <c r="AH18" s="32">
        <f>'FS Desroches Daily'!BJ20</f>
        <v>40.000000000020464</v>
      </c>
      <c r="AI18" s="32">
        <f>'FS Desroches Daily'!BL20</f>
        <v>49.999999999982947</v>
      </c>
      <c r="AJ18" s="32">
        <f>'FS Desroches Daily'!BN20</f>
        <v>50.000000000011369</v>
      </c>
      <c r="AK18" s="32">
        <f>'FS Desroches Daily'!BP20</f>
        <v>69.999999999993179</v>
      </c>
      <c r="AL18" s="32">
        <f>'FS Desroches Daily'!BR20</f>
        <v>33</v>
      </c>
      <c r="AM18" s="32">
        <f>'FS Desroches Daily'!BT20</f>
        <v>69.999999999993179</v>
      </c>
      <c r="AN18" s="32">
        <f>'FS Desroches Daily'!BV20</f>
        <v>43</v>
      </c>
      <c r="AO18" s="32">
        <f>'FS Desroches Daily'!BX20</f>
        <v>39.999999999992042</v>
      </c>
      <c r="AP18" s="32">
        <f>'FS Desroches Daily'!BZ20</f>
        <v>46</v>
      </c>
      <c r="AQ18" s="31">
        <f>'FS Desroches Daily'!CB20</f>
        <v>57.19999999999709</v>
      </c>
      <c r="AR18" s="31">
        <f>'FS Desroches Daily'!CD20</f>
        <v>10.399999999999636</v>
      </c>
      <c r="AS18" s="31">
        <f>'FS Desroches Daily'!CF20</f>
        <v>3.2000000000007276</v>
      </c>
      <c r="AT18" s="31">
        <f>'FS Desroches Daily'!CH20</f>
        <v>64.19999999999709</v>
      </c>
      <c r="AU18" s="31">
        <f>'FS Desroches Daily'!CJ20</f>
        <v>319</v>
      </c>
      <c r="AV18" s="31">
        <f>'FS Desroches Daily'!CL20</f>
        <v>610.00000000001364</v>
      </c>
      <c r="AW18" s="31">
        <f>'FS Desroches Daily'!CM20</f>
        <v>79.69999999999709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9.1574999999999989</v>
      </c>
      <c r="BC18" s="13">
        <f>'FS Desroches Daily'!CN20</f>
        <v>19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2022</v>
      </c>
      <c r="E19" s="31">
        <f>'FS Desroches Daily'!D21</f>
        <v>3400.0000000000696</v>
      </c>
      <c r="F19" s="32">
        <f>'FS Desroches Daily'!F21</f>
        <v>3500.0000000002806</v>
      </c>
      <c r="G19" s="31">
        <f>'FS Desroches Daily'!H21</f>
        <v>2799.9999999996917</v>
      </c>
      <c r="H19" s="32">
        <f>'FS Desroches Daily'!J21</f>
        <v>1700.0000000000348</v>
      </c>
      <c r="I19" s="31">
        <f>'FS Desroches Daily'!L21</f>
        <v>2299.9999999999686</v>
      </c>
      <c r="J19" s="32">
        <f>'FS Desroches Daily'!N21</f>
        <v>1800.0000000000239</v>
      </c>
      <c r="K19" s="13">
        <f>'FS Desroches Daily'!P21</f>
        <v>49</v>
      </c>
      <c r="L19" s="31">
        <f>'FS Desroches Daily'!R21</f>
        <v>6</v>
      </c>
      <c r="M19" s="31">
        <f>'FS Desroches Daily'!T21</f>
        <v>1</v>
      </c>
      <c r="N19" s="31">
        <f>'FS Desroches Daily'!V21</f>
        <v>423.79999999998836</v>
      </c>
      <c r="O19" s="31">
        <f>'FS Desroches Daily'!X21</f>
        <v>350.00000000002274</v>
      </c>
      <c r="P19" s="31">
        <f>'FS Desroches Daily'!Z21</f>
        <v>3100.0000000003247</v>
      </c>
      <c r="Q19" s="31">
        <f>'FS Desroches Daily'!AB21</f>
        <v>360.00000000001364</v>
      </c>
      <c r="R19" s="31">
        <f>'FS Desroches Daily'!AD21</f>
        <v>659.99999999996817</v>
      </c>
      <c r="S19" s="31">
        <f>'FS Desroches Daily'!AF21</f>
        <v>670.00000000007276</v>
      </c>
      <c r="T19" s="31">
        <f>'FS Desroches Daily'!AH21</f>
        <v>41</v>
      </c>
      <c r="U19" s="35">
        <f>'FS Desroches Daily'!AJ21</f>
        <v>879.99999999999545</v>
      </c>
      <c r="V19" s="35">
        <f>'FS Desroches Daily'!AL21</f>
        <v>259.99999999999091</v>
      </c>
      <c r="W19" s="35">
        <f>'FS Desroches Daily'!AN21</f>
        <v>379.99999999999545</v>
      </c>
      <c r="X19" s="35">
        <f>'FS Desroches Daily'!AP21</f>
        <v>250</v>
      </c>
      <c r="Y19" s="35">
        <f>'FS Desroches Daily'!AR21</f>
        <v>129.99999999999545</v>
      </c>
      <c r="Z19" s="35">
        <f>'FS Desroches Daily'!AT21</f>
        <v>160.00000000002501</v>
      </c>
      <c r="AA19" s="35">
        <f>'FS Desroches Daily'!AT21</f>
        <v>160.00000000002501</v>
      </c>
      <c r="AB19" s="35">
        <f>'FS Desroches Daily'!AV21</f>
        <v>280.00000000002956</v>
      </c>
      <c r="AC19" s="35">
        <f>'FS Desroches Daily'!AZ21</f>
        <v>149.99999999997726</v>
      </c>
      <c r="AD19" s="35">
        <f>'FS Desroches Daily'!BB21</f>
        <v>199.99999999998863</v>
      </c>
      <c r="AE19" s="35">
        <f>'FS Desroches Daily'!BD21</f>
        <v>60.000000000002274</v>
      </c>
      <c r="AF19" s="31">
        <f>'FS Desroches Daily'!BF21</f>
        <v>52</v>
      </c>
      <c r="AG19" s="32">
        <f>'FS Desroches Daily'!BH21</f>
        <v>50.000000000011369</v>
      </c>
      <c r="AH19" s="32">
        <f>'FS Desroches Daily'!BJ21</f>
        <v>39.99999999996362</v>
      </c>
      <c r="AI19" s="32">
        <f>'FS Desroches Daily'!BL21</f>
        <v>50.000000000011369</v>
      </c>
      <c r="AJ19" s="32">
        <f>'FS Desroches Daily'!BN21</f>
        <v>49.999999999982947</v>
      </c>
      <c r="AK19" s="32">
        <f>'FS Desroches Daily'!BP21</f>
        <v>60.000000000002274</v>
      </c>
      <c r="AL19" s="32">
        <f>'FS Desroches Daily'!BR21</f>
        <v>34</v>
      </c>
      <c r="AM19" s="32">
        <f>'FS Desroches Daily'!BT21</f>
        <v>70.0000000000216</v>
      </c>
      <c r="AN19" s="32">
        <f>'FS Desroches Daily'!BV21</f>
        <v>48</v>
      </c>
      <c r="AO19" s="32">
        <f>'FS Desroches Daily'!BX21</f>
        <v>39.999999999992042</v>
      </c>
      <c r="AP19" s="32">
        <f>'FS Desroches Daily'!BZ21</f>
        <v>44</v>
      </c>
      <c r="AQ19" s="31">
        <f>'FS Desroches Daily'!CB21</f>
        <v>49.30000000000291</v>
      </c>
      <c r="AR19" s="31">
        <f>'FS Desroches Daily'!CD21</f>
        <v>6.7000000000007276</v>
      </c>
      <c r="AS19" s="31">
        <f>'FS Desroches Daily'!CF21</f>
        <v>4.5</v>
      </c>
      <c r="AT19" s="31">
        <f>'FS Desroches Daily'!CH21</f>
        <v>38.30000000000291</v>
      </c>
      <c r="AU19" s="31">
        <f>'FS Desroches Daily'!CJ21</f>
        <v>284</v>
      </c>
      <c r="AV19" s="31">
        <f>'FS Desroches Daily'!CL21</f>
        <v>629.99999999999545</v>
      </c>
      <c r="AW19" s="31">
        <f>'FS Desroches Daily'!CM21</f>
        <v>93.900000000001455</v>
      </c>
      <c r="AX19" s="31">
        <f>IF(LPG!F26-LPG!F25&lt;0,"0",(LPG!F26-LPG!F25)*1.8315)</f>
        <v>10.988999999999999</v>
      </c>
      <c r="AY19" s="31">
        <f>IF(LPG!H26-LPG!H25&lt;0,"0",(LPG!H26-LPG!H25)*1.8315)</f>
        <v>3.6629999999999998</v>
      </c>
      <c r="AZ19" s="31">
        <f>IF(LPG!J26-LPG!J25&lt;0,"0",(LPG!J26-LPG!J25)*1.8315)</f>
        <v>0</v>
      </c>
      <c r="BA19" s="31">
        <f>IF(LPG!M26-LPG!M25&lt;0,"0",(LPG!M26-LPG!M25)*1.8315)</f>
        <v>5.4944999999999995</v>
      </c>
      <c r="BB19" s="31">
        <f>IF(LPG!Q26-LPG!Q25&lt;0,"0",(LPG!Q26-LPG!Q25)*1.8315)</f>
        <v>5.4944999999999995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2022</v>
      </c>
      <c r="E20" s="31">
        <f>'FS Desroches Daily'!D22</f>
        <v>3200.0000000000919</v>
      </c>
      <c r="F20" s="32">
        <f>'FS Desroches Daily'!F22</f>
        <v>3299.9999999998586</v>
      </c>
      <c r="G20" s="31">
        <f>'FS Desroches Daily'!H22</f>
        <v>2800.0000000001355</v>
      </c>
      <c r="H20" s="32">
        <f>'FS Desroches Daily'!J22</f>
        <v>1699.9999999998129</v>
      </c>
      <c r="I20" s="31">
        <f>'FS Desroches Daily'!L22</f>
        <v>2299.9999999999686</v>
      </c>
      <c r="J20" s="32">
        <f>'FS Desroches Daily'!N22</f>
        <v>1700.0000000000348</v>
      </c>
      <c r="K20" s="13">
        <f>'FS Desroches Daily'!P22</f>
        <v>26</v>
      </c>
      <c r="L20" s="31">
        <f>'FS Desroches Daily'!R22</f>
        <v>4</v>
      </c>
      <c r="M20" s="31">
        <f>'FS Desroches Daily'!T22</f>
        <v>0.89999999999986358</v>
      </c>
      <c r="N20" s="31">
        <f>'FS Desroches Daily'!V22</f>
        <v>336</v>
      </c>
      <c r="O20" s="31">
        <f>'FS Desroches Daily'!X22</f>
        <v>310.00000000000227</v>
      </c>
      <c r="P20" s="31">
        <f>'FS Desroches Daily'!Z22</f>
        <v>2799.9999999996917</v>
      </c>
      <c r="Q20" s="31">
        <f>'FS Desroches Daily'!AB22</f>
        <v>449.99999999998863</v>
      </c>
      <c r="R20" s="31">
        <f>'FS Desroches Daily'!AD22</f>
        <v>520.00000000003865</v>
      </c>
      <c r="S20" s="31">
        <f>'FS Desroches Daily'!AF22</f>
        <v>579.99999999992724</v>
      </c>
      <c r="T20" s="31">
        <f>'FS Desroches Daily'!AH22</f>
        <v>42</v>
      </c>
      <c r="U20" s="35">
        <f>'FS Desroches Daily'!AJ22</f>
        <v>820.00000000005002</v>
      </c>
      <c r="V20" s="35">
        <f>'FS Desroches Daily'!AL22</f>
        <v>290.00000000002046</v>
      </c>
      <c r="W20" s="35">
        <f>'FS Desroches Daily'!AN22</f>
        <v>330.00000000001251</v>
      </c>
      <c r="X20" s="35">
        <f>'FS Desroches Daily'!AP22</f>
        <v>219.99999999999886</v>
      </c>
      <c r="Y20" s="35">
        <f>'FS Desroches Daily'!AR22</f>
        <v>180.00000000000682</v>
      </c>
      <c r="Z20" s="35">
        <f>'FS Desroches Daily'!AT22</f>
        <v>199.99999999998863</v>
      </c>
      <c r="AA20" s="35">
        <f>'FS Desroches Daily'!AT22</f>
        <v>199.99999999998863</v>
      </c>
      <c r="AB20" s="35">
        <f>'FS Desroches Daily'!AV22</f>
        <v>269.99999999998181</v>
      </c>
      <c r="AC20" s="35">
        <f>'FS Desroches Daily'!AZ22</f>
        <v>150.00000000003411</v>
      </c>
      <c r="AD20" s="35">
        <f>'FS Desroches Daily'!BB22</f>
        <v>209.99999999997954</v>
      </c>
      <c r="AE20" s="35">
        <f>'FS Desroches Daily'!BD22</f>
        <v>50.000000000011369</v>
      </c>
      <c r="AF20" s="31">
        <f>'FS Desroches Daily'!BF22</f>
        <v>45</v>
      </c>
      <c r="AG20" s="32">
        <f>'FS Desroches Daily'!BH22</f>
        <v>49.999999999982947</v>
      </c>
      <c r="AH20" s="32">
        <f>'FS Desroches Daily'!BJ22</f>
        <v>30.000000000029559</v>
      </c>
      <c r="AI20" s="32">
        <f>'FS Desroches Daily'!BL22</f>
        <v>39.999999999992042</v>
      </c>
      <c r="AJ20" s="32">
        <f>'FS Desroches Daily'!BN22</f>
        <v>39.999999999992042</v>
      </c>
      <c r="AK20" s="32">
        <f>'FS Desroches Daily'!BP22</f>
        <v>50.000000000011369</v>
      </c>
      <c r="AL20" s="32">
        <f>'FS Desroches Daily'!BR22</f>
        <v>31</v>
      </c>
      <c r="AM20" s="32">
        <f>'FS Desroches Daily'!BT22</f>
        <v>49.999999999982947</v>
      </c>
      <c r="AN20" s="32">
        <f>'FS Desroches Daily'!BV22</f>
        <v>33</v>
      </c>
      <c r="AO20" s="32">
        <f>'FS Desroches Daily'!BX22</f>
        <v>30.000000000001137</v>
      </c>
      <c r="AP20" s="32">
        <f>'FS Desroches Daily'!BZ22</f>
        <v>37</v>
      </c>
      <c r="AQ20" s="31">
        <f>'FS Desroches Daily'!CB22</f>
        <v>54</v>
      </c>
      <c r="AR20" s="31">
        <f>'FS Desroches Daily'!CD22</f>
        <v>7.8999999999996362</v>
      </c>
      <c r="AS20" s="31">
        <f>'FS Desroches Daily'!CF22</f>
        <v>8.4099999999998545</v>
      </c>
      <c r="AT20" s="31">
        <f>'FS Desroches Daily'!CH22</f>
        <v>51.899999999994179</v>
      </c>
      <c r="AU20" s="31">
        <f>'FS Desroches Daily'!CJ22</f>
        <v>283</v>
      </c>
      <c r="AV20" s="31">
        <f>'FS Desroches Daily'!CL22</f>
        <v>620.00000000000455</v>
      </c>
      <c r="AW20" s="31">
        <f>'FS Desroches Daily'!CM22</f>
        <v>81.400000000001455</v>
      </c>
      <c r="AX20" s="31">
        <f>IF(LPG!F27-LPG!F26&lt;0,"0",(LPG!F27-LPG!F26)*1.8315)</f>
        <v>9.1574999999999989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17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2022</v>
      </c>
      <c r="E21" s="31">
        <f>'FS Desroches Daily'!D23</f>
        <v>3099.9999999998809</v>
      </c>
      <c r="F21" s="32">
        <f>'FS Desroches Daily'!F23</f>
        <v>3800.0000000000255</v>
      </c>
      <c r="G21" s="31">
        <f>'FS Desroches Daily'!H23</f>
        <v>2800.0000000001355</v>
      </c>
      <c r="H21" s="32">
        <f>'FS Desroches Daily'!J23</f>
        <v>1700.0000000000348</v>
      </c>
      <c r="I21" s="31">
        <f>'FS Desroches Daily'!L23</f>
        <v>2200.0000000002019</v>
      </c>
      <c r="J21" s="32">
        <f>'FS Desroches Daily'!N23</f>
        <v>1699.9999999998129</v>
      </c>
      <c r="K21" s="13">
        <f>'FS Desroches Daily'!P23</f>
        <v>29</v>
      </c>
      <c r="L21" s="31">
        <f>'FS Desroches Daily'!R23</f>
        <v>6</v>
      </c>
      <c r="M21" s="31">
        <f>'FS Desroches Daily'!T23</f>
        <v>1</v>
      </c>
      <c r="N21" s="31">
        <f>'FS Desroches Daily'!V23</f>
        <v>423.30000000004657</v>
      </c>
      <c r="O21" s="31">
        <f>'FS Desroches Daily'!X23</f>
        <v>459.99999999997954</v>
      </c>
      <c r="P21" s="31">
        <f>'FS Desroches Daily'!Z23</f>
        <v>3300.0000000003029</v>
      </c>
      <c r="Q21" s="31">
        <f>'FS Desroches Daily'!AB23</f>
        <v>360.00000000001364</v>
      </c>
      <c r="R21" s="31">
        <f>'FS Desroches Daily'!AD23</f>
        <v>589.99999999997499</v>
      </c>
      <c r="S21" s="31">
        <f>'FS Desroches Daily'!AF23</f>
        <v>620.00000000000455</v>
      </c>
      <c r="T21" s="31">
        <f>'FS Desroches Daily'!AH23</f>
        <v>45</v>
      </c>
      <c r="U21" s="35">
        <f>'FS Desroches Daily'!AJ23</f>
        <v>789.99999999996362</v>
      </c>
      <c r="V21" s="35">
        <f>'FS Desroches Daily'!AL23</f>
        <v>299.99999999998295</v>
      </c>
      <c r="W21" s="35">
        <f>'FS Desroches Daily'!AN23</f>
        <v>349.99999999999432</v>
      </c>
      <c r="X21" s="35">
        <f>'FS Desroches Daily'!AP23</f>
        <v>219.99999999999886</v>
      </c>
      <c r="Y21" s="35">
        <f>'FS Desroches Daily'!AR23</f>
        <v>129.99999999999545</v>
      </c>
      <c r="Z21" s="35">
        <f>'FS Desroches Daily'!AT23</f>
        <v>199.99999999998863</v>
      </c>
      <c r="AA21" s="35">
        <f>'FS Desroches Daily'!AT23</f>
        <v>199.99999999998863</v>
      </c>
      <c r="AB21" s="35">
        <f>'FS Desroches Daily'!AV23</f>
        <v>290.00000000002046</v>
      </c>
      <c r="AC21" s="35">
        <f>'FS Desroches Daily'!AZ23</f>
        <v>149.99999999997726</v>
      </c>
      <c r="AD21" s="35">
        <f>'FS Desroches Daily'!BB23</f>
        <v>199.99999999998863</v>
      </c>
      <c r="AE21" s="35">
        <f>'FS Desroches Daily'!BD23</f>
        <v>49.999999999954525</v>
      </c>
      <c r="AF21" s="31">
        <f>'FS Desroches Daily'!BF23</f>
        <v>69</v>
      </c>
      <c r="AG21" s="32">
        <f>'FS Desroches Daily'!BH23</f>
        <v>50.000000000011369</v>
      </c>
      <c r="AH21" s="32">
        <f>'FS Desroches Daily'!BJ23</f>
        <v>39.99999999996362</v>
      </c>
      <c r="AI21" s="32">
        <f>'FS Desroches Daily'!BL23</f>
        <v>50.000000000011369</v>
      </c>
      <c r="AJ21" s="32">
        <f>'FS Desroches Daily'!BN23</f>
        <v>50.000000000011369</v>
      </c>
      <c r="AK21" s="32">
        <f>'FS Desroches Daily'!BP23</f>
        <v>69.999999999993179</v>
      </c>
      <c r="AL21" s="32">
        <f>'FS Desroches Daily'!BR23</f>
        <v>34</v>
      </c>
      <c r="AM21" s="32">
        <f>'FS Desroches Daily'!BT23</f>
        <v>70.0000000000216</v>
      </c>
      <c r="AN21" s="32">
        <f>'FS Desroches Daily'!BV23</f>
        <v>38</v>
      </c>
      <c r="AO21" s="32">
        <f>'FS Desroches Daily'!BX23</f>
        <v>40.000000000020464</v>
      </c>
      <c r="AP21" s="32">
        <f>'FS Desroches Daily'!BZ23</f>
        <v>46</v>
      </c>
      <c r="AQ21" s="31">
        <f>'FS Desroches Daily'!CB23</f>
        <v>51.5</v>
      </c>
      <c r="AR21" s="31">
        <f>'FS Desroches Daily'!CD23</f>
        <v>8.8999999999996362</v>
      </c>
      <c r="AS21" s="31">
        <f>'FS Desroches Daily'!CF23</f>
        <v>3.6899999999995998</v>
      </c>
      <c r="AT21" s="31">
        <f>'FS Desroches Daily'!CH23</f>
        <v>44.19999999999709</v>
      </c>
      <c r="AU21" s="31">
        <f>'FS Desroches Daily'!CJ23</f>
        <v>359</v>
      </c>
      <c r="AV21" s="31">
        <f>'FS Desroches Daily'!CL23</f>
        <v>629.99999999999545</v>
      </c>
      <c r="AW21" s="31">
        <f>'FS Desroches Daily'!CM23</f>
        <v>78.200000000000728</v>
      </c>
      <c r="AX21" s="31">
        <f>IF(LPG!F28-LPG!F27&lt;0,"0",(LPG!F28-LPG!F27)*1.8315)</f>
        <v>10.988999999999999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7.3259999999999996</v>
      </c>
      <c r="BC21" s="13">
        <f>'FS Desroches Daily'!CN23</f>
        <v>17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2022</v>
      </c>
      <c r="E22" s="31">
        <f>'FS Desroches Daily'!D24</f>
        <v>3000.0000000001137</v>
      </c>
      <c r="F22" s="32">
        <f>'FS Desroches Daily'!F24</f>
        <v>3499.9999999998367</v>
      </c>
      <c r="G22" s="31">
        <f>'FS Desroches Daily'!H24</f>
        <v>2799.9999999996917</v>
      </c>
      <c r="H22" s="32">
        <f>'FS Desroches Daily'!J24</f>
        <v>1800.0000000000239</v>
      </c>
      <c r="I22" s="31">
        <f>'FS Desroches Daily'!L24</f>
        <v>2299.9999999999686</v>
      </c>
      <c r="J22" s="32">
        <f>'FS Desroches Daily'!N24</f>
        <v>1700.0000000000348</v>
      </c>
      <c r="K22" s="13">
        <f>'FS Desroches Daily'!P24</f>
        <v>55</v>
      </c>
      <c r="L22" s="31">
        <f>'FS Desroches Daily'!R24</f>
        <v>6</v>
      </c>
      <c r="M22" s="31">
        <f>'FS Desroches Daily'!T24</f>
        <v>0.90000000000009095</v>
      </c>
      <c r="N22" s="31">
        <f>'FS Desroches Daily'!V24</f>
        <v>401.5</v>
      </c>
      <c r="O22" s="31">
        <f>'FS Desroches Daily'!X24</f>
        <v>439.99999999999773</v>
      </c>
      <c r="P22" s="31">
        <f>'FS Desroches Daily'!Z24</f>
        <v>3099.9999999998809</v>
      </c>
      <c r="Q22" s="31">
        <f>'FS Desroches Daily'!AB24</f>
        <v>399.99999999997726</v>
      </c>
      <c r="R22" s="31">
        <f>'FS Desroches Daily'!AD24</f>
        <v>509.99999999999091</v>
      </c>
      <c r="S22" s="31">
        <f>'FS Desroches Daily'!AF24</f>
        <v>659.99999999996817</v>
      </c>
      <c r="T22" s="31">
        <f>'FS Desroches Daily'!AH24</f>
        <v>45</v>
      </c>
      <c r="U22" s="35">
        <f>'FS Desroches Daily'!AJ24</f>
        <v>759.99999999999091</v>
      </c>
      <c r="V22" s="35">
        <f>'FS Desroches Daily'!AL24</f>
        <v>310.00000000000227</v>
      </c>
      <c r="W22" s="35">
        <f>'FS Desroches Daily'!AN24</f>
        <v>349.99999999999432</v>
      </c>
      <c r="X22" s="35">
        <f>'FS Desroches Daily'!AP24</f>
        <v>229.99999999998977</v>
      </c>
      <c r="Y22" s="35">
        <f>'FS Desroches Daily'!AR24</f>
        <v>129.99999999999545</v>
      </c>
      <c r="Z22" s="35">
        <f>'FS Desroches Daily'!AT24</f>
        <v>180.00000000000682</v>
      </c>
      <c r="AA22" s="35">
        <f>'FS Desroches Daily'!AT24</f>
        <v>180.00000000000682</v>
      </c>
      <c r="AB22" s="35">
        <f>'FS Desroches Daily'!AV24</f>
        <v>290.00000000002046</v>
      </c>
      <c r="AC22" s="35">
        <f>'FS Desroches Daily'!AZ24</f>
        <v>29.999999999972715</v>
      </c>
      <c r="AD22" s="35">
        <f>'FS Desroches Daily'!BB24</f>
        <v>180.00000000000682</v>
      </c>
      <c r="AE22" s="35">
        <f>'FS Desroches Daily'!BD24</f>
        <v>50.000000000011369</v>
      </c>
      <c r="AF22" s="31">
        <f>'FS Desroches Daily'!BF24</f>
        <v>44</v>
      </c>
      <c r="AG22" s="32">
        <f>'FS Desroches Daily'!BH24</f>
        <v>60.000000000002274</v>
      </c>
      <c r="AH22" s="32">
        <f>'FS Desroches Daily'!BJ24</f>
        <v>40.000000000020464</v>
      </c>
      <c r="AI22" s="32">
        <f>'FS Desroches Daily'!BL24</f>
        <v>39.999999999992042</v>
      </c>
      <c r="AJ22" s="32">
        <f>'FS Desroches Daily'!BN24</f>
        <v>39.999999999992042</v>
      </c>
      <c r="AK22" s="32">
        <f>'FS Desroches Daily'!BP24</f>
        <v>60.000000000002274</v>
      </c>
      <c r="AL22" s="32">
        <f>'FS Desroches Daily'!BR24</f>
        <v>35</v>
      </c>
      <c r="AM22" s="32">
        <f>'FS Desroches Daily'!BT24</f>
        <v>59.999999999973852</v>
      </c>
      <c r="AN22" s="32">
        <f>'FS Desroches Daily'!BV24</f>
        <v>48</v>
      </c>
      <c r="AO22" s="32">
        <f>'FS Desroches Daily'!BX24</f>
        <v>30.000000000001137</v>
      </c>
      <c r="AP22" s="32">
        <f>'FS Desroches Daily'!BZ24</f>
        <v>44</v>
      </c>
      <c r="AQ22" s="31">
        <f>'FS Desroches Daily'!CB24</f>
        <v>42.5</v>
      </c>
      <c r="AR22" s="31">
        <f>'FS Desroches Daily'!CD24</f>
        <v>7.1000000000003638</v>
      </c>
      <c r="AS22" s="31">
        <f>'FS Desroches Daily'!CF24</f>
        <v>0.31000000000040018</v>
      </c>
      <c r="AT22" s="31">
        <f>'FS Desroches Daily'!CH24</f>
        <v>53.900000000008731</v>
      </c>
      <c r="AU22" s="31">
        <f>'FS Desroches Daily'!CJ24</f>
        <v>387</v>
      </c>
      <c r="AV22" s="31">
        <f>'FS Desroches Daily'!CL24</f>
        <v>720.00000000002728</v>
      </c>
      <c r="AW22" s="31">
        <f>'FS Desroches Daily'!CM24</f>
        <v>69.799999999999272</v>
      </c>
      <c r="AX22" s="31">
        <f>IF(LPG!F29-LPG!F28&lt;0,"0",(LPG!F29-LPG!F28)*1.8315)</f>
        <v>7.3259999999999996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1.8314999999999999</v>
      </c>
      <c r="BB22" s="31">
        <f>IF(LPG!Q29-LPG!Q28&lt;0,"0",(LPG!Q29-LPG!Q28)*1.8315)</f>
        <v>1.8314999999999999</v>
      </c>
      <c r="BC22" s="13">
        <f>'FS Desroches Daily'!CN24</f>
        <v>18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2022</v>
      </c>
      <c r="E23" s="31">
        <f>'FS Desroches Daily'!D25</f>
        <v>2899.9999999999027</v>
      </c>
      <c r="F23" s="32">
        <f>'FS Desroches Daily'!F25</f>
        <v>3400.0000000000696</v>
      </c>
      <c r="G23" s="31">
        <f>'FS Desroches Daily'!H25</f>
        <v>2500.0000000003906</v>
      </c>
      <c r="H23" s="32">
        <f>'FS Desroches Daily'!J25</f>
        <v>1700.0000000000348</v>
      </c>
      <c r="I23" s="31">
        <f>'FS Desroches Daily'!L25</f>
        <v>2400.0000000001796</v>
      </c>
      <c r="J23" s="32">
        <f>'FS Desroches Daily'!N25</f>
        <v>1500.0000000000568</v>
      </c>
      <c r="K23" s="13">
        <f>'FS Desroches Daily'!P25</f>
        <v>47</v>
      </c>
      <c r="L23" s="31">
        <f>'FS Desroches Daily'!R25</f>
        <v>6</v>
      </c>
      <c r="M23" s="31">
        <f>'FS Desroches Daily'!T25</f>
        <v>1.0999999999999091</v>
      </c>
      <c r="N23" s="31">
        <f>'FS Desroches Daily'!V25</f>
        <v>445</v>
      </c>
      <c r="O23" s="31">
        <f>'FS Desroches Daily'!X25</f>
        <v>439.99999999999773</v>
      </c>
      <c r="P23" s="31">
        <f>'FS Desroches Daily'!Z25</f>
        <v>3200.0000000000919</v>
      </c>
      <c r="Q23" s="31">
        <f>'FS Desroches Daily'!AB25</f>
        <v>250</v>
      </c>
      <c r="R23" s="31">
        <f>'FS Desroches Daily'!AD25</f>
        <v>579.99999999998408</v>
      </c>
      <c r="S23" s="31">
        <f>'FS Desroches Daily'!AF25</f>
        <v>670.00000000007276</v>
      </c>
      <c r="T23" s="31">
        <f>'FS Desroches Daily'!AH25</f>
        <v>48</v>
      </c>
      <c r="U23" s="35">
        <f>'FS Desroches Daily'!AJ25</f>
        <v>769.99999999998181</v>
      </c>
      <c r="V23" s="35">
        <f>'FS Desroches Daily'!AL25</f>
        <v>310.00000000000227</v>
      </c>
      <c r="W23" s="35">
        <f>'FS Desroches Daily'!AN25</f>
        <v>349.99999999999432</v>
      </c>
      <c r="X23" s="35">
        <f>'FS Desroches Daily'!AP25</f>
        <v>259.99999999999091</v>
      </c>
      <c r="Y23" s="35">
        <f>'FS Desroches Daily'!AR25</f>
        <v>120.00000000000455</v>
      </c>
      <c r="Z23" s="35">
        <f>'FS Desroches Daily'!AT25</f>
        <v>220.00000000002728</v>
      </c>
      <c r="AA23" s="35">
        <f>'FS Desroches Daily'!AT25</f>
        <v>220.00000000002728</v>
      </c>
      <c r="AB23" s="35">
        <f>'FS Desroches Daily'!AV25</f>
        <v>269.99999999998181</v>
      </c>
      <c r="AC23" s="35">
        <f>'FS Desroches Daily'!AZ25</f>
        <v>189.99999999999773</v>
      </c>
      <c r="AD23" s="35">
        <f>'FS Desroches Daily'!BB25</f>
        <v>170.00000000001592</v>
      </c>
      <c r="AE23" s="35">
        <f>'FS Desroches Daily'!BD25</f>
        <v>50.000000000011369</v>
      </c>
      <c r="AF23" s="31">
        <f>'FS Desroches Daily'!BF25</f>
        <v>40</v>
      </c>
      <c r="AG23" s="32">
        <f>'FS Desroches Daily'!BH25</f>
        <v>60.000000000002274</v>
      </c>
      <c r="AH23" s="32">
        <f>'FS Desroches Daily'!BJ25</f>
        <v>40.000000000020464</v>
      </c>
      <c r="AI23" s="32">
        <f>'FS Desroches Daily'!BL25</f>
        <v>60.000000000002274</v>
      </c>
      <c r="AJ23" s="32">
        <f>'FS Desroches Daily'!BN25</f>
        <v>60.000000000002274</v>
      </c>
      <c r="AK23" s="32">
        <f>'FS Desroches Daily'!BP25</f>
        <v>80.000000000040927</v>
      </c>
      <c r="AL23" s="32">
        <f>'FS Desroches Daily'!BR25</f>
        <v>35</v>
      </c>
      <c r="AM23" s="32">
        <f>'FS Desroches Daily'!BT25</f>
        <v>60.000000000002274</v>
      </c>
      <c r="AN23" s="32">
        <f>'FS Desroches Daily'!BV25</f>
        <v>52</v>
      </c>
      <c r="AO23" s="32">
        <f>'FS Desroches Daily'!BX25</f>
        <v>39.999999999992042</v>
      </c>
      <c r="AP23" s="32">
        <f>'FS Desroches Daily'!BZ25</f>
        <v>51</v>
      </c>
      <c r="AQ23" s="31">
        <f>'FS Desroches Daily'!CB25</f>
        <v>55.900000000001455</v>
      </c>
      <c r="AR23" s="31">
        <f>'FS Desroches Daily'!CD25</f>
        <v>6.3999999999996362</v>
      </c>
      <c r="AS23" s="31">
        <f>'FS Desroches Daily'!CF25</f>
        <v>11.389999999999418</v>
      </c>
      <c r="AT23" s="31">
        <f>'FS Desroches Daily'!CH25</f>
        <v>43.099999999991269</v>
      </c>
      <c r="AU23" s="31">
        <f>'FS Desroches Daily'!CJ25</f>
        <v>330</v>
      </c>
      <c r="AV23" s="31">
        <f>'FS Desroches Daily'!CL25</f>
        <v>539.99999999996362</v>
      </c>
      <c r="AW23" s="31">
        <f>'FS Desroches Daily'!CM25</f>
        <v>73.700000000000728</v>
      </c>
      <c r="AX23" s="31">
        <f>IF(LPG!F30-LPG!F29&lt;0,"0",(LPG!F30-LPG!F29)*1.8315)</f>
        <v>7.3259999999999996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3.6629999999999998</v>
      </c>
      <c r="BB23" s="31">
        <f>IF(LPG!Q30-LPG!Q29&lt;0,"0",(LPG!Q30-LPG!Q29)*1.8315)</f>
        <v>3.6629999999999998</v>
      </c>
      <c r="BC23" s="13">
        <f>'FS Desroches Daily'!CN25</f>
        <v>18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2022</v>
      </c>
      <c r="E24" s="31">
        <f>'FS Desroches Daily'!D26</f>
        <v>3300.0000000003029</v>
      </c>
      <c r="F24" s="32">
        <f>'FS Desroches Daily'!F26</f>
        <v>3699.9999999998145</v>
      </c>
      <c r="G24" s="31">
        <f>'FS Desroches Daily'!H26</f>
        <v>2899.9999999999027</v>
      </c>
      <c r="H24" s="32">
        <f>'FS Desroches Daily'!J26</f>
        <v>1900.0000000000127</v>
      </c>
      <c r="I24" s="31">
        <f>'FS Desroches Daily'!L26</f>
        <v>2499.9999999999468</v>
      </c>
      <c r="J24" s="32">
        <f>'FS Desroches Daily'!N26</f>
        <v>1800.0000000000239</v>
      </c>
      <c r="K24" s="13">
        <f>'FS Desroches Daily'!P26</f>
        <v>38</v>
      </c>
      <c r="L24" s="31">
        <f>'FS Desroches Daily'!R26</f>
        <v>7</v>
      </c>
      <c r="M24" s="31">
        <f>'FS Desroches Daily'!T26</f>
        <v>1</v>
      </c>
      <c r="N24" s="31">
        <f>'FS Desroches Daily'!V26</f>
        <v>441.09999999997672</v>
      </c>
      <c r="O24" s="31">
        <f>'FS Desroches Daily'!X26</f>
        <v>460.00000000003638</v>
      </c>
      <c r="P24" s="31">
        <f>'FS Desroches Daily'!Z26</f>
        <v>2999.9999999996694</v>
      </c>
      <c r="Q24" s="31">
        <f>'FS Desroches Daily'!AB26</f>
        <v>390.0000000000432</v>
      </c>
      <c r="R24" s="31">
        <f>'FS Desroches Daily'!AD26</f>
        <v>640.0000000000432</v>
      </c>
      <c r="S24" s="31">
        <f>'FS Desroches Daily'!AF26</f>
        <v>629.99999999999545</v>
      </c>
      <c r="T24" s="31">
        <f>'FS Desroches Daily'!AH26</f>
        <v>50</v>
      </c>
      <c r="U24" s="35">
        <f>'FS Desroches Daily'!AJ26</f>
        <v>820.00000000005002</v>
      </c>
      <c r="V24" s="35">
        <f>'FS Desroches Daily'!AL26</f>
        <v>229.99999999998977</v>
      </c>
      <c r="W24" s="35">
        <f>'FS Desroches Daily'!AN26</f>
        <v>360.00000000001364</v>
      </c>
      <c r="X24" s="35">
        <f>'FS Desroches Daily'!AP26</f>
        <v>280.00000000000114</v>
      </c>
      <c r="Y24" s="35">
        <f>'FS Desroches Daily'!AR26</f>
        <v>250</v>
      </c>
      <c r="Z24" s="35">
        <f>'FS Desroches Daily'!AT26</f>
        <v>250</v>
      </c>
      <c r="AA24" s="35">
        <f>'FS Desroches Daily'!AT26</f>
        <v>250</v>
      </c>
      <c r="AB24" s="35">
        <f>'FS Desroches Daily'!AV26</f>
        <v>279.99999999997272</v>
      </c>
      <c r="AC24" s="35">
        <f>'FS Desroches Daily'!AZ26</f>
        <v>110.00000000001364</v>
      </c>
      <c r="AD24" s="35">
        <f>'FS Desroches Daily'!BB26</f>
        <v>189.99999999999773</v>
      </c>
      <c r="AE24" s="35">
        <f>'FS Desroches Daily'!BD26</f>
        <v>60.000000000002274</v>
      </c>
      <c r="AF24" s="31">
        <f>'FS Desroches Daily'!BF26</f>
        <v>41</v>
      </c>
      <c r="AG24" s="32">
        <f>'FS Desroches Daily'!BH26</f>
        <v>49.999999999982947</v>
      </c>
      <c r="AH24" s="32">
        <f>'FS Desroches Daily'!BJ26</f>
        <v>39.99999999996362</v>
      </c>
      <c r="AI24" s="32">
        <f>'FS Desroches Daily'!BL26</f>
        <v>50.000000000011369</v>
      </c>
      <c r="AJ24" s="32">
        <f>'FS Desroches Daily'!BN26</f>
        <v>50.000000000011369</v>
      </c>
      <c r="AK24" s="32">
        <f>'FS Desroches Daily'!BP26</f>
        <v>69.999999999993179</v>
      </c>
      <c r="AL24" s="32">
        <f>'FS Desroches Daily'!BR26</f>
        <v>35</v>
      </c>
      <c r="AM24" s="32">
        <f>'FS Desroches Daily'!BT26</f>
        <v>70.0000000000216</v>
      </c>
      <c r="AN24" s="32">
        <f>'FS Desroches Daily'!BV26</f>
        <v>49</v>
      </c>
      <c r="AO24" s="32">
        <f>'FS Desroches Daily'!BX26</f>
        <v>39.999999999992042</v>
      </c>
      <c r="AP24" s="32">
        <f>'FS Desroches Daily'!BZ26</f>
        <v>50</v>
      </c>
      <c r="AQ24" s="31">
        <f>'FS Desroches Daily'!CB26</f>
        <v>41.69999999999709</v>
      </c>
      <c r="AR24" s="31">
        <f>'FS Desroches Daily'!CD26</f>
        <v>6.8999999999996362</v>
      </c>
      <c r="AS24" s="31">
        <f>'FS Desroches Daily'!CF26</f>
        <v>0</v>
      </c>
      <c r="AT24" s="31">
        <f>'FS Desroches Daily'!CH26</f>
        <v>42.600000000005821</v>
      </c>
      <c r="AU24" s="31">
        <f>'FS Desroches Daily'!CJ26</f>
        <v>303</v>
      </c>
      <c r="AV24" s="31">
        <f>'FS Desroches Daily'!CL26</f>
        <v>590.00000000003183</v>
      </c>
      <c r="AW24" s="31">
        <f>'FS Desroches Daily'!CM26</f>
        <v>82.299999999999272</v>
      </c>
      <c r="AX24" s="31">
        <f>IF(LPG!F31-LPG!F30&lt;0,"0",(LPG!F31-LPG!F30)*1.8315)</f>
        <v>9.1574999999999989</v>
      </c>
      <c r="AY24" s="31">
        <f>IF(LPG!H31-LPG!H30&lt;0,"0",(LPG!H31-LPG!H30)*1.8315)</f>
        <v>3.6629999999999998</v>
      </c>
      <c r="AZ24" s="31">
        <f>IF(LPG!J31-LPG!J30&lt;0,"0",(LPG!J31-LPG!J30)*1.8315)</f>
        <v>0</v>
      </c>
      <c r="BA24" s="31">
        <f>IF(LPG!M31-LPG!M30&lt;0,"0",(LPG!M31-LPG!M30)*1.8315)</f>
        <v>5.4944999999999995</v>
      </c>
      <c r="BB24" s="31">
        <f>IF(LPG!Q31-LPG!Q30&lt;0,"0",(LPG!Q31-LPG!Q30)*1.8315)</f>
        <v>7.3259999999999996</v>
      </c>
      <c r="BC24" s="13">
        <f>'FS Desroches Daily'!CN26</f>
        <v>22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2022</v>
      </c>
      <c r="E25" s="31">
        <f>'FS Desroches Daily'!D27</f>
        <v>2799.9999999996917</v>
      </c>
      <c r="F25" s="32">
        <f>'FS Desroches Daily'!F27</f>
        <v>3400.0000000000696</v>
      </c>
      <c r="G25" s="31">
        <f>'FS Desroches Daily'!H27</f>
        <v>2799.9999999996917</v>
      </c>
      <c r="H25" s="32">
        <f>'FS Desroches Daily'!J27</f>
        <v>1700.0000000000348</v>
      </c>
      <c r="I25" s="31">
        <f>'FS Desroches Daily'!L27</f>
        <v>2299.9999999999686</v>
      </c>
      <c r="J25" s="32">
        <f>'FS Desroches Daily'!N27</f>
        <v>1600.0000000000459</v>
      </c>
      <c r="K25" s="13">
        <f>'FS Desroches Daily'!P27</f>
        <v>29</v>
      </c>
      <c r="L25" s="31">
        <f>'FS Desroches Daily'!R27</f>
        <v>4</v>
      </c>
      <c r="M25" s="31">
        <f>'FS Desroches Daily'!T27</f>
        <v>0.90000000000009095</v>
      </c>
      <c r="N25" s="31">
        <f>'FS Desroches Daily'!V27</f>
        <v>355.59999999997672</v>
      </c>
      <c r="O25" s="31">
        <f>'FS Desroches Daily'!X27</f>
        <v>379.99999999999545</v>
      </c>
      <c r="P25" s="31">
        <f>'FS Desroches Daily'!Z27</f>
        <v>3000.0000000001137</v>
      </c>
      <c r="Q25" s="31">
        <f>'FS Desroches Daily'!AB27</f>
        <v>379.99999999999545</v>
      </c>
      <c r="R25" s="31">
        <f>'FS Desroches Daily'!AD27</f>
        <v>579.99999999998408</v>
      </c>
      <c r="S25" s="31">
        <f>'FS Desroches Daily'!AF27</f>
        <v>529.99999999997272</v>
      </c>
      <c r="T25" s="31">
        <f>'FS Desroches Daily'!AH27</f>
        <v>44</v>
      </c>
      <c r="U25" s="35">
        <f>'FS Desroches Daily'!AJ27</f>
        <v>253.2</v>
      </c>
      <c r="V25" s="35">
        <f>'FS Desroches Daily'!AL27</f>
        <v>189.99999999999773</v>
      </c>
      <c r="W25" s="35">
        <f>'FS Desroches Daily'!AN27</f>
        <v>299.99999999998295</v>
      </c>
      <c r="X25" s="35">
        <f>'FS Desroches Daily'!AP27</f>
        <v>250</v>
      </c>
      <c r="Y25" s="35">
        <f>'FS Desroches Daily'!AR27</f>
        <v>199.99999999998863</v>
      </c>
      <c r="Z25" s="35">
        <f>'FS Desroches Daily'!AT27</f>
        <v>189.99999999999773</v>
      </c>
      <c r="AA25" s="35">
        <f>'FS Desroches Daily'!AT27</f>
        <v>189.99999999999773</v>
      </c>
      <c r="AB25" s="35">
        <f>'FS Desroches Daily'!AV27</f>
        <v>230.00000000001819</v>
      </c>
      <c r="AC25" s="35">
        <f>'FS Desroches Daily'!AZ27</f>
        <v>80.000000000040927</v>
      </c>
      <c r="AD25" s="35">
        <f>'FS Desroches Daily'!BB27</f>
        <v>160.00000000002501</v>
      </c>
      <c r="AE25" s="35">
        <f>'FS Desroches Daily'!BD27</f>
        <v>50.000000000011369</v>
      </c>
      <c r="AF25" s="31">
        <f>'FS Desroches Daily'!BF27</f>
        <v>52</v>
      </c>
      <c r="AG25" s="32">
        <f>'FS Desroches Daily'!BH27</f>
        <v>50.000000000011369</v>
      </c>
      <c r="AH25" s="32">
        <f>'FS Desroches Daily'!BJ27</f>
        <v>30.000000000029559</v>
      </c>
      <c r="AI25" s="32">
        <f>'FS Desroches Daily'!BL27</f>
        <v>60.000000000002274</v>
      </c>
      <c r="AJ25" s="32">
        <f>'FS Desroches Daily'!BN27</f>
        <v>49.999999999982947</v>
      </c>
      <c r="AK25" s="32">
        <f>'FS Desroches Daily'!BP27</f>
        <v>60.000000000002274</v>
      </c>
      <c r="AL25" s="32">
        <f>'FS Desroches Daily'!BR27</f>
        <v>35</v>
      </c>
      <c r="AM25" s="32">
        <f>'FS Desroches Daily'!BT27</f>
        <v>60.000000000002274</v>
      </c>
      <c r="AN25" s="32">
        <f>'FS Desroches Daily'!BV27</f>
        <v>42</v>
      </c>
      <c r="AO25" s="32">
        <f>'FS Desroches Daily'!BX27</f>
        <v>30.000000000001137</v>
      </c>
      <c r="AP25" s="32">
        <f>'FS Desroches Daily'!BZ27</f>
        <v>47</v>
      </c>
      <c r="AQ25" s="31">
        <f>'FS Desroches Daily'!CB27</f>
        <v>59</v>
      </c>
      <c r="AR25" s="31">
        <f>'FS Desroches Daily'!CD27</f>
        <v>6.3000000000010914</v>
      </c>
      <c r="AS25" s="31">
        <f>'FS Desroches Daily'!CF27</f>
        <v>0</v>
      </c>
      <c r="AT25" s="31">
        <f>'FS Desroches Daily'!CH27</f>
        <v>47.30000000000291</v>
      </c>
      <c r="AU25" s="31">
        <f>'FS Desroches Daily'!CJ27</f>
        <v>307</v>
      </c>
      <c r="AV25" s="31">
        <f>'FS Desroches Daily'!CL27</f>
        <v>730.00000000001819</v>
      </c>
      <c r="AW25" s="31">
        <f>'FS Desroches Daily'!CM27</f>
        <v>83</v>
      </c>
      <c r="AX25" s="31">
        <f>IF(LPG!F32-LPG!F31&lt;0,"0",(LPG!F32-LPG!F31)*1.8315)</f>
        <v>9.1574999999999989</v>
      </c>
      <c r="AY25" s="31">
        <f>IF(LPG!H32-LPG!H31&lt;0,"0",(LPG!H32-LPG!H31)*1.8315)</f>
        <v>3.6629999999999998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7.3259999999999996</v>
      </c>
      <c r="BC25" s="13">
        <f>'FS Desroches Daily'!CN27</f>
        <v>22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2022</v>
      </c>
      <c r="E26" s="31">
        <f>'FS Desroches Daily'!D28</f>
        <v>2699.9999999999245</v>
      </c>
      <c r="F26" s="32">
        <f>'FS Desroches Daily'!F28</f>
        <v>3300.0000000003029</v>
      </c>
      <c r="G26" s="31">
        <f>'FS Desroches Daily'!H28</f>
        <v>2600.0000000001578</v>
      </c>
      <c r="H26" s="32">
        <f>'FS Desroches Daily'!J28</f>
        <v>1500.0000000000568</v>
      </c>
      <c r="I26" s="31">
        <f>'FS Desroches Daily'!L28</f>
        <v>2299.9999999999686</v>
      </c>
      <c r="J26" s="32">
        <f>'FS Desroches Daily'!N28</f>
        <v>1500.0000000000568</v>
      </c>
      <c r="K26" s="13">
        <f>'FS Desroches Daily'!P28</f>
        <v>32</v>
      </c>
      <c r="L26" s="31">
        <f>'FS Desroches Daily'!R28</f>
        <v>5</v>
      </c>
      <c r="M26" s="31">
        <f>'FS Desroches Daily'!T28</f>
        <v>0.89999999999986358</v>
      </c>
      <c r="N26" s="31">
        <f>'FS Desroches Daily'!V28</f>
        <v>399.90000000002328</v>
      </c>
      <c r="O26" s="31">
        <f>'FS Desroches Daily'!X28</f>
        <v>439.99999999999773</v>
      </c>
      <c r="P26" s="31">
        <f>'FS Desroches Daily'!Z28</f>
        <v>2899.9999999999027</v>
      </c>
      <c r="Q26" s="31">
        <f>'FS Desroches Daily'!AB28</f>
        <v>269.99999999998181</v>
      </c>
      <c r="R26" s="31">
        <f>'FS Desroches Daily'!AD28</f>
        <v>560.00000000000227</v>
      </c>
      <c r="S26" s="31">
        <f>'FS Desroches Daily'!AF28</f>
        <v>570.00000000005002</v>
      </c>
      <c r="T26" s="31">
        <f>'FS Desroches Daily'!AH28</f>
        <v>40</v>
      </c>
      <c r="U26" s="35">
        <f>'FS Desroches Daily'!AJ28</f>
        <v>709.99999999992269</v>
      </c>
      <c r="V26" s="35">
        <f>'FS Desroches Daily'!AL28</f>
        <v>189.99999999999773</v>
      </c>
      <c r="W26" s="35">
        <f>'FS Desroches Daily'!AN28</f>
        <v>270.00000000001023</v>
      </c>
      <c r="X26" s="35">
        <f>'FS Desroches Daily'!AP28</f>
        <v>210.00000000000796</v>
      </c>
      <c r="Y26" s="35">
        <f>'FS Desroches Daily'!AR28</f>
        <v>180.00000000000682</v>
      </c>
      <c r="Z26" s="35">
        <f>'FS Desroches Daily'!AT28</f>
        <v>180.00000000000682</v>
      </c>
      <c r="AA26" s="35">
        <f>'FS Desroches Daily'!AT28</f>
        <v>180.00000000000682</v>
      </c>
      <c r="AB26" s="35">
        <f>'FS Desroches Daily'!AV28</f>
        <v>209.99999999997954</v>
      </c>
      <c r="AC26" s="35">
        <f>'FS Desroches Daily'!AZ28</f>
        <v>89.999999999974989</v>
      </c>
      <c r="AD26" s="35">
        <f>'FS Desroches Daily'!BB28</f>
        <v>179.99999999994998</v>
      </c>
      <c r="AE26" s="35">
        <f>'FS Desroches Daily'!BD28</f>
        <v>50.000000000011369</v>
      </c>
      <c r="AF26" s="31">
        <f>'FS Desroches Daily'!BF28</f>
        <v>35</v>
      </c>
      <c r="AG26" s="32">
        <f>'FS Desroches Daily'!BH28</f>
        <v>49.999999999982947</v>
      </c>
      <c r="AH26" s="32">
        <f>'FS Desroches Daily'!BJ28</f>
        <v>39.99999999996362</v>
      </c>
      <c r="AI26" s="32">
        <f>'FS Desroches Daily'!BL28</f>
        <v>49.999999999982947</v>
      </c>
      <c r="AJ26" s="32">
        <f>'FS Desroches Daily'!BN28</f>
        <v>50.000000000011369</v>
      </c>
      <c r="AK26" s="32">
        <f>'FS Desroches Daily'!BP28</f>
        <v>60.000000000002274</v>
      </c>
      <c r="AL26" s="32">
        <f>'FS Desroches Daily'!BR28</f>
        <v>31</v>
      </c>
      <c r="AM26" s="32">
        <f>'FS Desroches Daily'!BT28</f>
        <v>49.999999999982947</v>
      </c>
      <c r="AN26" s="32">
        <f>'FS Desroches Daily'!BV28</f>
        <v>40</v>
      </c>
      <c r="AO26" s="32">
        <f>'FS Desroches Daily'!BX28</f>
        <v>39.999999999992042</v>
      </c>
      <c r="AP26" s="32">
        <f>'FS Desroches Daily'!BZ28</f>
        <v>39</v>
      </c>
      <c r="AQ26" s="31">
        <f>'FS Desroches Daily'!CB28</f>
        <v>59.200000000004366</v>
      </c>
      <c r="AR26" s="31">
        <f>'FS Desroches Daily'!CD28</f>
        <v>6.5</v>
      </c>
      <c r="AS26" s="31">
        <f>'FS Desroches Daily'!CF28</f>
        <v>8.6000000000003638</v>
      </c>
      <c r="AT26" s="31">
        <f>'FS Desroches Daily'!CH28</f>
        <v>37.69999999999709</v>
      </c>
      <c r="AU26" s="31">
        <f>'FS Desroches Daily'!CJ28</f>
        <v>296</v>
      </c>
      <c r="AV26" s="31">
        <f>'FS Desroches Daily'!CL28</f>
        <v>569.99999999993634</v>
      </c>
      <c r="AW26" s="31">
        <f>'FS Desroches Daily'!CM28</f>
        <v>77</v>
      </c>
      <c r="AX26" s="31">
        <f>IF(LPG!F33-LPG!F32&lt;0,"0",(LPG!F33-LPG!F32)*1.8315)</f>
        <v>9.1574999999999989</v>
      </c>
      <c r="AY26" s="31">
        <f>IF(LPG!H33-LPG!H32&lt;0,"0",(LPG!H33-LPG!H32)*1.8315)</f>
        <v>3.6629999999999998</v>
      </c>
      <c r="AZ26" s="31">
        <f>IF(LPG!J33-LPG!J32&lt;0,"0",(LPG!J33-LPG!J32)*1.8315)</f>
        <v>0</v>
      </c>
      <c r="BA26" s="31">
        <f>IF(LPG!M33-LPG!M32&lt;0,"0",(LPG!M33-LPG!M32)*1.8315)</f>
        <v>1.8314999999999999</v>
      </c>
      <c r="BB26" s="31">
        <f>IF(LPG!Q33-LPG!Q32&lt;0,"0",(LPG!Q33-LPG!Q32)*1.8315)</f>
        <v>5.4944999999999995</v>
      </c>
      <c r="BC26" s="13">
        <f>'FS Desroches Daily'!CN28</f>
        <v>22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2022</v>
      </c>
      <c r="E27" s="31">
        <f>'FS Desroches Daily'!D29</f>
        <v>2499.9999999999468</v>
      </c>
      <c r="F27" s="32">
        <f>'FS Desroches Daily'!F29</f>
        <v>3299.9999999998586</v>
      </c>
      <c r="G27" s="31">
        <f>'FS Desroches Daily'!H29</f>
        <v>2400.0000000001796</v>
      </c>
      <c r="H27" s="32">
        <f>'FS Desroches Daily'!J29</f>
        <v>1399.9999999998458</v>
      </c>
      <c r="I27" s="31">
        <f>'FS Desroches Daily'!L29</f>
        <v>1999.9999999997797</v>
      </c>
      <c r="J27" s="32">
        <f>'FS Desroches Daily'!N29</f>
        <v>1499.9999999998347</v>
      </c>
      <c r="K27" s="13">
        <f>'FS Desroches Daily'!P29</f>
        <v>21</v>
      </c>
      <c r="L27" s="31">
        <f>'FS Desroches Daily'!R29</f>
        <v>3</v>
      </c>
      <c r="M27" s="31">
        <f>'FS Desroches Daily'!T29</f>
        <v>0.90000000000009095</v>
      </c>
      <c r="N27" s="31">
        <f>'FS Desroches Daily'!V29</f>
        <v>358.09999999997672</v>
      </c>
      <c r="O27" s="31">
        <f>'FS Desroches Daily'!X29</f>
        <v>379.99999999999545</v>
      </c>
      <c r="P27" s="31">
        <f>'FS Desroches Daily'!Z29</f>
        <v>2900.0000000003465</v>
      </c>
      <c r="Q27" s="31">
        <f>'FS Desroches Daily'!AB29</f>
        <v>389.99999999998636</v>
      </c>
      <c r="R27" s="31">
        <f>'FS Desroches Daily'!AD29</f>
        <v>500</v>
      </c>
      <c r="S27" s="31">
        <f>'FS Desroches Daily'!AF29</f>
        <v>475.99999999999909</v>
      </c>
      <c r="T27" s="31">
        <f>'FS Desroches Daily'!AH29</f>
        <v>40</v>
      </c>
      <c r="U27" s="35">
        <f>'FS Desroches Daily'!AJ29</f>
        <v>670.00000000007276</v>
      </c>
      <c r="V27" s="35">
        <f>'FS Desroches Daily'!AL29</f>
        <v>230.00000000001819</v>
      </c>
      <c r="W27" s="35">
        <f>'FS Desroches Daily'!AN29</f>
        <v>270.00000000001023</v>
      </c>
      <c r="X27" s="35">
        <f>'FS Desroches Daily'!AP29</f>
        <v>199.99999999998863</v>
      </c>
      <c r="Y27" s="35">
        <f>'FS Desroches Daily'!AR29</f>
        <v>149.99999999997726</v>
      </c>
      <c r="Z27" s="35">
        <f>'FS Desroches Daily'!AT29</f>
        <v>169.99999999995907</v>
      </c>
      <c r="AA27" s="35">
        <f>'FS Desroches Daily'!AT29</f>
        <v>169.99999999995907</v>
      </c>
      <c r="AB27" s="35">
        <f>'FS Desroches Daily'!AV29</f>
        <v>189.99999999999773</v>
      </c>
      <c r="AC27" s="35">
        <f>'FS Desroches Daily'!AZ29</f>
        <v>89.999999999974989</v>
      </c>
      <c r="AD27" s="35">
        <f>'FS Desroches Daily'!BB29</f>
        <v>140.0000000000432</v>
      </c>
      <c r="AE27" s="35">
        <f>'FS Desroches Daily'!BD29</f>
        <v>39.99999999996362</v>
      </c>
      <c r="AF27" s="31">
        <f>'FS Desroches Daily'!BF29</f>
        <v>21</v>
      </c>
      <c r="AG27" s="32">
        <f>'FS Desroches Daily'!BH29</f>
        <v>40.000000000020464</v>
      </c>
      <c r="AH27" s="32">
        <f>'FS Desroches Daily'!BJ29</f>
        <v>30.000000000029559</v>
      </c>
      <c r="AI27" s="32">
        <f>'FS Desroches Daily'!BL29</f>
        <v>50.000000000011369</v>
      </c>
      <c r="AJ27" s="32">
        <f>'FS Desroches Daily'!BN29</f>
        <v>39.999999999992042</v>
      </c>
      <c r="AK27" s="32">
        <f>'FS Desroches Daily'!BP29</f>
        <v>60.000000000002274</v>
      </c>
      <c r="AL27" s="32">
        <f>'FS Desroches Daily'!BR29</f>
        <v>27</v>
      </c>
      <c r="AM27" s="32">
        <f>'FS Desroches Daily'!BT29</f>
        <v>60.000000000002274</v>
      </c>
      <c r="AN27" s="32">
        <f>'FS Desroches Daily'!BV29</f>
        <v>36</v>
      </c>
      <c r="AO27" s="32">
        <f>'FS Desroches Daily'!BX29</f>
        <v>40.000000000020464</v>
      </c>
      <c r="AP27" s="32">
        <f>'FS Desroches Daily'!BZ29</f>
        <v>41</v>
      </c>
      <c r="AQ27" s="31">
        <f>'FS Desroches Daily'!CB29</f>
        <v>62.19999999999709</v>
      </c>
      <c r="AR27" s="31">
        <f>'FS Desroches Daily'!CD29</f>
        <v>10.299999999999272</v>
      </c>
      <c r="AS27" s="31">
        <f>'FS Desroches Daily'!CF29</f>
        <v>1.5</v>
      </c>
      <c r="AT27" s="31">
        <f>'FS Desroches Daily'!CH29</f>
        <v>32.899999999994179</v>
      </c>
      <c r="AU27" s="31">
        <f>'FS Desroches Daily'!CJ29</f>
        <v>284</v>
      </c>
      <c r="AV27" s="31">
        <f>'FS Desroches Daily'!CL29</f>
        <v>520.0000000000955</v>
      </c>
      <c r="AW27" s="31">
        <f>'FS Desroches Daily'!CM29</f>
        <v>67</v>
      </c>
      <c r="AX27" s="31">
        <f>IF(LPG!F35-LPG!F33&lt;0,"0",(LPG!F35-LPG!F33)*1.8315)</f>
        <v>18.314999999999998</v>
      </c>
      <c r="AY27" s="31">
        <f>IF(LPG!H35-LPG!H33&lt;0,"0",(LPG!H35-LPG!H33)*1.8315)</f>
        <v>7.3259999999999996</v>
      </c>
      <c r="AZ27" s="31">
        <f>IF(LPG!J35-LPG!J33&lt;0,"0",(LPG!J35-LPG!J33)*1.8315)</f>
        <v>0</v>
      </c>
      <c r="BA27" s="31">
        <f>IF(LPG!M35-LPG!M33&lt;0,"0",(LPG!M35-LPG!M33)*1.8315)</f>
        <v>3.6629999999999998</v>
      </c>
      <c r="BB27" s="31">
        <f>IF(LPG!Q34-LPG!Q33&lt;0,"0",(LPG!Q34-LPG!Q33)*1.8315)</f>
        <v>7.3259999999999996</v>
      </c>
      <c r="BC27" s="13">
        <f>'FS Desroches Daily'!CN29</f>
        <v>31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2022</v>
      </c>
      <c r="E28" s="31">
        <f>'FS Desroches Daily'!D30</f>
        <v>2800.0000000001355</v>
      </c>
      <c r="F28" s="32">
        <f>'FS Desroches Daily'!F30</f>
        <v>3000.0000000001137</v>
      </c>
      <c r="G28" s="31">
        <f>'FS Desroches Daily'!H30</f>
        <v>2599.9999999997135</v>
      </c>
      <c r="H28" s="32">
        <f>'FS Desroches Daily'!J30</f>
        <v>1400.0000000000678</v>
      </c>
      <c r="I28" s="31">
        <f>'FS Desroches Daily'!L30</f>
        <v>1800.0000000002458</v>
      </c>
      <c r="J28" s="32">
        <f>'FS Desroches Daily'!N30</f>
        <v>1400.0000000000678</v>
      </c>
      <c r="K28" s="13">
        <f>'FS Desroches Daily'!P30</f>
        <v>14</v>
      </c>
      <c r="L28" s="31">
        <f>'FS Desroches Daily'!R30</f>
        <v>3</v>
      </c>
      <c r="M28" s="31">
        <f>'FS Desroches Daily'!T30</f>
        <v>1</v>
      </c>
      <c r="N28" s="31">
        <f>'FS Desroches Daily'!V30</f>
        <v>330.40000000002328</v>
      </c>
      <c r="O28" s="31">
        <f>'FS Desroches Daily'!X30</f>
        <v>370.00000000000455</v>
      </c>
      <c r="P28" s="31">
        <f>'FS Desroches Daily'!Z30</f>
        <v>2599.9999999997135</v>
      </c>
      <c r="Q28" s="31">
        <f>'FS Desroches Daily'!AB30</f>
        <v>400.00000000003411</v>
      </c>
      <c r="R28" s="31">
        <f>'FS Desroches Daily'!AD30</f>
        <v>519.99999999998181</v>
      </c>
      <c r="S28" s="31">
        <f>'FS Desroches Daily'!AF30</f>
        <v>423.99999999997817</v>
      </c>
      <c r="T28" s="31">
        <f>'FS Desroches Daily'!AH30</f>
        <v>35</v>
      </c>
      <c r="U28" s="35">
        <f>'FS Desroches Daily'!AJ30</f>
        <v>610.00000000001364</v>
      </c>
      <c r="V28" s="35">
        <f>'FS Desroches Daily'!AL30</f>
        <v>240.00000000000909</v>
      </c>
      <c r="W28" s="35">
        <f>'FS Desroches Daily'!AN30</f>
        <v>239.99999999998067</v>
      </c>
      <c r="X28" s="35">
        <f>'FS Desroches Daily'!AP30</f>
        <v>170.00000000001592</v>
      </c>
      <c r="Y28" s="35">
        <f>'FS Desroches Daily'!AR30</f>
        <v>250</v>
      </c>
      <c r="Z28" s="35">
        <f>'FS Desroches Daily'!AT30</f>
        <v>170.00000000001592</v>
      </c>
      <c r="AA28" s="35">
        <f>'FS Desroches Daily'!AT30</f>
        <v>170.00000000001592</v>
      </c>
      <c r="AB28" s="35">
        <f>'FS Desroches Daily'!AV30</f>
        <v>140.0000000000432</v>
      </c>
      <c r="AC28" s="35">
        <f>'FS Desroches Daily'!AZ30</f>
        <v>150.00000000003411</v>
      </c>
      <c r="AD28" s="35">
        <f>'FS Desroches Daily'!BB30</f>
        <v>159.99999999996817</v>
      </c>
      <c r="AE28" s="35">
        <f>'FS Desroches Daily'!BD30</f>
        <v>140.0000000000432</v>
      </c>
      <c r="AF28" s="31">
        <f>'FS Desroches Daily'!BF30</f>
        <v>38</v>
      </c>
      <c r="AG28" s="32">
        <f>'FS Desroches Daily'!BH30</f>
        <v>30.000000000001137</v>
      </c>
      <c r="AH28" s="32">
        <f>'FS Desroches Daily'!BJ30</f>
        <v>19.99999999998181</v>
      </c>
      <c r="AI28" s="32">
        <f>'FS Desroches Daily'!BL30</f>
        <v>39.999999999992042</v>
      </c>
      <c r="AJ28" s="32">
        <f>'FS Desroches Daily'!BN30</f>
        <v>40.000000000020464</v>
      </c>
      <c r="AK28" s="32">
        <f>'FS Desroches Daily'!BP30</f>
        <v>49.999999999954525</v>
      </c>
      <c r="AL28" s="32">
        <f>'FS Desroches Daily'!BR30</f>
        <v>32</v>
      </c>
      <c r="AM28" s="32">
        <f>'FS Desroches Daily'!BT30</f>
        <v>39.999999999992042</v>
      </c>
      <c r="AN28" s="32">
        <f>'FS Desroches Daily'!BV30</f>
        <v>27</v>
      </c>
      <c r="AO28" s="32">
        <f>'FS Desroches Daily'!BX30</f>
        <v>19.99999999998181</v>
      </c>
      <c r="AP28" s="32">
        <f>'FS Desroches Daily'!BZ30</f>
        <v>30</v>
      </c>
      <c r="AQ28" s="31">
        <f>'FS Desroches Daily'!CB30</f>
        <v>40.69999999999709</v>
      </c>
      <c r="AR28" s="31">
        <f>'FS Desroches Daily'!CD30</f>
        <v>6.7000000000007276</v>
      </c>
      <c r="AS28" s="31">
        <f>'FS Desroches Daily'!CF30</f>
        <v>8.8999999999996362</v>
      </c>
      <c r="AT28" s="31">
        <f>'FS Desroches Daily'!CH30</f>
        <v>45.69999999999709</v>
      </c>
      <c r="AU28" s="31">
        <f>'FS Desroches Daily'!CJ30</f>
        <v>271</v>
      </c>
      <c r="AV28" s="31">
        <f>'FS Desroches Daily'!CL30</f>
        <v>579.99999999992724</v>
      </c>
      <c r="AW28" s="31">
        <f>'FS Desroches Daily'!CM30</f>
        <v>71</v>
      </c>
      <c r="AX28" s="31">
        <f>IF(LPG!F36-LPG!F34&lt;0,"0",(LPG!F36-LPG!F34)*1.8315)</f>
        <v>18.314999999999998</v>
      </c>
      <c r="AY28" s="31">
        <f>IF(LPG!H36-LPG!H34&lt;0,"0",(LPG!H36-LPG!H34)*1.8315)</f>
        <v>10.988999999999999</v>
      </c>
      <c r="AZ28" s="31">
        <f>IF(LPG!J36-LPG!J34&lt;0,"0",(LPG!J36-LPG!J34)*1.8315)</f>
        <v>0</v>
      </c>
      <c r="BA28" s="31">
        <f>IF(LPG!M36-LPG!M34&lt;0,"0",(LPG!M36-LPG!M34)*1.8315)</f>
        <v>1.8314999999999999</v>
      </c>
      <c r="BB28" s="31">
        <f>IF(LPG!Q35-LPG!Q34&lt;0,"0",(LPG!Q35-LPG!Q34)*1.8315)</f>
        <v>3.6629999999999998</v>
      </c>
      <c r="BC28" s="13">
        <f>'FS Desroches Daily'!CN30</f>
        <v>31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2022</v>
      </c>
      <c r="E29" s="31">
        <f>'FS Desroches Daily'!D31</f>
        <v>2499.9999999999468</v>
      </c>
      <c r="F29" s="32">
        <f>'FS Desroches Daily'!F31</f>
        <v>2899.9999999999027</v>
      </c>
      <c r="G29" s="31">
        <f>'FS Desroches Daily'!H31</f>
        <v>2600.0000000001578</v>
      </c>
      <c r="H29" s="32">
        <f>'FS Desroches Daily'!J31</f>
        <v>1300.0000000000789</v>
      </c>
      <c r="I29" s="31">
        <f>'FS Desroches Daily'!L31</f>
        <v>1799.9999999998017</v>
      </c>
      <c r="J29" s="32">
        <f>'FS Desroches Daily'!N31</f>
        <v>1300.0000000000789</v>
      </c>
      <c r="K29" s="13">
        <f>'FS Desroches Daily'!P31</f>
        <v>17</v>
      </c>
      <c r="L29" s="31">
        <f>'FS Desroches Daily'!R31</f>
        <v>2</v>
      </c>
      <c r="M29" s="31">
        <f>'FS Desroches Daily'!T31</f>
        <v>0.90000000000009095</v>
      </c>
      <c r="N29" s="31">
        <f>'FS Desroches Daily'!V31</f>
        <v>305</v>
      </c>
      <c r="O29" s="31">
        <f>'FS Desroches Daily'!X31</f>
        <v>399.99999999997726</v>
      </c>
      <c r="P29" s="31">
        <f>'FS Desroches Daily'!Z31</f>
        <v>2400.0000000001796</v>
      </c>
      <c r="Q29" s="31">
        <f>'FS Desroches Daily'!AB31</f>
        <v>359.9999999999568</v>
      </c>
      <c r="R29" s="31">
        <f>'FS Desroches Daily'!AD31</f>
        <v>430.00000000000682</v>
      </c>
      <c r="S29" s="31">
        <f>'FS Desroches Daily'!AF31</f>
        <v>340.00000000003183</v>
      </c>
      <c r="T29" s="31">
        <f>'FS Desroches Daily'!AH31</f>
        <v>29</v>
      </c>
      <c r="U29" s="35">
        <f>'FS Desroches Daily'!AJ31</f>
        <v>549.99999999995453</v>
      </c>
      <c r="V29" s="35">
        <f>'FS Desroches Daily'!AL31</f>
        <v>199.99999999998863</v>
      </c>
      <c r="W29" s="35">
        <f>'FS Desroches Daily'!AN31</f>
        <v>180.00000000000682</v>
      </c>
      <c r="X29" s="35">
        <f>'FS Desroches Daily'!AP31</f>
        <v>159.99999999999659</v>
      </c>
      <c r="Y29" s="35">
        <f>'FS Desroches Daily'!AR31</f>
        <v>220.00000000002728</v>
      </c>
      <c r="Z29" s="35">
        <f>'FS Desroches Daily'!AT31</f>
        <v>160.00000000002501</v>
      </c>
      <c r="AA29" s="35">
        <f>'FS Desroches Daily'!AT31</f>
        <v>160.00000000002501</v>
      </c>
      <c r="AB29" s="35">
        <f>'FS Desroches Daily'!AV31</f>
        <v>159.99999999996817</v>
      </c>
      <c r="AC29" s="35">
        <f>'FS Desroches Daily'!AZ31</f>
        <v>89.999999999974989</v>
      </c>
      <c r="AD29" s="35">
        <f>'FS Desroches Daily'!BB31</f>
        <v>110.00000000001364</v>
      </c>
      <c r="AE29" s="35">
        <f>'FS Desroches Daily'!BD31</f>
        <v>129.99999999999545</v>
      </c>
      <c r="AF29" s="31">
        <f>'FS Desroches Daily'!BF31</f>
        <v>28</v>
      </c>
      <c r="AG29" s="32">
        <f>'FS Desroches Daily'!BH31</f>
        <v>39.999999999992042</v>
      </c>
      <c r="AH29" s="32">
        <f>'FS Desroches Daily'!BJ31</f>
        <v>20.000000000038654</v>
      </c>
      <c r="AI29" s="32">
        <f>'FS Desroches Daily'!BL31</f>
        <v>39.999999999992042</v>
      </c>
      <c r="AJ29" s="32">
        <f>'FS Desroches Daily'!BN31</f>
        <v>30.000000000001137</v>
      </c>
      <c r="AK29" s="32">
        <f>'FS Desroches Daily'!BP31</f>
        <v>50.000000000011369</v>
      </c>
      <c r="AL29" s="32">
        <f>'FS Desroches Daily'!BR31</f>
        <v>26</v>
      </c>
      <c r="AM29" s="32">
        <f>'FS Desroches Daily'!BT31</f>
        <v>30.000000000001137</v>
      </c>
      <c r="AN29" s="32">
        <f>'FS Desroches Daily'!BV31</f>
        <v>30</v>
      </c>
      <c r="AO29" s="32">
        <f>'FS Desroches Daily'!BX31</f>
        <v>20.000000000010232</v>
      </c>
      <c r="AP29" s="32">
        <f>'FS Desroches Daily'!BZ31</f>
        <v>29</v>
      </c>
      <c r="AQ29" s="31">
        <f>'FS Desroches Daily'!CB31</f>
        <v>39.200000000004366</v>
      </c>
      <c r="AR29" s="31">
        <f>'FS Desroches Daily'!CD31</f>
        <v>6.3999999999996362</v>
      </c>
      <c r="AS29" s="31">
        <f>'FS Desroches Daily'!CF31</f>
        <v>0.1000000000003638</v>
      </c>
      <c r="AT29" s="31">
        <f>'FS Desroches Daily'!CH31</f>
        <v>38.700000000011642</v>
      </c>
      <c r="AU29" s="31">
        <f>'FS Desroches Daily'!CJ31</f>
        <v>306</v>
      </c>
      <c r="AV29" s="31">
        <f>'FS Desroches Daily'!CL31</f>
        <v>540.00000000007731</v>
      </c>
      <c r="AW29" s="31">
        <f>'FS Desroches Daily'!CM31</f>
        <v>72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>
        <f>IF(LPG!Q36-LPG!Q35&lt;0,"0",(LPG!Q36-LPG!Q35)*1.8315)</f>
        <v>7.3259999999999996</v>
      </c>
      <c r="BC29" s="13">
        <f>'FS Desroches Daily'!CN31</f>
        <v>31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2022</v>
      </c>
      <c r="E30" s="31">
        <f>'FS Desroches Daily'!D32</f>
        <v>2800.0000000001355</v>
      </c>
      <c r="F30" s="32">
        <f>'FS Desroches Daily'!F32</f>
        <v>3400.0000000000696</v>
      </c>
      <c r="G30" s="31">
        <f>'FS Desroches Daily'!H32</f>
        <v>2699.9999999999245</v>
      </c>
      <c r="H30" s="32">
        <f>'FS Desroches Daily'!J32</f>
        <v>1499.9999999998347</v>
      </c>
      <c r="I30" s="31">
        <f>'FS Desroches Daily'!L32</f>
        <v>1900.0000000000127</v>
      </c>
      <c r="J30" s="32">
        <f>'FS Desroches Daily'!N32</f>
        <v>1099.9999999998788</v>
      </c>
      <c r="K30" s="13">
        <f>'FS Desroches Daily'!P32</f>
        <v>30</v>
      </c>
      <c r="L30" s="31">
        <f>'FS Desroches Daily'!R32</f>
        <v>5</v>
      </c>
      <c r="M30" s="31">
        <f>'FS Desroches Daily'!T32</f>
        <v>1.7999999999999545</v>
      </c>
      <c r="N30" s="31">
        <f>'FS Desroches Daily'!V32</f>
        <v>570.70000000001164</v>
      </c>
      <c r="O30" s="31">
        <f>'FS Desroches Daily'!X32</f>
        <v>439.99999999999773</v>
      </c>
      <c r="P30" s="31">
        <f>'FS Desroches Daily'!Z32</f>
        <v>3000.0000000001137</v>
      </c>
      <c r="Q30" s="31">
        <f>'FS Desroches Daily'!AB32</f>
        <v>310.00000000000227</v>
      </c>
      <c r="R30" s="31">
        <f>'FS Desroches Daily'!AD32</f>
        <v>480.00000000001819</v>
      </c>
      <c r="S30" s="31">
        <f>'FS Desroches Daily'!AF32</f>
        <v>429.99999999994998</v>
      </c>
      <c r="T30" s="31">
        <f>'FS Desroches Daily'!AH32</f>
        <v>40</v>
      </c>
      <c r="U30" s="35">
        <f>'FS Desroches Daily'!AJ32</f>
        <v>720.00000000002728</v>
      </c>
      <c r="V30" s="35">
        <f>'FS Desroches Daily'!AL32</f>
        <v>310.00000000000227</v>
      </c>
      <c r="W30" s="35">
        <f>'FS Desroches Daily'!AN32</f>
        <v>250</v>
      </c>
      <c r="X30" s="35">
        <f>'FS Desroches Daily'!AP32</f>
        <v>199.99999999998863</v>
      </c>
      <c r="Y30" s="35">
        <f>'FS Desroches Daily'!AR32</f>
        <v>289.99999999996362</v>
      </c>
      <c r="Z30" s="35">
        <f>'FS Desroches Daily'!AT32</f>
        <v>219.99999999997044</v>
      </c>
      <c r="AA30" s="35">
        <f>'FS Desroches Daily'!AT32</f>
        <v>219.99999999997044</v>
      </c>
      <c r="AB30" s="35">
        <f>'FS Desroches Daily'!AV32</f>
        <v>189.99999999999773</v>
      </c>
      <c r="AC30" s="35">
        <f>'FS Desroches Daily'!AZ32</f>
        <v>90.000000000031832</v>
      </c>
      <c r="AD30" s="35">
        <f>'FS Desroches Daily'!BB32</f>
        <v>189.99999999999773</v>
      </c>
      <c r="AE30" s="35">
        <f>'FS Desroches Daily'!BD32</f>
        <v>159.99999999996817</v>
      </c>
      <c r="AF30" s="31">
        <f>'FS Desroches Daily'!BF32</f>
        <v>28</v>
      </c>
      <c r="AG30" s="32">
        <f>'FS Desroches Daily'!BH32</f>
        <v>39.999999999992042</v>
      </c>
      <c r="AH30" s="32">
        <f>'FS Desroches Daily'!BJ32</f>
        <v>29.999999999972715</v>
      </c>
      <c r="AI30" s="32">
        <f>'FS Desroches Daily'!BL32</f>
        <v>60.000000000002274</v>
      </c>
      <c r="AJ30" s="32">
        <f>'FS Desroches Daily'!BN32</f>
        <v>49.999999999982947</v>
      </c>
      <c r="AK30" s="32">
        <f>'FS Desroches Daily'!BP32</f>
        <v>60.000000000002274</v>
      </c>
      <c r="AL30" s="32">
        <f>'FS Desroches Daily'!BR32</f>
        <v>38</v>
      </c>
      <c r="AM30" s="32">
        <f>'FS Desroches Daily'!BT32</f>
        <v>60.000000000002274</v>
      </c>
      <c r="AN30" s="32">
        <f>'FS Desroches Daily'!BV32</f>
        <v>46</v>
      </c>
      <c r="AO30" s="32">
        <f>'FS Desroches Daily'!BX32</f>
        <v>39.999999999992042</v>
      </c>
      <c r="AP30" s="32">
        <f>'FS Desroches Daily'!BZ32</f>
        <v>45</v>
      </c>
      <c r="AQ30" s="31">
        <f>'FS Desroches Daily'!CB32</f>
        <v>47.599999999998545</v>
      </c>
      <c r="AR30" s="31">
        <f>'FS Desroches Daily'!CD32</f>
        <v>7.6000000000003638</v>
      </c>
      <c r="AS30" s="31">
        <f>'FS Desroches Daily'!CF32</f>
        <v>6.6999999999998181</v>
      </c>
      <c r="AT30" s="31">
        <f>'FS Desroches Daily'!CH32</f>
        <v>51.599999999991269</v>
      </c>
      <c r="AU30" s="31">
        <f>'FS Desroches Daily'!CJ32</f>
        <v>453</v>
      </c>
      <c r="AV30" s="31">
        <f>'FS Desroches Daily'!CL32</f>
        <v>479.9999999999045</v>
      </c>
      <c r="AW30" s="31">
        <f>'FS Desroches Daily'!CM32</f>
        <v>77.700000000000728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 t="str">
        <f>IF(LPG!Q37-LPG!Q36&lt;0,"0",(LPG!Q37-LPG!Q36)*1.8315)</f>
        <v>0</v>
      </c>
      <c r="BC30" s="13">
        <f>'FS Desroches Daily'!CN32</f>
        <v>28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2022</v>
      </c>
      <c r="E31" s="31" t="str">
        <f>'FS Desroches Daily'!D33</f>
        <v>0</v>
      </c>
      <c r="F31" s="32" t="str">
        <f>'FS Desroches Daily'!F33</f>
        <v>0</v>
      </c>
      <c r="G31" s="31" t="str">
        <f>'FS Desroches Daily'!H33</f>
        <v>0</v>
      </c>
      <c r="H31" s="32" t="str">
        <f>'FS Desroches Daily'!J33</f>
        <v>0</v>
      </c>
      <c r="I31" s="31" t="str">
        <f>'FS Desroches Daily'!L33</f>
        <v>0</v>
      </c>
      <c r="J31" s="32" t="str">
        <f>'FS Desroches Daily'!N33</f>
        <v/>
      </c>
      <c r="K31" s="13" t="str">
        <f>'FS Desroches Daily'!P33</f>
        <v/>
      </c>
      <c r="L31" s="31" t="str">
        <f>'FS Desroches Daily'!R33</f>
        <v/>
      </c>
      <c r="M31" s="31" t="str">
        <f>'FS Desroches Daily'!T33</f>
        <v/>
      </c>
      <c r="N31" s="31" t="str">
        <f>'FS Desroches Daily'!V33</f>
        <v/>
      </c>
      <c r="O31" s="31" t="str">
        <f>'FS Desroches Daily'!X33</f>
        <v/>
      </c>
      <c r="P31" s="31" t="str">
        <f>'FS Desroches Daily'!Z33</f>
        <v/>
      </c>
      <c r="Q31" s="31" t="str">
        <f>'FS Desroches Daily'!AB33</f>
        <v/>
      </c>
      <c r="R31" s="31" t="str">
        <f>'FS Desroches Daily'!AD33</f>
        <v/>
      </c>
      <c r="S31" s="31" t="str">
        <f>'FS Desroches Daily'!AF33</f>
        <v/>
      </c>
      <c r="T31" s="31" t="str">
        <f>'FS Desroches Daily'!AH33</f>
        <v/>
      </c>
      <c r="U31" s="35" t="str">
        <f>'FS Desroches Daily'!AJ33</f>
        <v/>
      </c>
      <c r="V31" s="35" t="str">
        <f>'FS Desroches Daily'!AL33</f>
        <v/>
      </c>
      <c r="W31" s="35" t="str">
        <f>'FS Desroches Daily'!AN33</f>
        <v/>
      </c>
      <c r="X31" s="35" t="str">
        <f>'FS Desroches Daily'!AP33</f>
        <v/>
      </c>
      <c r="Y31" s="35" t="str">
        <f>'FS Desroches Daily'!AR33</f>
        <v/>
      </c>
      <c r="Z31" s="35" t="str">
        <f>'FS Desroches Daily'!AT33</f>
        <v/>
      </c>
      <c r="AA31" s="35" t="str">
        <f>'FS Desroches Daily'!AT33</f>
        <v/>
      </c>
      <c r="AB31" s="35" t="str">
        <f>'FS Desroches Daily'!AV33</f>
        <v/>
      </c>
      <c r="AC31" s="35" t="str">
        <f>'FS Desroches Daily'!AZ33</f>
        <v/>
      </c>
      <c r="AD31" s="35" t="str">
        <f>'FS Desroches Daily'!BB33</f>
        <v/>
      </c>
      <c r="AE31" s="35" t="str">
        <f>'FS Desroches Daily'!BD33</f>
        <v/>
      </c>
      <c r="AF31" s="31" t="str">
        <f>'FS Desroches Daily'!BF33</f>
        <v/>
      </c>
      <c r="AG31" s="32" t="str">
        <f>'FS Desroches Daily'!BH33</f>
        <v/>
      </c>
      <c r="AH31" s="32" t="str">
        <f>'FS Desroches Daily'!BJ33</f>
        <v/>
      </c>
      <c r="AI31" s="32" t="str">
        <f>'FS Desroches Daily'!BL33</f>
        <v/>
      </c>
      <c r="AJ31" s="32" t="str">
        <f>'FS Desroches Daily'!BN33</f>
        <v/>
      </c>
      <c r="AK31" s="32" t="str">
        <f>'FS Desroches Daily'!BP33</f>
        <v/>
      </c>
      <c r="AL31" s="32" t="str">
        <f>'FS Desroches Daily'!BR33</f>
        <v/>
      </c>
      <c r="AM31" s="32" t="str">
        <f>'FS Desroches Daily'!BT33</f>
        <v/>
      </c>
      <c r="AN31" s="32" t="str">
        <f>'FS Desroches Daily'!BV33</f>
        <v/>
      </c>
      <c r="AO31" s="32" t="str">
        <f>'FS Desroches Daily'!BX33</f>
        <v/>
      </c>
      <c r="AP31" s="32" t="str">
        <f>'FS Desroches Daily'!BZ33</f>
        <v/>
      </c>
      <c r="AQ31" s="31" t="str">
        <f>'FS Desroches Daily'!CB33</f>
        <v/>
      </c>
      <c r="AR31" s="31" t="str">
        <f>'FS Desroches Daily'!CD33</f>
        <v/>
      </c>
      <c r="AS31" s="31" t="str">
        <f>'FS Desroches Daily'!CF33</f>
        <v/>
      </c>
      <c r="AT31" s="31" t="str">
        <f>'FS Desroches Daily'!CH33</f>
        <v/>
      </c>
      <c r="AU31" s="31" t="str">
        <f>'FS Desroches Daily'!CJ33</f>
        <v/>
      </c>
      <c r="AV31" s="31" t="str">
        <f>'FS Desroches Daily'!CL33</f>
        <v/>
      </c>
      <c r="AW31" s="31" t="e">
        <f>'FS Desroches Daily'!CM33</f>
        <v>#VALUE!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84700.000000000233</v>
      </c>
      <c r="F33" s="17">
        <f t="shared" ref="F33:BC33" si="1">SUM(F2:F32)</f>
        <v>99299.999999999971</v>
      </c>
      <c r="G33" s="17">
        <f t="shared" si="1"/>
        <v>82399.999999999825</v>
      </c>
      <c r="H33" s="17">
        <f t="shared" si="1"/>
        <v>45599.999999999876</v>
      </c>
      <c r="I33" s="17">
        <f t="shared" si="1"/>
        <v>62700.000000000007</v>
      </c>
      <c r="J33" s="17">
        <f t="shared" si="1"/>
        <v>41399.999999999884</v>
      </c>
      <c r="K33" s="17">
        <f t="shared" si="1"/>
        <v>795</v>
      </c>
      <c r="L33" s="17">
        <f t="shared" si="1"/>
        <v>129</v>
      </c>
      <c r="M33" s="17">
        <f t="shared" si="1"/>
        <v>32.900000000000091</v>
      </c>
      <c r="N33" s="17">
        <f t="shared" si="1"/>
        <v>12189.299999999988</v>
      </c>
      <c r="O33" s="17">
        <f t="shared" si="1"/>
        <v>9920.0000000000164</v>
      </c>
      <c r="P33" s="17">
        <f t="shared" si="1"/>
        <v>89800.000000000335</v>
      </c>
      <c r="Q33" s="17">
        <f t="shared" si="1"/>
        <v>10649.999999999975</v>
      </c>
      <c r="R33" s="17">
        <f t="shared" si="1"/>
        <v>13600.000000000022</v>
      </c>
      <c r="S33" s="17">
        <f t="shared" si="1"/>
        <v>14360.000000000015</v>
      </c>
      <c r="T33" s="17">
        <f t="shared" si="1"/>
        <v>1169</v>
      </c>
      <c r="U33" s="35">
        <f t="shared" si="1"/>
        <v>21173.200000000084</v>
      </c>
      <c r="V33" s="35">
        <f t="shared" si="1"/>
        <v>7860.0000000000146</v>
      </c>
      <c r="W33" s="35">
        <f t="shared" si="1"/>
        <v>8159.9999999999964</v>
      </c>
      <c r="X33" s="35">
        <f t="shared" si="1"/>
        <v>6339.9999999999764</v>
      </c>
      <c r="Y33" s="35">
        <f t="shared" si="1"/>
        <v>5209.9999999999791</v>
      </c>
      <c r="Z33" s="35">
        <f t="shared" si="1"/>
        <v>5336.2799999999825</v>
      </c>
      <c r="AA33" s="35">
        <f t="shared" si="1"/>
        <v>5336.2799999999825</v>
      </c>
      <c r="AB33" s="35">
        <f t="shared" si="1"/>
        <v>5129.9999999999964</v>
      </c>
      <c r="AC33" s="35">
        <f t="shared" si="1"/>
        <v>3800.0000000000114</v>
      </c>
      <c r="AD33" s="35">
        <f t="shared" si="1"/>
        <v>5810.0000000000036</v>
      </c>
      <c r="AE33" s="35">
        <f t="shared" si="1"/>
        <v>3240.0000000000091</v>
      </c>
      <c r="AF33" s="17">
        <f t="shared" si="1"/>
        <v>1113</v>
      </c>
      <c r="AG33" s="32">
        <f t="shared" si="1"/>
        <v>1319.9999999999932</v>
      </c>
      <c r="AH33" s="32">
        <f t="shared" si="1"/>
        <v>930.00000000000682</v>
      </c>
      <c r="AI33" s="32">
        <f t="shared" si="1"/>
        <v>1399.9999999999773</v>
      </c>
      <c r="AJ33" s="32">
        <f t="shared" si="1"/>
        <v>1259.9999999999909</v>
      </c>
      <c r="AK33" s="32">
        <f t="shared" si="1"/>
        <v>1759.9999999999909</v>
      </c>
      <c r="AL33" s="32">
        <f t="shared" si="1"/>
        <v>919</v>
      </c>
      <c r="AM33" s="32">
        <f t="shared" si="1"/>
        <v>1650.0000000000057</v>
      </c>
      <c r="AN33" s="32">
        <f t="shared" si="1"/>
        <v>1044</v>
      </c>
      <c r="AO33" s="32">
        <f t="shared" si="1"/>
        <v>959.99999999997954</v>
      </c>
      <c r="AP33" s="32">
        <f t="shared" si="1"/>
        <v>1037</v>
      </c>
      <c r="AQ33" s="17">
        <f t="shared" si="1"/>
        <v>1728.0999999999985</v>
      </c>
      <c r="AR33" s="17">
        <f t="shared" si="1"/>
        <v>241.80000000000109</v>
      </c>
      <c r="AS33" s="17">
        <f t="shared" si="1"/>
        <v>188.19999999999982</v>
      </c>
      <c r="AT33" s="17">
        <f t="shared" si="1"/>
        <v>1331.8999999999942</v>
      </c>
      <c r="AU33" s="17">
        <f t="shared" si="1"/>
        <v>8796</v>
      </c>
      <c r="AV33" s="17">
        <f t="shared" si="1"/>
        <v>17769.999999999982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166.66649999999996</v>
      </c>
      <c r="BC33" s="17">
        <f t="shared" si="1"/>
        <v>626</v>
      </c>
    </row>
    <row r="35" spans="5:55" x14ac:dyDescent="0.25">
      <c r="E35" s="38">
        <f>E33/E37</f>
        <v>0.24583645345361119</v>
      </c>
      <c r="G35" s="29">
        <f>G33-M36</f>
        <v>70177.799999999843</v>
      </c>
      <c r="AE35" s="35">
        <f>SUM(U33:AE33)</f>
        <v>77395.760000000053</v>
      </c>
      <c r="AG35" s="32">
        <f>SUM(AG33:AP33)</f>
        <v>12279.999999999945</v>
      </c>
    </row>
    <row r="36" spans="5:55" x14ac:dyDescent="0.25">
      <c r="G36" s="29">
        <f>G35-633*14</f>
        <v>61315.799999999843</v>
      </c>
      <c r="M36" s="29">
        <f>M33+N33</f>
        <v>12222.199999999988</v>
      </c>
    </row>
    <row r="37" spans="5:55" x14ac:dyDescent="0.25">
      <c r="E37" s="17">
        <f>E33+F33+G33+H33+J33-633*14</f>
        <v>344537.99999999977</v>
      </c>
      <c r="G37" s="37">
        <f>M36/E37</f>
        <v>3.5474171208981289E-2</v>
      </c>
      <c r="M37" s="35">
        <f>AE35</f>
        <v>77395.760000000053</v>
      </c>
    </row>
    <row r="38" spans="5:55" x14ac:dyDescent="0.25">
      <c r="L38" s="27">
        <f>M38/E37</f>
        <v>3.5641932094572885E-2</v>
      </c>
      <c r="M38" s="29">
        <f>AG35</f>
        <v>12279.999999999945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BX1" zoomScale="86" zoomScaleNormal="86" workbookViewId="0">
      <pane ySplit="1" topLeftCell="A25" activePane="bottomLeft" state="frozen"/>
      <selection pane="bottomLeft" activeCell="CO33" sqref="CO3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44561</v>
      </c>
      <c r="B3" s="68"/>
      <c r="C3" s="58">
        <v>2.7519999999999998</v>
      </c>
      <c r="D3" s="64"/>
      <c r="E3" s="58">
        <v>3.8189000000000002</v>
      </c>
      <c r="F3" s="64"/>
      <c r="G3" s="58">
        <v>3.8233000000000001</v>
      </c>
      <c r="H3" s="64"/>
      <c r="I3" s="58">
        <v>1.9027000000000001</v>
      </c>
      <c r="J3" s="64"/>
      <c r="K3" s="58">
        <v>3.0228999999999999</v>
      </c>
      <c r="L3" s="64"/>
      <c r="M3" s="58">
        <v>1.6726000000000001</v>
      </c>
      <c r="N3" s="64"/>
      <c r="O3" s="58">
        <v>15948</v>
      </c>
      <c r="P3" s="67"/>
      <c r="Q3" s="58">
        <v>1775</v>
      </c>
      <c r="R3" s="67"/>
      <c r="S3" s="58">
        <v>1169.3</v>
      </c>
      <c r="T3" s="67"/>
      <c r="U3" s="58">
        <v>485059.4</v>
      </c>
      <c r="V3" s="67"/>
      <c r="W3" s="58">
        <v>454.62</v>
      </c>
      <c r="X3" s="65"/>
      <c r="Y3" s="58">
        <v>3.3519999999999999</v>
      </c>
      <c r="Z3" s="65"/>
      <c r="AA3" s="58">
        <v>457.19</v>
      </c>
      <c r="AB3" s="65"/>
      <c r="AC3" s="58">
        <v>434.89</v>
      </c>
      <c r="AD3" s="65"/>
      <c r="AE3" s="58">
        <v>636.39</v>
      </c>
      <c r="AF3" s="65"/>
      <c r="AG3" s="58">
        <v>11299</v>
      </c>
      <c r="AH3" s="67"/>
      <c r="AI3" s="58">
        <v>738.18</v>
      </c>
      <c r="AJ3" s="65"/>
      <c r="AK3" s="58">
        <v>246.51</v>
      </c>
      <c r="AL3" s="65"/>
      <c r="AM3" s="58">
        <v>229.94</v>
      </c>
      <c r="AN3" s="65"/>
      <c r="AO3" s="58">
        <v>223.11</v>
      </c>
      <c r="AP3" s="65"/>
      <c r="AQ3" s="58">
        <v>281.13</v>
      </c>
      <c r="AR3" s="65"/>
      <c r="AS3" s="58">
        <v>408.21</v>
      </c>
      <c r="AT3" s="65"/>
      <c r="AU3" s="58">
        <v>313.95</v>
      </c>
      <c r="AV3" s="65"/>
      <c r="AW3" s="58">
        <v>345.46</v>
      </c>
      <c r="AX3" s="65"/>
      <c r="AY3" s="58">
        <v>382.68</v>
      </c>
      <c r="AZ3" s="65"/>
      <c r="BA3" s="58">
        <v>400.57</v>
      </c>
      <c r="BB3" s="65"/>
      <c r="BC3" s="58">
        <v>257.02</v>
      </c>
      <c r="BD3" s="65"/>
      <c r="BE3" s="59">
        <v>46390</v>
      </c>
      <c r="BF3" s="67"/>
      <c r="BG3" s="60">
        <v>241.75</v>
      </c>
      <c r="BH3" s="65"/>
      <c r="BI3" s="60">
        <v>298.26</v>
      </c>
      <c r="BJ3" s="65"/>
      <c r="BK3" s="60">
        <v>244.36</v>
      </c>
      <c r="BL3" s="65"/>
      <c r="BM3" s="60">
        <v>231.62</v>
      </c>
      <c r="BN3" s="65"/>
      <c r="BO3" s="60">
        <v>296.81</v>
      </c>
      <c r="BP3" s="65"/>
      <c r="BQ3" s="60">
        <v>50980</v>
      </c>
      <c r="BR3" s="65"/>
      <c r="BS3" s="60">
        <v>207.95</v>
      </c>
      <c r="BT3" s="65"/>
      <c r="BU3" s="60">
        <v>47710</v>
      </c>
      <c r="BV3" s="65"/>
      <c r="BW3" s="60">
        <v>237.36</v>
      </c>
      <c r="BX3" s="65"/>
      <c r="BY3" s="60">
        <v>67475</v>
      </c>
      <c r="BZ3" s="67"/>
      <c r="CA3" s="60">
        <v>40734.9</v>
      </c>
      <c r="CB3" s="67"/>
      <c r="CC3" s="60">
        <v>13933.9</v>
      </c>
      <c r="CD3" s="67"/>
      <c r="CE3" s="60">
        <v>7382.2</v>
      </c>
      <c r="CF3" s="67"/>
      <c r="CG3" s="60">
        <v>67777.8</v>
      </c>
      <c r="CH3" s="67"/>
      <c r="CI3" s="60">
        <v>1001718</v>
      </c>
      <c r="CJ3" s="67"/>
      <c r="CK3" s="60">
        <v>884.78</v>
      </c>
      <c r="CL3" s="64"/>
      <c r="CM3" s="65">
        <f t="shared" ref="CM3" si="0">CQ3+CS3</f>
        <v>0</v>
      </c>
      <c r="CN3" s="62">
        <v>32</v>
      </c>
      <c r="CO3" s="62">
        <v>96</v>
      </c>
      <c r="CP3" s="68">
        <v>19258</v>
      </c>
      <c r="CQ3" s="67"/>
      <c r="CR3" s="68">
        <v>18285.599999999999</v>
      </c>
      <c r="CS3" s="67"/>
      <c r="CT3" s="75">
        <v>8479</v>
      </c>
      <c r="CU3" s="67"/>
      <c r="CV3" s="68">
        <v>20415</v>
      </c>
      <c r="CW3" s="67"/>
      <c r="CX3" s="58"/>
      <c r="CY3" s="67"/>
    </row>
    <row r="4" spans="1:103" ht="25.5" customHeight="1" thickBot="1" x14ac:dyDescent="0.45">
      <c r="A4" s="63">
        <v>44562</v>
      </c>
      <c r="B4" s="68"/>
      <c r="C4" s="58">
        <v>2.7551999999999999</v>
      </c>
      <c r="D4" s="64">
        <f t="shared" ref="D4:D34" si="1">IF((C4-C3&lt;0), "0",(C4-C3)*1000000)</f>
        <v>3200.0000000000919</v>
      </c>
      <c r="E4" s="58">
        <v>3.8220999999999998</v>
      </c>
      <c r="F4" s="64">
        <f t="shared" ref="F4:F34" si="2">IF((E4-E3&lt;0), "0",(E4-E3)*1000000)</f>
        <v>3199.9999999996476</v>
      </c>
      <c r="G4" s="58">
        <v>3.8264</v>
      </c>
      <c r="H4" s="64">
        <f t="shared" ref="H4:H34" si="3">IF((G4-G3&lt;0), "0",(G4-G3)*1000000)</f>
        <v>3099.9999999998809</v>
      </c>
      <c r="I4" s="58">
        <v>1.9040999999999999</v>
      </c>
      <c r="J4" s="64">
        <f t="shared" ref="J4:J34" si="4">IF((I4-I3&lt;0), "0",(I4-I3)*1000000)</f>
        <v>1399.9999999998458</v>
      </c>
      <c r="K4" s="58">
        <v>3.0251000000000001</v>
      </c>
      <c r="L4" s="64">
        <f t="shared" ref="L4:L34" si="5">IF((K4-K3&lt;0), "0",(K4-K3)*1000000)</f>
        <v>2200.0000000002019</v>
      </c>
      <c r="M4" s="58">
        <v>1.6737</v>
      </c>
      <c r="N4" s="64">
        <f t="shared" ref="N4:N34" si="6">IF((M4-M3&lt;0), "",(M4-M3)*1000000)</f>
        <v>1099.9999999998788</v>
      </c>
      <c r="O4" s="58">
        <v>15953</v>
      </c>
      <c r="P4" s="67">
        <f t="shared" ref="P4:P34" si="7">IF((O4-O3&lt;0), "",O4-O3)</f>
        <v>5</v>
      </c>
      <c r="Q4" s="58">
        <v>1780</v>
      </c>
      <c r="R4" s="67">
        <f t="shared" ref="R4:R34" si="8">IF((Q4-Q3&lt;0), "",Q4-Q3)</f>
        <v>5</v>
      </c>
      <c r="S4" s="58">
        <v>1171</v>
      </c>
      <c r="T4" s="67">
        <f t="shared" ref="T4:T34" si="9">IF((S4-S3&lt;0), "",S4-S3)</f>
        <v>1.7000000000000455</v>
      </c>
      <c r="U4" s="58">
        <v>485503.9</v>
      </c>
      <c r="V4" s="67">
        <f t="shared" ref="V4:V34" si="10">IF((U4-U3&lt;0), "",U4-U3)</f>
        <v>444.5</v>
      </c>
      <c r="W4" s="58">
        <v>454.95</v>
      </c>
      <c r="X4" s="65">
        <f t="shared" ref="X4:X34" si="11">IF((W4-W3&lt;0), "",(W4-W3)*1000)</f>
        <v>329.99999999998408</v>
      </c>
      <c r="Y4" s="58">
        <v>3.3559000000000001</v>
      </c>
      <c r="Z4" s="65">
        <f t="shared" ref="Z4:Z34" si="12">IF((Y4-Y3&lt;0), "",(Y4-Y3)*1000000)</f>
        <v>3900.0000000002365</v>
      </c>
      <c r="AA4" s="58">
        <v>457.65</v>
      </c>
      <c r="AB4" s="65">
        <f t="shared" ref="AB4:AB34" si="13">IF((AA4-AA3&lt;0), "",(AA4-AA3)*1000)</f>
        <v>459.99999999997954</v>
      </c>
      <c r="AC4" s="58">
        <v>435.38</v>
      </c>
      <c r="AD4" s="65">
        <f t="shared" ref="AD4:AD34" si="14">IF((AC4-AC3&lt;0), "",(AC4-AC3)*1000)</f>
        <v>490.00000000000909</v>
      </c>
      <c r="AE4" s="58">
        <v>636.85</v>
      </c>
      <c r="AF4" s="65">
        <f t="shared" ref="AF4:AF34" si="15">IF((AE4-AE3&lt;0), "",(AE4-AE3)*1000)</f>
        <v>460.00000000003638</v>
      </c>
      <c r="AG4" s="58">
        <v>11329</v>
      </c>
      <c r="AH4" s="67">
        <f t="shared" ref="AH4:AH34" si="16">IF((AG4-AG3&lt;0), "",AG4-AG3)</f>
        <v>30</v>
      </c>
      <c r="AI4" s="58">
        <v>738.92</v>
      </c>
      <c r="AJ4" s="65">
        <f t="shared" ref="AJ4:AJ34" si="17">IF((AI4-AI3&lt;0), "",(AI4-AI3)*1000)</f>
        <v>740.00000000000909</v>
      </c>
      <c r="AK4" s="58">
        <v>246.79</v>
      </c>
      <c r="AL4" s="65">
        <f t="shared" ref="AL4:AL34" si="18">IF((AK4-AK3&lt;0), "",(AK4-AK3)*1000)</f>
        <v>280.00000000000114</v>
      </c>
      <c r="AM4" s="58">
        <v>230.21</v>
      </c>
      <c r="AN4" s="65">
        <f t="shared" ref="AN4:AN34" si="19">IF((AM4-AM3&lt;0), "",(AM4-AM3)*1000)</f>
        <v>270.00000000001023</v>
      </c>
      <c r="AO4" s="58">
        <v>223.3</v>
      </c>
      <c r="AP4" s="65">
        <f t="shared" ref="AP4:AP34" si="20">IF((AO4-AO3&lt;0), "",(AO4-AO3)*1000)</f>
        <v>189.99999999999773</v>
      </c>
      <c r="AQ4" s="58">
        <v>281.35000000000002</v>
      </c>
      <c r="AR4" s="65">
        <f t="shared" ref="AR4:AR34" si="21">IF((AQ4-AQ3&lt;0), "",(AQ4-AQ3)*1000)</f>
        <v>220.00000000002728</v>
      </c>
      <c r="AS4" s="58">
        <v>408.49</v>
      </c>
      <c r="AT4" s="65">
        <f t="shared" ref="AT4:AT34" si="22">IF((AS4-AS3&lt;0), "",(AS4-AS3)*1000)</f>
        <v>280.00000000002956</v>
      </c>
      <c r="AU4" s="58">
        <v>314.18</v>
      </c>
      <c r="AV4" s="65">
        <f t="shared" ref="AV4:AV34" si="23">IF((AU4-AU3&lt;0), "",(AU4-AU3)*1000)</f>
        <v>230.00000000001819</v>
      </c>
      <c r="AW4" s="58">
        <v>345.68</v>
      </c>
      <c r="AX4" s="65">
        <f t="shared" ref="AX4:AX34" si="24">IF((AW4-AW3&lt;0), "",(AW4-AW3)*1000)</f>
        <v>220.00000000002728</v>
      </c>
      <c r="AY4" s="58">
        <v>382.99</v>
      </c>
      <c r="AZ4" s="65">
        <f t="shared" ref="AZ4:AZ34" si="25">IF((AY4-AY3&lt;0), "",(AY4-AY3)*1000)</f>
        <v>310.00000000000227</v>
      </c>
      <c r="BA4" s="58">
        <v>400.76</v>
      </c>
      <c r="BB4" s="65">
        <f t="shared" ref="BB4:BB34" si="26">IF((BA4-BA3&lt;0), "",(BA4-BA3)*1000)</f>
        <v>189.99999999999773</v>
      </c>
      <c r="BC4" s="58">
        <v>257.22000000000003</v>
      </c>
      <c r="BD4" s="65">
        <f t="shared" ref="BD4:BD34" si="27">IF((BC4-BC3&lt;0), "",(BC4-BC3)*1000)</f>
        <v>200.00000000004547</v>
      </c>
      <c r="BE4" s="59">
        <v>46420</v>
      </c>
      <c r="BF4" s="67">
        <f t="shared" ref="BF4:BF34" si="28">IF((BE4-BE3&lt;0), "",BE4-BE3)</f>
        <v>30</v>
      </c>
      <c r="BG4" s="60">
        <v>241.78</v>
      </c>
      <c r="BH4" s="65">
        <f t="shared" ref="BH4:BH34" si="29">IF((BG4-BG3&lt;0), "",(BG4-BG3)*1000)</f>
        <v>30.000000000001137</v>
      </c>
      <c r="BI4" s="60">
        <v>298.29000000000002</v>
      </c>
      <c r="BJ4" s="65">
        <f t="shared" ref="BJ4:BJ34" si="30">IF((BI4-BI3&lt;0), "",(BI4-BI3)*1000)</f>
        <v>30.000000000029559</v>
      </c>
      <c r="BK4" s="60">
        <v>244.39</v>
      </c>
      <c r="BL4" s="65">
        <f t="shared" ref="BL4:BL34" si="31">IF((BK4-BK3&lt;0), "",(BK4-BK3)*1000)</f>
        <v>29.999999999972715</v>
      </c>
      <c r="BM4" s="60">
        <v>231.65</v>
      </c>
      <c r="BN4" s="65">
        <f t="shared" ref="BN4:BN34" si="32">IF((BM4-BM3&lt;0), "",(BM4-BM3)*1000)</f>
        <v>30.000000000001137</v>
      </c>
      <c r="BO4" s="60">
        <v>296.86</v>
      </c>
      <c r="BP4" s="65">
        <f t="shared" ref="BP4:BP34" si="33">IF((BO4-BO3&lt;0), "",(BO4-BO3)*1000)</f>
        <v>50.000000000011369</v>
      </c>
      <c r="BQ4" s="60">
        <v>51022</v>
      </c>
      <c r="BR4" s="65">
        <f t="shared" ref="BR4:BR34" si="34">IF((BQ4-BQ3&lt;0), "",BQ4-BQ3)</f>
        <v>42</v>
      </c>
      <c r="BS4" s="60">
        <v>208</v>
      </c>
      <c r="BT4" s="65">
        <f t="shared" ref="BT4:BT34" si="35">IF((BS4-BS3&lt;0), "",(BS4-BS3)*1000)</f>
        <v>50.000000000011369</v>
      </c>
      <c r="BU4" s="60">
        <v>47739</v>
      </c>
      <c r="BV4" s="65">
        <f t="shared" ref="BV4:BV34" si="36">IF((BU4-BU3&lt;0), "",BU4-BU3)</f>
        <v>29</v>
      </c>
      <c r="BW4" s="60">
        <v>237.38</v>
      </c>
      <c r="BX4" s="65">
        <f t="shared" ref="BX4:BX34" si="37">IF((BW4-BW3&lt;0), "",(BW4-BW3)*1000)</f>
        <v>19.99999999998181</v>
      </c>
      <c r="BY4" s="60">
        <v>67496</v>
      </c>
      <c r="BZ4" s="67">
        <f t="shared" ref="BZ4:BZ34" si="38">IF((BY4-BY3&lt;0), "",BY4-BY3)</f>
        <v>21</v>
      </c>
      <c r="CA4" s="60">
        <v>40786.300000000003</v>
      </c>
      <c r="CB4" s="67">
        <f t="shared" ref="CB4:CB34" si="39">IF((CA4-CA3&lt;0), "",CA4-CA3)</f>
        <v>51.400000000001455</v>
      </c>
      <c r="CC4" s="60">
        <v>13946.9</v>
      </c>
      <c r="CD4" s="67">
        <f t="shared" ref="CD4:CD34" si="40">IF((CC4-CC3&lt;0), "",CC4-CC3)</f>
        <v>13</v>
      </c>
      <c r="CE4" s="60">
        <v>7386.9</v>
      </c>
      <c r="CF4" s="67">
        <f t="shared" ref="CF4:CF34" si="41">IF((CE4-CE3&lt;0), "",CE4-CE3)</f>
        <v>4.6999999999998181</v>
      </c>
      <c r="CG4" s="60">
        <v>67798.899999999994</v>
      </c>
      <c r="CH4" s="67">
        <f t="shared" ref="CH4:CH34" si="42">IF((CG4-CG3&lt;0), "",CG4-CG3)</f>
        <v>21.099999999991269</v>
      </c>
      <c r="CI4" s="60">
        <v>1001996</v>
      </c>
      <c r="CJ4" s="67">
        <f t="shared" ref="CJ4:CJ34" si="43">IF((CI4-CI3&lt;0), "",CI4-CI3)</f>
        <v>278</v>
      </c>
      <c r="CK4" s="60">
        <v>885.63</v>
      </c>
      <c r="CL4" s="64">
        <f t="shared" ref="CL4:CL34" si="44">IF((CK4-CK3&lt;0), "",(CK4-CK3)*1000)</f>
        <v>850.00000000002274</v>
      </c>
      <c r="CM4" s="65">
        <f t="shared" ref="CM4:CM34" si="45">CQ4+CS4</f>
        <v>84.600000000002183</v>
      </c>
      <c r="CN4" s="62">
        <v>32</v>
      </c>
      <c r="CO4" s="62">
        <v>96</v>
      </c>
      <c r="CP4" s="68">
        <v>19328.3</v>
      </c>
      <c r="CQ4" s="67">
        <f t="shared" ref="CQ4:CQ34" si="46">IF((CP4-CP3&lt;0), "",CP4-CP3)</f>
        <v>70.299999999999272</v>
      </c>
      <c r="CR4" s="68">
        <v>18299.900000000001</v>
      </c>
      <c r="CS4" s="67">
        <f t="shared" ref="CS4:CS34" si="47">IF((CR4-CR3&lt;0), "",CR4-CR3)</f>
        <v>14.30000000000291</v>
      </c>
      <c r="CT4" s="75">
        <v>8494</v>
      </c>
      <c r="CU4" s="67">
        <f t="shared" ref="CU4:CU34" si="48">IF((CT4-CT3&lt;0), "",CT4-CT3)</f>
        <v>15</v>
      </c>
      <c r="CV4" s="68">
        <v>20433</v>
      </c>
      <c r="CW4" s="67">
        <f t="shared" ref="CW4:CW34" si="49">IF((CV4-CV3&lt;0), "",CV4-CV3)</f>
        <v>18</v>
      </c>
      <c r="CX4" s="58"/>
      <c r="CY4" s="67">
        <f t="shared" ref="CY4:CY34" si="50">IF((CX4-CX3&lt;0), "",CX4-CX3)</f>
        <v>0</v>
      </c>
    </row>
    <row r="5" spans="1:103" ht="25.5" customHeight="1" thickBot="1" x14ac:dyDescent="0.45">
      <c r="A5" s="63">
        <v>44563</v>
      </c>
      <c r="B5" s="44"/>
      <c r="C5" s="58">
        <v>2.7574000000000001</v>
      </c>
      <c r="D5" s="64">
        <f t="shared" si="1"/>
        <v>2200.0000000002019</v>
      </c>
      <c r="E5" s="58">
        <v>3.8258999999999999</v>
      </c>
      <c r="F5" s="64">
        <f t="shared" si="2"/>
        <v>3800.0000000000255</v>
      </c>
      <c r="G5" s="58">
        <v>3.8298000000000001</v>
      </c>
      <c r="H5" s="64">
        <f t="shared" si="3"/>
        <v>3400.0000000000696</v>
      </c>
      <c r="I5" s="58">
        <v>1.9056</v>
      </c>
      <c r="J5" s="64">
        <f t="shared" si="4"/>
        <v>1500.0000000000568</v>
      </c>
      <c r="K5" s="58">
        <v>3.0278</v>
      </c>
      <c r="L5" s="64">
        <f t="shared" si="5"/>
        <v>2699.9999999999245</v>
      </c>
      <c r="M5" s="58">
        <v>1.6748000000000001</v>
      </c>
      <c r="N5" s="64">
        <f t="shared" si="6"/>
        <v>1100.000000000101</v>
      </c>
      <c r="O5" s="58">
        <v>15964</v>
      </c>
      <c r="P5" s="67">
        <f t="shared" si="7"/>
        <v>11</v>
      </c>
      <c r="Q5" s="58">
        <v>1781</v>
      </c>
      <c r="R5" s="67">
        <f t="shared" si="8"/>
        <v>1</v>
      </c>
      <c r="S5" s="58">
        <v>1172</v>
      </c>
      <c r="T5" s="67">
        <f t="shared" si="9"/>
        <v>1</v>
      </c>
      <c r="U5" s="58">
        <v>485968.2</v>
      </c>
      <c r="V5" s="67">
        <f t="shared" si="10"/>
        <v>464.29999999998836</v>
      </c>
      <c r="W5" s="58">
        <v>455.32</v>
      </c>
      <c r="X5" s="65">
        <f t="shared" si="11"/>
        <v>370.00000000000455</v>
      </c>
      <c r="Y5" s="58">
        <v>3.3582000000000001</v>
      </c>
      <c r="Z5" s="65">
        <f t="shared" si="12"/>
        <v>2299.9999999999686</v>
      </c>
      <c r="AA5" s="58">
        <v>457.94</v>
      </c>
      <c r="AB5" s="65">
        <f t="shared" si="13"/>
        <v>290.00000000002046</v>
      </c>
      <c r="AC5" s="58">
        <v>435.57</v>
      </c>
      <c r="AD5" s="65">
        <f t="shared" si="14"/>
        <v>189.99999999999773</v>
      </c>
      <c r="AE5" s="58">
        <v>636.89</v>
      </c>
      <c r="AF5" s="65">
        <f t="shared" si="15"/>
        <v>39.99999999996362</v>
      </c>
      <c r="AG5" s="58">
        <v>11366</v>
      </c>
      <c r="AH5" s="67">
        <f t="shared" si="16"/>
        <v>37</v>
      </c>
      <c r="AI5" s="58">
        <v>739.48</v>
      </c>
      <c r="AJ5" s="65">
        <f t="shared" si="17"/>
        <v>560.00000000005912</v>
      </c>
      <c r="AK5" s="58">
        <v>247.07</v>
      </c>
      <c r="AL5" s="65">
        <f t="shared" si="18"/>
        <v>280.00000000000114</v>
      </c>
      <c r="AM5" s="58">
        <v>230.46</v>
      </c>
      <c r="AN5" s="65">
        <f t="shared" si="19"/>
        <v>250</v>
      </c>
      <c r="AO5" s="58">
        <v>223.47</v>
      </c>
      <c r="AP5" s="65">
        <f t="shared" si="20"/>
        <v>169.99999999998749</v>
      </c>
      <c r="AQ5" s="58">
        <v>281.42</v>
      </c>
      <c r="AR5" s="65">
        <f t="shared" si="21"/>
        <v>69.999999999993179</v>
      </c>
      <c r="AS5" s="58">
        <v>408.54</v>
      </c>
      <c r="AT5" s="65">
        <f t="shared" si="22"/>
        <v>50.000000000011369</v>
      </c>
      <c r="AU5" s="58">
        <v>314.23</v>
      </c>
      <c r="AV5" s="65">
        <f t="shared" si="23"/>
        <v>50.000000000011369</v>
      </c>
      <c r="AW5" s="58">
        <v>345.81</v>
      </c>
      <c r="AX5" s="65">
        <f t="shared" si="24"/>
        <v>129.99999999999545</v>
      </c>
      <c r="AY5" s="58">
        <v>383.04</v>
      </c>
      <c r="AZ5" s="65">
        <f t="shared" si="25"/>
        <v>50.000000000011369</v>
      </c>
      <c r="BA5" s="58">
        <v>400.78</v>
      </c>
      <c r="BB5" s="65">
        <f t="shared" si="26"/>
        <v>19.99999999998181</v>
      </c>
      <c r="BC5" s="58">
        <v>257.36</v>
      </c>
      <c r="BD5" s="65">
        <f t="shared" si="27"/>
        <v>139.99999999998636</v>
      </c>
      <c r="BE5" s="59">
        <v>46469</v>
      </c>
      <c r="BF5" s="67">
        <f t="shared" si="28"/>
        <v>49</v>
      </c>
      <c r="BG5" s="60">
        <v>241.83</v>
      </c>
      <c r="BH5" s="65">
        <f t="shared" si="29"/>
        <v>50.000000000011369</v>
      </c>
      <c r="BI5" s="60">
        <v>298.32</v>
      </c>
      <c r="BJ5" s="65">
        <f t="shared" si="30"/>
        <v>29.999999999972715</v>
      </c>
      <c r="BK5" s="60">
        <v>244.45</v>
      </c>
      <c r="BL5" s="65">
        <f t="shared" si="31"/>
        <v>60.000000000002274</v>
      </c>
      <c r="BM5" s="60">
        <v>231.69</v>
      </c>
      <c r="BN5" s="65">
        <f t="shared" si="32"/>
        <v>39.999999999992042</v>
      </c>
      <c r="BO5" s="60">
        <v>296.92</v>
      </c>
      <c r="BP5" s="65">
        <f t="shared" si="33"/>
        <v>60.000000000002274</v>
      </c>
      <c r="BQ5" s="60">
        <v>51036</v>
      </c>
      <c r="BR5" s="65">
        <f t="shared" si="34"/>
        <v>14</v>
      </c>
      <c r="BS5" s="60">
        <v>208.05</v>
      </c>
      <c r="BT5" s="65">
        <f t="shared" si="35"/>
        <v>50.000000000011369</v>
      </c>
      <c r="BU5" s="60">
        <v>47766</v>
      </c>
      <c r="BV5" s="65">
        <f t="shared" si="36"/>
        <v>27</v>
      </c>
      <c r="BW5" s="60">
        <v>237.42</v>
      </c>
      <c r="BX5" s="65">
        <f t="shared" si="37"/>
        <v>39.999999999992042</v>
      </c>
      <c r="BY5" s="60">
        <v>67522</v>
      </c>
      <c r="BZ5" s="67">
        <f t="shared" si="38"/>
        <v>26</v>
      </c>
      <c r="CA5" s="60">
        <v>40871</v>
      </c>
      <c r="CB5" s="67">
        <f t="shared" si="39"/>
        <v>84.69999999999709</v>
      </c>
      <c r="CC5" s="60">
        <v>13959.8</v>
      </c>
      <c r="CD5" s="67">
        <f t="shared" si="40"/>
        <v>12.899999999999636</v>
      </c>
      <c r="CE5" s="60">
        <v>7396.5</v>
      </c>
      <c r="CF5" s="67">
        <f t="shared" si="41"/>
        <v>9.6000000000003638</v>
      </c>
      <c r="CG5" s="60">
        <v>67865.5</v>
      </c>
      <c r="CH5" s="67">
        <f t="shared" si="42"/>
        <v>66.600000000005821</v>
      </c>
      <c r="CI5" s="60">
        <v>1002271</v>
      </c>
      <c r="CJ5" s="67">
        <f t="shared" si="43"/>
        <v>275</v>
      </c>
      <c r="CK5" s="60">
        <v>886.18</v>
      </c>
      <c r="CL5" s="64">
        <f t="shared" si="44"/>
        <v>549.99999999995453</v>
      </c>
      <c r="CM5" s="65">
        <f t="shared" si="45"/>
        <v>114</v>
      </c>
      <c r="CN5" s="62">
        <v>31</v>
      </c>
      <c r="CO5" s="62">
        <v>98</v>
      </c>
      <c r="CP5" s="68">
        <v>19397.2</v>
      </c>
      <c r="CQ5" s="67">
        <f t="shared" si="46"/>
        <v>68.900000000001455</v>
      </c>
      <c r="CR5" s="68">
        <v>18345</v>
      </c>
      <c r="CS5" s="67">
        <f t="shared" si="47"/>
        <v>45.099999999998545</v>
      </c>
      <c r="CT5" s="75">
        <v>8496</v>
      </c>
      <c r="CU5" s="67">
        <f t="shared" si="48"/>
        <v>2</v>
      </c>
      <c r="CV5" s="68">
        <v>20449</v>
      </c>
      <c r="CW5" s="67">
        <f t="shared" si="49"/>
        <v>16</v>
      </c>
      <c r="CX5" s="58"/>
      <c r="CY5" s="67">
        <f t="shared" si="50"/>
        <v>0</v>
      </c>
    </row>
    <row r="6" spans="1:103" ht="24.75" customHeight="1" thickBot="1" x14ac:dyDescent="0.45">
      <c r="A6" s="63">
        <v>44564</v>
      </c>
      <c r="B6" s="44"/>
      <c r="C6" s="58">
        <v>2.7610000000000001</v>
      </c>
      <c r="D6" s="64">
        <f t="shared" si="1"/>
        <v>3600.0000000000477</v>
      </c>
      <c r="E6" s="58">
        <v>3.8292999999999999</v>
      </c>
      <c r="F6" s="64">
        <f t="shared" si="2"/>
        <v>3400.0000000000696</v>
      </c>
      <c r="G6" s="58">
        <v>3.8329</v>
      </c>
      <c r="H6" s="64">
        <f t="shared" si="3"/>
        <v>3099.9999999998809</v>
      </c>
      <c r="I6" s="58">
        <v>1.9072</v>
      </c>
      <c r="J6" s="64">
        <f t="shared" si="4"/>
        <v>1600.0000000000459</v>
      </c>
      <c r="K6" s="58">
        <v>3.03</v>
      </c>
      <c r="L6" s="64">
        <f t="shared" si="5"/>
        <v>2199.9999999997576</v>
      </c>
      <c r="M6" s="58">
        <v>1.6760999999999999</v>
      </c>
      <c r="N6" s="64">
        <f t="shared" si="6"/>
        <v>1299.9999999998568</v>
      </c>
      <c r="O6" s="58">
        <v>15973</v>
      </c>
      <c r="P6" s="67">
        <f t="shared" si="7"/>
        <v>9</v>
      </c>
      <c r="Q6" s="58">
        <v>1785</v>
      </c>
      <c r="R6" s="67">
        <f t="shared" si="8"/>
        <v>4</v>
      </c>
      <c r="S6" s="58">
        <v>1173.5</v>
      </c>
      <c r="T6" s="67">
        <f t="shared" si="9"/>
        <v>1.5</v>
      </c>
      <c r="U6" s="58">
        <v>486498</v>
      </c>
      <c r="V6" s="67">
        <f t="shared" si="10"/>
        <v>529.79999999998836</v>
      </c>
      <c r="W6" s="58">
        <v>455.65</v>
      </c>
      <c r="X6" s="65">
        <f t="shared" si="11"/>
        <v>329.99999999998408</v>
      </c>
      <c r="Y6" s="58">
        <v>3.3614000000000002</v>
      </c>
      <c r="Z6" s="65">
        <f t="shared" si="12"/>
        <v>3200.0000000000919</v>
      </c>
      <c r="AA6" s="58">
        <v>458.39</v>
      </c>
      <c r="AB6" s="65">
        <f t="shared" si="13"/>
        <v>449.99999999998863</v>
      </c>
      <c r="AC6" s="58">
        <v>435.93</v>
      </c>
      <c r="AD6" s="65">
        <f t="shared" si="14"/>
        <v>360.00000000001364</v>
      </c>
      <c r="AE6" s="58">
        <v>637.35</v>
      </c>
      <c r="AF6" s="65">
        <f t="shared" si="15"/>
        <v>460.00000000003638</v>
      </c>
      <c r="AG6" s="58">
        <v>11407</v>
      </c>
      <c r="AH6" s="67">
        <f t="shared" si="16"/>
        <v>41</v>
      </c>
      <c r="AI6" s="58">
        <v>740.48</v>
      </c>
      <c r="AJ6" s="65">
        <f t="shared" si="17"/>
        <v>1000</v>
      </c>
      <c r="AK6" s="58">
        <v>247.39</v>
      </c>
      <c r="AL6" s="65">
        <f t="shared" si="18"/>
        <v>319.99999999999318</v>
      </c>
      <c r="AM6" s="58">
        <v>230.74</v>
      </c>
      <c r="AN6" s="65">
        <f t="shared" si="19"/>
        <v>280.00000000000114</v>
      </c>
      <c r="AO6" s="58">
        <v>223.74</v>
      </c>
      <c r="AP6" s="65">
        <f t="shared" si="20"/>
        <v>270.00000000001023</v>
      </c>
      <c r="AQ6" s="58">
        <v>281.56</v>
      </c>
      <c r="AR6" s="65">
        <f t="shared" si="21"/>
        <v>139.99999999998636</v>
      </c>
      <c r="AS6" s="58">
        <v>408.75</v>
      </c>
      <c r="AT6" s="65">
        <f t="shared" si="22"/>
        <v>209.99999999997954</v>
      </c>
      <c r="AU6" s="58">
        <v>314.39</v>
      </c>
      <c r="AV6" s="65">
        <f t="shared" si="23"/>
        <v>159.99999999996817</v>
      </c>
      <c r="AW6" s="58">
        <v>346.03</v>
      </c>
      <c r="AX6" s="65">
        <f t="shared" si="24"/>
        <v>219.99999999997044</v>
      </c>
      <c r="AY6" s="58">
        <v>383.3</v>
      </c>
      <c r="AZ6" s="65">
        <f t="shared" si="25"/>
        <v>259.99999999999091</v>
      </c>
      <c r="BA6" s="58">
        <v>401.09</v>
      </c>
      <c r="BB6" s="65">
        <f t="shared" si="26"/>
        <v>310.00000000000227</v>
      </c>
      <c r="BC6" s="58">
        <v>257.52</v>
      </c>
      <c r="BD6" s="65">
        <f t="shared" si="27"/>
        <v>159.99999999996817</v>
      </c>
      <c r="BE6" s="59">
        <v>46498</v>
      </c>
      <c r="BF6" s="67">
        <f t="shared" si="28"/>
        <v>29</v>
      </c>
      <c r="BG6" s="60">
        <v>241.87</v>
      </c>
      <c r="BH6" s="65">
        <f t="shared" si="29"/>
        <v>39.999999999992042</v>
      </c>
      <c r="BI6" s="60">
        <v>298.33999999999997</v>
      </c>
      <c r="BJ6" s="65">
        <f t="shared" si="30"/>
        <v>19.99999999998181</v>
      </c>
      <c r="BK6" s="60">
        <v>244.49</v>
      </c>
      <c r="BL6" s="65">
        <f t="shared" si="31"/>
        <v>40.000000000020464</v>
      </c>
      <c r="BM6" s="60">
        <v>231.74</v>
      </c>
      <c r="BN6" s="65">
        <f t="shared" si="32"/>
        <v>50.000000000011369</v>
      </c>
      <c r="BO6" s="60">
        <v>296.98</v>
      </c>
      <c r="BP6" s="65">
        <f t="shared" si="33"/>
        <v>60.000000000002274</v>
      </c>
      <c r="BQ6" s="60">
        <v>51070</v>
      </c>
      <c r="BR6" s="65">
        <f t="shared" si="34"/>
        <v>34</v>
      </c>
      <c r="BS6" s="60">
        <v>208.1</v>
      </c>
      <c r="BT6" s="65">
        <f t="shared" si="35"/>
        <v>49.999999999982947</v>
      </c>
      <c r="BU6" s="60">
        <v>47793</v>
      </c>
      <c r="BV6" s="65">
        <f t="shared" si="36"/>
        <v>27</v>
      </c>
      <c r="BW6" s="60">
        <v>237.45</v>
      </c>
      <c r="BX6" s="65">
        <f t="shared" si="37"/>
        <v>30.000000000001137</v>
      </c>
      <c r="BY6" s="60">
        <v>67550</v>
      </c>
      <c r="BZ6" s="67">
        <f t="shared" si="38"/>
        <v>28</v>
      </c>
      <c r="CA6" s="60">
        <v>40929.5</v>
      </c>
      <c r="CB6" s="67">
        <f t="shared" si="39"/>
        <v>58.5</v>
      </c>
      <c r="CC6" s="60">
        <v>13969.4</v>
      </c>
      <c r="CD6" s="67">
        <f t="shared" si="40"/>
        <v>9.6000000000003638</v>
      </c>
      <c r="CE6" s="60">
        <v>7397.3</v>
      </c>
      <c r="CF6" s="67">
        <f t="shared" si="41"/>
        <v>0.8000000000001819</v>
      </c>
      <c r="CG6" s="60">
        <v>67908.100000000006</v>
      </c>
      <c r="CH6" s="67">
        <f t="shared" si="42"/>
        <v>42.600000000005821</v>
      </c>
      <c r="CI6" s="60">
        <v>1002555</v>
      </c>
      <c r="CJ6" s="67">
        <f t="shared" si="43"/>
        <v>284</v>
      </c>
      <c r="CK6" s="60">
        <v>886.89</v>
      </c>
      <c r="CL6" s="64">
        <f t="shared" si="44"/>
        <v>710.00000000003638</v>
      </c>
      <c r="CM6" s="65">
        <f t="shared" si="45"/>
        <v>100.20000000000073</v>
      </c>
      <c r="CN6" s="62">
        <v>29</v>
      </c>
      <c r="CO6" s="62">
        <v>75</v>
      </c>
      <c r="CP6" s="68">
        <v>19469</v>
      </c>
      <c r="CQ6" s="67">
        <f t="shared" si="46"/>
        <v>71.799999999999272</v>
      </c>
      <c r="CR6" s="68">
        <v>18373.400000000001</v>
      </c>
      <c r="CS6" s="67">
        <f t="shared" si="47"/>
        <v>28.400000000001455</v>
      </c>
      <c r="CT6" s="75">
        <v>8504</v>
      </c>
      <c r="CU6" s="67">
        <f t="shared" si="48"/>
        <v>8</v>
      </c>
      <c r="CV6" s="68">
        <v>20527</v>
      </c>
      <c r="CW6" s="67">
        <f t="shared" si="49"/>
        <v>78</v>
      </c>
      <c r="CX6" s="58"/>
      <c r="CY6" s="67">
        <f t="shared" si="50"/>
        <v>0</v>
      </c>
    </row>
    <row r="7" spans="1:103" ht="25.5" customHeight="1" thickBot="1" x14ac:dyDescent="0.45">
      <c r="A7" s="63">
        <v>44565</v>
      </c>
      <c r="B7" s="44"/>
      <c r="C7" s="58">
        <v>2.7644000000000002</v>
      </c>
      <c r="D7" s="64">
        <f t="shared" si="1"/>
        <v>3400.0000000000696</v>
      </c>
      <c r="E7" s="58">
        <v>3.8328000000000002</v>
      </c>
      <c r="F7" s="64">
        <f t="shared" si="2"/>
        <v>3500.0000000002806</v>
      </c>
      <c r="G7" s="58">
        <v>3.8363</v>
      </c>
      <c r="H7" s="64">
        <f t="shared" si="3"/>
        <v>3400.0000000000696</v>
      </c>
      <c r="I7" s="58">
        <v>1.9088000000000001</v>
      </c>
      <c r="J7" s="64">
        <f t="shared" si="4"/>
        <v>1600.0000000000459</v>
      </c>
      <c r="K7" s="58">
        <v>3.032</v>
      </c>
      <c r="L7" s="64">
        <f t="shared" si="5"/>
        <v>2000.0000000002237</v>
      </c>
      <c r="M7" s="58">
        <v>1.6775</v>
      </c>
      <c r="N7" s="64">
        <f t="shared" si="6"/>
        <v>1400.0000000000678</v>
      </c>
      <c r="O7" s="58">
        <v>15982</v>
      </c>
      <c r="P7" s="67">
        <f t="shared" si="7"/>
        <v>9</v>
      </c>
      <c r="Q7" s="58">
        <v>1789</v>
      </c>
      <c r="R7" s="67">
        <f t="shared" si="8"/>
        <v>4</v>
      </c>
      <c r="S7" s="58">
        <v>1175.0999999999999</v>
      </c>
      <c r="T7" s="67">
        <f t="shared" si="9"/>
        <v>1.5999999999999091</v>
      </c>
      <c r="U7" s="58">
        <v>487050.8</v>
      </c>
      <c r="V7" s="67">
        <f t="shared" si="10"/>
        <v>552.79999999998836</v>
      </c>
      <c r="W7" s="58">
        <v>455.96</v>
      </c>
      <c r="X7" s="65">
        <f t="shared" si="11"/>
        <v>310.00000000000227</v>
      </c>
      <c r="Y7" s="58">
        <v>3.3647</v>
      </c>
      <c r="Z7" s="65">
        <f t="shared" si="12"/>
        <v>3299.9999999998586</v>
      </c>
      <c r="AA7" s="58">
        <v>458.76</v>
      </c>
      <c r="AB7" s="65">
        <f t="shared" si="13"/>
        <v>370.00000000000455</v>
      </c>
      <c r="AC7" s="58">
        <v>436.27</v>
      </c>
      <c r="AD7" s="65">
        <f t="shared" si="14"/>
        <v>339.99999999997499</v>
      </c>
      <c r="AE7" s="58">
        <v>637.89</v>
      </c>
      <c r="AF7" s="65">
        <f t="shared" si="15"/>
        <v>539.99999999996362</v>
      </c>
      <c r="AG7" s="58">
        <v>11447</v>
      </c>
      <c r="AH7" s="67">
        <f t="shared" si="16"/>
        <v>40</v>
      </c>
      <c r="AI7" s="58">
        <v>741.48</v>
      </c>
      <c r="AJ7" s="65">
        <f t="shared" si="17"/>
        <v>1000</v>
      </c>
      <c r="AK7" s="58">
        <v>247.69</v>
      </c>
      <c r="AL7" s="65">
        <f t="shared" si="18"/>
        <v>300.00000000001137</v>
      </c>
      <c r="AM7" s="58">
        <v>230.96</v>
      </c>
      <c r="AN7" s="65">
        <f t="shared" si="19"/>
        <v>219.99999999999886</v>
      </c>
      <c r="AO7" s="58">
        <v>223.99</v>
      </c>
      <c r="AP7" s="65">
        <f t="shared" si="20"/>
        <v>250</v>
      </c>
      <c r="AQ7" s="58">
        <v>281.68</v>
      </c>
      <c r="AR7" s="65">
        <f t="shared" si="21"/>
        <v>120.00000000000455</v>
      </c>
      <c r="AS7" s="58">
        <v>409</v>
      </c>
      <c r="AT7" s="65">
        <f t="shared" si="22"/>
        <v>250</v>
      </c>
      <c r="AU7" s="58">
        <v>314.52999999999997</v>
      </c>
      <c r="AV7" s="65">
        <f t="shared" si="23"/>
        <v>139.99999999998636</v>
      </c>
      <c r="AW7" s="58">
        <v>346.24</v>
      </c>
      <c r="AX7" s="65">
        <f t="shared" si="24"/>
        <v>210.00000000003638</v>
      </c>
      <c r="AY7" s="58">
        <v>383.52</v>
      </c>
      <c r="AZ7" s="65">
        <f t="shared" si="25"/>
        <v>219.99999999997044</v>
      </c>
      <c r="BA7" s="58">
        <v>401.35</v>
      </c>
      <c r="BB7" s="65">
        <f t="shared" si="26"/>
        <v>260.00000000004775</v>
      </c>
      <c r="BC7" s="58">
        <v>257.64999999999998</v>
      </c>
      <c r="BD7" s="65">
        <f t="shared" si="27"/>
        <v>129.99999999999545</v>
      </c>
      <c r="BE7" s="59">
        <v>46546</v>
      </c>
      <c r="BF7" s="67">
        <f t="shared" si="28"/>
        <v>48</v>
      </c>
      <c r="BG7" s="60">
        <v>241.91</v>
      </c>
      <c r="BH7" s="65">
        <f t="shared" si="29"/>
        <v>39.999999999992042</v>
      </c>
      <c r="BI7" s="60">
        <v>298.37</v>
      </c>
      <c r="BJ7" s="65">
        <f t="shared" si="30"/>
        <v>30.000000000029559</v>
      </c>
      <c r="BK7" s="60">
        <v>244.54</v>
      </c>
      <c r="BL7" s="65">
        <f t="shared" si="31"/>
        <v>49.999999999982947</v>
      </c>
      <c r="BM7" s="60">
        <v>231.78</v>
      </c>
      <c r="BN7" s="65">
        <f t="shared" si="32"/>
        <v>39.999999999992042</v>
      </c>
      <c r="BO7" s="60">
        <v>297.02999999999997</v>
      </c>
      <c r="BP7" s="65">
        <f t="shared" si="33"/>
        <v>49.999999999954525</v>
      </c>
      <c r="BQ7" s="60">
        <v>51098</v>
      </c>
      <c r="BR7" s="65">
        <f t="shared" si="34"/>
        <v>28</v>
      </c>
      <c r="BS7" s="60">
        <v>208.14</v>
      </c>
      <c r="BT7" s="65">
        <f t="shared" si="35"/>
        <v>39.999999999992042</v>
      </c>
      <c r="BU7" s="60">
        <v>47827</v>
      </c>
      <c r="BV7" s="65">
        <f t="shared" si="36"/>
        <v>34</v>
      </c>
      <c r="BW7" s="60">
        <v>237.48</v>
      </c>
      <c r="BX7" s="65">
        <f t="shared" si="37"/>
        <v>30.000000000001137</v>
      </c>
      <c r="BY7" s="60">
        <v>67579</v>
      </c>
      <c r="BZ7" s="67">
        <f t="shared" si="38"/>
        <v>29</v>
      </c>
      <c r="CA7" s="60">
        <v>40999.5</v>
      </c>
      <c r="CB7" s="67">
        <f t="shared" si="39"/>
        <v>70</v>
      </c>
      <c r="CC7" s="60">
        <v>13978.8</v>
      </c>
      <c r="CD7" s="67">
        <f t="shared" si="40"/>
        <v>9.3999999999996362</v>
      </c>
      <c r="CE7" s="60">
        <v>7417.5</v>
      </c>
      <c r="CF7" s="67">
        <f t="shared" si="41"/>
        <v>20.199999999999818</v>
      </c>
      <c r="CG7" s="60">
        <v>67968.2</v>
      </c>
      <c r="CH7" s="67">
        <f t="shared" si="42"/>
        <v>60.099999999991269</v>
      </c>
      <c r="CI7" s="60">
        <v>1002860</v>
      </c>
      <c r="CJ7" s="67">
        <f t="shared" si="43"/>
        <v>305</v>
      </c>
      <c r="CK7" s="60">
        <v>887.62</v>
      </c>
      <c r="CL7" s="64">
        <f t="shared" si="44"/>
        <v>730.00000000001819</v>
      </c>
      <c r="CM7" s="65">
        <f t="shared" si="45"/>
        <v>95</v>
      </c>
      <c r="CN7" s="62">
        <v>23</v>
      </c>
      <c r="CO7" s="62">
        <v>74</v>
      </c>
      <c r="CP7" s="68">
        <v>19539</v>
      </c>
      <c r="CQ7" s="67">
        <f t="shared" si="46"/>
        <v>70</v>
      </c>
      <c r="CR7" s="68">
        <v>18398.400000000001</v>
      </c>
      <c r="CS7" s="67">
        <f t="shared" si="47"/>
        <v>25</v>
      </c>
      <c r="CT7" s="75">
        <v>8513</v>
      </c>
      <c r="CU7" s="67">
        <f t="shared" si="48"/>
        <v>9</v>
      </c>
      <c r="CV7" s="68">
        <v>20595</v>
      </c>
      <c r="CW7" s="67">
        <f t="shared" si="49"/>
        <v>68</v>
      </c>
      <c r="CX7" s="58"/>
      <c r="CY7" s="67">
        <f t="shared" si="50"/>
        <v>0</v>
      </c>
    </row>
    <row r="8" spans="1:103" ht="25.5" customHeight="1" thickBot="1" x14ac:dyDescent="0.45">
      <c r="A8" s="63">
        <v>44566</v>
      </c>
      <c r="B8" s="44"/>
      <c r="C8" s="58">
        <v>2.7675000000000001</v>
      </c>
      <c r="D8" s="64">
        <f t="shared" si="1"/>
        <v>3099.9999999998809</v>
      </c>
      <c r="E8" s="58">
        <v>3.8363</v>
      </c>
      <c r="F8" s="64">
        <f t="shared" si="2"/>
        <v>3499.9999999998367</v>
      </c>
      <c r="G8" s="58">
        <v>3.8395000000000001</v>
      </c>
      <c r="H8" s="64">
        <f t="shared" si="3"/>
        <v>3200.0000000000919</v>
      </c>
      <c r="I8" s="58">
        <v>1.9103000000000001</v>
      </c>
      <c r="J8" s="64">
        <f t="shared" si="4"/>
        <v>1500.0000000000568</v>
      </c>
      <c r="K8" s="58">
        <v>3.0341</v>
      </c>
      <c r="L8" s="64">
        <f t="shared" si="5"/>
        <v>2099.9999999999909</v>
      </c>
      <c r="M8" s="58">
        <v>1.6789000000000001</v>
      </c>
      <c r="N8" s="64">
        <f t="shared" si="6"/>
        <v>1400.0000000000678</v>
      </c>
      <c r="O8" s="58">
        <v>15993</v>
      </c>
      <c r="P8" s="67">
        <f t="shared" si="7"/>
        <v>11</v>
      </c>
      <c r="Q8" s="58">
        <v>1793</v>
      </c>
      <c r="R8" s="67">
        <f t="shared" si="8"/>
        <v>4</v>
      </c>
      <c r="S8" s="58">
        <v>1176.5</v>
      </c>
      <c r="T8" s="67">
        <f t="shared" si="9"/>
        <v>1.4000000000000909</v>
      </c>
      <c r="U8" s="58">
        <v>487511.8</v>
      </c>
      <c r="V8" s="67">
        <f t="shared" si="10"/>
        <v>461</v>
      </c>
      <c r="W8" s="58">
        <v>456.22</v>
      </c>
      <c r="X8" s="65">
        <f t="shared" si="11"/>
        <v>260.00000000004775</v>
      </c>
      <c r="Y8" s="58">
        <v>3.3679000000000001</v>
      </c>
      <c r="Z8" s="65">
        <f t="shared" si="12"/>
        <v>3200.0000000000919</v>
      </c>
      <c r="AA8" s="58">
        <v>459.04</v>
      </c>
      <c r="AB8" s="65">
        <f t="shared" si="13"/>
        <v>280.00000000002956</v>
      </c>
      <c r="AC8" s="58">
        <v>436.59</v>
      </c>
      <c r="AD8" s="65">
        <f t="shared" si="14"/>
        <v>319.99999999999318</v>
      </c>
      <c r="AE8" s="58">
        <v>638.47</v>
      </c>
      <c r="AF8" s="65">
        <f t="shared" si="15"/>
        <v>580.00000000004093</v>
      </c>
      <c r="AG8" s="58">
        <v>11486</v>
      </c>
      <c r="AH8" s="67">
        <f t="shared" si="16"/>
        <v>39</v>
      </c>
      <c r="AI8" s="58">
        <v>742.25</v>
      </c>
      <c r="AJ8" s="65">
        <f t="shared" si="17"/>
        <v>769.99999999998181</v>
      </c>
      <c r="AK8" s="58">
        <v>248.01</v>
      </c>
      <c r="AL8" s="65">
        <f t="shared" si="18"/>
        <v>319.99999999999318</v>
      </c>
      <c r="AM8" s="58">
        <v>231.22</v>
      </c>
      <c r="AN8" s="65">
        <f t="shared" si="19"/>
        <v>259.99999999999091</v>
      </c>
      <c r="AO8" s="58">
        <v>224.21</v>
      </c>
      <c r="AP8" s="65">
        <f t="shared" si="20"/>
        <v>219.99999999999886</v>
      </c>
      <c r="AQ8" s="58">
        <v>281.82</v>
      </c>
      <c r="AR8" s="65">
        <f t="shared" si="21"/>
        <v>139.99999999998636</v>
      </c>
      <c r="AS8" s="58">
        <v>409.16</v>
      </c>
      <c r="AT8" s="65">
        <f t="shared" si="22"/>
        <v>160.00000000002501</v>
      </c>
      <c r="AU8" s="58">
        <v>314.66000000000003</v>
      </c>
      <c r="AV8" s="65">
        <f t="shared" si="23"/>
        <v>130.0000000000523</v>
      </c>
      <c r="AW8" s="58">
        <v>346.44</v>
      </c>
      <c r="AX8" s="65">
        <f t="shared" si="24"/>
        <v>199.99999999998863</v>
      </c>
      <c r="AY8" s="58">
        <v>383.64</v>
      </c>
      <c r="AZ8" s="65">
        <f t="shared" si="25"/>
        <v>120.00000000000455</v>
      </c>
      <c r="BA8" s="58">
        <v>401.59</v>
      </c>
      <c r="BB8" s="65">
        <f t="shared" si="26"/>
        <v>239.99999999995225</v>
      </c>
      <c r="BC8" s="58">
        <v>257.82</v>
      </c>
      <c r="BD8" s="65">
        <f t="shared" si="27"/>
        <v>170.00000000001592</v>
      </c>
      <c r="BE8" s="59">
        <v>46590</v>
      </c>
      <c r="BF8" s="67">
        <f t="shared" si="28"/>
        <v>44</v>
      </c>
      <c r="BG8" s="60">
        <v>241.95</v>
      </c>
      <c r="BH8" s="65">
        <f t="shared" si="29"/>
        <v>39.999999999992042</v>
      </c>
      <c r="BI8" s="60">
        <v>298.39999999999998</v>
      </c>
      <c r="BJ8" s="65">
        <f t="shared" si="30"/>
        <v>29.999999999972715</v>
      </c>
      <c r="BK8" s="60">
        <v>244.58</v>
      </c>
      <c r="BL8" s="65">
        <f t="shared" si="31"/>
        <v>40.000000000020464</v>
      </c>
      <c r="BM8" s="60">
        <v>231.82</v>
      </c>
      <c r="BN8" s="65">
        <f t="shared" si="32"/>
        <v>39.999999999992042</v>
      </c>
      <c r="BO8" s="60">
        <v>297.08</v>
      </c>
      <c r="BP8" s="65">
        <f t="shared" si="33"/>
        <v>50.000000000011369</v>
      </c>
      <c r="BQ8" s="60">
        <v>51127</v>
      </c>
      <c r="BR8" s="65">
        <f t="shared" si="34"/>
        <v>29</v>
      </c>
      <c r="BS8" s="60">
        <v>208.18</v>
      </c>
      <c r="BT8" s="65">
        <f t="shared" si="35"/>
        <v>40.000000000020464</v>
      </c>
      <c r="BU8" s="60">
        <v>47856</v>
      </c>
      <c r="BV8" s="65">
        <f t="shared" si="36"/>
        <v>29</v>
      </c>
      <c r="BW8" s="60">
        <v>237.51</v>
      </c>
      <c r="BX8" s="65">
        <f t="shared" si="37"/>
        <v>30.000000000001137</v>
      </c>
      <c r="BY8" s="60">
        <v>67607</v>
      </c>
      <c r="BZ8" s="67">
        <f t="shared" si="38"/>
        <v>28</v>
      </c>
      <c r="CA8" s="60">
        <v>41064.1</v>
      </c>
      <c r="CB8" s="67">
        <f t="shared" si="39"/>
        <v>64.599999999998545</v>
      </c>
      <c r="CC8" s="60">
        <v>13987.8</v>
      </c>
      <c r="CD8" s="67">
        <f t="shared" si="40"/>
        <v>9</v>
      </c>
      <c r="CE8" s="60">
        <v>7423.2</v>
      </c>
      <c r="CF8" s="67">
        <f t="shared" si="41"/>
        <v>5.6999999999998181</v>
      </c>
      <c r="CG8" s="60">
        <v>67999.199999999997</v>
      </c>
      <c r="CH8" s="67">
        <f t="shared" si="42"/>
        <v>31</v>
      </c>
      <c r="CI8" s="60">
        <v>1003149</v>
      </c>
      <c r="CJ8" s="67">
        <f t="shared" si="43"/>
        <v>289</v>
      </c>
      <c r="CK8" s="60">
        <v>888.24</v>
      </c>
      <c r="CL8" s="64">
        <f t="shared" si="44"/>
        <v>620.00000000000455</v>
      </c>
      <c r="CM8" s="65">
        <f t="shared" si="45"/>
        <v>96.399999999997817</v>
      </c>
      <c r="CN8" s="62">
        <v>17</v>
      </c>
      <c r="CO8" s="62">
        <v>60</v>
      </c>
      <c r="CP8" s="68">
        <v>19615</v>
      </c>
      <c r="CQ8" s="67">
        <f t="shared" si="46"/>
        <v>76</v>
      </c>
      <c r="CR8" s="68">
        <v>18418.8</v>
      </c>
      <c r="CS8" s="67">
        <f t="shared" si="47"/>
        <v>20.399999999997817</v>
      </c>
      <c r="CT8" s="75">
        <v>8522</v>
      </c>
      <c r="CU8" s="67">
        <f t="shared" si="48"/>
        <v>9</v>
      </c>
      <c r="CV8" s="68">
        <v>20633</v>
      </c>
      <c r="CW8" s="67">
        <f t="shared" si="49"/>
        <v>38</v>
      </c>
      <c r="CX8" s="58"/>
      <c r="CY8" s="67">
        <f t="shared" si="50"/>
        <v>0</v>
      </c>
    </row>
    <row r="9" spans="1:103" ht="25.5" customHeight="1" thickBot="1" x14ac:dyDescent="0.45">
      <c r="A9" s="63">
        <v>44567</v>
      </c>
      <c r="B9" s="44"/>
      <c r="C9" s="58">
        <v>2.7706</v>
      </c>
      <c r="D9" s="64">
        <f t="shared" si="1"/>
        <v>3099.9999999998809</v>
      </c>
      <c r="E9" s="58">
        <v>3.8397000000000001</v>
      </c>
      <c r="F9" s="64">
        <f t="shared" si="2"/>
        <v>3400.0000000000696</v>
      </c>
      <c r="G9" s="58">
        <v>3.8424999999999998</v>
      </c>
      <c r="H9" s="64">
        <f t="shared" si="3"/>
        <v>2999.9999999996694</v>
      </c>
      <c r="I9" s="58">
        <v>1.9118999999999999</v>
      </c>
      <c r="J9" s="64">
        <f t="shared" si="4"/>
        <v>1599.9999999998238</v>
      </c>
      <c r="K9" s="58">
        <v>3.0362</v>
      </c>
      <c r="L9" s="64">
        <f t="shared" si="5"/>
        <v>2099.9999999999909</v>
      </c>
      <c r="M9" s="58">
        <v>1.6803999999999999</v>
      </c>
      <c r="N9" s="64">
        <f t="shared" si="6"/>
        <v>1499.9999999998347</v>
      </c>
      <c r="O9" s="58">
        <v>16017</v>
      </c>
      <c r="P9" s="67">
        <f t="shared" si="7"/>
        <v>24</v>
      </c>
      <c r="Q9" s="58">
        <v>1798</v>
      </c>
      <c r="R9" s="67">
        <f t="shared" si="8"/>
        <v>5</v>
      </c>
      <c r="S9" s="58">
        <v>1177.8</v>
      </c>
      <c r="T9" s="67">
        <f t="shared" si="9"/>
        <v>1.2999999999999545</v>
      </c>
      <c r="U9" s="58">
        <v>487954.8</v>
      </c>
      <c r="V9" s="67">
        <f t="shared" si="10"/>
        <v>443</v>
      </c>
      <c r="W9" s="58">
        <v>456.47</v>
      </c>
      <c r="X9" s="65">
        <f t="shared" si="11"/>
        <v>250</v>
      </c>
      <c r="Y9" s="58">
        <v>3.3712</v>
      </c>
      <c r="Z9" s="65">
        <f t="shared" si="12"/>
        <v>3299.9999999998586</v>
      </c>
      <c r="AA9" s="58">
        <v>459.57</v>
      </c>
      <c r="AB9" s="65">
        <f t="shared" si="13"/>
        <v>529.99999999997272</v>
      </c>
      <c r="AC9" s="58">
        <v>436.93</v>
      </c>
      <c r="AD9" s="65">
        <f t="shared" si="14"/>
        <v>340.00000000003183</v>
      </c>
      <c r="AE9" s="58">
        <v>639.1</v>
      </c>
      <c r="AF9" s="65">
        <f t="shared" si="15"/>
        <v>629.99999999999545</v>
      </c>
      <c r="AG9" s="58">
        <v>11528</v>
      </c>
      <c r="AH9" s="67">
        <f t="shared" si="16"/>
        <v>42</v>
      </c>
      <c r="AI9" s="58">
        <v>742.91</v>
      </c>
      <c r="AJ9" s="65">
        <f t="shared" si="17"/>
        <v>659.99999999996817</v>
      </c>
      <c r="AK9" s="58">
        <v>248.34</v>
      </c>
      <c r="AL9" s="65">
        <f t="shared" si="18"/>
        <v>330.00000000001251</v>
      </c>
      <c r="AM9" s="58">
        <v>231.48</v>
      </c>
      <c r="AN9" s="65">
        <f t="shared" si="19"/>
        <v>259.99999999999091</v>
      </c>
      <c r="AO9" s="58">
        <v>224.46</v>
      </c>
      <c r="AP9" s="65">
        <f t="shared" si="20"/>
        <v>250</v>
      </c>
      <c r="AQ9" s="58">
        <v>282.01</v>
      </c>
      <c r="AR9" s="65">
        <f t="shared" si="21"/>
        <v>189.99999999999773</v>
      </c>
      <c r="AS9" s="58">
        <v>409.35</v>
      </c>
      <c r="AT9" s="65">
        <f t="shared" si="22"/>
        <v>189.99999999999773</v>
      </c>
      <c r="AU9" s="58">
        <v>314.8</v>
      </c>
      <c r="AV9" s="65">
        <f t="shared" si="23"/>
        <v>139.99999999998636</v>
      </c>
      <c r="AW9" s="58">
        <v>346.66</v>
      </c>
      <c r="AX9" s="65">
        <f t="shared" si="24"/>
        <v>220.00000000002728</v>
      </c>
      <c r="AY9" s="58">
        <v>383.79</v>
      </c>
      <c r="AZ9" s="65">
        <f t="shared" si="25"/>
        <v>150.00000000003411</v>
      </c>
      <c r="BA9" s="58">
        <v>401.91</v>
      </c>
      <c r="BB9" s="65">
        <f t="shared" si="26"/>
        <v>320.00000000005002</v>
      </c>
      <c r="BC9" s="58">
        <v>258</v>
      </c>
      <c r="BD9" s="65">
        <f t="shared" si="27"/>
        <v>180.00000000000682</v>
      </c>
      <c r="BE9" s="59">
        <v>46625</v>
      </c>
      <c r="BF9" s="67">
        <f t="shared" si="28"/>
        <v>35</v>
      </c>
      <c r="BG9" s="60">
        <v>242</v>
      </c>
      <c r="BH9" s="65">
        <f t="shared" si="29"/>
        <v>50.000000000011369</v>
      </c>
      <c r="BI9" s="60">
        <v>298.43</v>
      </c>
      <c r="BJ9" s="65">
        <f t="shared" si="30"/>
        <v>30.000000000029559</v>
      </c>
      <c r="BK9" s="60">
        <v>244.63</v>
      </c>
      <c r="BL9" s="65">
        <f t="shared" si="31"/>
        <v>49.999999999982947</v>
      </c>
      <c r="BM9" s="60">
        <v>231.86</v>
      </c>
      <c r="BN9" s="65">
        <f t="shared" si="32"/>
        <v>40.000000000020464</v>
      </c>
      <c r="BO9" s="60">
        <v>297.14999999999998</v>
      </c>
      <c r="BP9" s="65">
        <f t="shared" si="33"/>
        <v>69.999999999993179</v>
      </c>
      <c r="BQ9" s="60">
        <v>51162</v>
      </c>
      <c r="BR9" s="65">
        <f t="shared" si="34"/>
        <v>35</v>
      </c>
      <c r="BS9" s="60">
        <v>208.25</v>
      </c>
      <c r="BT9" s="65">
        <f t="shared" si="35"/>
        <v>69.999999999993179</v>
      </c>
      <c r="BU9" s="60">
        <v>47890</v>
      </c>
      <c r="BV9" s="65">
        <f t="shared" si="36"/>
        <v>34</v>
      </c>
      <c r="BW9" s="60">
        <v>237.54</v>
      </c>
      <c r="BX9" s="65">
        <f t="shared" si="37"/>
        <v>30.000000000001137</v>
      </c>
      <c r="BY9" s="60">
        <v>67639</v>
      </c>
      <c r="BZ9" s="67">
        <f t="shared" si="38"/>
        <v>32</v>
      </c>
      <c r="CA9" s="60">
        <v>41129.4</v>
      </c>
      <c r="CB9" s="67">
        <f t="shared" si="39"/>
        <v>65.30000000000291</v>
      </c>
      <c r="CC9" s="60">
        <v>13996</v>
      </c>
      <c r="CD9" s="67">
        <f t="shared" si="40"/>
        <v>8.2000000000007276</v>
      </c>
      <c r="CE9" s="60">
        <v>7428.3</v>
      </c>
      <c r="CF9" s="67">
        <f t="shared" si="41"/>
        <v>5.1000000000003638</v>
      </c>
      <c r="CG9" s="60">
        <v>68023</v>
      </c>
      <c r="CH9" s="67">
        <f t="shared" si="42"/>
        <v>23.80000000000291</v>
      </c>
      <c r="CI9" s="60">
        <v>1003477</v>
      </c>
      <c r="CJ9" s="67">
        <f t="shared" si="43"/>
        <v>328</v>
      </c>
      <c r="CK9" s="60">
        <v>888.81</v>
      </c>
      <c r="CL9" s="64">
        <f t="shared" si="44"/>
        <v>569.99999999993634</v>
      </c>
      <c r="CM9" s="65">
        <f t="shared" si="45"/>
        <v>88.900000000001455</v>
      </c>
      <c r="CN9" s="62">
        <v>15</v>
      </c>
      <c r="CO9" s="62">
        <v>56</v>
      </c>
      <c r="CP9" s="68">
        <v>19684</v>
      </c>
      <c r="CQ9" s="67">
        <f t="shared" si="46"/>
        <v>69</v>
      </c>
      <c r="CR9" s="68">
        <v>18438.7</v>
      </c>
      <c r="CS9" s="67">
        <f t="shared" si="47"/>
        <v>19.900000000001455</v>
      </c>
      <c r="CT9" s="75">
        <v>8530</v>
      </c>
      <c r="CU9" s="67">
        <f t="shared" si="48"/>
        <v>8</v>
      </c>
      <c r="CV9" s="68">
        <v>20670</v>
      </c>
      <c r="CW9" s="67">
        <f t="shared" si="49"/>
        <v>37</v>
      </c>
      <c r="CX9" s="58"/>
      <c r="CY9" s="67">
        <f t="shared" si="50"/>
        <v>0</v>
      </c>
    </row>
    <row r="10" spans="1:103" ht="25.5" customHeight="1" thickBot="1" x14ac:dyDescent="0.45">
      <c r="A10" s="63">
        <v>44568</v>
      </c>
      <c r="B10" s="44"/>
      <c r="C10" s="58">
        <v>2.774</v>
      </c>
      <c r="D10" s="64">
        <f t="shared" si="1"/>
        <v>3400.0000000000696</v>
      </c>
      <c r="E10" s="58">
        <v>3.8431999999999999</v>
      </c>
      <c r="F10" s="64">
        <f t="shared" si="2"/>
        <v>3499.9999999998367</v>
      </c>
      <c r="G10" s="58">
        <v>3.8456000000000001</v>
      </c>
      <c r="H10" s="64">
        <f t="shared" si="3"/>
        <v>3100.0000000003247</v>
      </c>
      <c r="I10" s="58">
        <v>1.9136</v>
      </c>
      <c r="J10" s="64">
        <f t="shared" si="4"/>
        <v>1700.0000000000348</v>
      </c>
      <c r="K10" s="58">
        <v>3.0383</v>
      </c>
      <c r="L10" s="64">
        <f t="shared" si="5"/>
        <v>2099.9999999999909</v>
      </c>
      <c r="M10" s="58">
        <v>1.6818</v>
      </c>
      <c r="N10" s="64">
        <f t="shared" si="6"/>
        <v>1400.0000000000678</v>
      </c>
      <c r="O10" s="58">
        <v>16032</v>
      </c>
      <c r="P10" s="67">
        <f t="shared" si="7"/>
        <v>15</v>
      </c>
      <c r="Q10" s="58">
        <v>1803</v>
      </c>
      <c r="R10" s="67">
        <f t="shared" si="8"/>
        <v>5</v>
      </c>
      <c r="S10" s="58">
        <v>1179.0999999999999</v>
      </c>
      <c r="T10" s="67">
        <f t="shared" si="9"/>
        <v>1.2999999999999545</v>
      </c>
      <c r="U10" s="58">
        <v>488486.1</v>
      </c>
      <c r="V10" s="67">
        <f t="shared" si="10"/>
        <v>531.29999999998836</v>
      </c>
      <c r="W10" s="58">
        <v>456.75</v>
      </c>
      <c r="X10" s="65">
        <f t="shared" si="11"/>
        <v>279.99999999997272</v>
      </c>
      <c r="Y10" s="58">
        <v>3.3744999999999998</v>
      </c>
      <c r="Z10" s="65">
        <f t="shared" si="12"/>
        <v>3299.9999999998586</v>
      </c>
      <c r="AA10" s="58">
        <v>459.92</v>
      </c>
      <c r="AB10" s="65">
        <f t="shared" si="13"/>
        <v>350.00000000002274</v>
      </c>
      <c r="AC10" s="58">
        <v>437.42</v>
      </c>
      <c r="AD10" s="65">
        <f t="shared" si="14"/>
        <v>490.00000000000909</v>
      </c>
      <c r="AE10" s="58">
        <v>639.64</v>
      </c>
      <c r="AF10" s="65">
        <f t="shared" si="15"/>
        <v>539.99999999996362</v>
      </c>
      <c r="AG10" s="58">
        <v>11571</v>
      </c>
      <c r="AH10" s="67">
        <f t="shared" si="16"/>
        <v>43</v>
      </c>
      <c r="AI10" s="58">
        <v>743.67</v>
      </c>
      <c r="AJ10" s="65">
        <f t="shared" si="17"/>
        <v>759.99999999999091</v>
      </c>
      <c r="AK10" s="58">
        <v>248.73</v>
      </c>
      <c r="AL10" s="65">
        <f t="shared" si="18"/>
        <v>389.99999999998636</v>
      </c>
      <c r="AM10" s="58">
        <v>231.8</v>
      </c>
      <c r="AN10" s="65">
        <f t="shared" si="19"/>
        <v>320.0000000000216</v>
      </c>
      <c r="AO10" s="58">
        <v>224.7</v>
      </c>
      <c r="AP10" s="65">
        <f t="shared" si="20"/>
        <v>239.99999999998067</v>
      </c>
      <c r="AQ10" s="58">
        <v>282.2</v>
      </c>
      <c r="AR10" s="65">
        <f t="shared" si="21"/>
        <v>189.99999999999773</v>
      </c>
      <c r="AS10" s="58">
        <v>409.55</v>
      </c>
      <c r="AT10" s="65">
        <f t="shared" si="22"/>
        <v>199.99999999998863</v>
      </c>
      <c r="AU10" s="58">
        <v>314.95</v>
      </c>
      <c r="AV10" s="65">
        <f t="shared" si="23"/>
        <v>149.99999999997726</v>
      </c>
      <c r="AW10" s="58">
        <v>346.86</v>
      </c>
      <c r="AX10" s="65">
        <f t="shared" si="24"/>
        <v>199.99999999998863</v>
      </c>
      <c r="AY10" s="58">
        <v>383.93</v>
      </c>
      <c r="AZ10" s="65">
        <f t="shared" si="25"/>
        <v>139.99999999998636</v>
      </c>
      <c r="BA10" s="58">
        <v>402.24</v>
      </c>
      <c r="BB10" s="65">
        <f t="shared" si="26"/>
        <v>329.99999999998408</v>
      </c>
      <c r="BC10" s="58">
        <v>258.19</v>
      </c>
      <c r="BD10" s="65">
        <f t="shared" si="27"/>
        <v>189.99999999999773</v>
      </c>
      <c r="BE10" s="59">
        <v>46644</v>
      </c>
      <c r="BF10" s="67">
        <f t="shared" si="28"/>
        <v>19</v>
      </c>
      <c r="BG10" s="60">
        <v>242.05</v>
      </c>
      <c r="BH10" s="65">
        <f t="shared" si="29"/>
        <v>50.000000000011369</v>
      </c>
      <c r="BI10" s="60">
        <v>298.47000000000003</v>
      </c>
      <c r="BJ10" s="65">
        <f t="shared" si="30"/>
        <v>40.000000000020464</v>
      </c>
      <c r="BK10" s="60">
        <v>244.68</v>
      </c>
      <c r="BL10" s="65">
        <f t="shared" si="31"/>
        <v>50.000000000011369</v>
      </c>
      <c r="BM10" s="60">
        <v>231.92</v>
      </c>
      <c r="BN10" s="65">
        <f t="shared" si="32"/>
        <v>59.999999999973852</v>
      </c>
      <c r="BO10" s="60">
        <v>297.22000000000003</v>
      </c>
      <c r="BP10" s="65">
        <f t="shared" si="33"/>
        <v>70.000000000050022</v>
      </c>
      <c r="BQ10" s="60">
        <v>51194</v>
      </c>
      <c r="BR10" s="65">
        <f t="shared" si="34"/>
        <v>32</v>
      </c>
      <c r="BS10" s="60">
        <v>208.33</v>
      </c>
      <c r="BT10" s="65">
        <f t="shared" si="35"/>
        <v>80.000000000012506</v>
      </c>
      <c r="BU10" s="60">
        <v>47921</v>
      </c>
      <c r="BV10" s="65">
        <f t="shared" si="36"/>
        <v>31</v>
      </c>
      <c r="BW10" s="60">
        <v>237.57</v>
      </c>
      <c r="BX10" s="65">
        <f t="shared" si="37"/>
        <v>30.000000000001137</v>
      </c>
      <c r="BY10" s="60">
        <v>67674</v>
      </c>
      <c r="BZ10" s="67">
        <f t="shared" si="38"/>
        <v>35</v>
      </c>
      <c r="CA10" s="60">
        <v>41195.199999999997</v>
      </c>
      <c r="CB10" s="67">
        <f t="shared" si="39"/>
        <v>65.799999999995634</v>
      </c>
      <c r="CC10" s="60">
        <v>14004</v>
      </c>
      <c r="CD10" s="67">
        <f t="shared" si="40"/>
        <v>8</v>
      </c>
      <c r="CE10" s="60">
        <v>7431</v>
      </c>
      <c r="CF10" s="67">
        <f t="shared" si="41"/>
        <v>2.6999999999998181</v>
      </c>
      <c r="CG10" s="60">
        <v>68138.399999999994</v>
      </c>
      <c r="CH10" s="67">
        <f t="shared" si="42"/>
        <v>115.39999999999418</v>
      </c>
      <c r="CI10" s="60">
        <v>1003779</v>
      </c>
      <c r="CJ10" s="67">
        <f t="shared" si="43"/>
        <v>302</v>
      </c>
      <c r="CK10" s="60">
        <v>889.37</v>
      </c>
      <c r="CL10" s="64">
        <f t="shared" si="44"/>
        <v>560.00000000005912</v>
      </c>
      <c r="CM10" s="65">
        <f t="shared" si="45"/>
        <v>91</v>
      </c>
      <c r="CN10" s="62">
        <v>15</v>
      </c>
      <c r="CO10" s="62">
        <v>56</v>
      </c>
      <c r="CP10" s="68">
        <v>19750</v>
      </c>
      <c r="CQ10" s="67">
        <f t="shared" si="46"/>
        <v>66</v>
      </c>
      <c r="CR10" s="68">
        <v>18463.7</v>
      </c>
      <c r="CS10" s="67">
        <f t="shared" si="47"/>
        <v>25</v>
      </c>
      <c r="CT10" s="75">
        <v>8538</v>
      </c>
      <c r="CU10" s="67">
        <f t="shared" si="48"/>
        <v>8</v>
      </c>
      <c r="CV10" s="68">
        <v>20716</v>
      </c>
      <c r="CW10" s="67">
        <f t="shared" si="49"/>
        <v>46</v>
      </c>
      <c r="CX10" s="58"/>
      <c r="CY10" s="67">
        <f t="shared" si="50"/>
        <v>0</v>
      </c>
    </row>
    <row r="11" spans="1:103" ht="25.5" customHeight="1" thickBot="1" x14ac:dyDescent="0.45">
      <c r="A11" s="63">
        <v>44569</v>
      </c>
      <c r="B11" s="44"/>
      <c r="C11" s="58">
        <v>2.7772000000000001</v>
      </c>
      <c r="D11" s="64">
        <f t="shared" si="1"/>
        <v>3200.0000000000919</v>
      </c>
      <c r="E11" s="58">
        <v>3.8468</v>
      </c>
      <c r="F11" s="64">
        <f t="shared" si="2"/>
        <v>3600.0000000000477</v>
      </c>
      <c r="G11" s="58">
        <v>3.8483999999999998</v>
      </c>
      <c r="H11" s="64">
        <f t="shared" si="3"/>
        <v>2799.9999999996917</v>
      </c>
      <c r="I11" s="58">
        <v>1.9152</v>
      </c>
      <c r="J11" s="64">
        <f t="shared" si="4"/>
        <v>1600.0000000000459</v>
      </c>
      <c r="K11" s="58">
        <v>3.0405000000000002</v>
      </c>
      <c r="L11" s="64">
        <f t="shared" si="5"/>
        <v>2200.0000000002019</v>
      </c>
      <c r="M11" s="58">
        <v>1.6832</v>
      </c>
      <c r="N11" s="64">
        <f t="shared" si="6"/>
        <v>1400.0000000000678</v>
      </c>
      <c r="O11" s="58">
        <v>16077</v>
      </c>
      <c r="P11" s="67">
        <f t="shared" si="7"/>
        <v>45</v>
      </c>
      <c r="Q11" s="58">
        <v>1807</v>
      </c>
      <c r="R11" s="67">
        <f t="shared" si="8"/>
        <v>4</v>
      </c>
      <c r="S11" s="58">
        <v>1180.4000000000001</v>
      </c>
      <c r="T11" s="67">
        <f t="shared" si="9"/>
        <v>1.3000000000001819</v>
      </c>
      <c r="U11" s="58">
        <v>488955.7</v>
      </c>
      <c r="V11" s="67">
        <f t="shared" si="10"/>
        <v>469.60000000003492</v>
      </c>
      <c r="W11" s="58">
        <v>457.12</v>
      </c>
      <c r="X11" s="65">
        <f t="shared" si="11"/>
        <v>370.00000000000455</v>
      </c>
      <c r="Y11" s="58">
        <v>3.3780999999999999</v>
      </c>
      <c r="Z11" s="65">
        <f t="shared" si="12"/>
        <v>3600.0000000000477</v>
      </c>
      <c r="AA11" s="58">
        <v>460.29</v>
      </c>
      <c r="AB11" s="65">
        <f t="shared" si="13"/>
        <v>370.00000000000455</v>
      </c>
      <c r="AC11" s="58">
        <v>437.85</v>
      </c>
      <c r="AD11" s="65">
        <f t="shared" si="14"/>
        <v>430.00000000000682</v>
      </c>
      <c r="AE11" s="58">
        <v>640.22</v>
      </c>
      <c r="AF11" s="65">
        <f t="shared" si="15"/>
        <v>580.00000000004093</v>
      </c>
      <c r="AG11" s="58">
        <v>11617</v>
      </c>
      <c r="AH11" s="67">
        <f t="shared" si="16"/>
        <v>46</v>
      </c>
      <c r="AI11" s="58">
        <v>744.52</v>
      </c>
      <c r="AJ11" s="65">
        <f t="shared" si="17"/>
        <v>850.00000000002274</v>
      </c>
      <c r="AK11" s="58">
        <v>249.08</v>
      </c>
      <c r="AL11" s="65">
        <f t="shared" si="18"/>
        <v>350.00000000002274</v>
      </c>
      <c r="AM11" s="58">
        <v>232.12</v>
      </c>
      <c r="AN11" s="65">
        <f t="shared" si="19"/>
        <v>319.99999999999318</v>
      </c>
      <c r="AO11" s="58">
        <v>224.94</v>
      </c>
      <c r="AP11" s="65">
        <f t="shared" si="20"/>
        <v>240.00000000000909</v>
      </c>
      <c r="AQ11" s="58">
        <v>282.43</v>
      </c>
      <c r="AR11" s="65">
        <f t="shared" si="21"/>
        <v>230.00000000001819</v>
      </c>
      <c r="AS11" s="58">
        <v>409.73</v>
      </c>
      <c r="AT11" s="65">
        <f t="shared" si="22"/>
        <v>180.00000000000682</v>
      </c>
      <c r="AU11" s="58">
        <v>315.10000000000002</v>
      </c>
      <c r="AV11" s="65">
        <f t="shared" si="23"/>
        <v>150.00000000003411</v>
      </c>
      <c r="AW11" s="58">
        <v>347.05</v>
      </c>
      <c r="AX11" s="65">
        <f t="shared" si="24"/>
        <v>189.99999999999773</v>
      </c>
      <c r="AY11" s="58">
        <v>384.05</v>
      </c>
      <c r="AZ11" s="65">
        <f t="shared" si="25"/>
        <v>120.00000000000455</v>
      </c>
      <c r="BA11" s="58">
        <v>402.53</v>
      </c>
      <c r="BB11" s="65">
        <f t="shared" si="26"/>
        <v>289.99999999996362</v>
      </c>
      <c r="BC11" s="58">
        <v>258.37</v>
      </c>
      <c r="BD11" s="65">
        <f t="shared" si="27"/>
        <v>180.00000000000682</v>
      </c>
      <c r="BE11" s="59">
        <v>46679</v>
      </c>
      <c r="BF11" s="67">
        <f t="shared" si="28"/>
        <v>35</v>
      </c>
      <c r="BG11" s="60">
        <v>242.1</v>
      </c>
      <c r="BH11" s="65">
        <f t="shared" si="29"/>
        <v>49.999999999982947</v>
      </c>
      <c r="BI11" s="60">
        <v>298.5</v>
      </c>
      <c r="BJ11" s="65">
        <f t="shared" si="30"/>
        <v>29.999999999972715</v>
      </c>
      <c r="BK11" s="60">
        <v>244.73</v>
      </c>
      <c r="BL11" s="65">
        <f t="shared" si="31"/>
        <v>49.999999999982947</v>
      </c>
      <c r="BM11" s="60">
        <v>231.97</v>
      </c>
      <c r="BN11" s="65">
        <f t="shared" si="32"/>
        <v>50.000000000011369</v>
      </c>
      <c r="BO11" s="60">
        <v>297.27999999999997</v>
      </c>
      <c r="BP11" s="65">
        <f t="shared" si="33"/>
        <v>59.99999999994543</v>
      </c>
      <c r="BQ11" s="60">
        <v>51230</v>
      </c>
      <c r="BR11" s="65">
        <f t="shared" si="34"/>
        <v>36</v>
      </c>
      <c r="BS11" s="60">
        <v>208.38</v>
      </c>
      <c r="BT11" s="65">
        <f t="shared" si="35"/>
        <v>49.999999999982947</v>
      </c>
      <c r="BU11" s="60">
        <v>47949</v>
      </c>
      <c r="BV11" s="65">
        <f t="shared" si="36"/>
        <v>28</v>
      </c>
      <c r="BW11" s="60">
        <v>237.6</v>
      </c>
      <c r="BX11" s="65">
        <f t="shared" si="37"/>
        <v>30.000000000001137</v>
      </c>
      <c r="BY11" s="60">
        <v>67705</v>
      </c>
      <c r="BZ11" s="67">
        <f t="shared" si="38"/>
        <v>31</v>
      </c>
      <c r="CA11" s="60">
        <v>41261.9</v>
      </c>
      <c r="CB11" s="67">
        <f t="shared" si="39"/>
        <v>66.700000000004366</v>
      </c>
      <c r="CC11" s="60">
        <v>14014.1</v>
      </c>
      <c r="CD11" s="67">
        <f t="shared" si="40"/>
        <v>10.100000000000364</v>
      </c>
      <c r="CE11" s="60">
        <v>7436.4</v>
      </c>
      <c r="CF11" s="67">
        <f t="shared" si="41"/>
        <v>5.3999999999996362</v>
      </c>
      <c r="CG11" s="60">
        <v>68160.800000000003</v>
      </c>
      <c r="CH11" s="67">
        <f t="shared" si="42"/>
        <v>22.400000000008731</v>
      </c>
      <c r="CI11" s="60">
        <v>1004089</v>
      </c>
      <c r="CJ11" s="67">
        <f t="shared" si="43"/>
        <v>310</v>
      </c>
      <c r="CK11" s="60">
        <v>890.04</v>
      </c>
      <c r="CL11" s="64">
        <f t="shared" si="44"/>
        <v>669.99999999995907</v>
      </c>
      <c r="CM11" s="65">
        <f t="shared" si="45"/>
        <v>73.299999999999272</v>
      </c>
      <c r="CN11" s="62">
        <v>23</v>
      </c>
      <c r="CO11" s="62">
        <v>64</v>
      </c>
      <c r="CP11" s="68">
        <v>19807</v>
      </c>
      <c r="CQ11" s="67">
        <f t="shared" si="46"/>
        <v>57</v>
      </c>
      <c r="CR11" s="68">
        <v>18480</v>
      </c>
      <c r="CS11" s="67">
        <f t="shared" si="47"/>
        <v>16.299999999999272</v>
      </c>
      <c r="CT11" s="75">
        <v>8546</v>
      </c>
      <c r="CU11" s="67">
        <f t="shared" si="48"/>
        <v>8</v>
      </c>
      <c r="CV11" s="68">
        <v>20754</v>
      </c>
      <c r="CW11" s="67">
        <f t="shared" si="49"/>
        <v>38</v>
      </c>
      <c r="CX11" s="58"/>
      <c r="CY11" s="67">
        <f t="shared" si="50"/>
        <v>0</v>
      </c>
    </row>
    <row r="12" spans="1:103" ht="25.5" customHeight="1" thickBot="1" x14ac:dyDescent="0.45">
      <c r="A12" s="63">
        <v>44570</v>
      </c>
      <c r="B12" s="44"/>
      <c r="C12" s="58">
        <v>2.7808999999999999</v>
      </c>
      <c r="D12" s="64">
        <f t="shared" si="1"/>
        <v>3699.9999999998145</v>
      </c>
      <c r="E12" s="58">
        <v>3.8504999999999998</v>
      </c>
      <c r="F12" s="64">
        <f t="shared" si="2"/>
        <v>3699.9999999998145</v>
      </c>
      <c r="G12" s="58">
        <v>3.8515000000000001</v>
      </c>
      <c r="H12" s="64">
        <f t="shared" si="3"/>
        <v>3100.0000000003247</v>
      </c>
      <c r="I12" s="58">
        <v>1.9168000000000001</v>
      </c>
      <c r="J12" s="64">
        <f t="shared" si="4"/>
        <v>1600.0000000000459</v>
      </c>
      <c r="K12" s="58">
        <v>3.0426000000000002</v>
      </c>
      <c r="L12" s="64">
        <f t="shared" si="5"/>
        <v>2099.9999999999909</v>
      </c>
      <c r="M12" s="58">
        <v>1.6848000000000001</v>
      </c>
      <c r="N12" s="64">
        <f t="shared" si="6"/>
        <v>1600.0000000000459</v>
      </c>
      <c r="O12" s="58">
        <v>16119</v>
      </c>
      <c r="P12" s="67">
        <f t="shared" si="7"/>
        <v>42</v>
      </c>
      <c r="Q12" s="58">
        <v>1813</v>
      </c>
      <c r="R12" s="67">
        <f t="shared" si="8"/>
        <v>6</v>
      </c>
      <c r="S12" s="58">
        <v>1181.5</v>
      </c>
      <c r="T12" s="67">
        <f t="shared" si="9"/>
        <v>1.0999999999999091</v>
      </c>
      <c r="U12" s="58">
        <v>489375.8</v>
      </c>
      <c r="V12" s="67">
        <f t="shared" si="10"/>
        <v>420.09999999997672</v>
      </c>
      <c r="W12" s="58">
        <v>457.39</v>
      </c>
      <c r="X12" s="65">
        <f t="shared" si="11"/>
        <v>269.99999999998181</v>
      </c>
      <c r="Y12" s="58">
        <v>3.3812000000000002</v>
      </c>
      <c r="Z12" s="65">
        <f t="shared" si="12"/>
        <v>3100.0000000003247</v>
      </c>
      <c r="AA12" s="58">
        <v>460.72</v>
      </c>
      <c r="AB12" s="65">
        <f t="shared" si="13"/>
        <v>430.00000000000682</v>
      </c>
      <c r="AC12" s="58">
        <v>438.34</v>
      </c>
      <c r="AD12" s="65">
        <f t="shared" si="14"/>
        <v>489.99999999995225</v>
      </c>
      <c r="AE12" s="58">
        <v>640.74</v>
      </c>
      <c r="AF12" s="65">
        <f t="shared" si="15"/>
        <v>519.99999999998181</v>
      </c>
      <c r="AG12" s="58">
        <v>11658</v>
      </c>
      <c r="AH12" s="67">
        <f t="shared" si="16"/>
        <v>41</v>
      </c>
      <c r="AI12" s="58">
        <v>745.44</v>
      </c>
      <c r="AJ12" s="65">
        <f t="shared" si="17"/>
        <v>920.00000000007276</v>
      </c>
      <c r="AK12" s="58">
        <v>249.4</v>
      </c>
      <c r="AL12" s="65">
        <f t="shared" si="18"/>
        <v>319.99999999999318</v>
      </c>
      <c r="AM12" s="58">
        <v>232.41</v>
      </c>
      <c r="AN12" s="65">
        <f t="shared" si="19"/>
        <v>289.99999999999204</v>
      </c>
      <c r="AO12" s="58">
        <v>225.18</v>
      </c>
      <c r="AP12" s="65">
        <f t="shared" si="20"/>
        <v>240.00000000000909</v>
      </c>
      <c r="AQ12" s="58">
        <v>282.72000000000003</v>
      </c>
      <c r="AR12" s="65">
        <f t="shared" si="21"/>
        <v>290.00000000002046</v>
      </c>
      <c r="AS12" s="58">
        <v>409.93</v>
      </c>
      <c r="AT12" s="65">
        <f t="shared" si="22"/>
        <v>199.99999999998863</v>
      </c>
      <c r="AU12" s="58">
        <v>315.19</v>
      </c>
      <c r="AV12" s="65">
        <f t="shared" si="23"/>
        <v>89.999999999974989</v>
      </c>
      <c r="AW12" s="58">
        <v>347.23</v>
      </c>
      <c r="AX12" s="65">
        <f t="shared" si="24"/>
        <v>180.00000000000682</v>
      </c>
      <c r="AY12" s="58">
        <v>384.19</v>
      </c>
      <c r="AZ12" s="65">
        <f t="shared" si="25"/>
        <v>139.99999999998636</v>
      </c>
      <c r="BA12" s="58">
        <v>402.83</v>
      </c>
      <c r="BB12" s="65">
        <f t="shared" si="26"/>
        <v>300.00000000001137</v>
      </c>
      <c r="BC12" s="58">
        <v>258.58</v>
      </c>
      <c r="BD12" s="65">
        <f t="shared" si="27"/>
        <v>209.99999999997954</v>
      </c>
      <c r="BE12" s="59">
        <v>46716</v>
      </c>
      <c r="BF12" s="67">
        <f t="shared" si="28"/>
        <v>37</v>
      </c>
      <c r="BG12" s="60">
        <v>242.15</v>
      </c>
      <c r="BH12" s="65">
        <f t="shared" si="29"/>
        <v>50.000000000011369</v>
      </c>
      <c r="BI12" s="60">
        <v>298.52999999999997</v>
      </c>
      <c r="BJ12" s="65">
        <f t="shared" si="30"/>
        <v>29.999999999972715</v>
      </c>
      <c r="BK12" s="60">
        <v>244.79</v>
      </c>
      <c r="BL12" s="65">
        <f t="shared" si="31"/>
        <v>60.000000000002274</v>
      </c>
      <c r="BM12" s="60">
        <v>232.01</v>
      </c>
      <c r="BN12" s="65">
        <f t="shared" si="32"/>
        <v>39.999999999992042</v>
      </c>
      <c r="BO12" s="60">
        <v>297.35000000000002</v>
      </c>
      <c r="BP12" s="65">
        <f t="shared" si="33"/>
        <v>70.000000000050022</v>
      </c>
      <c r="BQ12" s="60">
        <v>51264</v>
      </c>
      <c r="BR12" s="65">
        <f t="shared" si="34"/>
        <v>34</v>
      </c>
      <c r="BS12" s="60">
        <v>208.45</v>
      </c>
      <c r="BT12" s="65">
        <f t="shared" si="35"/>
        <v>69.999999999993179</v>
      </c>
      <c r="BU12" s="60">
        <v>47981</v>
      </c>
      <c r="BV12" s="65">
        <f t="shared" si="36"/>
        <v>32</v>
      </c>
      <c r="BW12" s="60">
        <v>237.63</v>
      </c>
      <c r="BX12" s="65">
        <f t="shared" si="37"/>
        <v>30.000000000001137</v>
      </c>
      <c r="BY12" s="60">
        <v>67742</v>
      </c>
      <c r="BZ12" s="67">
        <f t="shared" si="38"/>
        <v>37</v>
      </c>
      <c r="CA12" s="60">
        <v>41325.9</v>
      </c>
      <c r="CB12" s="67">
        <f t="shared" si="39"/>
        <v>64</v>
      </c>
      <c r="CC12" s="60">
        <v>14017.6</v>
      </c>
      <c r="CD12" s="67">
        <f t="shared" si="40"/>
        <v>3.5</v>
      </c>
      <c r="CE12" s="60">
        <v>7446</v>
      </c>
      <c r="CF12" s="67">
        <f t="shared" si="41"/>
        <v>9.6000000000003638</v>
      </c>
      <c r="CG12" s="60">
        <v>68202.899999999994</v>
      </c>
      <c r="CH12" s="67">
        <f t="shared" si="42"/>
        <v>42.099999999991269</v>
      </c>
      <c r="CI12" s="60">
        <v>1004374</v>
      </c>
      <c r="CJ12" s="67">
        <f t="shared" si="43"/>
        <v>285</v>
      </c>
      <c r="CK12" s="60">
        <v>890.7</v>
      </c>
      <c r="CL12" s="64">
        <f t="shared" si="44"/>
        <v>660.00000000008185</v>
      </c>
      <c r="CM12" s="65">
        <f t="shared" si="45"/>
        <v>75</v>
      </c>
      <c r="CN12" s="62">
        <v>23</v>
      </c>
      <c r="CO12" s="62">
        <v>64</v>
      </c>
      <c r="CP12" s="68">
        <v>19867</v>
      </c>
      <c r="CQ12" s="67">
        <f t="shared" si="46"/>
        <v>60</v>
      </c>
      <c r="CR12" s="68">
        <v>18495</v>
      </c>
      <c r="CS12" s="67">
        <f t="shared" si="47"/>
        <v>15</v>
      </c>
      <c r="CT12" s="75">
        <v>8554</v>
      </c>
      <c r="CU12" s="67">
        <f t="shared" si="48"/>
        <v>8</v>
      </c>
      <c r="CV12" s="68">
        <v>20805</v>
      </c>
      <c r="CW12" s="67">
        <f t="shared" si="49"/>
        <v>51</v>
      </c>
      <c r="CX12" s="58"/>
      <c r="CY12" s="67">
        <f t="shared" si="50"/>
        <v>0</v>
      </c>
    </row>
    <row r="13" spans="1:103" ht="25.5" customHeight="1" thickBot="1" x14ac:dyDescent="0.45">
      <c r="A13" s="63">
        <v>44571</v>
      </c>
      <c r="B13" s="44"/>
      <c r="C13" s="58">
        <v>2.7833000000000001</v>
      </c>
      <c r="D13" s="64">
        <f t="shared" si="1"/>
        <v>2400.0000000001796</v>
      </c>
      <c r="E13" s="58">
        <v>3.8536000000000001</v>
      </c>
      <c r="F13" s="64">
        <f t="shared" si="2"/>
        <v>3100.0000000003247</v>
      </c>
      <c r="G13" s="58">
        <v>3.8544</v>
      </c>
      <c r="H13" s="64">
        <f t="shared" si="3"/>
        <v>2899.9999999999027</v>
      </c>
      <c r="I13" s="58">
        <v>1.9181999999999999</v>
      </c>
      <c r="J13" s="64">
        <f t="shared" si="4"/>
        <v>1399.9999999998458</v>
      </c>
      <c r="K13" s="58">
        <v>3.0445000000000002</v>
      </c>
      <c r="L13" s="64">
        <f t="shared" si="5"/>
        <v>1900.0000000000127</v>
      </c>
      <c r="M13" s="58">
        <v>1.6861999999999999</v>
      </c>
      <c r="N13" s="64">
        <f t="shared" si="6"/>
        <v>1399.9999999998458</v>
      </c>
      <c r="O13" s="58">
        <v>16137</v>
      </c>
      <c r="P13" s="67">
        <f t="shared" si="7"/>
        <v>18</v>
      </c>
      <c r="Q13" s="58">
        <v>1815</v>
      </c>
      <c r="R13" s="67">
        <f t="shared" si="8"/>
        <v>2</v>
      </c>
      <c r="S13" s="58">
        <v>1182.5999999999999</v>
      </c>
      <c r="T13" s="67">
        <f t="shared" si="9"/>
        <v>1.0999999999999091</v>
      </c>
      <c r="U13" s="58">
        <v>489723.5</v>
      </c>
      <c r="V13" s="67">
        <f t="shared" si="10"/>
        <v>347.70000000001164</v>
      </c>
      <c r="W13" s="58">
        <v>457.63</v>
      </c>
      <c r="X13" s="65">
        <f t="shared" si="11"/>
        <v>240.00000000000909</v>
      </c>
      <c r="Y13" s="58">
        <v>3.3841000000000001</v>
      </c>
      <c r="Z13" s="65">
        <f t="shared" si="12"/>
        <v>2899.9999999999027</v>
      </c>
      <c r="AA13" s="58">
        <v>461.09</v>
      </c>
      <c r="AB13" s="65">
        <f t="shared" si="13"/>
        <v>369.9999999999477</v>
      </c>
      <c r="AC13" s="58">
        <v>438.74</v>
      </c>
      <c r="AD13" s="65">
        <f t="shared" si="14"/>
        <v>400.00000000003411</v>
      </c>
      <c r="AE13" s="58">
        <v>641.27</v>
      </c>
      <c r="AF13" s="65">
        <f t="shared" si="15"/>
        <v>529.99999999997272</v>
      </c>
      <c r="AG13" s="58">
        <v>11691</v>
      </c>
      <c r="AH13" s="67">
        <f t="shared" si="16"/>
        <v>33</v>
      </c>
      <c r="AI13" s="58">
        <v>745.98</v>
      </c>
      <c r="AJ13" s="65">
        <f t="shared" si="17"/>
        <v>539.99999999996362</v>
      </c>
      <c r="AK13" s="58">
        <v>249.61</v>
      </c>
      <c r="AL13" s="65">
        <f t="shared" si="18"/>
        <v>210.00000000000796</v>
      </c>
      <c r="AM13" s="58">
        <v>232.59</v>
      </c>
      <c r="AN13" s="65">
        <f t="shared" si="19"/>
        <v>180.00000000000682</v>
      </c>
      <c r="AO13" s="58">
        <v>225.38</v>
      </c>
      <c r="AP13" s="65">
        <f t="shared" si="20"/>
        <v>199.99999999998863</v>
      </c>
      <c r="AQ13" s="58">
        <v>282.89</v>
      </c>
      <c r="AR13" s="65">
        <f t="shared" si="21"/>
        <v>169.99999999995907</v>
      </c>
      <c r="AS13" s="58">
        <v>410.08</v>
      </c>
      <c r="AT13" s="65">
        <f t="shared" si="22"/>
        <v>149.99999999997726</v>
      </c>
      <c r="AU13" s="58">
        <v>315.27999999999997</v>
      </c>
      <c r="AV13" s="65">
        <f t="shared" si="23"/>
        <v>89.999999999974989</v>
      </c>
      <c r="AW13" s="58">
        <v>347.33</v>
      </c>
      <c r="AX13" s="65">
        <f t="shared" si="24"/>
        <v>99.999999999965894</v>
      </c>
      <c r="AY13" s="58">
        <v>384.29</v>
      </c>
      <c r="AZ13" s="65">
        <f t="shared" si="25"/>
        <v>100.00000000002274</v>
      </c>
      <c r="BA13" s="58">
        <v>403.05</v>
      </c>
      <c r="BB13" s="65">
        <f t="shared" si="26"/>
        <v>220.00000000002728</v>
      </c>
      <c r="BC13" s="58">
        <v>258.77</v>
      </c>
      <c r="BD13" s="65">
        <f t="shared" si="27"/>
        <v>189.99999999999773</v>
      </c>
      <c r="BE13" s="59">
        <v>46751</v>
      </c>
      <c r="BF13" s="67">
        <f t="shared" si="28"/>
        <v>35</v>
      </c>
      <c r="BG13" s="60">
        <v>242.18</v>
      </c>
      <c r="BH13" s="65">
        <f t="shared" si="29"/>
        <v>30.000000000001137</v>
      </c>
      <c r="BI13" s="60">
        <v>298.55</v>
      </c>
      <c r="BJ13" s="65">
        <f t="shared" si="30"/>
        <v>20.000000000038654</v>
      </c>
      <c r="BK13" s="60">
        <v>244.83</v>
      </c>
      <c r="BL13" s="65">
        <f t="shared" si="31"/>
        <v>40.000000000020464</v>
      </c>
      <c r="BM13" s="60">
        <v>232.04</v>
      </c>
      <c r="BN13" s="65">
        <f t="shared" si="32"/>
        <v>30.000000000001137</v>
      </c>
      <c r="BO13" s="60">
        <v>297.39999999999998</v>
      </c>
      <c r="BP13" s="65">
        <f t="shared" si="33"/>
        <v>49.999999999954525</v>
      </c>
      <c r="BQ13" s="60">
        <v>51289</v>
      </c>
      <c r="BR13" s="65">
        <f t="shared" si="34"/>
        <v>25</v>
      </c>
      <c r="BS13" s="60">
        <v>208.49</v>
      </c>
      <c r="BT13" s="65">
        <f t="shared" si="35"/>
        <v>40.000000000020464</v>
      </c>
      <c r="BU13" s="60">
        <v>48004</v>
      </c>
      <c r="BV13" s="65">
        <f t="shared" si="36"/>
        <v>23</v>
      </c>
      <c r="BW13" s="60">
        <v>237.65</v>
      </c>
      <c r="BX13" s="65">
        <f t="shared" si="37"/>
        <v>20.000000000010232</v>
      </c>
      <c r="BY13" s="60">
        <v>67767</v>
      </c>
      <c r="BZ13" s="67">
        <f t="shared" si="38"/>
        <v>25</v>
      </c>
      <c r="CA13" s="60">
        <v>41378.699999999997</v>
      </c>
      <c r="CB13" s="67">
        <f t="shared" si="39"/>
        <v>52.799999999995634</v>
      </c>
      <c r="CC13" s="60">
        <v>14023.3</v>
      </c>
      <c r="CD13" s="67">
        <f t="shared" si="40"/>
        <v>5.6999999999989086</v>
      </c>
      <c r="CE13" s="60">
        <v>7451</v>
      </c>
      <c r="CF13" s="67">
        <f t="shared" si="41"/>
        <v>5</v>
      </c>
      <c r="CG13" s="60">
        <v>68255.100000000006</v>
      </c>
      <c r="CH13" s="67">
        <f t="shared" si="42"/>
        <v>52.200000000011642</v>
      </c>
      <c r="CI13" s="60">
        <v>1004655</v>
      </c>
      <c r="CJ13" s="67">
        <f t="shared" si="43"/>
        <v>281</v>
      </c>
      <c r="CK13" s="60">
        <v>891.36</v>
      </c>
      <c r="CL13" s="64">
        <f t="shared" si="44"/>
        <v>659.99999999996817</v>
      </c>
      <c r="CM13" s="65">
        <f t="shared" si="45"/>
        <v>77.200000000000728</v>
      </c>
      <c r="CN13" s="62">
        <v>23</v>
      </c>
      <c r="CO13" s="62">
        <v>64</v>
      </c>
      <c r="CP13" s="68">
        <v>19928.2</v>
      </c>
      <c r="CQ13" s="67">
        <f t="shared" si="46"/>
        <v>61.200000000000728</v>
      </c>
      <c r="CR13" s="68">
        <v>18511</v>
      </c>
      <c r="CS13" s="67">
        <f t="shared" si="47"/>
        <v>16</v>
      </c>
      <c r="CT13" s="75">
        <v>8563</v>
      </c>
      <c r="CU13" s="67">
        <f t="shared" si="48"/>
        <v>9</v>
      </c>
      <c r="CV13" s="68">
        <v>20855</v>
      </c>
      <c r="CW13" s="67">
        <f t="shared" si="49"/>
        <v>50</v>
      </c>
      <c r="CX13" s="58"/>
      <c r="CY13" s="67">
        <f t="shared" si="50"/>
        <v>0</v>
      </c>
    </row>
    <row r="14" spans="1:103" ht="25.5" customHeight="1" thickBot="1" x14ac:dyDescent="0.45">
      <c r="A14" s="63">
        <v>44572</v>
      </c>
      <c r="B14" s="44"/>
      <c r="C14" s="58">
        <v>2.7856999999999998</v>
      </c>
      <c r="D14" s="64">
        <f t="shared" si="1"/>
        <v>2399.9999999997358</v>
      </c>
      <c r="E14" s="58">
        <v>3.8572000000000002</v>
      </c>
      <c r="F14" s="64">
        <f t="shared" si="2"/>
        <v>3600.0000000000477</v>
      </c>
      <c r="G14" s="58">
        <v>3.8571</v>
      </c>
      <c r="H14" s="64">
        <f t="shared" si="3"/>
        <v>2699.9999999999245</v>
      </c>
      <c r="I14" s="58">
        <v>1.9196</v>
      </c>
      <c r="J14" s="64">
        <f t="shared" si="4"/>
        <v>1400.0000000000678</v>
      </c>
      <c r="K14" s="58">
        <v>3.0465</v>
      </c>
      <c r="L14" s="64">
        <f t="shared" si="5"/>
        <v>1999.9999999997797</v>
      </c>
      <c r="M14" s="58">
        <v>1.6875</v>
      </c>
      <c r="N14" s="64">
        <f t="shared" si="6"/>
        <v>1300.0000000000789</v>
      </c>
      <c r="O14" s="58">
        <v>16168</v>
      </c>
      <c r="P14" s="67">
        <f t="shared" si="7"/>
        <v>31</v>
      </c>
      <c r="Q14" s="58">
        <v>1819</v>
      </c>
      <c r="R14" s="67">
        <f t="shared" si="8"/>
        <v>4</v>
      </c>
      <c r="S14" s="58">
        <v>1183.5999999999999</v>
      </c>
      <c r="T14" s="67">
        <f t="shared" si="9"/>
        <v>1</v>
      </c>
      <c r="U14" s="58">
        <v>490115.3</v>
      </c>
      <c r="V14" s="67">
        <f t="shared" si="10"/>
        <v>391.79999999998836</v>
      </c>
      <c r="W14" s="58">
        <v>457.93</v>
      </c>
      <c r="X14" s="65">
        <f t="shared" si="11"/>
        <v>300.00000000001137</v>
      </c>
      <c r="Y14" s="58">
        <v>3.3875000000000002</v>
      </c>
      <c r="Z14" s="65">
        <f t="shared" si="12"/>
        <v>3400.0000000000696</v>
      </c>
      <c r="AA14" s="58">
        <v>461.36</v>
      </c>
      <c r="AB14" s="65">
        <f t="shared" si="13"/>
        <v>270.00000000003865</v>
      </c>
      <c r="AC14" s="58">
        <v>439.17</v>
      </c>
      <c r="AD14" s="65">
        <f t="shared" si="14"/>
        <v>430.00000000000682</v>
      </c>
      <c r="AE14" s="58">
        <v>641.76</v>
      </c>
      <c r="AF14" s="65">
        <f t="shared" si="15"/>
        <v>490.00000000000909</v>
      </c>
      <c r="AG14" s="58">
        <v>11726</v>
      </c>
      <c r="AH14" s="67">
        <f t="shared" si="16"/>
        <v>35</v>
      </c>
      <c r="AI14" s="58">
        <v>746.59</v>
      </c>
      <c r="AJ14" s="65">
        <f t="shared" si="17"/>
        <v>610.00000000001364</v>
      </c>
      <c r="AK14" s="58">
        <v>249.83</v>
      </c>
      <c r="AL14" s="65">
        <f t="shared" si="18"/>
        <v>219.99999999999886</v>
      </c>
      <c r="AM14" s="58">
        <v>232.82</v>
      </c>
      <c r="AN14" s="65">
        <f t="shared" si="19"/>
        <v>229.99999999998977</v>
      </c>
      <c r="AO14" s="58">
        <v>225.59</v>
      </c>
      <c r="AP14" s="65">
        <f t="shared" si="20"/>
        <v>210.00000000000796</v>
      </c>
      <c r="AQ14" s="58">
        <v>283.04000000000002</v>
      </c>
      <c r="AR14" s="65">
        <f t="shared" si="21"/>
        <v>150.00000000003411</v>
      </c>
      <c r="AS14" s="58">
        <v>410.25</v>
      </c>
      <c r="AT14" s="65">
        <f t="shared" si="22"/>
        <v>170.00000000001592</v>
      </c>
      <c r="AU14" s="58">
        <v>315.38</v>
      </c>
      <c r="AV14" s="65">
        <f t="shared" si="23"/>
        <v>100.00000000002274</v>
      </c>
      <c r="AW14" s="58">
        <v>347.44</v>
      </c>
      <c r="AX14" s="65">
        <f t="shared" si="24"/>
        <v>110.00000000001364</v>
      </c>
      <c r="AY14" s="58">
        <v>384.41</v>
      </c>
      <c r="AZ14" s="65">
        <f t="shared" si="25"/>
        <v>120.00000000000455</v>
      </c>
      <c r="BA14" s="58">
        <v>403.23</v>
      </c>
      <c r="BB14" s="65">
        <f t="shared" si="26"/>
        <v>180.00000000000682</v>
      </c>
      <c r="BC14" s="58">
        <v>258.95</v>
      </c>
      <c r="BD14" s="65">
        <f t="shared" si="27"/>
        <v>180.00000000000682</v>
      </c>
      <c r="BE14" s="59">
        <v>46782</v>
      </c>
      <c r="BF14" s="67">
        <f t="shared" si="28"/>
        <v>31</v>
      </c>
      <c r="BG14" s="60">
        <v>242.22</v>
      </c>
      <c r="BH14" s="65">
        <f t="shared" si="29"/>
        <v>39.999999999992042</v>
      </c>
      <c r="BI14" s="60">
        <v>298.58999999999997</v>
      </c>
      <c r="BJ14" s="65">
        <f t="shared" si="30"/>
        <v>39.99999999996362</v>
      </c>
      <c r="BK14" s="60">
        <v>244.88</v>
      </c>
      <c r="BL14" s="65">
        <f t="shared" si="31"/>
        <v>49.999999999982947</v>
      </c>
      <c r="BM14" s="60">
        <v>232.08</v>
      </c>
      <c r="BN14" s="65">
        <f t="shared" si="32"/>
        <v>40.000000000020464</v>
      </c>
      <c r="BO14" s="60">
        <v>297.45</v>
      </c>
      <c r="BP14" s="65">
        <f t="shared" si="33"/>
        <v>50.000000000011369</v>
      </c>
      <c r="BQ14" s="60">
        <v>51319</v>
      </c>
      <c r="BR14" s="65">
        <f t="shared" si="34"/>
        <v>30</v>
      </c>
      <c r="BS14" s="60">
        <v>208.53</v>
      </c>
      <c r="BT14" s="65">
        <f t="shared" si="35"/>
        <v>39.999999999992042</v>
      </c>
      <c r="BU14" s="60">
        <v>48031</v>
      </c>
      <c r="BV14" s="65">
        <f t="shared" si="36"/>
        <v>27</v>
      </c>
      <c r="BW14" s="60">
        <v>237.69</v>
      </c>
      <c r="BX14" s="65">
        <f t="shared" si="37"/>
        <v>39.999999999992042</v>
      </c>
      <c r="BY14" s="60">
        <v>67795</v>
      </c>
      <c r="BZ14" s="67">
        <f t="shared" si="38"/>
        <v>28</v>
      </c>
      <c r="CA14" s="60">
        <v>41432.699999999997</v>
      </c>
      <c r="CB14" s="67">
        <f t="shared" si="39"/>
        <v>54</v>
      </c>
      <c r="CC14" s="60">
        <v>14030.4</v>
      </c>
      <c r="CD14" s="67">
        <f t="shared" si="40"/>
        <v>7.1000000000003638</v>
      </c>
      <c r="CE14" s="60">
        <v>7410.3</v>
      </c>
      <c r="CF14" s="67" t="str">
        <f t="shared" si="41"/>
        <v/>
      </c>
      <c r="CG14" s="60">
        <v>68306</v>
      </c>
      <c r="CH14" s="67">
        <f t="shared" si="42"/>
        <v>50.899999999994179</v>
      </c>
      <c r="CI14" s="60">
        <v>1004927</v>
      </c>
      <c r="CJ14" s="67">
        <f t="shared" si="43"/>
        <v>272</v>
      </c>
      <c r="CK14" s="60">
        <v>891.84</v>
      </c>
      <c r="CL14" s="64">
        <f t="shared" si="44"/>
        <v>480.00000000001819</v>
      </c>
      <c r="CM14" s="65">
        <f t="shared" si="45"/>
        <v>80.799999999999272</v>
      </c>
      <c r="CN14" s="62">
        <v>21</v>
      </c>
      <c r="CO14" s="62">
        <v>58</v>
      </c>
      <c r="CP14" s="68">
        <v>19986</v>
      </c>
      <c r="CQ14" s="67">
        <f t="shared" si="46"/>
        <v>57.799999999999272</v>
      </c>
      <c r="CR14" s="68">
        <v>18534</v>
      </c>
      <c r="CS14" s="67">
        <f t="shared" si="47"/>
        <v>23</v>
      </c>
      <c r="CT14" s="75">
        <v>8573</v>
      </c>
      <c r="CU14" s="67">
        <f t="shared" si="48"/>
        <v>10</v>
      </c>
      <c r="CV14" s="68">
        <v>20889</v>
      </c>
      <c r="CW14" s="67">
        <f t="shared" si="49"/>
        <v>34</v>
      </c>
      <c r="CX14" s="58"/>
      <c r="CY14" s="67">
        <f t="shared" si="50"/>
        <v>0</v>
      </c>
    </row>
    <row r="15" spans="1:103" ht="25.5" customHeight="1" thickBot="1" x14ac:dyDescent="0.45">
      <c r="A15" s="63">
        <v>44573</v>
      </c>
      <c r="B15" s="44"/>
      <c r="C15" s="58">
        <v>2.7884000000000002</v>
      </c>
      <c r="D15" s="64">
        <f t="shared" si="1"/>
        <v>2700.0000000003688</v>
      </c>
      <c r="E15" s="58">
        <v>3.8607999999999998</v>
      </c>
      <c r="F15" s="64">
        <f t="shared" si="2"/>
        <v>3599.9999999996035</v>
      </c>
      <c r="G15" s="58">
        <v>3.8601000000000001</v>
      </c>
      <c r="H15" s="64">
        <f t="shared" si="3"/>
        <v>3000.0000000001137</v>
      </c>
      <c r="I15" s="58">
        <v>1.9212</v>
      </c>
      <c r="J15" s="64">
        <f t="shared" si="4"/>
        <v>1600.0000000000459</v>
      </c>
      <c r="K15" s="58">
        <v>3.0487000000000002</v>
      </c>
      <c r="L15" s="64">
        <f t="shared" si="5"/>
        <v>2200.0000000002019</v>
      </c>
      <c r="M15" s="58">
        <v>1.6889000000000001</v>
      </c>
      <c r="N15" s="64">
        <f t="shared" si="6"/>
        <v>1400.0000000000678</v>
      </c>
      <c r="O15" s="58">
        <v>16192</v>
      </c>
      <c r="P15" s="67">
        <f t="shared" si="7"/>
        <v>24</v>
      </c>
      <c r="Q15" s="58">
        <v>1824</v>
      </c>
      <c r="R15" s="67">
        <f>IF((Q15-Q14&lt;0), "",Q15-Q14)</f>
        <v>5</v>
      </c>
      <c r="S15" s="58">
        <v>1184.9000000000001</v>
      </c>
      <c r="T15" s="67">
        <f t="shared" si="9"/>
        <v>1.3000000000001819</v>
      </c>
      <c r="U15" s="58">
        <v>490548.6</v>
      </c>
      <c r="V15" s="67">
        <f t="shared" si="10"/>
        <v>433.29999999998836</v>
      </c>
      <c r="W15" s="58">
        <v>458.29</v>
      </c>
      <c r="X15" s="65">
        <f t="shared" si="11"/>
        <v>360.00000000001364</v>
      </c>
      <c r="Y15" s="58">
        <v>3.391</v>
      </c>
      <c r="Z15" s="65">
        <f t="shared" si="12"/>
        <v>3499.9999999998367</v>
      </c>
      <c r="AA15" s="58">
        <v>461.75</v>
      </c>
      <c r="AB15" s="65">
        <f t="shared" si="13"/>
        <v>389.99999999998636</v>
      </c>
      <c r="AC15" s="58">
        <v>439.69</v>
      </c>
      <c r="AD15" s="65">
        <f t="shared" si="14"/>
        <v>519.99999999998181</v>
      </c>
      <c r="AE15" s="58">
        <v>642.19000000000005</v>
      </c>
      <c r="AF15" s="65">
        <f t="shared" si="15"/>
        <v>430.00000000006366</v>
      </c>
      <c r="AG15" s="58">
        <v>11768</v>
      </c>
      <c r="AH15" s="67">
        <f t="shared" si="16"/>
        <v>42</v>
      </c>
      <c r="AI15" s="58">
        <v>747.28</v>
      </c>
      <c r="AJ15" s="65">
        <f t="shared" si="17"/>
        <v>689.99999999994088</v>
      </c>
      <c r="AK15" s="58">
        <v>250.1</v>
      </c>
      <c r="AL15" s="65">
        <f t="shared" si="18"/>
        <v>269.99999999998181</v>
      </c>
      <c r="AM15" s="58">
        <v>233.07</v>
      </c>
      <c r="AN15" s="65">
        <f t="shared" si="19"/>
        <v>250</v>
      </c>
      <c r="AO15" s="58">
        <v>225.85</v>
      </c>
      <c r="AP15" s="65">
        <f t="shared" si="20"/>
        <v>259.99999999999091</v>
      </c>
      <c r="AQ15" s="58">
        <v>283.24</v>
      </c>
      <c r="AR15" s="65">
        <f t="shared" si="21"/>
        <v>199.99999999998863</v>
      </c>
      <c r="AS15" s="58">
        <v>410.41</v>
      </c>
      <c r="AT15" s="65">
        <f t="shared" si="22"/>
        <v>160.00000000002501</v>
      </c>
      <c r="AU15" s="58">
        <v>315.5</v>
      </c>
      <c r="AV15" s="65">
        <f t="shared" si="23"/>
        <v>120.00000000000455</v>
      </c>
      <c r="AW15" s="58">
        <v>347.57</v>
      </c>
      <c r="AX15" s="65">
        <f t="shared" si="24"/>
        <v>129.99999999999545</v>
      </c>
      <c r="AY15" s="58">
        <v>384.52</v>
      </c>
      <c r="AZ15" s="65">
        <f t="shared" si="25"/>
        <v>109.9999999999568</v>
      </c>
      <c r="BA15" s="58">
        <v>403.43</v>
      </c>
      <c r="BB15" s="65">
        <f t="shared" si="26"/>
        <v>199.99999999998863</v>
      </c>
      <c r="BC15" s="58">
        <v>259.10000000000002</v>
      </c>
      <c r="BD15" s="65">
        <f t="shared" si="27"/>
        <v>150.00000000003411</v>
      </c>
      <c r="BE15" s="59">
        <v>46816</v>
      </c>
      <c r="BF15" s="67">
        <f t="shared" si="28"/>
        <v>34</v>
      </c>
      <c r="BG15" s="60">
        <v>242.26</v>
      </c>
      <c r="BH15" s="65">
        <f t="shared" si="29"/>
        <v>39.999999999992042</v>
      </c>
      <c r="BI15" s="60">
        <v>298.61</v>
      </c>
      <c r="BJ15" s="65">
        <f t="shared" si="30"/>
        <v>20.000000000038654</v>
      </c>
      <c r="BK15" s="60">
        <v>244.92</v>
      </c>
      <c r="BL15" s="65">
        <f t="shared" si="31"/>
        <v>39.999999999992042</v>
      </c>
      <c r="BM15" s="60">
        <v>232.12</v>
      </c>
      <c r="BN15" s="65">
        <f t="shared" si="32"/>
        <v>39.999999999992042</v>
      </c>
      <c r="BO15" s="60">
        <v>297.51</v>
      </c>
      <c r="BP15" s="65">
        <f t="shared" si="33"/>
        <v>60.000000000002274</v>
      </c>
      <c r="BQ15" s="60">
        <v>51349</v>
      </c>
      <c r="BR15" s="65">
        <f t="shared" si="34"/>
        <v>30</v>
      </c>
      <c r="BS15" s="60">
        <v>208.59</v>
      </c>
      <c r="BT15" s="65">
        <f t="shared" si="35"/>
        <v>60.000000000002274</v>
      </c>
      <c r="BU15" s="60">
        <v>48068</v>
      </c>
      <c r="BV15" s="65">
        <f t="shared" si="36"/>
        <v>37</v>
      </c>
      <c r="BW15" s="60">
        <v>237.73</v>
      </c>
      <c r="BX15" s="65">
        <f t="shared" si="37"/>
        <v>39.999999999992042</v>
      </c>
      <c r="BY15" s="60">
        <v>67822</v>
      </c>
      <c r="BZ15" s="67">
        <f t="shared" si="38"/>
        <v>27</v>
      </c>
      <c r="CA15" s="60">
        <v>41524.300000000003</v>
      </c>
      <c r="CB15" s="67">
        <f t="shared" si="39"/>
        <v>91.600000000005821</v>
      </c>
      <c r="CC15" s="60">
        <v>14038.1</v>
      </c>
      <c r="CD15" s="67">
        <f t="shared" si="40"/>
        <v>7.7000000000007276</v>
      </c>
      <c r="CE15" s="60">
        <v>7425</v>
      </c>
      <c r="CF15" s="67">
        <f t="shared" si="41"/>
        <v>14.699999999999818</v>
      </c>
      <c r="CG15" s="60">
        <v>68355.3</v>
      </c>
      <c r="CH15" s="67">
        <f t="shared" si="42"/>
        <v>49.30000000000291</v>
      </c>
      <c r="CI15" s="60">
        <v>1005214</v>
      </c>
      <c r="CJ15" s="67">
        <f t="shared" si="43"/>
        <v>287</v>
      </c>
      <c r="CK15" s="60">
        <v>892.46</v>
      </c>
      <c r="CL15" s="64">
        <f t="shared" si="44"/>
        <v>620.00000000000455</v>
      </c>
      <c r="CM15" s="65">
        <f t="shared" si="45"/>
        <v>97</v>
      </c>
      <c r="CN15" s="62">
        <v>18</v>
      </c>
      <c r="CO15" s="62">
        <v>46</v>
      </c>
      <c r="CP15" s="68">
        <v>20052</v>
      </c>
      <c r="CQ15" s="67">
        <f t="shared" si="46"/>
        <v>66</v>
      </c>
      <c r="CR15" s="68">
        <v>18565</v>
      </c>
      <c r="CS15" s="67">
        <f t="shared" si="47"/>
        <v>31</v>
      </c>
      <c r="CT15" s="75">
        <v>8582</v>
      </c>
      <c r="CU15" s="67">
        <f t="shared" si="48"/>
        <v>9</v>
      </c>
      <c r="CV15" s="68">
        <v>20938</v>
      </c>
      <c r="CW15" s="67">
        <f t="shared" si="49"/>
        <v>49</v>
      </c>
      <c r="CX15" s="58"/>
      <c r="CY15" s="67">
        <f t="shared" si="50"/>
        <v>0</v>
      </c>
    </row>
    <row r="16" spans="1:103" ht="25.5" customHeight="1" thickBot="1" x14ac:dyDescent="0.45">
      <c r="A16" s="63">
        <v>44574</v>
      </c>
      <c r="B16" s="44"/>
      <c r="C16" s="58">
        <v>2.7911000000000001</v>
      </c>
      <c r="D16" s="64">
        <f t="shared" si="1"/>
        <v>2699.9999999999245</v>
      </c>
      <c r="E16" s="58">
        <v>3.8643000000000001</v>
      </c>
      <c r="F16" s="64">
        <f t="shared" si="2"/>
        <v>3500.0000000002806</v>
      </c>
      <c r="G16" s="58">
        <v>3.863</v>
      </c>
      <c r="H16" s="64">
        <f t="shared" si="3"/>
        <v>2899.9999999999027</v>
      </c>
      <c r="I16" s="58">
        <v>1.9228000000000001</v>
      </c>
      <c r="J16" s="64">
        <f>IF((I16-I15&lt;0), "0",(I16-I15)*1000000)</f>
        <v>1600.0000000000459</v>
      </c>
      <c r="K16" s="58">
        <v>3.0508000000000002</v>
      </c>
      <c r="L16" s="64">
        <f t="shared" si="5"/>
        <v>2099.9999999999909</v>
      </c>
      <c r="M16" s="58">
        <v>1.6902999999999999</v>
      </c>
      <c r="N16" s="64">
        <f t="shared" si="6"/>
        <v>1399.9999999998458</v>
      </c>
      <c r="O16" s="58">
        <v>16218</v>
      </c>
      <c r="P16" s="67">
        <f t="shared" si="7"/>
        <v>26</v>
      </c>
      <c r="Q16" s="58">
        <v>1828</v>
      </c>
      <c r="R16" s="67">
        <f t="shared" si="8"/>
        <v>4</v>
      </c>
      <c r="S16" s="58">
        <v>1185.9000000000001</v>
      </c>
      <c r="T16" s="67">
        <f t="shared" si="9"/>
        <v>1</v>
      </c>
      <c r="U16" s="58">
        <v>490894.4</v>
      </c>
      <c r="V16" s="67">
        <f t="shared" si="10"/>
        <v>345.80000000004657</v>
      </c>
      <c r="W16" s="58">
        <v>458.58</v>
      </c>
      <c r="X16" s="65">
        <f t="shared" si="11"/>
        <v>289.99999999996362</v>
      </c>
      <c r="Y16" s="58">
        <v>3.3940999999999999</v>
      </c>
      <c r="Z16" s="65">
        <f t="shared" si="12"/>
        <v>3099.9999999998809</v>
      </c>
      <c r="AA16" s="58">
        <v>462.02</v>
      </c>
      <c r="AB16" s="65">
        <f t="shared" si="13"/>
        <v>269.99999999998181</v>
      </c>
      <c r="AC16" s="58">
        <v>440.16</v>
      </c>
      <c r="AD16" s="65">
        <f t="shared" si="14"/>
        <v>470.00000000002728</v>
      </c>
      <c r="AE16" s="58">
        <v>642.6</v>
      </c>
      <c r="AF16" s="65">
        <f t="shared" si="15"/>
        <v>409.99999999996817</v>
      </c>
      <c r="AG16" s="58">
        <v>11808</v>
      </c>
      <c r="AH16" s="67">
        <f t="shared" si="16"/>
        <v>40</v>
      </c>
      <c r="AI16" s="58">
        <v>748.04</v>
      </c>
      <c r="AJ16" s="65">
        <f t="shared" si="17"/>
        <v>759.99999999999091</v>
      </c>
      <c r="AK16" s="58">
        <v>250.35</v>
      </c>
      <c r="AL16" s="65">
        <f t="shared" si="18"/>
        <v>250</v>
      </c>
      <c r="AM16" s="58">
        <v>233.32</v>
      </c>
      <c r="AN16" s="65">
        <f t="shared" si="19"/>
        <v>250</v>
      </c>
      <c r="AO16" s="58">
        <v>226.04</v>
      </c>
      <c r="AP16" s="65">
        <f t="shared" si="20"/>
        <v>189.99999999999773</v>
      </c>
      <c r="AQ16" s="58">
        <v>283.44</v>
      </c>
      <c r="AR16" s="65">
        <f t="shared" si="21"/>
        <v>199.99999999998863</v>
      </c>
      <c r="AS16" s="58">
        <v>410.54</v>
      </c>
      <c r="AT16" s="65">
        <f t="shared" si="22"/>
        <v>129.99999999999545</v>
      </c>
      <c r="AU16" s="58">
        <v>315.60000000000002</v>
      </c>
      <c r="AV16" s="65">
        <f t="shared" si="23"/>
        <v>100.00000000002274</v>
      </c>
      <c r="AW16" s="58">
        <v>347.68</v>
      </c>
      <c r="AX16" s="65">
        <f t="shared" si="24"/>
        <v>110.00000000001364</v>
      </c>
      <c r="AY16" s="58">
        <v>384.63</v>
      </c>
      <c r="AZ16" s="65">
        <f t="shared" si="25"/>
        <v>110.00000000001364</v>
      </c>
      <c r="BA16" s="58">
        <v>403.6</v>
      </c>
      <c r="BB16" s="65">
        <f t="shared" si="26"/>
        <v>170.00000000001592</v>
      </c>
      <c r="BC16" s="58">
        <v>259.17</v>
      </c>
      <c r="BD16" s="65">
        <f t="shared" si="27"/>
        <v>69.999999999993179</v>
      </c>
      <c r="BE16" s="59">
        <v>46858</v>
      </c>
      <c r="BF16" s="67">
        <f t="shared" si="28"/>
        <v>42</v>
      </c>
      <c r="BG16" s="60">
        <v>242.31</v>
      </c>
      <c r="BH16" s="65">
        <f t="shared" si="29"/>
        <v>50.000000000011369</v>
      </c>
      <c r="BI16" s="60">
        <v>298.64999999999998</v>
      </c>
      <c r="BJ16" s="65">
        <f t="shared" si="30"/>
        <v>39.99999999996362</v>
      </c>
      <c r="BK16" s="60">
        <v>244.96</v>
      </c>
      <c r="BL16" s="65">
        <f t="shared" si="31"/>
        <v>40.000000000020464</v>
      </c>
      <c r="BM16" s="60">
        <v>232.16</v>
      </c>
      <c r="BN16" s="65">
        <f t="shared" si="32"/>
        <v>39.999999999992042</v>
      </c>
      <c r="BO16" s="60">
        <v>297.56</v>
      </c>
      <c r="BP16" s="65">
        <f t="shared" si="33"/>
        <v>50.000000000011369</v>
      </c>
      <c r="BQ16" s="60">
        <v>51379</v>
      </c>
      <c r="BR16" s="65">
        <f t="shared" si="34"/>
        <v>30</v>
      </c>
      <c r="BS16" s="60">
        <v>208.65</v>
      </c>
      <c r="BT16" s="65">
        <f t="shared" si="35"/>
        <v>60.000000000002274</v>
      </c>
      <c r="BU16" s="60">
        <v>48102</v>
      </c>
      <c r="BV16" s="65">
        <f t="shared" si="36"/>
        <v>34</v>
      </c>
      <c r="BW16" s="60">
        <v>237.76</v>
      </c>
      <c r="BX16" s="65">
        <f t="shared" si="37"/>
        <v>30.000000000001137</v>
      </c>
      <c r="BY16" s="60">
        <v>67850</v>
      </c>
      <c r="BZ16" s="67">
        <f t="shared" si="38"/>
        <v>28</v>
      </c>
      <c r="CA16" s="60">
        <v>41591.5</v>
      </c>
      <c r="CB16" s="67">
        <f t="shared" si="39"/>
        <v>67.19999999999709</v>
      </c>
      <c r="CC16" s="60">
        <v>14047.2</v>
      </c>
      <c r="CD16" s="67">
        <f t="shared" si="40"/>
        <v>9.1000000000003638</v>
      </c>
      <c r="CE16" s="60">
        <v>7445</v>
      </c>
      <c r="CF16" s="67">
        <f t="shared" si="41"/>
        <v>20</v>
      </c>
      <c r="CG16" s="60">
        <v>68401.399999999994</v>
      </c>
      <c r="CH16" s="67">
        <f t="shared" si="42"/>
        <v>46.099999999991269</v>
      </c>
      <c r="CI16" s="60">
        <v>1005481</v>
      </c>
      <c r="CJ16" s="67">
        <f t="shared" si="43"/>
        <v>267</v>
      </c>
      <c r="CK16" s="60">
        <v>893.11</v>
      </c>
      <c r="CL16" s="64">
        <f t="shared" si="44"/>
        <v>649.99999999997726</v>
      </c>
      <c r="CM16" s="65">
        <f t="shared" si="45"/>
        <v>85.599999999998545</v>
      </c>
      <c r="CN16" s="62">
        <v>16</v>
      </c>
      <c r="CO16" s="62">
        <v>40</v>
      </c>
      <c r="CP16" s="68">
        <v>20123.599999999999</v>
      </c>
      <c r="CQ16" s="67">
        <f t="shared" si="46"/>
        <v>71.599999999998545</v>
      </c>
      <c r="CR16" s="68">
        <v>18579</v>
      </c>
      <c r="CS16" s="67">
        <f t="shared" si="47"/>
        <v>14</v>
      </c>
      <c r="CT16" s="75">
        <v>8590</v>
      </c>
      <c r="CU16" s="67">
        <f t="shared" si="48"/>
        <v>8</v>
      </c>
      <c r="CV16" s="68">
        <v>20974</v>
      </c>
      <c r="CW16" s="67">
        <f t="shared" si="49"/>
        <v>36</v>
      </c>
      <c r="CX16" s="58"/>
      <c r="CY16" s="67">
        <f t="shared" si="50"/>
        <v>0</v>
      </c>
    </row>
    <row r="17" spans="1:103" ht="25.5" customHeight="1" thickBot="1" x14ac:dyDescent="0.45">
      <c r="A17" s="63">
        <v>44575</v>
      </c>
      <c r="B17" s="44"/>
      <c r="C17" s="58">
        <v>2.7934999999999999</v>
      </c>
      <c r="D17" s="64">
        <f t="shared" si="1"/>
        <v>2399.9999999997358</v>
      </c>
      <c r="E17" s="58">
        <v>3.8677000000000001</v>
      </c>
      <c r="F17" s="64">
        <f t="shared" si="2"/>
        <v>3400.0000000000696</v>
      </c>
      <c r="G17" s="58">
        <v>3.8654999999999999</v>
      </c>
      <c r="H17" s="64">
        <f t="shared" si="3"/>
        <v>2499.9999999999468</v>
      </c>
      <c r="I17" s="58">
        <v>1.9242999999999999</v>
      </c>
      <c r="J17" s="64">
        <f t="shared" si="4"/>
        <v>1499.9999999998347</v>
      </c>
      <c r="K17" s="58">
        <v>3.0529000000000002</v>
      </c>
      <c r="L17" s="64">
        <f t="shared" si="5"/>
        <v>2099.9999999999909</v>
      </c>
      <c r="M17" s="58">
        <v>1.6916</v>
      </c>
      <c r="N17" s="64">
        <f t="shared" si="6"/>
        <v>1300.0000000000789</v>
      </c>
      <c r="O17" s="58">
        <v>16251</v>
      </c>
      <c r="P17" s="67">
        <f t="shared" si="7"/>
        <v>33</v>
      </c>
      <c r="Q17" s="58">
        <v>1832</v>
      </c>
      <c r="R17" s="67">
        <f t="shared" si="8"/>
        <v>4</v>
      </c>
      <c r="S17" s="58">
        <v>1186.9000000000001</v>
      </c>
      <c r="T17" s="67">
        <f t="shared" si="9"/>
        <v>1</v>
      </c>
      <c r="U17" s="58">
        <v>491247.8</v>
      </c>
      <c r="V17" s="67">
        <f t="shared" si="10"/>
        <v>353.39999999996508</v>
      </c>
      <c r="W17" s="58">
        <v>458.86</v>
      </c>
      <c r="X17" s="65">
        <f t="shared" si="11"/>
        <v>280.00000000002956</v>
      </c>
      <c r="Y17" s="58">
        <v>3.3972000000000002</v>
      </c>
      <c r="Z17" s="65">
        <f t="shared" si="12"/>
        <v>3100.0000000003247</v>
      </c>
      <c r="AA17" s="58">
        <v>462.47</v>
      </c>
      <c r="AB17" s="65">
        <f t="shared" si="13"/>
        <v>450.00000000004547</v>
      </c>
      <c r="AC17" s="58">
        <v>440.57</v>
      </c>
      <c r="AD17" s="65">
        <f t="shared" si="14"/>
        <v>409.99999999996817</v>
      </c>
      <c r="AE17" s="58">
        <v>642.97</v>
      </c>
      <c r="AF17" s="65">
        <f t="shared" si="15"/>
        <v>370.00000000000455</v>
      </c>
      <c r="AG17" s="58">
        <v>11849</v>
      </c>
      <c r="AH17" s="67">
        <f t="shared" si="16"/>
        <v>41</v>
      </c>
      <c r="AI17" s="58">
        <v>748.71</v>
      </c>
      <c r="AJ17" s="65">
        <f t="shared" si="17"/>
        <v>670.00000000007276</v>
      </c>
      <c r="AK17" s="58">
        <v>250.59</v>
      </c>
      <c r="AL17" s="65">
        <f t="shared" si="18"/>
        <v>240.00000000000909</v>
      </c>
      <c r="AM17" s="58">
        <v>233.57</v>
      </c>
      <c r="AN17" s="65">
        <f t="shared" si="19"/>
        <v>250</v>
      </c>
      <c r="AO17" s="58">
        <v>226.18</v>
      </c>
      <c r="AP17" s="65">
        <f t="shared" si="20"/>
        <v>140.00000000001478</v>
      </c>
      <c r="AQ17" s="58">
        <v>283.64</v>
      </c>
      <c r="AR17" s="65">
        <f t="shared" si="21"/>
        <v>199.99999999998863</v>
      </c>
      <c r="AS17" s="58">
        <v>410.66</v>
      </c>
      <c r="AT17" s="65">
        <f t="shared" si="22"/>
        <v>120.00000000000455</v>
      </c>
      <c r="AU17" s="58">
        <v>315.69</v>
      </c>
      <c r="AV17" s="65">
        <f t="shared" si="23"/>
        <v>89.999999999974989</v>
      </c>
      <c r="AW17" s="58">
        <v>347.79</v>
      </c>
      <c r="AX17" s="65">
        <f t="shared" si="24"/>
        <v>110.00000000001364</v>
      </c>
      <c r="AY17" s="58">
        <v>384.74</v>
      </c>
      <c r="AZ17" s="65">
        <f t="shared" si="25"/>
        <v>110.00000000001364</v>
      </c>
      <c r="BA17" s="58">
        <v>403.77</v>
      </c>
      <c r="BB17" s="65">
        <f t="shared" si="26"/>
        <v>169.99999999995907</v>
      </c>
      <c r="BC17" s="58">
        <v>259.22000000000003</v>
      </c>
      <c r="BD17" s="65">
        <f t="shared" si="27"/>
        <v>50.000000000011369</v>
      </c>
      <c r="BE17" s="59">
        <v>46892</v>
      </c>
      <c r="BF17" s="67">
        <f t="shared" si="28"/>
        <v>34</v>
      </c>
      <c r="BG17" s="60">
        <v>242.35</v>
      </c>
      <c r="BH17" s="65">
        <f t="shared" si="29"/>
        <v>39.999999999992042</v>
      </c>
      <c r="BI17" s="60">
        <v>298.68</v>
      </c>
      <c r="BJ17" s="65">
        <f t="shared" si="30"/>
        <v>30.000000000029559</v>
      </c>
      <c r="BK17" s="60">
        <v>245.02</v>
      </c>
      <c r="BL17" s="65">
        <f t="shared" si="31"/>
        <v>60.000000000002274</v>
      </c>
      <c r="BM17" s="60">
        <v>232.2</v>
      </c>
      <c r="BN17" s="65">
        <f t="shared" si="32"/>
        <v>39.999999999992042</v>
      </c>
      <c r="BO17" s="60">
        <v>297.64</v>
      </c>
      <c r="BP17" s="65">
        <f t="shared" si="33"/>
        <v>79.999999999984084</v>
      </c>
      <c r="BQ17" s="60">
        <v>51415</v>
      </c>
      <c r="BR17" s="65">
        <f t="shared" si="34"/>
        <v>36</v>
      </c>
      <c r="BS17" s="60">
        <v>208.73</v>
      </c>
      <c r="BT17" s="65">
        <f t="shared" si="35"/>
        <v>79.999999999984084</v>
      </c>
      <c r="BU17" s="60">
        <v>48152</v>
      </c>
      <c r="BV17" s="65">
        <f t="shared" si="36"/>
        <v>50</v>
      </c>
      <c r="BW17" s="60">
        <v>237.8</v>
      </c>
      <c r="BX17" s="65">
        <f t="shared" si="37"/>
        <v>40.000000000020464</v>
      </c>
      <c r="BY17" s="60">
        <v>67885</v>
      </c>
      <c r="BZ17" s="67">
        <f t="shared" si="38"/>
        <v>35</v>
      </c>
      <c r="CA17" s="60">
        <v>41651.300000000003</v>
      </c>
      <c r="CB17" s="67">
        <f t="shared" si="39"/>
        <v>59.80000000000291</v>
      </c>
      <c r="CC17" s="60">
        <v>14057</v>
      </c>
      <c r="CD17" s="67">
        <f t="shared" si="40"/>
        <v>9.7999999999992724</v>
      </c>
      <c r="CE17" s="60">
        <v>7460</v>
      </c>
      <c r="CF17" s="67">
        <f t="shared" si="41"/>
        <v>15</v>
      </c>
      <c r="CG17" s="60">
        <v>68433.2</v>
      </c>
      <c r="CH17" s="67">
        <f t="shared" si="42"/>
        <v>31.80000000000291</v>
      </c>
      <c r="CI17" s="60">
        <v>1005774</v>
      </c>
      <c r="CJ17" s="67">
        <f t="shared" si="43"/>
        <v>293</v>
      </c>
      <c r="CK17" s="60">
        <v>893.7</v>
      </c>
      <c r="CL17" s="64">
        <f t="shared" si="44"/>
        <v>590.00000000003183</v>
      </c>
      <c r="CM17" s="65">
        <f t="shared" si="45"/>
        <v>96.400000000001455</v>
      </c>
      <c r="CN17" s="62">
        <v>16</v>
      </c>
      <c r="CO17" s="62">
        <v>40</v>
      </c>
      <c r="CP17" s="68">
        <v>20198</v>
      </c>
      <c r="CQ17" s="67">
        <f t="shared" si="46"/>
        <v>74.400000000001455</v>
      </c>
      <c r="CR17" s="68">
        <v>18601</v>
      </c>
      <c r="CS17" s="67">
        <f t="shared" si="47"/>
        <v>22</v>
      </c>
      <c r="CT17" s="75">
        <v>8598</v>
      </c>
      <c r="CU17" s="67">
        <f t="shared" si="48"/>
        <v>8</v>
      </c>
      <c r="CV17" s="68">
        <v>21014</v>
      </c>
      <c r="CW17" s="67">
        <f t="shared" si="49"/>
        <v>40</v>
      </c>
      <c r="CX17" s="58"/>
      <c r="CY17" s="67">
        <f t="shared" si="50"/>
        <v>0</v>
      </c>
    </row>
    <row r="18" spans="1:103" ht="25.5" customHeight="1" thickBot="1" x14ac:dyDescent="0.45">
      <c r="A18" s="63">
        <v>44576</v>
      </c>
      <c r="B18" s="44"/>
      <c r="C18" s="58">
        <v>2.7957999999999998</v>
      </c>
      <c r="D18" s="64">
        <f t="shared" si="1"/>
        <v>2299.9999999999686</v>
      </c>
      <c r="E18" s="58">
        <v>3.8706999999999998</v>
      </c>
      <c r="F18" s="64">
        <f t="shared" si="2"/>
        <v>2999.9999999996694</v>
      </c>
      <c r="G18" s="58">
        <v>3.8679000000000001</v>
      </c>
      <c r="H18" s="64">
        <f t="shared" si="3"/>
        <v>2400.0000000001796</v>
      </c>
      <c r="I18" s="58">
        <v>1.9258</v>
      </c>
      <c r="J18" s="64">
        <f t="shared" si="4"/>
        <v>1500.0000000000568</v>
      </c>
      <c r="K18" s="58">
        <v>3.0548999999999999</v>
      </c>
      <c r="L18" s="64">
        <f t="shared" si="5"/>
        <v>1999.9999999997797</v>
      </c>
      <c r="M18" s="58">
        <v>1.6926000000000001</v>
      </c>
      <c r="N18" s="64">
        <f t="shared" si="6"/>
        <v>1000.0000000001119</v>
      </c>
      <c r="O18" s="58">
        <v>16265</v>
      </c>
      <c r="P18" s="67">
        <f t="shared" si="7"/>
        <v>14</v>
      </c>
      <c r="Q18" s="58">
        <v>1836</v>
      </c>
      <c r="R18" s="67">
        <f t="shared" si="8"/>
        <v>4</v>
      </c>
      <c r="S18" s="58">
        <v>1187.8</v>
      </c>
      <c r="T18" s="67">
        <f t="shared" si="9"/>
        <v>0.89999999999986358</v>
      </c>
      <c r="U18" s="58">
        <v>491606.3</v>
      </c>
      <c r="V18" s="67">
        <f t="shared" si="10"/>
        <v>358.5</v>
      </c>
      <c r="W18" s="58">
        <v>459.13</v>
      </c>
      <c r="X18" s="65">
        <f t="shared" si="11"/>
        <v>269.99999999998181</v>
      </c>
      <c r="Y18" s="58">
        <v>3.4001999999999999</v>
      </c>
      <c r="Z18" s="65">
        <f t="shared" si="12"/>
        <v>2999.9999999996694</v>
      </c>
      <c r="AA18" s="58">
        <v>462.71</v>
      </c>
      <c r="AB18" s="65">
        <f t="shared" si="13"/>
        <v>239.99999999995225</v>
      </c>
      <c r="AC18" s="58">
        <v>440.97</v>
      </c>
      <c r="AD18" s="65">
        <f t="shared" si="14"/>
        <v>400.00000000003411</v>
      </c>
      <c r="AE18" s="58">
        <v>643.29999999999995</v>
      </c>
      <c r="AF18" s="65">
        <f t="shared" si="15"/>
        <v>329.99999999992724</v>
      </c>
      <c r="AG18" s="58">
        <v>11889</v>
      </c>
      <c r="AH18" s="67">
        <f t="shared" si="16"/>
        <v>40</v>
      </c>
      <c r="AI18" s="58">
        <v>749.44</v>
      </c>
      <c r="AJ18" s="65">
        <f t="shared" si="17"/>
        <v>730.00000000001819</v>
      </c>
      <c r="AK18" s="58">
        <v>250.79</v>
      </c>
      <c r="AL18" s="65">
        <f t="shared" si="18"/>
        <v>199.99999999998863</v>
      </c>
      <c r="AM18" s="58">
        <v>233.84</v>
      </c>
      <c r="AN18" s="65">
        <f t="shared" si="19"/>
        <v>270.00000000001023</v>
      </c>
      <c r="AO18" s="58">
        <v>226.35</v>
      </c>
      <c r="AP18" s="65">
        <f t="shared" si="20"/>
        <v>169.99999999998749</v>
      </c>
      <c r="AQ18" s="58">
        <v>283.82</v>
      </c>
      <c r="AR18" s="65">
        <f t="shared" si="21"/>
        <v>180.00000000000682</v>
      </c>
      <c r="AS18" s="58">
        <v>410.78</v>
      </c>
      <c r="AT18" s="65">
        <f t="shared" si="22"/>
        <v>119.9999999999477</v>
      </c>
      <c r="AU18" s="58">
        <v>315.79000000000002</v>
      </c>
      <c r="AV18" s="65">
        <f t="shared" si="23"/>
        <v>100.00000000002274</v>
      </c>
      <c r="AW18" s="58">
        <v>348</v>
      </c>
      <c r="AX18" s="65">
        <f t="shared" si="24"/>
        <v>209.99999999997954</v>
      </c>
      <c r="AY18" s="58">
        <v>384.83</v>
      </c>
      <c r="AZ18" s="65">
        <f t="shared" si="25"/>
        <v>89.999999999974989</v>
      </c>
      <c r="BA18" s="58">
        <v>403.93</v>
      </c>
      <c r="BB18" s="65">
        <f t="shared" si="26"/>
        <v>160.00000000002501</v>
      </c>
      <c r="BC18" s="58">
        <v>259.26</v>
      </c>
      <c r="BD18" s="65">
        <f t="shared" si="27"/>
        <v>39.99999999996362</v>
      </c>
      <c r="BE18" s="59">
        <v>46910</v>
      </c>
      <c r="BF18" s="67">
        <f t="shared" si="28"/>
        <v>18</v>
      </c>
      <c r="BG18" s="60">
        <v>242.39</v>
      </c>
      <c r="BH18" s="65">
        <f t="shared" si="29"/>
        <v>39.999999999992042</v>
      </c>
      <c r="BI18" s="60">
        <v>298.70999999999998</v>
      </c>
      <c r="BJ18" s="65">
        <f t="shared" si="30"/>
        <v>29.999999999972715</v>
      </c>
      <c r="BK18" s="60">
        <v>245.06</v>
      </c>
      <c r="BL18" s="65">
        <f t="shared" si="31"/>
        <v>39.999999999992042</v>
      </c>
      <c r="BM18" s="60">
        <v>232.24</v>
      </c>
      <c r="BN18" s="65">
        <f t="shared" si="32"/>
        <v>40.000000000020464</v>
      </c>
      <c r="BO18" s="60">
        <v>297.7</v>
      </c>
      <c r="BP18" s="65">
        <f t="shared" si="33"/>
        <v>60.000000000002274</v>
      </c>
      <c r="BQ18" s="60">
        <v>51445</v>
      </c>
      <c r="BR18" s="65">
        <f t="shared" si="34"/>
        <v>30</v>
      </c>
      <c r="BS18" s="60">
        <v>208.78</v>
      </c>
      <c r="BT18" s="65">
        <f t="shared" si="35"/>
        <v>50.000000000011369</v>
      </c>
      <c r="BU18" s="60">
        <v>48184</v>
      </c>
      <c r="BV18" s="65">
        <f t="shared" si="36"/>
        <v>32</v>
      </c>
      <c r="BW18" s="60">
        <v>237.83</v>
      </c>
      <c r="BX18" s="65">
        <f t="shared" si="37"/>
        <v>30.000000000001137</v>
      </c>
      <c r="BY18" s="60">
        <v>67923</v>
      </c>
      <c r="BZ18" s="67">
        <f t="shared" si="38"/>
        <v>38</v>
      </c>
      <c r="CA18" s="60">
        <v>41738.199999999997</v>
      </c>
      <c r="CB18" s="67">
        <f t="shared" si="39"/>
        <v>86.899999999994179</v>
      </c>
      <c r="CC18" s="60">
        <v>14066.2</v>
      </c>
      <c r="CD18" s="67">
        <f t="shared" si="40"/>
        <v>9.2000000000007276</v>
      </c>
      <c r="CE18" s="60">
        <v>7465.2</v>
      </c>
      <c r="CF18" s="67">
        <f t="shared" si="41"/>
        <v>5.1999999999998181</v>
      </c>
      <c r="CG18" s="60">
        <v>68486.600000000006</v>
      </c>
      <c r="CH18" s="67">
        <f t="shared" si="42"/>
        <v>53.400000000008731</v>
      </c>
      <c r="CI18" s="60">
        <v>1006046</v>
      </c>
      <c r="CJ18" s="67">
        <f t="shared" si="43"/>
        <v>272</v>
      </c>
      <c r="CK18" s="60">
        <v>894.22</v>
      </c>
      <c r="CL18" s="64">
        <f t="shared" si="44"/>
        <v>519.99999999998181</v>
      </c>
      <c r="CM18" s="65">
        <f t="shared" si="45"/>
        <v>83.099999999998545</v>
      </c>
      <c r="CN18" s="62">
        <v>17</v>
      </c>
      <c r="CO18" s="62">
        <v>42</v>
      </c>
      <c r="CP18" s="68">
        <v>20261.099999999999</v>
      </c>
      <c r="CQ18" s="67">
        <f t="shared" si="46"/>
        <v>63.099999999998545</v>
      </c>
      <c r="CR18" s="68">
        <v>18621</v>
      </c>
      <c r="CS18" s="67">
        <f t="shared" si="47"/>
        <v>20</v>
      </c>
      <c r="CT18" s="75">
        <v>8611</v>
      </c>
      <c r="CU18" s="67">
        <f t="shared" si="48"/>
        <v>13</v>
      </c>
      <c r="CV18" s="68">
        <v>21050</v>
      </c>
      <c r="CW18" s="67">
        <f t="shared" si="49"/>
        <v>36</v>
      </c>
      <c r="CX18" s="58"/>
      <c r="CY18" s="67">
        <f t="shared" si="50"/>
        <v>0</v>
      </c>
    </row>
    <row r="19" spans="1:103" ht="25.5" customHeight="1" thickBot="1" x14ac:dyDescent="0.45">
      <c r="A19" s="63">
        <v>44577</v>
      </c>
      <c r="B19" s="44"/>
      <c r="C19" s="58">
        <v>2.7986</v>
      </c>
      <c r="D19" s="64">
        <f t="shared" si="1"/>
        <v>2800.0000000001355</v>
      </c>
      <c r="E19" s="58">
        <v>3.8742999999999999</v>
      </c>
      <c r="F19" s="64">
        <f t="shared" si="2"/>
        <v>3600.0000000000477</v>
      </c>
      <c r="G19" s="58">
        <v>3.8706999999999998</v>
      </c>
      <c r="H19" s="64">
        <f t="shared" si="3"/>
        <v>2799.9999999996917</v>
      </c>
      <c r="I19" s="58">
        <v>1.9273</v>
      </c>
      <c r="J19" s="64">
        <f t="shared" si="4"/>
        <v>1500.0000000000568</v>
      </c>
      <c r="K19" s="58">
        <v>3.0571999999999999</v>
      </c>
      <c r="L19" s="64">
        <f t="shared" si="5"/>
        <v>2299.9999999999686</v>
      </c>
      <c r="M19" s="58">
        <v>1.6939</v>
      </c>
      <c r="N19" s="64">
        <f t="shared" si="6"/>
        <v>1299.9999999998568</v>
      </c>
      <c r="O19" s="58">
        <v>16334</v>
      </c>
      <c r="P19" s="67">
        <f t="shared" si="7"/>
        <v>69</v>
      </c>
      <c r="Q19" s="58">
        <v>1841</v>
      </c>
      <c r="R19" s="67">
        <f t="shared" si="8"/>
        <v>5</v>
      </c>
      <c r="S19" s="58">
        <v>1188.9000000000001</v>
      </c>
      <c r="T19" s="67">
        <f t="shared" si="9"/>
        <v>1.1000000000001364</v>
      </c>
      <c r="U19" s="58">
        <v>492016.4</v>
      </c>
      <c r="V19" s="67">
        <f t="shared" si="10"/>
        <v>410.10000000003492</v>
      </c>
      <c r="W19" s="58">
        <v>459.41</v>
      </c>
      <c r="X19" s="65">
        <f t="shared" si="11"/>
        <v>280.00000000002956</v>
      </c>
      <c r="Y19" s="58">
        <v>3.4033000000000002</v>
      </c>
      <c r="Z19" s="65">
        <f t="shared" si="12"/>
        <v>3100.0000000003247</v>
      </c>
      <c r="AA19" s="58">
        <v>463.09</v>
      </c>
      <c r="AB19" s="65">
        <f t="shared" si="13"/>
        <v>379.99999999999545</v>
      </c>
      <c r="AC19" s="58">
        <v>441.4</v>
      </c>
      <c r="AD19" s="65">
        <f t="shared" si="14"/>
        <v>429.99999999994998</v>
      </c>
      <c r="AE19" s="58">
        <v>643.62</v>
      </c>
      <c r="AF19" s="65">
        <f t="shared" si="15"/>
        <v>320.00000000005002</v>
      </c>
      <c r="AG19" s="58">
        <v>11926</v>
      </c>
      <c r="AH19" s="67">
        <f t="shared" si="16"/>
        <v>37</v>
      </c>
      <c r="AI19" s="58">
        <v>750.14</v>
      </c>
      <c r="AJ19" s="65">
        <f t="shared" si="17"/>
        <v>699.99999999993179</v>
      </c>
      <c r="AK19" s="58">
        <v>251.01</v>
      </c>
      <c r="AL19" s="65">
        <f t="shared" si="18"/>
        <v>219.99999999999886</v>
      </c>
      <c r="AM19" s="58">
        <v>234.14</v>
      </c>
      <c r="AN19" s="65">
        <f t="shared" si="19"/>
        <v>299.99999999998295</v>
      </c>
      <c r="AO19" s="58">
        <v>226.54</v>
      </c>
      <c r="AP19" s="65">
        <f t="shared" si="20"/>
        <v>189.99999999999773</v>
      </c>
      <c r="AQ19" s="58">
        <v>283.98</v>
      </c>
      <c r="AR19" s="65">
        <f t="shared" si="21"/>
        <v>160.00000000002501</v>
      </c>
      <c r="AS19" s="58">
        <v>410.88</v>
      </c>
      <c r="AT19" s="65">
        <f t="shared" si="22"/>
        <v>100.00000000002274</v>
      </c>
      <c r="AU19" s="58">
        <v>315.95999999999998</v>
      </c>
      <c r="AV19" s="65">
        <f t="shared" si="23"/>
        <v>169.99999999995907</v>
      </c>
      <c r="AW19" s="58">
        <v>348.22</v>
      </c>
      <c r="AX19" s="65">
        <f t="shared" si="24"/>
        <v>220.00000000002728</v>
      </c>
      <c r="AY19" s="58">
        <v>384.99</v>
      </c>
      <c r="AZ19" s="65">
        <f t="shared" si="25"/>
        <v>160.00000000002501</v>
      </c>
      <c r="BA19" s="58">
        <v>404.09</v>
      </c>
      <c r="BB19" s="65">
        <f t="shared" si="26"/>
        <v>159.99999999996817</v>
      </c>
      <c r="BC19" s="58">
        <v>259.31</v>
      </c>
      <c r="BD19" s="65">
        <f t="shared" si="27"/>
        <v>50.000000000011369</v>
      </c>
      <c r="BE19" s="59">
        <v>46956</v>
      </c>
      <c r="BF19" s="67">
        <f t="shared" si="28"/>
        <v>46</v>
      </c>
      <c r="BG19" s="60">
        <v>242.43</v>
      </c>
      <c r="BH19" s="65">
        <f t="shared" si="29"/>
        <v>40.000000000020464</v>
      </c>
      <c r="BI19" s="60">
        <v>298.75</v>
      </c>
      <c r="BJ19" s="65">
        <f t="shared" si="30"/>
        <v>40.000000000020464</v>
      </c>
      <c r="BK19" s="60">
        <v>245.12</v>
      </c>
      <c r="BL19" s="65">
        <f t="shared" si="31"/>
        <v>60.000000000002274</v>
      </c>
      <c r="BM19" s="60">
        <v>232.28</v>
      </c>
      <c r="BN19" s="65">
        <f t="shared" si="32"/>
        <v>39.999999999992042</v>
      </c>
      <c r="BO19" s="60">
        <v>297.77</v>
      </c>
      <c r="BP19" s="65">
        <f t="shared" si="33"/>
        <v>69.999999999993179</v>
      </c>
      <c r="BQ19" s="60">
        <v>51473</v>
      </c>
      <c r="BR19" s="65">
        <f t="shared" si="34"/>
        <v>28</v>
      </c>
      <c r="BS19" s="60">
        <v>208.85</v>
      </c>
      <c r="BT19" s="65">
        <f t="shared" si="35"/>
        <v>69.999999999993179</v>
      </c>
      <c r="BU19" s="60">
        <v>48222</v>
      </c>
      <c r="BV19" s="65">
        <f t="shared" si="36"/>
        <v>38</v>
      </c>
      <c r="BW19" s="60">
        <v>237.87</v>
      </c>
      <c r="BX19" s="65">
        <f t="shared" si="37"/>
        <v>39.999999999992042</v>
      </c>
      <c r="BY19" s="60">
        <v>67963</v>
      </c>
      <c r="BZ19" s="67">
        <f t="shared" si="38"/>
        <v>40</v>
      </c>
      <c r="CA19" s="60">
        <v>41803</v>
      </c>
      <c r="CB19" s="67">
        <f t="shared" si="39"/>
        <v>64.80000000000291</v>
      </c>
      <c r="CC19" s="60">
        <v>14077.6</v>
      </c>
      <c r="CD19" s="67">
        <f t="shared" si="40"/>
        <v>11.399999999999636</v>
      </c>
      <c r="CE19" s="60">
        <v>7472.4</v>
      </c>
      <c r="CF19" s="67">
        <f t="shared" si="41"/>
        <v>7.1999999999998181</v>
      </c>
      <c r="CG19" s="60">
        <v>68517.600000000006</v>
      </c>
      <c r="CH19" s="67">
        <f t="shared" si="42"/>
        <v>31</v>
      </c>
      <c r="CI19" s="60">
        <v>1006332</v>
      </c>
      <c r="CJ19" s="67">
        <f t="shared" si="43"/>
        <v>286</v>
      </c>
      <c r="CK19" s="60">
        <v>894.79</v>
      </c>
      <c r="CL19" s="64">
        <f t="shared" si="44"/>
        <v>569.99999999993634</v>
      </c>
      <c r="CM19" s="65">
        <f t="shared" si="45"/>
        <v>79.900000000001455</v>
      </c>
      <c r="CN19" s="62">
        <v>14</v>
      </c>
      <c r="CO19" s="62">
        <v>37</v>
      </c>
      <c r="CP19" s="68">
        <v>20320</v>
      </c>
      <c r="CQ19" s="67">
        <f t="shared" si="46"/>
        <v>58.900000000001455</v>
      </c>
      <c r="CR19" s="68">
        <v>18642</v>
      </c>
      <c r="CS19" s="67">
        <f t="shared" si="47"/>
        <v>21</v>
      </c>
      <c r="CT19" s="75">
        <v>8618</v>
      </c>
      <c r="CU19" s="67">
        <f t="shared" si="48"/>
        <v>7</v>
      </c>
      <c r="CV19" s="68">
        <v>21088</v>
      </c>
      <c r="CW19" s="67">
        <f t="shared" si="49"/>
        <v>38</v>
      </c>
      <c r="CX19" s="58"/>
      <c r="CY19" s="67">
        <f t="shared" si="50"/>
        <v>0</v>
      </c>
    </row>
    <row r="20" spans="1:103" ht="25.5" customHeight="1" thickBot="1" x14ac:dyDescent="0.45">
      <c r="A20" s="63">
        <v>44578</v>
      </c>
      <c r="B20" s="44"/>
      <c r="C20" s="58">
        <v>2.8016999999999999</v>
      </c>
      <c r="D20" s="64">
        <f t="shared" si="1"/>
        <v>3099.9999999998809</v>
      </c>
      <c r="E20" s="58">
        <v>3.8776999999999999</v>
      </c>
      <c r="F20" s="64">
        <f t="shared" si="2"/>
        <v>3400.0000000000696</v>
      </c>
      <c r="G20" s="58">
        <v>3.8734000000000002</v>
      </c>
      <c r="H20" s="64">
        <f t="shared" si="3"/>
        <v>2700.0000000003688</v>
      </c>
      <c r="I20" s="58">
        <v>1.929</v>
      </c>
      <c r="J20" s="64">
        <f t="shared" si="4"/>
        <v>1700.0000000000348</v>
      </c>
      <c r="K20" s="58">
        <v>3.0594999999999999</v>
      </c>
      <c r="L20" s="64">
        <f t="shared" si="5"/>
        <v>2299.9999999999686</v>
      </c>
      <c r="M20" s="58">
        <v>1.6954</v>
      </c>
      <c r="N20" s="64">
        <f t="shared" si="6"/>
        <v>1500.0000000000568</v>
      </c>
      <c r="O20" s="58">
        <v>16356</v>
      </c>
      <c r="P20" s="67">
        <f t="shared" si="7"/>
        <v>22</v>
      </c>
      <c r="Q20" s="58">
        <v>1847</v>
      </c>
      <c r="R20" s="67">
        <f t="shared" si="8"/>
        <v>6</v>
      </c>
      <c r="S20" s="58">
        <v>1189.9000000000001</v>
      </c>
      <c r="T20" s="67">
        <f t="shared" si="9"/>
        <v>1</v>
      </c>
      <c r="U20" s="58">
        <v>492458.3</v>
      </c>
      <c r="V20" s="67">
        <f t="shared" si="10"/>
        <v>441.89999999996508</v>
      </c>
      <c r="W20" s="58">
        <v>459.78</v>
      </c>
      <c r="X20" s="65">
        <f t="shared" si="11"/>
        <v>369.9999999999477</v>
      </c>
      <c r="Y20" s="58">
        <v>3.4064999999999999</v>
      </c>
      <c r="Z20" s="65">
        <f t="shared" si="12"/>
        <v>3199.9999999996476</v>
      </c>
      <c r="AA20" s="58">
        <v>463.52</v>
      </c>
      <c r="AB20" s="65">
        <f t="shared" si="13"/>
        <v>430.00000000000682</v>
      </c>
      <c r="AC20" s="58">
        <v>441.92</v>
      </c>
      <c r="AD20" s="65">
        <f t="shared" si="14"/>
        <v>520.00000000003865</v>
      </c>
      <c r="AE20" s="58">
        <v>644.15</v>
      </c>
      <c r="AF20" s="65">
        <f t="shared" si="15"/>
        <v>529.99999999997272</v>
      </c>
      <c r="AG20" s="58">
        <v>11969</v>
      </c>
      <c r="AH20" s="67">
        <f t="shared" si="16"/>
        <v>43</v>
      </c>
      <c r="AI20" s="58">
        <v>751</v>
      </c>
      <c r="AJ20" s="65">
        <f t="shared" si="17"/>
        <v>860.00000000001364</v>
      </c>
      <c r="AK20" s="58">
        <v>251.31</v>
      </c>
      <c r="AL20" s="65">
        <f t="shared" si="18"/>
        <v>300.00000000001137</v>
      </c>
      <c r="AM20" s="58">
        <v>234.47</v>
      </c>
      <c r="AN20" s="65">
        <f t="shared" si="19"/>
        <v>330.00000000001251</v>
      </c>
      <c r="AO20" s="58">
        <v>226.8</v>
      </c>
      <c r="AP20" s="65">
        <f t="shared" si="20"/>
        <v>260.00000000001933</v>
      </c>
      <c r="AQ20" s="58">
        <v>284.11</v>
      </c>
      <c r="AR20" s="65">
        <f t="shared" si="21"/>
        <v>129.99999999999545</v>
      </c>
      <c r="AS20" s="58">
        <v>411.03</v>
      </c>
      <c r="AT20" s="65">
        <f t="shared" si="22"/>
        <v>149.99999999997726</v>
      </c>
      <c r="AU20" s="58">
        <v>316.27999999999997</v>
      </c>
      <c r="AV20" s="65">
        <f t="shared" si="23"/>
        <v>319.99999999999318</v>
      </c>
      <c r="AW20" s="58">
        <v>348.46</v>
      </c>
      <c r="AX20" s="65">
        <f t="shared" si="24"/>
        <v>239.99999999995225</v>
      </c>
      <c r="AY20" s="58">
        <v>385.11</v>
      </c>
      <c r="AZ20" s="65">
        <f t="shared" si="25"/>
        <v>120.00000000000455</v>
      </c>
      <c r="BA20" s="58">
        <v>404.29</v>
      </c>
      <c r="BB20" s="65">
        <f t="shared" si="26"/>
        <v>200.00000000004547</v>
      </c>
      <c r="BC20" s="58">
        <v>259.37</v>
      </c>
      <c r="BD20" s="65">
        <f t="shared" si="27"/>
        <v>60.000000000002274</v>
      </c>
      <c r="BE20" s="59">
        <v>47010</v>
      </c>
      <c r="BF20" s="67">
        <f t="shared" si="28"/>
        <v>54</v>
      </c>
      <c r="BG20" s="60">
        <v>242.5</v>
      </c>
      <c r="BH20" s="65">
        <f t="shared" si="29"/>
        <v>69.999999999993179</v>
      </c>
      <c r="BI20" s="60">
        <v>298.79000000000002</v>
      </c>
      <c r="BJ20" s="65">
        <f t="shared" si="30"/>
        <v>40.000000000020464</v>
      </c>
      <c r="BK20" s="60">
        <v>245.17</v>
      </c>
      <c r="BL20" s="65">
        <f t="shared" si="31"/>
        <v>49.999999999982947</v>
      </c>
      <c r="BM20" s="60">
        <v>232.33</v>
      </c>
      <c r="BN20" s="65">
        <f t="shared" si="32"/>
        <v>50.000000000011369</v>
      </c>
      <c r="BO20" s="60">
        <v>297.83999999999997</v>
      </c>
      <c r="BP20" s="65">
        <f t="shared" si="33"/>
        <v>69.999999999993179</v>
      </c>
      <c r="BQ20" s="60">
        <v>51506</v>
      </c>
      <c r="BR20" s="65">
        <f t="shared" si="34"/>
        <v>33</v>
      </c>
      <c r="BS20" s="60">
        <v>208.92</v>
      </c>
      <c r="BT20" s="65">
        <f t="shared" si="35"/>
        <v>69.999999999993179</v>
      </c>
      <c r="BU20" s="60">
        <v>48265</v>
      </c>
      <c r="BV20" s="65">
        <f t="shared" si="36"/>
        <v>43</v>
      </c>
      <c r="BW20" s="60">
        <v>237.91</v>
      </c>
      <c r="BX20" s="65">
        <f t="shared" si="37"/>
        <v>39.999999999992042</v>
      </c>
      <c r="BY20" s="60">
        <v>68009</v>
      </c>
      <c r="BZ20" s="67">
        <f t="shared" si="38"/>
        <v>46</v>
      </c>
      <c r="CA20" s="60">
        <v>41860.199999999997</v>
      </c>
      <c r="CB20" s="67">
        <f t="shared" si="39"/>
        <v>57.19999999999709</v>
      </c>
      <c r="CC20" s="60">
        <v>14088</v>
      </c>
      <c r="CD20" s="67">
        <f t="shared" si="40"/>
        <v>10.399999999999636</v>
      </c>
      <c r="CE20" s="60">
        <v>7475.6</v>
      </c>
      <c r="CF20" s="67">
        <f t="shared" si="41"/>
        <v>3.2000000000007276</v>
      </c>
      <c r="CG20" s="60">
        <v>68581.8</v>
      </c>
      <c r="CH20" s="67">
        <f t="shared" si="42"/>
        <v>64.19999999999709</v>
      </c>
      <c r="CI20" s="60">
        <v>1006651</v>
      </c>
      <c r="CJ20" s="67">
        <f t="shared" si="43"/>
        <v>319</v>
      </c>
      <c r="CK20" s="60">
        <v>895.4</v>
      </c>
      <c r="CL20" s="64">
        <f t="shared" si="44"/>
        <v>610.00000000001364</v>
      </c>
      <c r="CM20" s="65">
        <f t="shared" si="45"/>
        <v>79.69999999999709</v>
      </c>
      <c r="CN20" s="62">
        <v>19</v>
      </c>
      <c r="CO20" s="62">
        <v>46</v>
      </c>
      <c r="CP20" s="68">
        <v>20387.099999999999</v>
      </c>
      <c r="CQ20" s="67">
        <f t="shared" si="46"/>
        <v>67.099999999998545</v>
      </c>
      <c r="CR20" s="68">
        <v>18654.599999999999</v>
      </c>
      <c r="CS20" s="67">
        <f t="shared" si="47"/>
        <v>12.599999999998545</v>
      </c>
      <c r="CT20" s="75">
        <v>8627</v>
      </c>
      <c r="CU20" s="67">
        <f t="shared" si="48"/>
        <v>9</v>
      </c>
      <c r="CV20" s="68">
        <v>21130</v>
      </c>
      <c r="CW20" s="67">
        <f t="shared" si="49"/>
        <v>42</v>
      </c>
      <c r="CX20" s="58">
        <v>1564.4</v>
      </c>
      <c r="CY20" s="67">
        <f t="shared" si="50"/>
        <v>1564.4</v>
      </c>
    </row>
    <row r="21" spans="1:103" ht="25.5" customHeight="1" thickBot="1" x14ac:dyDescent="0.45">
      <c r="A21" s="63">
        <v>44579</v>
      </c>
      <c r="B21" s="44"/>
      <c r="C21" s="58">
        <v>2.8050999999999999</v>
      </c>
      <c r="D21" s="64">
        <f t="shared" si="1"/>
        <v>3400.0000000000696</v>
      </c>
      <c r="E21" s="58">
        <v>3.8812000000000002</v>
      </c>
      <c r="F21" s="64">
        <f t="shared" si="2"/>
        <v>3500.0000000002806</v>
      </c>
      <c r="G21" s="58">
        <v>3.8761999999999999</v>
      </c>
      <c r="H21" s="64">
        <f t="shared" si="3"/>
        <v>2799.9999999996917</v>
      </c>
      <c r="I21" s="58">
        <v>1.9307000000000001</v>
      </c>
      <c r="J21" s="64">
        <f t="shared" si="4"/>
        <v>1700.0000000000348</v>
      </c>
      <c r="K21" s="58">
        <v>3.0617999999999999</v>
      </c>
      <c r="L21" s="64">
        <f t="shared" si="5"/>
        <v>2299.9999999999686</v>
      </c>
      <c r="M21" s="58">
        <v>1.6972</v>
      </c>
      <c r="N21" s="64">
        <f t="shared" si="6"/>
        <v>1800.0000000000239</v>
      </c>
      <c r="O21" s="58">
        <v>16405</v>
      </c>
      <c r="P21" s="67">
        <f t="shared" si="7"/>
        <v>49</v>
      </c>
      <c r="Q21" s="58">
        <v>1853</v>
      </c>
      <c r="R21" s="67">
        <f t="shared" si="8"/>
        <v>6</v>
      </c>
      <c r="S21" s="58">
        <v>1190.9000000000001</v>
      </c>
      <c r="T21" s="67">
        <f t="shared" si="9"/>
        <v>1</v>
      </c>
      <c r="U21" s="58">
        <v>492882.1</v>
      </c>
      <c r="V21" s="67">
        <f t="shared" si="10"/>
        <v>423.79999999998836</v>
      </c>
      <c r="W21" s="58">
        <v>460.13</v>
      </c>
      <c r="X21" s="65">
        <f t="shared" si="11"/>
        <v>350.00000000002274</v>
      </c>
      <c r="Y21" s="58">
        <v>3.4096000000000002</v>
      </c>
      <c r="Z21" s="65">
        <f t="shared" si="12"/>
        <v>3100.0000000003247</v>
      </c>
      <c r="AA21" s="58">
        <v>463.88</v>
      </c>
      <c r="AB21" s="65">
        <f t="shared" si="13"/>
        <v>360.00000000001364</v>
      </c>
      <c r="AC21" s="58">
        <v>442.58</v>
      </c>
      <c r="AD21" s="65">
        <f t="shared" si="14"/>
        <v>659.99999999996817</v>
      </c>
      <c r="AE21" s="58">
        <v>644.82000000000005</v>
      </c>
      <c r="AF21" s="65">
        <f t="shared" si="15"/>
        <v>670.00000000007276</v>
      </c>
      <c r="AG21" s="58">
        <v>12010</v>
      </c>
      <c r="AH21" s="67">
        <f t="shared" si="16"/>
        <v>41</v>
      </c>
      <c r="AI21" s="58">
        <v>751.88</v>
      </c>
      <c r="AJ21" s="65">
        <f t="shared" si="17"/>
        <v>879.99999999999545</v>
      </c>
      <c r="AK21" s="58">
        <v>251.57</v>
      </c>
      <c r="AL21" s="65">
        <f t="shared" si="18"/>
        <v>259.99999999999091</v>
      </c>
      <c r="AM21" s="58">
        <v>234.85</v>
      </c>
      <c r="AN21" s="65">
        <f t="shared" si="19"/>
        <v>379.99999999999545</v>
      </c>
      <c r="AO21" s="58">
        <v>227.05</v>
      </c>
      <c r="AP21" s="65">
        <f t="shared" si="20"/>
        <v>250</v>
      </c>
      <c r="AQ21" s="58">
        <v>284.24</v>
      </c>
      <c r="AR21" s="65">
        <f t="shared" si="21"/>
        <v>129.99999999999545</v>
      </c>
      <c r="AS21" s="58">
        <v>411.19</v>
      </c>
      <c r="AT21" s="65">
        <f t="shared" si="22"/>
        <v>160.00000000002501</v>
      </c>
      <c r="AU21" s="58">
        <v>316.56</v>
      </c>
      <c r="AV21" s="65">
        <f t="shared" si="23"/>
        <v>280.00000000002956</v>
      </c>
      <c r="AW21" s="58">
        <v>348.72</v>
      </c>
      <c r="AX21" s="65">
        <f t="shared" si="24"/>
        <v>260.00000000004775</v>
      </c>
      <c r="AY21" s="58">
        <v>385.26</v>
      </c>
      <c r="AZ21" s="65">
        <f t="shared" si="25"/>
        <v>149.99999999997726</v>
      </c>
      <c r="BA21" s="58">
        <v>404.49</v>
      </c>
      <c r="BB21" s="65">
        <f t="shared" si="26"/>
        <v>199.99999999998863</v>
      </c>
      <c r="BC21" s="58">
        <v>259.43</v>
      </c>
      <c r="BD21" s="65">
        <f t="shared" si="27"/>
        <v>60.000000000002274</v>
      </c>
      <c r="BE21" s="59">
        <v>47062</v>
      </c>
      <c r="BF21" s="67">
        <f t="shared" si="28"/>
        <v>52</v>
      </c>
      <c r="BG21" s="60">
        <v>242.55</v>
      </c>
      <c r="BH21" s="65">
        <f t="shared" si="29"/>
        <v>50.000000000011369</v>
      </c>
      <c r="BI21" s="60">
        <v>298.83</v>
      </c>
      <c r="BJ21" s="65">
        <f t="shared" si="30"/>
        <v>39.99999999996362</v>
      </c>
      <c r="BK21" s="60">
        <v>245.22</v>
      </c>
      <c r="BL21" s="65">
        <f t="shared" si="31"/>
        <v>50.000000000011369</v>
      </c>
      <c r="BM21" s="60">
        <v>232.38</v>
      </c>
      <c r="BN21" s="65">
        <f t="shared" si="32"/>
        <v>49.999999999982947</v>
      </c>
      <c r="BO21" s="60">
        <v>297.89999999999998</v>
      </c>
      <c r="BP21" s="65">
        <f t="shared" si="33"/>
        <v>60.000000000002274</v>
      </c>
      <c r="BQ21" s="60">
        <v>51540</v>
      </c>
      <c r="BR21" s="65">
        <f t="shared" si="34"/>
        <v>34</v>
      </c>
      <c r="BS21" s="60">
        <v>208.99</v>
      </c>
      <c r="BT21" s="65">
        <f t="shared" si="35"/>
        <v>70.0000000000216</v>
      </c>
      <c r="BU21" s="60">
        <v>48313</v>
      </c>
      <c r="BV21" s="65">
        <f t="shared" si="36"/>
        <v>48</v>
      </c>
      <c r="BW21" s="60">
        <v>237.95</v>
      </c>
      <c r="BX21" s="65">
        <f t="shared" si="37"/>
        <v>39.999999999992042</v>
      </c>
      <c r="BY21" s="60">
        <v>68053</v>
      </c>
      <c r="BZ21" s="67">
        <f t="shared" si="38"/>
        <v>44</v>
      </c>
      <c r="CA21" s="60">
        <v>41909.5</v>
      </c>
      <c r="CB21" s="67">
        <f t="shared" si="39"/>
        <v>49.30000000000291</v>
      </c>
      <c r="CC21" s="60">
        <v>14094.7</v>
      </c>
      <c r="CD21" s="67">
        <f t="shared" si="40"/>
        <v>6.7000000000007276</v>
      </c>
      <c r="CE21" s="60">
        <v>7480.1</v>
      </c>
      <c r="CF21" s="67">
        <f t="shared" si="41"/>
        <v>4.5</v>
      </c>
      <c r="CG21" s="60">
        <v>68620.100000000006</v>
      </c>
      <c r="CH21" s="67">
        <f t="shared" si="42"/>
        <v>38.30000000000291</v>
      </c>
      <c r="CI21" s="60">
        <v>1006935</v>
      </c>
      <c r="CJ21" s="67">
        <f t="shared" si="43"/>
        <v>284</v>
      </c>
      <c r="CK21" s="60">
        <v>896.03</v>
      </c>
      <c r="CL21" s="64">
        <f t="shared" si="44"/>
        <v>629.99999999999545</v>
      </c>
      <c r="CM21" s="65">
        <f t="shared" si="45"/>
        <v>93.900000000001455</v>
      </c>
      <c r="CN21" s="62">
        <v>17</v>
      </c>
      <c r="CO21" s="62">
        <v>42</v>
      </c>
      <c r="CP21" s="68">
        <v>20455</v>
      </c>
      <c r="CQ21" s="67">
        <f t="shared" si="46"/>
        <v>67.900000000001455</v>
      </c>
      <c r="CR21" s="68">
        <v>18680.599999999999</v>
      </c>
      <c r="CS21" s="67">
        <f t="shared" si="47"/>
        <v>26</v>
      </c>
      <c r="CT21" s="75">
        <v>8635</v>
      </c>
      <c r="CU21" s="67">
        <f t="shared" si="48"/>
        <v>8</v>
      </c>
      <c r="CV21" s="68">
        <v>21167</v>
      </c>
      <c r="CW21" s="67">
        <f t="shared" si="49"/>
        <v>37</v>
      </c>
      <c r="CX21" s="58">
        <v>1577.1</v>
      </c>
      <c r="CY21" s="67">
        <f t="shared" si="50"/>
        <v>12.699999999999818</v>
      </c>
    </row>
    <row r="22" spans="1:103" ht="25.5" customHeight="1" thickBot="1" x14ac:dyDescent="0.45">
      <c r="A22" s="63">
        <v>44580</v>
      </c>
      <c r="B22" s="44"/>
      <c r="C22" s="58">
        <v>2.8083</v>
      </c>
      <c r="D22" s="64">
        <f t="shared" si="1"/>
        <v>3200.0000000000919</v>
      </c>
      <c r="E22" s="58">
        <v>3.8845000000000001</v>
      </c>
      <c r="F22" s="64">
        <f t="shared" si="2"/>
        <v>3299.9999999998586</v>
      </c>
      <c r="G22" s="58">
        <v>3.879</v>
      </c>
      <c r="H22" s="64">
        <f t="shared" si="3"/>
        <v>2800.0000000001355</v>
      </c>
      <c r="I22" s="58">
        <v>1.9323999999999999</v>
      </c>
      <c r="J22" s="64">
        <f t="shared" si="4"/>
        <v>1699.9999999998129</v>
      </c>
      <c r="K22" s="58">
        <v>3.0640999999999998</v>
      </c>
      <c r="L22" s="64">
        <f t="shared" si="5"/>
        <v>2299.9999999999686</v>
      </c>
      <c r="M22" s="58">
        <v>1.6989000000000001</v>
      </c>
      <c r="N22" s="64">
        <f t="shared" si="6"/>
        <v>1700.0000000000348</v>
      </c>
      <c r="O22" s="58">
        <v>16431</v>
      </c>
      <c r="P22" s="67">
        <f t="shared" si="7"/>
        <v>26</v>
      </c>
      <c r="Q22" s="58">
        <v>1857</v>
      </c>
      <c r="R22" s="67">
        <f t="shared" si="8"/>
        <v>4</v>
      </c>
      <c r="S22" s="58">
        <v>1191.8</v>
      </c>
      <c r="T22" s="67">
        <f t="shared" si="9"/>
        <v>0.89999999999986358</v>
      </c>
      <c r="U22" s="58">
        <v>493218.1</v>
      </c>
      <c r="V22" s="67">
        <f t="shared" si="10"/>
        <v>336</v>
      </c>
      <c r="W22" s="58">
        <v>460.44</v>
      </c>
      <c r="X22" s="65">
        <f t="shared" si="11"/>
        <v>310.00000000000227</v>
      </c>
      <c r="Y22" s="58">
        <v>3.4123999999999999</v>
      </c>
      <c r="Z22" s="65">
        <f t="shared" si="12"/>
        <v>2799.9999999996917</v>
      </c>
      <c r="AA22" s="58">
        <v>464.33</v>
      </c>
      <c r="AB22" s="65">
        <f t="shared" si="13"/>
        <v>449.99999999998863</v>
      </c>
      <c r="AC22" s="58">
        <v>443.1</v>
      </c>
      <c r="AD22" s="65">
        <f t="shared" si="14"/>
        <v>520.00000000003865</v>
      </c>
      <c r="AE22" s="58">
        <v>645.4</v>
      </c>
      <c r="AF22" s="65">
        <f t="shared" si="15"/>
        <v>579.99999999992724</v>
      </c>
      <c r="AG22" s="58">
        <v>12052</v>
      </c>
      <c r="AH22" s="67">
        <f t="shared" si="16"/>
        <v>42</v>
      </c>
      <c r="AI22" s="58">
        <v>752.7</v>
      </c>
      <c r="AJ22" s="65">
        <f t="shared" si="17"/>
        <v>820.00000000005002</v>
      </c>
      <c r="AK22" s="58">
        <v>251.86</v>
      </c>
      <c r="AL22" s="65">
        <f t="shared" si="18"/>
        <v>290.00000000002046</v>
      </c>
      <c r="AM22" s="58">
        <v>235.18</v>
      </c>
      <c r="AN22" s="65">
        <f t="shared" si="19"/>
        <v>330.00000000001251</v>
      </c>
      <c r="AO22" s="58">
        <v>227.27</v>
      </c>
      <c r="AP22" s="65">
        <f t="shared" si="20"/>
        <v>219.99999999999886</v>
      </c>
      <c r="AQ22" s="58">
        <v>284.42</v>
      </c>
      <c r="AR22" s="65">
        <f t="shared" si="21"/>
        <v>180.00000000000682</v>
      </c>
      <c r="AS22" s="58">
        <v>411.39</v>
      </c>
      <c r="AT22" s="65">
        <f t="shared" si="22"/>
        <v>199.99999999998863</v>
      </c>
      <c r="AU22" s="58">
        <v>316.83</v>
      </c>
      <c r="AV22" s="65">
        <f t="shared" si="23"/>
        <v>269.99999999998181</v>
      </c>
      <c r="AW22" s="58">
        <v>348.98</v>
      </c>
      <c r="AX22" s="65">
        <f t="shared" si="24"/>
        <v>259.99999999999091</v>
      </c>
      <c r="AY22" s="58">
        <v>385.41</v>
      </c>
      <c r="AZ22" s="65">
        <f t="shared" si="25"/>
        <v>150.00000000003411</v>
      </c>
      <c r="BA22" s="58">
        <v>404.7</v>
      </c>
      <c r="BB22" s="65">
        <f t="shared" si="26"/>
        <v>209.99999999997954</v>
      </c>
      <c r="BC22" s="58">
        <v>259.48</v>
      </c>
      <c r="BD22" s="65">
        <f t="shared" si="27"/>
        <v>50.000000000011369</v>
      </c>
      <c r="BE22" s="59">
        <v>47107</v>
      </c>
      <c r="BF22" s="67">
        <f t="shared" si="28"/>
        <v>45</v>
      </c>
      <c r="BG22" s="60">
        <v>242.6</v>
      </c>
      <c r="BH22" s="65">
        <f t="shared" si="29"/>
        <v>49.999999999982947</v>
      </c>
      <c r="BI22" s="60">
        <v>298.86</v>
      </c>
      <c r="BJ22" s="65">
        <f t="shared" si="30"/>
        <v>30.000000000029559</v>
      </c>
      <c r="BK22" s="60">
        <v>245.26</v>
      </c>
      <c r="BL22" s="65">
        <f t="shared" si="31"/>
        <v>39.999999999992042</v>
      </c>
      <c r="BM22" s="60">
        <v>232.42</v>
      </c>
      <c r="BN22" s="65">
        <f t="shared" si="32"/>
        <v>39.999999999992042</v>
      </c>
      <c r="BO22" s="60">
        <v>297.95</v>
      </c>
      <c r="BP22" s="65">
        <f t="shared" si="33"/>
        <v>50.000000000011369</v>
      </c>
      <c r="BQ22" s="60">
        <v>51571</v>
      </c>
      <c r="BR22" s="65">
        <f t="shared" si="34"/>
        <v>31</v>
      </c>
      <c r="BS22" s="60">
        <v>209.04</v>
      </c>
      <c r="BT22" s="65">
        <f t="shared" si="35"/>
        <v>49.999999999982947</v>
      </c>
      <c r="BU22" s="60">
        <v>48346</v>
      </c>
      <c r="BV22" s="65">
        <f t="shared" si="36"/>
        <v>33</v>
      </c>
      <c r="BW22" s="60">
        <v>237.98</v>
      </c>
      <c r="BX22" s="65">
        <f t="shared" si="37"/>
        <v>30.000000000001137</v>
      </c>
      <c r="BY22" s="60">
        <v>68090</v>
      </c>
      <c r="BZ22" s="67">
        <f t="shared" si="38"/>
        <v>37</v>
      </c>
      <c r="CA22" s="60">
        <v>41963.5</v>
      </c>
      <c r="CB22" s="67">
        <f t="shared" si="39"/>
        <v>54</v>
      </c>
      <c r="CC22" s="60">
        <v>14102.6</v>
      </c>
      <c r="CD22" s="67">
        <f t="shared" si="40"/>
        <v>7.8999999999996362</v>
      </c>
      <c r="CE22" s="60">
        <v>7488.51</v>
      </c>
      <c r="CF22" s="67">
        <f t="shared" si="41"/>
        <v>8.4099999999998545</v>
      </c>
      <c r="CG22" s="60">
        <v>68672</v>
      </c>
      <c r="CH22" s="67">
        <f t="shared" si="42"/>
        <v>51.899999999994179</v>
      </c>
      <c r="CI22" s="60">
        <v>1007218</v>
      </c>
      <c r="CJ22" s="67">
        <f t="shared" si="43"/>
        <v>283</v>
      </c>
      <c r="CK22" s="60">
        <v>896.65</v>
      </c>
      <c r="CL22" s="64">
        <f t="shared" si="44"/>
        <v>620.00000000000455</v>
      </c>
      <c r="CM22" s="65">
        <f t="shared" si="45"/>
        <v>81.400000000001455</v>
      </c>
      <c r="CN22" s="62">
        <v>17</v>
      </c>
      <c r="CO22" s="62">
        <v>42</v>
      </c>
      <c r="CP22" s="68">
        <v>20519</v>
      </c>
      <c r="CQ22" s="67">
        <f t="shared" si="46"/>
        <v>64</v>
      </c>
      <c r="CR22" s="68">
        <v>18698</v>
      </c>
      <c r="CS22" s="67">
        <f t="shared" si="47"/>
        <v>17.400000000001455</v>
      </c>
      <c r="CT22" s="75">
        <v>8643</v>
      </c>
      <c r="CU22" s="67">
        <f t="shared" si="48"/>
        <v>8</v>
      </c>
      <c r="CV22" s="68">
        <v>21205</v>
      </c>
      <c r="CW22" s="67">
        <f t="shared" si="49"/>
        <v>38</v>
      </c>
      <c r="CX22" s="58">
        <v>1588.4</v>
      </c>
      <c r="CY22" s="67">
        <f t="shared" si="50"/>
        <v>11.300000000000182</v>
      </c>
    </row>
    <row r="23" spans="1:103" ht="25.5" customHeight="1" thickBot="1" x14ac:dyDescent="0.45">
      <c r="A23" s="63">
        <v>44581</v>
      </c>
      <c r="B23" s="44"/>
      <c r="C23" s="58">
        <v>2.8113999999999999</v>
      </c>
      <c r="D23" s="64">
        <f t="shared" si="1"/>
        <v>3099.9999999998809</v>
      </c>
      <c r="E23" s="58">
        <v>3.8883000000000001</v>
      </c>
      <c r="F23" s="64">
        <f t="shared" si="2"/>
        <v>3800.0000000000255</v>
      </c>
      <c r="G23" s="58">
        <v>3.8818000000000001</v>
      </c>
      <c r="H23" s="64">
        <f t="shared" si="3"/>
        <v>2800.0000000001355</v>
      </c>
      <c r="I23" s="58">
        <v>1.9340999999999999</v>
      </c>
      <c r="J23" s="64">
        <f t="shared" si="4"/>
        <v>1700.0000000000348</v>
      </c>
      <c r="K23" s="58">
        <v>3.0663</v>
      </c>
      <c r="L23" s="64">
        <f t="shared" si="5"/>
        <v>2200.0000000002019</v>
      </c>
      <c r="M23" s="58">
        <v>1.7005999999999999</v>
      </c>
      <c r="N23" s="64">
        <f t="shared" si="6"/>
        <v>1699.9999999998129</v>
      </c>
      <c r="O23" s="58">
        <v>16460</v>
      </c>
      <c r="P23" s="67">
        <f t="shared" si="7"/>
        <v>29</v>
      </c>
      <c r="Q23" s="58">
        <v>1863</v>
      </c>
      <c r="R23" s="67">
        <f t="shared" si="8"/>
        <v>6</v>
      </c>
      <c r="S23" s="58">
        <v>1192.8</v>
      </c>
      <c r="T23" s="67">
        <f t="shared" si="9"/>
        <v>1</v>
      </c>
      <c r="U23" s="58">
        <v>493641.4</v>
      </c>
      <c r="V23" s="67">
        <f t="shared" si="10"/>
        <v>423.30000000004657</v>
      </c>
      <c r="W23" s="58">
        <v>460.9</v>
      </c>
      <c r="X23" s="65">
        <f t="shared" si="11"/>
        <v>459.99999999997954</v>
      </c>
      <c r="Y23" s="58">
        <v>3.4157000000000002</v>
      </c>
      <c r="Z23" s="65">
        <f t="shared" si="12"/>
        <v>3300.0000000003029</v>
      </c>
      <c r="AA23" s="58">
        <v>464.69</v>
      </c>
      <c r="AB23" s="65">
        <f t="shared" si="13"/>
        <v>360.00000000001364</v>
      </c>
      <c r="AC23" s="58">
        <v>443.69</v>
      </c>
      <c r="AD23" s="65">
        <f t="shared" si="14"/>
        <v>589.99999999997499</v>
      </c>
      <c r="AE23" s="58">
        <v>646.02</v>
      </c>
      <c r="AF23" s="65">
        <f t="shared" si="15"/>
        <v>620.00000000000455</v>
      </c>
      <c r="AG23" s="58">
        <v>12097</v>
      </c>
      <c r="AH23" s="67">
        <f t="shared" si="16"/>
        <v>45</v>
      </c>
      <c r="AI23" s="58">
        <v>753.49</v>
      </c>
      <c r="AJ23" s="65">
        <f t="shared" si="17"/>
        <v>789.99999999996362</v>
      </c>
      <c r="AK23" s="58">
        <v>252.16</v>
      </c>
      <c r="AL23" s="65">
        <f t="shared" si="18"/>
        <v>299.99999999998295</v>
      </c>
      <c r="AM23" s="58">
        <v>235.53</v>
      </c>
      <c r="AN23" s="65">
        <f t="shared" si="19"/>
        <v>349.99999999999432</v>
      </c>
      <c r="AO23" s="58">
        <v>227.49</v>
      </c>
      <c r="AP23" s="65">
        <f t="shared" si="20"/>
        <v>219.99999999999886</v>
      </c>
      <c r="AQ23" s="58">
        <v>284.55</v>
      </c>
      <c r="AR23" s="65">
        <f t="shared" si="21"/>
        <v>129.99999999999545</v>
      </c>
      <c r="AS23" s="58">
        <v>411.59</v>
      </c>
      <c r="AT23" s="65">
        <f t="shared" si="22"/>
        <v>199.99999999998863</v>
      </c>
      <c r="AU23" s="58">
        <v>317.12</v>
      </c>
      <c r="AV23" s="65">
        <f t="shared" si="23"/>
        <v>290.00000000002046</v>
      </c>
      <c r="AW23" s="58">
        <v>349.15</v>
      </c>
      <c r="AX23" s="65">
        <f t="shared" si="24"/>
        <v>169.99999999995907</v>
      </c>
      <c r="AY23" s="58">
        <v>385.56</v>
      </c>
      <c r="AZ23" s="65">
        <f t="shared" si="25"/>
        <v>149.99999999997726</v>
      </c>
      <c r="BA23" s="58">
        <v>404.9</v>
      </c>
      <c r="BB23" s="65">
        <f t="shared" si="26"/>
        <v>199.99999999998863</v>
      </c>
      <c r="BC23" s="58">
        <v>259.52999999999997</v>
      </c>
      <c r="BD23" s="65">
        <f t="shared" si="27"/>
        <v>49.999999999954525</v>
      </c>
      <c r="BE23" s="59">
        <v>47176</v>
      </c>
      <c r="BF23" s="67">
        <f t="shared" si="28"/>
        <v>69</v>
      </c>
      <c r="BG23" s="60">
        <v>242.65</v>
      </c>
      <c r="BH23" s="65">
        <f t="shared" si="29"/>
        <v>50.000000000011369</v>
      </c>
      <c r="BI23" s="60">
        <v>298.89999999999998</v>
      </c>
      <c r="BJ23" s="65">
        <f t="shared" si="30"/>
        <v>39.99999999996362</v>
      </c>
      <c r="BK23" s="60">
        <v>245.31</v>
      </c>
      <c r="BL23" s="65">
        <f t="shared" si="31"/>
        <v>50.000000000011369</v>
      </c>
      <c r="BM23" s="60">
        <v>232.47</v>
      </c>
      <c r="BN23" s="65">
        <f t="shared" si="32"/>
        <v>50.000000000011369</v>
      </c>
      <c r="BO23" s="60">
        <v>298.02</v>
      </c>
      <c r="BP23" s="65">
        <f t="shared" si="33"/>
        <v>69.999999999993179</v>
      </c>
      <c r="BQ23" s="60">
        <v>51605</v>
      </c>
      <c r="BR23" s="65">
        <f t="shared" si="34"/>
        <v>34</v>
      </c>
      <c r="BS23" s="60">
        <v>209.11</v>
      </c>
      <c r="BT23" s="65">
        <f t="shared" si="35"/>
        <v>70.0000000000216</v>
      </c>
      <c r="BU23" s="60">
        <v>48384</v>
      </c>
      <c r="BV23" s="65">
        <f t="shared" si="36"/>
        <v>38</v>
      </c>
      <c r="BW23" s="60">
        <v>238.02</v>
      </c>
      <c r="BX23" s="65">
        <f t="shared" si="37"/>
        <v>40.000000000020464</v>
      </c>
      <c r="BY23" s="60">
        <v>68136</v>
      </c>
      <c r="BZ23" s="67">
        <f t="shared" si="38"/>
        <v>46</v>
      </c>
      <c r="CA23" s="60">
        <v>42015</v>
      </c>
      <c r="CB23" s="67">
        <f t="shared" si="39"/>
        <v>51.5</v>
      </c>
      <c r="CC23" s="60">
        <v>14111.5</v>
      </c>
      <c r="CD23" s="67">
        <f t="shared" si="40"/>
        <v>8.8999999999996362</v>
      </c>
      <c r="CE23" s="60">
        <v>7492.2</v>
      </c>
      <c r="CF23" s="67">
        <f t="shared" si="41"/>
        <v>3.6899999999995998</v>
      </c>
      <c r="CG23" s="60">
        <v>68716.2</v>
      </c>
      <c r="CH23" s="67">
        <f t="shared" si="42"/>
        <v>44.19999999999709</v>
      </c>
      <c r="CI23" s="60">
        <v>1007577</v>
      </c>
      <c r="CJ23" s="67">
        <f t="shared" si="43"/>
        <v>359</v>
      </c>
      <c r="CK23" s="60">
        <v>897.28</v>
      </c>
      <c r="CL23" s="64">
        <f t="shared" si="44"/>
        <v>629.99999999999545</v>
      </c>
      <c r="CM23" s="65">
        <f>CQ23+CS23</f>
        <v>78.200000000000728</v>
      </c>
      <c r="CN23" s="62">
        <v>17</v>
      </c>
      <c r="CO23" s="62">
        <v>42</v>
      </c>
      <c r="CP23" s="68">
        <v>20573.2</v>
      </c>
      <c r="CQ23" s="67">
        <f t="shared" si="46"/>
        <v>54.200000000000728</v>
      </c>
      <c r="CR23" s="68">
        <v>18722</v>
      </c>
      <c r="CS23" s="67">
        <f t="shared" si="47"/>
        <v>24</v>
      </c>
      <c r="CT23" s="75">
        <v>8650</v>
      </c>
      <c r="CU23" s="67">
        <f t="shared" si="48"/>
        <v>7</v>
      </c>
      <c r="CV23" s="68">
        <v>21240</v>
      </c>
      <c r="CW23" s="67">
        <f t="shared" si="49"/>
        <v>35</v>
      </c>
      <c r="CX23" s="58">
        <v>1600.3</v>
      </c>
      <c r="CY23" s="67">
        <f t="shared" si="50"/>
        <v>11.899999999999864</v>
      </c>
    </row>
    <row r="24" spans="1:103" ht="25.5" customHeight="1" thickBot="1" x14ac:dyDescent="0.45">
      <c r="A24" s="63">
        <v>44582</v>
      </c>
      <c r="B24" s="44"/>
      <c r="C24" s="58">
        <v>2.8144</v>
      </c>
      <c r="D24" s="64">
        <f t="shared" si="1"/>
        <v>3000.0000000001137</v>
      </c>
      <c r="E24" s="58">
        <v>3.8917999999999999</v>
      </c>
      <c r="F24" s="64">
        <f t="shared" si="2"/>
        <v>3499.9999999998367</v>
      </c>
      <c r="G24" s="58">
        <v>3.8845999999999998</v>
      </c>
      <c r="H24" s="64">
        <f t="shared" si="3"/>
        <v>2799.9999999996917</v>
      </c>
      <c r="I24" s="58">
        <v>1.9359</v>
      </c>
      <c r="J24" s="64">
        <f t="shared" si="4"/>
        <v>1800.0000000000239</v>
      </c>
      <c r="K24" s="58">
        <v>3.0686</v>
      </c>
      <c r="L24" s="64">
        <f t="shared" si="5"/>
        <v>2299.9999999999686</v>
      </c>
      <c r="M24" s="58">
        <v>1.7022999999999999</v>
      </c>
      <c r="N24" s="64">
        <f t="shared" si="6"/>
        <v>1700.0000000000348</v>
      </c>
      <c r="O24" s="58">
        <v>16515</v>
      </c>
      <c r="P24" s="67">
        <f t="shared" si="7"/>
        <v>55</v>
      </c>
      <c r="Q24" s="58">
        <v>1869</v>
      </c>
      <c r="R24" s="67">
        <f t="shared" si="8"/>
        <v>6</v>
      </c>
      <c r="S24" s="58">
        <v>1193.7</v>
      </c>
      <c r="T24" s="67">
        <f t="shared" si="9"/>
        <v>0.90000000000009095</v>
      </c>
      <c r="U24" s="58">
        <v>494042.9</v>
      </c>
      <c r="V24" s="67">
        <f t="shared" si="10"/>
        <v>401.5</v>
      </c>
      <c r="W24" s="58">
        <v>461.34</v>
      </c>
      <c r="X24" s="65">
        <f t="shared" si="11"/>
        <v>439.99999999999773</v>
      </c>
      <c r="Y24" s="58">
        <v>3.4188000000000001</v>
      </c>
      <c r="Z24" s="65">
        <f t="shared" si="12"/>
        <v>3099.9999999998809</v>
      </c>
      <c r="AA24" s="58">
        <v>465.09</v>
      </c>
      <c r="AB24" s="65">
        <f t="shared" si="13"/>
        <v>399.99999999997726</v>
      </c>
      <c r="AC24" s="58">
        <v>444.2</v>
      </c>
      <c r="AD24" s="65">
        <f t="shared" si="14"/>
        <v>509.99999999999091</v>
      </c>
      <c r="AE24" s="58">
        <v>646.67999999999995</v>
      </c>
      <c r="AF24" s="65">
        <f t="shared" si="15"/>
        <v>659.99999999996817</v>
      </c>
      <c r="AG24" s="58">
        <v>12142</v>
      </c>
      <c r="AH24" s="67">
        <f t="shared" si="16"/>
        <v>45</v>
      </c>
      <c r="AI24" s="58">
        <v>754.25</v>
      </c>
      <c r="AJ24" s="65">
        <f t="shared" si="17"/>
        <v>759.99999999999091</v>
      </c>
      <c r="AK24" s="58">
        <v>252.47</v>
      </c>
      <c r="AL24" s="65">
        <f t="shared" si="18"/>
        <v>310.00000000000227</v>
      </c>
      <c r="AM24" s="58">
        <v>235.88</v>
      </c>
      <c r="AN24" s="65">
        <f t="shared" si="19"/>
        <v>349.99999999999432</v>
      </c>
      <c r="AO24" s="58">
        <v>227.72</v>
      </c>
      <c r="AP24" s="65">
        <f t="shared" si="20"/>
        <v>229.99999999998977</v>
      </c>
      <c r="AQ24" s="58">
        <v>284.68</v>
      </c>
      <c r="AR24" s="65">
        <f t="shared" si="21"/>
        <v>129.99999999999545</v>
      </c>
      <c r="AS24" s="58">
        <v>411.77</v>
      </c>
      <c r="AT24" s="65">
        <f t="shared" si="22"/>
        <v>180.00000000000682</v>
      </c>
      <c r="AU24" s="58">
        <v>317.41000000000003</v>
      </c>
      <c r="AV24" s="65">
        <f t="shared" si="23"/>
        <v>290.00000000002046</v>
      </c>
      <c r="AW24" s="58">
        <v>349.33</v>
      </c>
      <c r="AX24" s="65">
        <f t="shared" si="24"/>
        <v>180.00000000000682</v>
      </c>
      <c r="AY24" s="58">
        <v>385.59</v>
      </c>
      <c r="AZ24" s="65">
        <f t="shared" si="25"/>
        <v>29.999999999972715</v>
      </c>
      <c r="BA24" s="58">
        <v>405.08</v>
      </c>
      <c r="BB24" s="65">
        <f t="shared" si="26"/>
        <v>180.00000000000682</v>
      </c>
      <c r="BC24" s="58">
        <v>259.58</v>
      </c>
      <c r="BD24" s="65">
        <f t="shared" si="27"/>
        <v>50.000000000011369</v>
      </c>
      <c r="BE24" s="59">
        <v>47220</v>
      </c>
      <c r="BF24" s="67">
        <f t="shared" si="28"/>
        <v>44</v>
      </c>
      <c r="BG24" s="60">
        <v>242.71</v>
      </c>
      <c r="BH24" s="65">
        <f t="shared" si="29"/>
        <v>60.000000000002274</v>
      </c>
      <c r="BI24" s="60">
        <v>298.94</v>
      </c>
      <c r="BJ24" s="65">
        <f t="shared" si="30"/>
        <v>40.000000000020464</v>
      </c>
      <c r="BK24" s="60">
        <v>245.35</v>
      </c>
      <c r="BL24" s="65">
        <f t="shared" si="31"/>
        <v>39.999999999992042</v>
      </c>
      <c r="BM24" s="60">
        <v>232.51</v>
      </c>
      <c r="BN24" s="65">
        <f t="shared" si="32"/>
        <v>39.999999999992042</v>
      </c>
      <c r="BO24" s="60">
        <v>298.08</v>
      </c>
      <c r="BP24" s="65">
        <f t="shared" si="33"/>
        <v>60.000000000002274</v>
      </c>
      <c r="BQ24" s="60">
        <v>51640</v>
      </c>
      <c r="BR24" s="65">
        <f t="shared" si="34"/>
        <v>35</v>
      </c>
      <c r="BS24" s="60">
        <v>209.17</v>
      </c>
      <c r="BT24" s="65">
        <f t="shared" si="35"/>
        <v>59.999999999973852</v>
      </c>
      <c r="BU24" s="60">
        <v>48432</v>
      </c>
      <c r="BV24" s="65">
        <f t="shared" si="36"/>
        <v>48</v>
      </c>
      <c r="BW24" s="60">
        <v>238.05</v>
      </c>
      <c r="BX24" s="65">
        <f t="shared" si="37"/>
        <v>30.000000000001137</v>
      </c>
      <c r="BY24" s="60">
        <v>68180</v>
      </c>
      <c r="BZ24" s="67">
        <f t="shared" si="38"/>
        <v>44</v>
      </c>
      <c r="CA24" s="60">
        <v>42057.5</v>
      </c>
      <c r="CB24" s="67">
        <f t="shared" si="39"/>
        <v>42.5</v>
      </c>
      <c r="CC24" s="60">
        <v>14118.6</v>
      </c>
      <c r="CD24" s="67">
        <f t="shared" si="40"/>
        <v>7.1000000000003638</v>
      </c>
      <c r="CE24" s="60">
        <v>7492.51</v>
      </c>
      <c r="CF24" s="67">
        <f t="shared" si="41"/>
        <v>0.31000000000040018</v>
      </c>
      <c r="CG24" s="60">
        <v>68770.100000000006</v>
      </c>
      <c r="CH24" s="67">
        <f t="shared" si="42"/>
        <v>53.900000000008731</v>
      </c>
      <c r="CI24" s="60">
        <v>1007964</v>
      </c>
      <c r="CJ24" s="67">
        <f t="shared" si="43"/>
        <v>387</v>
      </c>
      <c r="CK24" s="60">
        <v>898</v>
      </c>
      <c r="CL24" s="64">
        <f t="shared" si="44"/>
        <v>720.00000000002728</v>
      </c>
      <c r="CM24" s="65">
        <f t="shared" si="45"/>
        <v>69.799999999999272</v>
      </c>
      <c r="CN24" s="62">
        <v>18</v>
      </c>
      <c r="CO24" s="62">
        <v>38</v>
      </c>
      <c r="CP24" s="68">
        <v>20632</v>
      </c>
      <c r="CQ24" s="67">
        <f t="shared" si="46"/>
        <v>58.799999999999272</v>
      </c>
      <c r="CR24" s="68">
        <v>18733</v>
      </c>
      <c r="CS24" s="67">
        <f t="shared" si="47"/>
        <v>11</v>
      </c>
      <c r="CT24" s="75">
        <v>8659</v>
      </c>
      <c r="CU24" s="67">
        <f t="shared" si="48"/>
        <v>9</v>
      </c>
      <c r="CV24" s="68">
        <v>21277</v>
      </c>
      <c r="CW24" s="67">
        <f t="shared" si="49"/>
        <v>37</v>
      </c>
      <c r="CX24" s="58">
        <v>1612.1</v>
      </c>
      <c r="CY24" s="67">
        <f t="shared" si="50"/>
        <v>11.799999999999955</v>
      </c>
    </row>
    <row r="25" spans="1:103" ht="25.5" customHeight="1" thickBot="1" x14ac:dyDescent="0.45">
      <c r="A25" s="63">
        <v>44583</v>
      </c>
      <c r="B25" s="44"/>
      <c r="C25" s="58">
        <v>2.8172999999999999</v>
      </c>
      <c r="D25" s="64">
        <f t="shared" si="1"/>
        <v>2899.9999999999027</v>
      </c>
      <c r="E25" s="58">
        <v>3.8952</v>
      </c>
      <c r="F25" s="64">
        <f t="shared" si="2"/>
        <v>3400.0000000000696</v>
      </c>
      <c r="G25" s="58">
        <v>3.8871000000000002</v>
      </c>
      <c r="H25" s="64">
        <f t="shared" si="3"/>
        <v>2500.0000000003906</v>
      </c>
      <c r="I25" s="58">
        <v>1.9376</v>
      </c>
      <c r="J25" s="64">
        <f t="shared" si="4"/>
        <v>1700.0000000000348</v>
      </c>
      <c r="K25" s="58">
        <v>3.0710000000000002</v>
      </c>
      <c r="L25" s="64">
        <f t="shared" si="5"/>
        <v>2400.0000000001796</v>
      </c>
      <c r="M25" s="58">
        <v>1.7038</v>
      </c>
      <c r="N25" s="64">
        <f t="shared" si="6"/>
        <v>1500.0000000000568</v>
      </c>
      <c r="O25" s="58">
        <v>16562</v>
      </c>
      <c r="P25" s="67">
        <f t="shared" si="7"/>
        <v>47</v>
      </c>
      <c r="Q25" s="58">
        <v>1875</v>
      </c>
      <c r="R25" s="67">
        <f t="shared" si="8"/>
        <v>6</v>
      </c>
      <c r="S25" s="58">
        <v>1194.8</v>
      </c>
      <c r="T25" s="67">
        <f t="shared" si="9"/>
        <v>1.0999999999999091</v>
      </c>
      <c r="U25" s="58">
        <v>494487.9</v>
      </c>
      <c r="V25" s="67">
        <f t="shared" si="10"/>
        <v>445</v>
      </c>
      <c r="W25" s="58">
        <v>461.78</v>
      </c>
      <c r="X25" s="65">
        <f t="shared" si="11"/>
        <v>439.99999999999773</v>
      </c>
      <c r="Y25" s="58">
        <v>3.4220000000000002</v>
      </c>
      <c r="Z25" s="65">
        <f t="shared" si="12"/>
        <v>3200.0000000000919</v>
      </c>
      <c r="AA25" s="58">
        <v>465.34</v>
      </c>
      <c r="AB25" s="65">
        <f t="shared" si="13"/>
        <v>250</v>
      </c>
      <c r="AC25" s="58">
        <v>444.78</v>
      </c>
      <c r="AD25" s="65">
        <f t="shared" si="14"/>
        <v>579.99999999998408</v>
      </c>
      <c r="AE25" s="58">
        <v>647.35</v>
      </c>
      <c r="AF25" s="65">
        <f t="shared" si="15"/>
        <v>670.00000000007276</v>
      </c>
      <c r="AG25" s="58">
        <v>12190</v>
      </c>
      <c r="AH25" s="67">
        <f t="shared" si="16"/>
        <v>48</v>
      </c>
      <c r="AI25" s="58">
        <v>755.02</v>
      </c>
      <c r="AJ25" s="65">
        <f t="shared" si="17"/>
        <v>769.99999999998181</v>
      </c>
      <c r="AK25" s="58">
        <v>252.78</v>
      </c>
      <c r="AL25" s="65">
        <f t="shared" si="18"/>
        <v>310.00000000000227</v>
      </c>
      <c r="AM25" s="58">
        <v>236.23</v>
      </c>
      <c r="AN25" s="65">
        <f t="shared" si="19"/>
        <v>349.99999999999432</v>
      </c>
      <c r="AO25" s="58">
        <v>227.98</v>
      </c>
      <c r="AP25" s="65">
        <f t="shared" si="20"/>
        <v>259.99999999999091</v>
      </c>
      <c r="AQ25" s="58">
        <v>284.8</v>
      </c>
      <c r="AR25" s="65">
        <f t="shared" si="21"/>
        <v>120.00000000000455</v>
      </c>
      <c r="AS25" s="58">
        <v>411.99</v>
      </c>
      <c r="AT25" s="65">
        <f t="shared" si="22"/>
        <v>220.00000000002728</v>
      </c>
      <c r="AU25" s="58">
        <v>317.68</v>
      </c>
      <c r="AV25" s="65">
        <f t="shared" si="23"/>
        <v>269.99999999998181</v>
      </c>
      <c r="AW25" s="58">
        <v>349.52</v>
      </c>
      <c r="AX25" s="65">
        <f t="shared" si="24"/>
        <v>189.99999999999773</v>
      </c>
      <c r="AY25" s="58">
        <v>385.78</v>
      </c>
      <c r="AZ25" s="65">
        <f t="shared" si="25"/>
        <v>189.99999999999773</v>
      </c>
      <c r="BA25" s="58">
        <v>405.25</v>
      </c>
      <c r="BB25" s="65">
        <f t="shared" si="26"/>
        <v>170.00000000001592</v>
      </c>
      <c r="BC25" s="58">
        <v>259.63</v>
      </c>
      <c r="BD25" s="65">
        <f t="shared" si="27"/>
        <v>50.000000000011369</v>
      </c>
      <c r="BE25" s="59">
        <v>47260</v>
      </c>
      <c r="BF25" s="67">
        <f t="shared" si="28"/>
        <v>40</v>
      </c>
      <c r="BG25" s="60">
        <v>242.77</v>
      </c>
      <c r="BH25" s="65">
        <f t="shared" si="29"/>
        <v>60.000000000002274</v>
      </c>
      <c r="BI25" s="60">
        <v>298.98</v>
      </c>
      <c r="BJ25" s="65">
        <f t="shared" si="30"/>
        <v>40.000000000020464</v>
      </c>
      <c r="BK25" s="60">
        <v>245.41</v>
      </c>
      <c r="BL25" s="65">
        <f t="shared" si="31"/>
        <v>60.000000000002274</v>
      </c>
      <c r="BM25" s="60">
        <v>232.57</v>
      </c>
      <c r="BN25" s="65">
        <f t="shared" si="32"/>
        <v>60.000000000002274</v>
      </c>
      <c r="BO25" s="60">
        <v>298.16000000000003</v>
      </c>
      <c r="BP25" s="65">
        <f t="shared" si="33"/>
        <v>80.000000000040927</v>
      </c>
      <c r="BQ25" s="60">
        <v>51675</v>
      </c>
      <c r="BR25" s="65">
        <f t="shared" si="34"/>
        <v>35</v>
      </c>
      <c r="BS25" s="60">
        <v>209.23</v>
      </c>
      <c r="BT25" s="65">
        <f t="shared" si="35"/>
        <v>60.000000000002274</v>
      </c>
      <c r="BU25" s="60">
        <v>48484</v>
      </c>
      <c r="BV25" s="65">
        <f t="shared" si="36"/>
        <v>52</v>
      </c>
      <c r="BW25" s="60">
        <v>238.09</v>
      </c>
      <c r="BX25" s="65">
        <f t="shared" si="37"/>
        <v>39.999999999992042</v>
      </c>
      <c r="BY25" s="60">
        <v>68231</v>
      </c>
      <c r="BZ25" s="67">
        <f t="shared" si="38"/>
        <v>51</v>
      </c>
      <c r="CA25" s="60">
        <v>42113.4</v>
      </c>
      <c r="CB25" s="67">
        <f t="shared" si="39"/>
        <v>55.900000000001455</v>
      </c>
      <c r="CC25" s="60">
        <v>14125</v>
      </c>
      <c r="CD25" s="67">
        <f t="shared" si="40"/>
        <v>6.3999999999996362</v>
      </c>
      <c r="CE25" s="60">
        <v>7503.9</v>
      </c>
      <c r="CF25" s="67">
        <f t="shared" si="41"/>
        <v>11.389999999999418</v>
      </c>
      <c r="CG25" s="60">
        <v>68813.2</v>
      </c>
      <c r="CH25" s="67">
        <f t="shared" si="42"/>
        <v>43.099999999991269</v>
      </c>
      <c r="CI25" s="60">
        <v>1008294</v>
      </c>
      <c r="CJ25" s="67">
        <f t="shared" si="43"/>
        <v>330</v>
      </c>
      <c r="CK25" s="60">
        <v>898.54</v>
      </c>
      <c r="CL25" s="64">
        <f t="shared" si="44"/>
        <v>539.99999999996362</v>
      </c>
      <c r="CM25" s="65">
        <f t="shared" si="45"/>
        <v>73.700000000000728</v>
      </c>
      <c r="CN25" s="62">
        <v>18</v>
      </c>
      <c r="CO25" s="62">
        <v>36</v>
      </c>
      <c r="CP25" s="68">
        <v>20691.7</v>
      </c>
      <c r="CQ25" s="67">
        <f t="shared" si="46"/>
        <v>59.700000000000728</v>
      </c>
      <c r="CR25" s="68">
        <v>18747</v>
      </c>
      <c r="CS25" s="67">
        <f t="shared" si="47"/>
        <v>14</v>
      </c>
      <c r="CT25" s="75">
        <v>8667</v>
      </c>
      <c r="CU25" s="67">
        <f t="shared" si="48"/>
        <v>8</v>
      </c>
      <c r="CV25" s="68">
        <v>21312</v>
      </c>
      <c r="CW25" s="67">
        <f t="shared" si="49"/>
        <v>35</v>
      </c>
      <c r="CX25" s="58">
        <v>1623.8</v>
      </c>
      <c r="CY25" s="67">
        <f t="shared" si="50"/>
        <v>11.700000000000045</v>
      </c>
    </row>
    <row r="26" spans="1:103" ht="25.5" customHeight="1" thickBot="1" x14ac:dyDescent="0.45">
      <c r="A26" s="63">
        <v>44584</v>
      </c>
      <c r="B26" s="44"/>
      <c r="C26" s="58">
        <v>2.8206000000000002</v>
      </c>
      <c r="D26" s="64">
        <f t="shared" si="1"/>
        <v>3300.0000000003029</v>
      </c>
      <c r="E26" s="58">
        <v>3.8988999999999998</v>
      </c>
      <c r="F26" s="64">
        <f t="shared" si="2"/>
        <v>3699.9999999998145</v>
      </c>
      <c r="G26" s="58">
        <v>3.89</v>
      </c>
      <c r="H26" s="64">
        <f t="shared" si="3"/>
        <v>2899.9999999999027</v>
      </c>
      <c r="I26" s="58">
        <v>1.9395</v>
      </c>
      <c r="J26" s="64">
        <f t="shared" si="4"/>
        <v>1900.0000000000127</v>
      </c>
      <c r="K26" s="58">
        <v>3.0735000000000001</v>
      </c>
      <c r="L26" s="64">
        <f t="shared" si="5"/>
        <v>2499.9999999999468</v>
      </c>
      <c r="M26" s="58">
        <v>1.7056</v>
      </c>
      <c r="N26" s="64">
        <f t="shared" si="6"/>
        <v>1800.0000000000239</v>
      </c>
      <c r="O26" s="58">
        <v>16600</v>
      </c>
      <c r="P26" s="67">
        <f t="shared" si="7"/>
        <v>38</v>
      </c>
      <c r="Q26" s="58">
        <v>1882</v>
      </c>
      <c r="R26" s="67">
        <f t="shared" si="8"/>
        <v>7</v>
      </c>
      <c r="S26" s="58">
        <v>1195.8</v>
      </c>
      <c r="T26" s="67">
        <f t="shared" si="9"/>
        <v>1</v>
      </c>
      <c r="U26" s="58">
        <v>494929</v>
      </c>
      <c r="V26" s="67">
        <f t="shared" si="10"/>
        <v>441.09999999997672</v>
      </c>
      <c r="W26" s="58">
        <v>462.24</v>
      </c>
      <c r="X26" s="65">
        <f t="shared" si="11"/>
        <v>460.00000000003638</v>
      </c>
      <c r="Y26" s="58">
        <v>3.4249999999999998</v>
      </c>
      <c r="Z26" s="65">
        <f t="shared" si="12"/>
        <v>2999.9999999996694</v>
      </c>
      <c r="AA26" s="58">
        <v>465.73</v>
      </c>
      <c r="AB26" s="65">
        <f t="shared" si="13"/>
        <v>390.0000000000432</v>
      </c>
      <c r="AC26" s="58">
        <v>445.42</v>
      </c>
      <c r="AD26" s="65">
        <f t="shared" si="14"/>
        <v>640.0000000000432</v>
      </c>
      <c r="AE26" s="58">
        <v>647.98</v>
      </c>
      <c r="AF26" s="65">
        <f t="shared" si="15"/>
        <v>629.99999999999545</v>
      </c>
      <c r="AG26" s="58">
        <v>12240</v>
      </c>
      <c r="AH26" s="67">
        <f t="shared" si="16"/>
        <v>50</v>
      </c>
      <c r="AI26" s="58">
        <v>755.84</v>
      </c>
      <c r="AJ26" s="65">
        <f t="shared" si="17"/>
        <v>820.00000000005002</v>
      </c>
      <c r="AK26" s="58">
        <v>253.01</v>
      </c>
      <c r="AL26" s="65">
        <f t="shared" si="18"/>
        <v>229.99999999998977</v>
      </c>
      <c r="AM26" s="58">
        <v>236.59</v>
      </c>
      <c r="AN26" s="65">
        <f t="shared" si="19"/>
        <v>360.00000000001364</v>
      </c>
      <c r="AO26" s="58">
        <v>228.26</v>
      </c>
      <c r="AP26" s="65">
        <f t="shared" si="20"/>
        <v>280.00000000000114</v>
      </c>
      <c r="AQ26" s="58">
        <v>285.05</v>
      </c>
      <c r="AR26" s="65">
        <f t="shared" si="21"/>
        <v>250</v>
      </c>
      <c r="AS26" s="58">
        <v>412.24</v>
      </c>
      <c r="AT26" s="65">
        <f t="shared" si="22"/>
        <v>250</v>
      </c>
      <c r="AU26" s="58">
        <v>317.95999999999998</v>
      </c>
      <c r="AV26" s="65">
        <f t="shared" si="23"/>
        <v>279.99999999997272</v>
      </c>
      <c r="AW26" s="58">
        <v>349.65</v>
      </c>
      <c r="AX26" s="65">
        <f t="shared" si="24"/>
        <v>129.99999999999545</v>
      </c>
      <c r="AY26" s="58">
        <v>385.89</v>
      </c>
      <c r="AZ26" s="65">
        <f t="shared" si="25"/>
        <v>110.00000000001364</v>
      </c>
      <c r="BA26" s="58">
        <v>405.44</v>
      </c>
      <c r="BB26" s="65">
        <f t="shared" si="26"/>
        <v>189.99999999999773</v>
      </c>
      <c r="BC26" s="58">
        <v>259.69</v>
      </c>
      <c r="BD26" s="65">
        <f t="shared" si="27"/>
        <v>60.000000000002274</v>
      </c>
      <c r="BE26" s="59">
        <v>47301</v>
      </c>
      <c r="BF26" s="67">
        <f t="shared" si="28"/>
        <v>41</v>
      </c>
      <c r="BG26" s="60">
        <v>242.82</v>
      </c>
      <c r="BH26" s="65">
        <f t="shared" si="29"/>
        <v>49.999999999982947</v>
      </c>
      <c r="BI26" s="60">
        <v>299.02</v>
      </c>
      <c r="BJ26" s="65">
        <f t="shared" si="30"/>
        <v>39.99999999996362</v>
      </c>
      <c r="BK26" s="60">
        <v>245.46</v>
      </c>
      <c r="BL26" s="65">
        <f t="shared" si="31"/>
        <v>50.000000000011369</v>
      </c>
      <c r="BM26" s="60">
        <v>232.62</v>
      </c>
      <c r="BN26" s="65">
        <f t="shared" si="32"/>
        <v>50.000000000011369</v>
      </c>
      <c r="BO26" s="60">
        <v>298.23</v>
      </c>
      <c r="BP26" s="65">
        <f t="shared" si="33"/>
        <v>69.999999999993179</v>
      </c>
      <c r="BQ26" s="60">
        <v>51710</v>
      </c>
      <c r="BR26" s="65">
        <f t="shared" si="34"/>
        <v>35</v>
      </c>
      <c r="BS26" s="60">
        <v>209.3</v>
      </c>
      <c r="BT26" s="65">
        <f t="shared" si="35"/>
        <v>70.0000000000216</v>
      </c>
      <c r="BU26" s="60">
        <v>48533</v>
      </c>
      <c r="BV26" s="65">
        <f t="shared" si="36"/>
        <v>49</v>
      </c>
      <c r="BW26" s="60">
        <v>238.13</v>
      </c>
      <c r="BX26" s="65">
        <f t="shared" si="37"/>
        <v>39.999999999992042</v>
      </c>
      <c r="BY26" s="60">
        <v>68281</v>
      </c>
      <c r="BZ26" s="67">
        <f t="shared" si="38"/>
        <v>50</v>
      </c>
      <c r="CA26" s="60">
        <v>42155.1</v>
      </c>
      <c r="CB26" s="67">
        <f t="shared" si="39"/>
        <v>41.69999999999709</v>
      </c>
      <c r="CC26" s="60">
        <v>14131.9</v>
      </c>
      <c r="CD26" s="67">
        <f t="shared" si="40"/>
        <v>6.8999999999996362</v>
      </c>
      <c r="CE26" s="60">
        <v>7503.9</v>
      </c>
      <c r="CF26" s="67">
        <f t="shared" si="41"/>
        <v>0</v>
      </c>
      <c r="CG26" s="60">
        <v>68855.8</v>
      </c>
      <c r="CH26" s="67">
        <f t="shared" si="42"/>
        <v>42.600000000005821</v>
      </c>
      <c r="CI26" s="60">
        <v>1008597</v>
      </c>
      <c r="CJ26" s="67">
        <f t="shared" si="43"/>
        <v>303</v>
      </c>
      <c r="CK26" s="60">
        <v>899.13</v>
      </c>
      <c r="CL26" s="64">
        <f t="shared" si="44"/>
        <v>590.00000000003183</v>
      </c>
      <c r="CM26" s="65">
        <f t="shared" si="45"/>
        <v>82.299999999999272</v>
      </c>
      <c r="CN26" s="62">
        <v>22</v>
      </c>
      <c r="CO26" s="62">
        <v>42</v>
      </c>
      <c r="CP26" s="68">
        <v>20760</v>
      </c>
      <c r="CQ26" s="67">
        <f t="shared" si="46"/>
        <v>68.299999999999272</v>
      </c>
      <c r="CR26" s="68">
        <v>18761</v>
      </c>
      <c r="CS26" s="67">
        <f t="shared" si="47"/>
        <v>14</v>
      </c>
      <c r="CT26" s="75">
        <v>8677</v>
      </c>
      <c r="CU26" s="67">
        <f t="shared" si="48"/>
        <v>10</v>
      </c>
      <c r="CV26" s="68">
        <v>21347</v>
      </c>
      <c r="CW26" s="67">
        <f t="shared" si="49"/>
        <v>35</v>
      </c>
      <c r="CX26" s="58">
        <v>1635.5</v>
      </c>
      <c r="CY26" s="67">
        <f t="shared" si="50"/>
        <v>11.700000000000045</v>
      </c>
    </row>
    <row r="27" spans="1:103" ht="25.5" customHeight="1" thickBot="1" x14ac:dyDescent="0.45">
      <c r="A27" s="63">
        <v>44585</v>
      </c>
      <c r="B27" s="44"/>
      <c r="C27" s="58">
        <v>2.8233999999999999</v>
      </c>
      <c r="D27" s="64">
        <f t="shared" si="1"/>
        <v>2799.9999999996917</v>
      </c>
      <c r="E27" s="58">
        <v>3.9022999999999999</v>
      </c>
      <c r="F27" s="64">
        <f t="shared" si="2"/>
        <v>3400.0000000000696</v>
      </c>
      <c r="G27" s="58">
        <v>3.8927999999999998</v>
      </c>
      <c r="H27" s="64">
        <f t="shared" si="3"/>
        <v>2799.9999999996917</v>
      </c>
      <c r="I27" s="58">
        <v>1.9412</v>
      </c>
      <c r="J27" s="64">
        <f t="shared" si="4"/>
        <v>1700.0000000000348</v>
      </c>
      <c r="K27" s="58">
        <v>3.0758000000000001</v>
      </c>
      <c r="L27" s="64">
        <f t="shared" si="5"/>
        <v>2299.9999999999686</v>
      </c>
      <c r="M27" s="58">
        <v>1.7072000000000001</v>
      </c>
      <c r="N27" s="64">
        <f t="shared" si="6"/>
        <v>1600.0000000000459</v>
      </c>
      <c r="O27" s="58">
        <v>16629</v>
      </c>
      <c r="P27" s="67">
        <f t="shared" si="7"/>
        <v>29</v>
      </c>
      <c r="Q27" s="58">
        <v>1886</v>
      </c>
      <c r="R27" s="67">
        <f t="shared" si="8"/>
        <v>4</v>
      </c>
      <c r="S27" s="58">
        <v>1196.7</v>
      </c>
      <c r="T27" s="67">
        <f t="shared" si="9"/>
        <v>0.90000000000009095</v>
      </c>
      <c r="U27" s="58">
        <v>495284.6</v>
      </c>
      <c r="V27" s="67">
        <f t="shared" si="10"/>
        <v>355.59999999997672</v>
      </c>
      <c r="W27" s="58">
        <v>462.62</v>
      </c>
      <c r="X27" s="65">
        <f t="shared" si="11"/>
        <v>379.99999999999545</v>
      </c>
      <c r="Y27" s="58">
        <v>3.4279999999999999</v>
      </c>
      <c r="Z27" s="65">
        <f t="shared" si="12"/>
        <v>3000.0000000001137</v>
      </c>
      <c r="AA27" s="58">
        <v>466.11</v>
      </c>
      <c r="AB27" s="65">
        <f t="shared" si="13"/>
        <v>379.99999999999545</v>
      </c>
      <c r="AC27" s="58">
        <v>446</v>
      </c>
      <c r="AD27" s="65">
        <f t="shared" si="14"/>
        <v>579.99999999998408</v>
      </c>
      <c r="AE27" s="58">
        <v>648.51</v>
      </c>
      <c r="AF27" s="65">
        <f t="shared" si="15"/>
        <v>529.99999999997272</v>
      </c>
      <c r="AG27" s="58">
        <v>12284</v>
      </c>
      <c r="AH27" s="67">
        <f t="shared" si="16"/>
        <v>44</v>
      </c>
      <c r="AI27" s="58">
        <v>756.59</v>
      </c>
      <c r="AJ27" s="65">
        <v>253.2</v>
      </c>
      <c r="AK27" s="58">
        <v>253.2</v>
      </c>
      <c r="AL27" s="65">
        <f t="shared" si="18"/>
        <v>189.99999999999773</v>
      </c>
      <c r="AM27" s="58">
        <v>236.89</v>
      </c>
      <c r="AN27" s="65">
        <f t="shared" si="19"/>
        <v>299.99999999998295</v>
      </c>
      <c r="AO27" s="58">
        <v>228.51</v>
      </c>
      <c r="AP27" s="65">
        <f t="shared" si="20"/>
        <v>250</v>
      </c>
      <c r="AQ27" s="58">
        <v>285.25</v>
      </c>
      <c r="AR27" s="65">
        <f t="shared" si="21"/>
        <v>199.99999999998863</v>
      </c>
      <c r="AS27" s="58">
        <v>412.43</v>
      </c>
      <c r="AT27" s="65">
        <f t="shared" si="22"/>
        <v>189.99999999999773</v>
      </c>
      <c r="AU27" s="58">
        <v>318.19</v>
      </c>
      <c r="AV27" s="65">
        <f t="shared" si="23"/>
        <v>230.00000000001819</v>
      </c>
      <c r="AW27" s="58">
        <v>349.76</v>
      </c>
      <c r="AX27" s="65">
        <f t="shared" si="24"/>
        <v>110.00000000001364</v>
      </c>
      <c r="AY27" s="58">
        <v>385.97</v>
      </c>
      <c r="AZ27" s="65">
        <f t="shared" si="25"/>
        <v>80.000000000040927</v>
      </c>
      <c r="BA27" s="58">
        <v>405.6</v>
      </c>
      <c r="BB27" s="65">
        <f t="shared" si="26"/>
        <v>160.00000000002501</v>
      </c>
      <c r="BC27" s="58">
        <v>259.74</v>
      </c>
      <c r="BD27" s="65">
        <f t="shared" si="27"/>
        <v>50.000000000011369</v>
      </c>
      <c r="BE27" s="59">
        <v>47353</v>
      </c>
      <c r="BF27" s="67">
        <f t="shared" si="28"/>
        <v>52</v>
      </c>
      <c r="BG27" s="60">
        <v>242.87</v>
      </c>
      <c r="BH27" s="65">
        <f t="shared" si="29"/>
        <v>50.000000000011369</v>
      </c>
      <c r="BI27" s="60">
        <v>299.05</v>
      </c>
      <c r="BJ27" s="65">
        <f t="shared" si="30"/>
        <v>30.000000000029559</v>
      </c>
      <c r="BK27" s="60">
        <v>245.52</v>
      </c>
      <c r="BL27" s="65">
        <f t="shared" si="31"/>
        <v>60.000000000002274</v>
      </c>
      <c r="BM27" s="60">
        <v>232.67</v>
      </c>
      <c r="BN27" s="65">
        <f t="shared" si="32"/>
        <v>49.999999999982947</v>
      </c>
      <c r="BO27" s="60">
        <v>298.29000000000002</v>
      </c>
      <c r="BP27" s="65">
        <f t="shared" si="33"/>
        <v>60.000000000002274</v>
      </c>
      <c r="BQ27" s="60">
        <v>51745</v>
      </c>
      <c r="BR27" s="65">
        <f t="shared" si="34"/>
        <v>35</v>
      </c>
      <c r="BS27" s="60">
        <v>209.36</v>
      </c>
      <c r="BT27" s="65">
        <f t="shared" si="35"/>
        <v>60.000000000002274</v>
      </c>
      <c r="BU27" s="60">
        <v>48575</v>
      </c>
      <c r="BV27" s="65">
        <f t="shared" si="36"/>
        <v>42</v>
      </c>
      <c r="BW27" s="60">
        <v>238.16</v>
      </c>
      <c r="BX27" s="65">
        <f t="shared" si="37"/>
        <v>30.000000000001137</v>
      </c>
      <c r="BY27" s="60">
        <v>68328</v>
      </c>
      <c r="BZ27" s="67">
        <f t="shared" si="38"/>
        <v>47</v>
      </c>
      <c r="CA27" s="60">
        <v>42214.1</v>
      </c>
      <c r="CB27" s="67">
        <f t="shared" si="39"/>
        <v>59</v>
      </c>
      <c r="CC27" s="60">
        <v>14138.2</v>
      </c>
      <c r="CD27" s="67">
        <f t="shared" si="40"/>
        <v>6.3000000000010914</v>
      </c>
      <c r="CE27" s="60">
        <v>7503.9</v>
      </c>
      <c r="CF27" s="67">
        <f t="shared" si="41"/>
        <v>0</v>
      </c>
      <c r="CG27" s="60">
        <v>68903.100000000006</v>
      </c>
      <c r="CH27" s="67">
        <f t="shared" si="42"/>
        <v>47.30000000000291</v>
      </c>
      <c r="CI27" s="60">
        <v>1008904</v>
      </c>
      <c r="CJ27" s="67">
        <f t="shared" si="43"/>
        <v>307</v>
      </c>
      <c r="CK27" s="60">
        <v>899.86</v>
      </c>
      <c r="CL27" s="64">
        <f t="shared" si="44"/>
        <v>730.00000000001819</v>
      </c>
      <c r="CM27" s="65">
        <f t="shared" si="45"/>
        <v>83</v>
      </c>
      <c r="CN27" s="62">
        <v>22</v>
      </c>
      <c r="CO27" s="62">
        <v>42</v>
      </c>
      <c r="CP27" s="68">
        <v>20820</v>
      </c>
      <c r="CQ27" s="67">
        <f t="shared" si="46"/>
        <v>60</v>
      </c>
      <c r="CR27" s="68">
        <v>18784</v>
      </c>
      <c r="CS27" s="67">
        <f t="shared" si="47"/>
        <v>23</v>
      </c>
      <c r="CT27" s="75">
        <v>8683</v>
      </c>
      <c r="CU27" s="67">
        <f t="shared" si="48"/>
        <v>6</v>
      </c>
      <c r="CV27" s="68">
        <v>21379</v>
      </c>
      <c r="CW27" s="67">
        <f t="shared" si="49"/>
        <v>32</v>
      </c>
      <c r="CX27" s="58">
        <v>1644.2</v>
      </c>
      <c r="CY27" s="67">
        <f t="shared" si="50"/>
        <v>8.7000000000000455</v>
      </c>
    </row>
    <row r="28" spans="1:103" ht="25.5" customHeight="1" thickBot="1" x14ac:dyDescent="0.45">
      <c r="A28" s="63">
        <v>44586</v>
      </c>
      <c r="B28" s="44"/>
      <c r="C28" s="58">
        <v>2.8260999999999998</v>
      </c>
      <c r="D28" s="64">
        <f t="shared" si="1"/>
        <v>2699.9999999999245</v>
      </c>
      <c r="E28" s="58">
        <v>3.9056000000000002</v>
      </c>
      <c r="F28" s="64">
        <f t="shared" si="2"/>
        <v>3300.0000000003029</v>
      </c>
      <c r="G28" s="58">
        <v>3.8954</v>
      </c>
      <c r="H28" s="64">
        <f t="shared" si="3"/>
        <v>2600.0000000001578</v>
      </c>
      <c r="I28" s="58">
        <v>1.9427000000000001</v>
      </c>
      <c r="J28" s="64">
        <f t="shared" si="4"/>
        <v>1500.0000000000568</v>
      </c>
      <c r="K28" s="58">
        <v>3.0781000000000001</v>
      </c>
      <c r="L28" s="64">
        <f t="shared" si="5"/>
        <v>2299.9999999999686</v>
      </c>
      <c r="M28" s="58">
        <v>1.7087000000000001</v>
      </c>
      <c r="N28" s="64">
        <f t="shared" si="6"/>
        <v>1500.0000000000568</v>
      </c>
      <c r="O28" s="58">
        <v>16661</v>
      </c>
      <c r="P28" s="67">
        <f t="shared" si="7"/>
        <v>32</v>
      </c>
      <c r="Q28" s="58">
        <v>1891</v>
      </c>
      <c r="R28" s="67">
        <f t="shared" si="8"/>
        <v>5</v>
      </c>
      <c r="S28" s="58">
        <v>1197.5999999999999</v>
      </c>
      <c r="T28" s="67">
        <f t="shared" si="9"/>
        <v>0.89999999999986358</v>
      </c>
      <c r="U28" s="58">
        <v>495684.5</v>
      </c>
      <c r="V28" s="67">
        <f t="shared" si="10"/>
        <v>399.90000000002328</v>
      </c>
      <c r="W28" s="58">
        <v>463.06</v>
      </c>
      <c r="X28" s="65">
        <f t="shared" si="11"/>
        <v>439.99999999999773</v>
      </c>
      <c r="Y28" s="58">
        <v>3.4308999999999998</v>
      </c>
      <c r="Z28" s="65">
        <f t="shared" si="12"/>
        <v>2899.9999999999027</v>
      </c>
      <c r="AA28" s="58">
        <v>466.38</v>
      </c>
      <c r="AB28" s="65">
        <f t="shared" si="13"/>
        <v>269.99999999998181</v>
      </c>
      <c r="AC28" s="58">
        <v>446.56</v>
      </c>
      <c r="AD28" s="65">
        <f t="shared" si="14"/>
        <v>560.00000000000227</v>
      </c>
      <c r="AE28" s="58">
        <v>649.08000000000004</v>
      </c>
      <c r="AF28" s="65">
        <f t="shared" si="15"/>
        <v>570.00000000005002</v>
      </c>
      <c r="AG28" s="58">
        <v>12324</v>
      </c>
      <c r="AH28" s="67">
        <f t="shared" si="16"/>
        <v>40</v>
      </c>
      <c r="AI28" s="58">
        <v>757.3</v>
      </c>
      <c r="AJ28" s="65">
        <f t="shared" si="17"/>
        <v>709.99999999992269</v>
      </c>
      <c r="AK28" s="58">
        <v>253.39</v>
      </c>
      <c r="AL28" s="65">
        <f t="shared" si="18"/>
        <v>189.99999999999773</v>
      </c>
      <c r="AM28" s="58">
        <v>237.16</v>
      </c>
      <c r="AN28" s="65">
        <f t="shared" si="19"/>
        <v>270.00000000001023</v>
      </c>
      <c r="AO28" s="58">
        <v>228.72</v>
      </c>
      <c r="AP28" s="65">
        <f t="shared" si="20"/>
        <v>210.00000000000796</v>
      </c>
      <c r="AQ28" s="58">
        <v>285.43</v>
      </c>
      <c r="AR28" s="65">
        <f t="shared" si="21"/>
        <v>180.00000000000682</v>
      </c>
      <c r="AS28" s="58">
        <v>412.61</v>
      </c>
      <c r="AT28" s="65">
        <f t="shared" si="22"/>
        <v>180.00000000000682</v>
      </c>
      <c r="AU28" s="58">
        <v>318.39999999999998</v>
      </c>
      <c r="AV28" s="65">
        <f t="shared" si="23"/>
        <v>209.99999999997954</v>
      </c>
      <c r="AW28" s="58">
        <v>349.93</v>
      </c>
      <c r="AX28" s="65">
        <f t="shared" si="24"/>
        <v>170.00000000001592</v>
      </c>
      <c r="AY28" s="58">
        <v>386.06</v>
      </c>
      <c r="AZ28" s="65">
        <f t="shared" si="25"/>
        <v>89.999999999974989</v>
      </c>
      <c r="BA28" s="58">
        <v>405.78</v>
      </c>
      <c r="BB28" s="65">
        <f t="shared" si="26"/>
        <v>179.99999999994998</v>
      </c>
      <c r="BC28" s="58">
        <v>259.79000000000002</v>
      </c>
      <c r="BD28" s="65">
        <f t="shared" si="27"/>
        <v>50.000000000011369</v>
      </c>
      <c r="BE28" s="59">
        <v>47388</v>
      </c>
      <c r="BF28" s="67">
        <f t="shared" si="28"/>
        <v>35</v>
      </c>
      <c r="BG28" s="60">
        <v>242.92</v>
      </c>
      <c r="BH28" s="65">
        <f t="shared" si="29"/>
        <v>49.999999999982947</v>
      </c>
      <c r="BI28" s="60">
        <v>299.08999999999997</v>
      </c>
      <c r="BJ28" s="65">
        <f t="shared" si="30"/>
        <v>39.99999999996362</v>
      </c>
      <c r="BK28" s="60">
        <v>245.57</v>
      </c>
      <c r="BL28" s="65">
        <f t="shared" si="31"/>
        <v>49.999999999982947</v>
      </c>
      <c r="BM28" s="60">
        <v>232.72</v>
      </c>
      <c r="BN28" s="65">
        <f t="shared" si="32"/>
        <v>50.000000000011369</v>
      </c>
      <c r="BO28" s="60">
        <v>298.35000000000002</v>
      </c>
      <c r="BP28" s="65">
        <f t="shared" si="33"/>
        <v>60.000000000002274</v>
      </c>
      <c r="BQ28" s="60">
        <v>51776</v>
      </c>
      <c r="BR28" s="65">
        <f t="shared" si="34"/>
        <v>31</v>
      </c>
      <c r="BS28" s="60">
        <v>209.41</v>
      </c>
      <c r="BT28" s="65">
        <f t="shared" si="35"/>
        <v>49.999999999982947</v>
      </c>
      <c r="BU28" s="60">
        <v>48615</v>
      </c>
      <c r="BV28" s="65">
        <f t="shared" si="36"/>
        <v>40</v>
      </c>
      <c r="BW28" s="60">
        <v>238.2</v>
      </c>
      <c r="BX28" s="65">
        <f t="shared" si="37"/>
        <v>39.999999999992042</v>
      </c>
      <c r="BY28" s="60">
        <v>68367</v>
      </c>
      <c r="BZ28" s="67">
        <f t="shared" si="38"/>
        <v>39</v>
      </c>
      <c r="CA28" s="60">
        <v>42273.3</v>
      </c>
      <c r="CB28" s="67">
        <f t="shared" si="39"/>
        <v>59.200000000004366</v>
      </c>
      <c r="CC28" s="60">
        <v>14144.7</v>
      </c>
      <c r="CD28" s="67">
        <f t="shared" si="40"/>
        <v>6.5</v>
      </c>
      <c r="CE28" s="60">
        <v>7512.5</v>
      </c>
      <c r="CF28" s="67">
        <f t="shared" si="41"/>
        <v>8.6000000000003638</v>
      </c>
      <c r="CG28" s="60">
        <v>68940.800000000003</v>
      </c>
      <c r="CH28" s="67">
        <f t="shared" si="42"/>
        <v>37.69999999999709</v>
      </c>
      <c r="CI28" s="60">
        <v>1009200</v>
      </c>
      <c r="CJ28" s="67">
        <f t="shared" si="43"/>
        <v>296</v>
      </c>
      <c r="CK28" s="60">
        <v>900.43</v>
      </c>
      <c r="CL28" s="64">
        <f t="shared" si="44"/>
        <v>569.99999999993634</v>
      </c>
      <c r="CM28" s="65">
        <f t="shared" si="45"/>
        <v>77</v>
      </c>
      <c r="CN28" s="62">
        <v>22</v>
      </c>
      <c r="CO28" s="62">
        <v>44</v>
      </c>
      <c r="CP28" s="68">
        <v>20882</v>
      </c>
      <c r="CQ28" s="67">
        <f t="shared" si="46"/>
        <v>62</v>
      </c>
      <c r="CR28" s="68">
        <v>18799</v>
      </c>
      <c r="CS28" s="67">
        <f t="shared" si="47"/>
        <v>15</v>
      </c>
      <c r="CT28" s="75">
        <v>8692</v>
      </c>
      <c r="CU28" s="67">
        <f t="shared" si="48"/>
        <v>9</v>
      </c>
      <c r="CV28" s="68">
        <v>21401</v>
      </c>
      <c r="CW28" s="67">
        <f t="shared" si="49"/>
        <v>22</v>
      </c>
      <c r="CX28" s="58">
        <v>1655.4</v>
      </c>
      <c r="CY28" s="67">
        <f t="shared" si="50"/>
        <v>11.200000000000045</v>
      </c>
    </row>
    <row r="29" spans="1:103" ht="25.5" customHeight="1" thickBot="1" x14ac:dyDescent="0.45">
      <c r="A29" s="63">
        <v>44587</v>
      </c>
      <c r="B29" s="44"/>
      <c r="C29" s="58">
        <v>2.8285999999999998</v>
      </c>
      <c r="D29" s="64">
        <f t="shared" si="1"/>
        <v>2499.9999999999468</v>
      </c>
      <c r="E29" s="58">
        <v>3.9089</v>
      </c>
      <c r="F29" s="64">
        <f t="shared" si="2"/>
        <v>3299.9999999998586</v>
      </c>
      <c r="G29" s="58">
        <v>3.8978000000000002</v>
      </c>
      <c r="H29" s="64">
        <f t="shared" si="3"/>
        <v>2400.0000000001796</v>
      </c>
      <c r="I29" s="58">
        <v>1.9440999999999999</v>
      </c>
      <c r="J29" s="64">
        <f t="shared" si="4"/>
        <v>1399.9999999998458</v>
      </c>
      <c r="K29" s="58">
        <v>3.0800999999999998</v>
      </c>
      <c r="L29" s="64">
        <f t="shared" si="5"/>
        <v>1999.9999999997797</v>
      </c>
      <c r="M29" s="58">
        <v>1.7101999999999999</v>
      </c>
      <c r="N29" s="64">
        <f t="shared" si="6"/>
        <v>1499.9999999998347</v>
      </c>
      <c r="O29" s="58">
        <v>16682</v>
      </c>
      <c r="P29" s="67">
        <f t="shared" si="7"/>
        <v>21</v>
      </c>
      <c r="Q29" s="58">
        <v>1894</v>
      </c>
      <c r="R29" s="67">
        <f t="shared" si="8"/>
        <v>3</v>
      </c>
      <c r="S29" s="58">
        <v>1198.5</v>
      </c>
      <c r="T29" s="67">
        <f t="shared" si="9"/>
        <v>0.90000000000009095</v>
      </c>
      <c r="U29" s="58">
        <v>496042.6</v>
      </c>
      <c r="V29" s="67">
        <f t="shared" si="10"/>
        <v>358.09999999997672</v>
      </c>
      <c r="W29" s="58">
        <v>463.44</v>
      </c>
      <c r="X29" s="65">
        <f t="shared" si="11"/>
        <v>379.99999999999545</v>
      </c>
      <c r="Y29" s="58">
        <v>3.4338000000000002</v>
      </c>
      <c r="Z29" s="65">
        <f t="shared" si="12"/>
        <v>2900.0000000003465</v>
      </c>
      <c r="AA29" s="58">
        <v>466.77</v>
      </c>
      <c r="AB29" s="65">
        <f t="shared" si="13"/>
        <v>389.99999999998636</v>
      </c>
      <c r="AC29" s="58">
        <v>447.06</v>
      </c>
      <c r="AD29" s="65">
        <f t="shared" si="14"/>
        <v>500</v>
      </c>
      <c r="AE29" s="58">
        <v>649.55600000000004</v>
      </c>
      <c r="AF29" s="65">
        <f t="shared" si="15"/>
        <v>475.99999999999909</v>
      </c>
      <c r="AG29" s="58">
        <v>12364</v>
      </c>
      <c r="AH29" s="67">
        <f t="shared" si="16"/>
        <v>40</v>
      </c>
      <c r="AI29" s="58">
        <v>757.97</v>
      </c>
      <c r="AJ29" s="65">
        <f t="shared" si="17"/>
        <v>670.00000000007276</v>
      </c>
      <c r="AK29" s="58">
        <v>253.62</v>
      </c>
      <c r="AL29" s="65">
        <f t="shared" si="18"/>
        <v>230.00000000001819</v>
      </c>
      <c r="AM29" s="58">
        <v>237.43</v>
      </c>
      <c r="AN29" s="65">
        <f t="shared" si="19"/>
        <v>270.00000000001023</v>
      </c>
      <c r="AO29" s="58">
        <v>228.92</v>
      </c>
      <c r="AP29" s="65">
        <f t="shared" si="20"/>
        <v>199.99999999998863</v>
      </c>
      <c r="AQ29" s="58">
        <v>285.58</v>
      </c>
      <c r="AR29" s="65">
        <f t="shared" si="21"/>
        <v>149.99999999997726</v>
      </c>
      <c r="AS29" s="58">
        <v>412.78</v>
      </c>
      <c r="AT29" s="65">
        <f t="shared" si="22"/>
        <v>169.99999999995907</v>
      </c>
      <c r="AU29" s="58">
        <v>318.58999999999997</v>
      </c>
      <c r="AV29" s="65">
        <f t="shared" si="23"/>
        <v>189.99999999999773</v>
      </c>
      <c r="AW29" s="58">
        <v>350.12</v>
      </c>
      <c r="AX29" s="65">
        <f t="shared" si="24"/>
        <v>189.99999999999773</v>
      </c>
      <c r="AY29" s="58">
        <v>386.15</v>
      </c>
      <c r="AZ29" s="65">
        <f t="shared" si="25"/>
        <v>89.999999999974989</v>
      </c>
      <c r="BA29" s="58">
        <v>405.92</v>
      </c>
      <c r="BB29" s="65">
        <f t="shared" si="26"/>
        <v>140.0000000000432</v>
      </c>
      <c r="BC29" s="58">
        <v>259.83</v>
      </c>
      <c r="BD29" s="65">
        <f t="shared" si="27"/>
        <v>39.99999999996362</v>
      </c>
      <c r="BE29" s="59">
        <v>47409</v>
      </c>
      <c r="BF29" s="67">
        <f t="shared" si="28"/>
        <v>21</v>
      </c>
      <c r="BG29" s="60">
        <v>242.96</v>
      </c>
      <c r="BH29" s="65">
        <f t="shared" si="29"/>
        <v>40.000000000020464</v>
      </c>
      <c r="BI29" s="60">
        <v>299.12</v>
      </c>
      <c r="BJ29" s="65">
        <f t="shared" si="30"/>
        <v>30.000000000029559</v>
      </c>
      <c r="BK29" s="60">
        <v>245.62</v>
      </c>
      <c r="BL29" s="65">
        <f t="shared" si="31"/>
        <v>50.000000000011369</v>
      </c>
      <c r="BM29" s="60">
        <v>232.76</v>
      </c>
      <c r="BN29" s="65">
        <f t="shared" si="32"/>
        <v>39.999999999992042</v>
      </c>
      <c r="BO29" s="60">
        <v>298.41000000000003</v>
      </c>
      <c r="BP29" s="65">
        <f t="shared" si="33"/>
        <v>60.000000000002274</v>
      </c>
      <c r="BQ29" s="60">
        <v>51803</v>
      </c>
      <c r="BR29" s="65">
        <f t="shared" si="34"/>
        <v>27</v>
      </c>
      <c r="BS29" s="60">
        <v>209.47</v>
      </c>
      <c r="BT29" s="65">
        <f t="shared" si="35"/>
        <v>60.000000000002274</v>
      </c>
      <c r="BU29" s="60">
        <v>48651</v>
      </c>
      <c r="BV29" s="65">
        <f t="shared" si="36"/>
        <v>36</v>
      </c>
      <c r="BW29" s="60">
        <v>238.24</v>
      </c>
      <c r="BX29" s="65">
        <f t="shared" si="37"/>
        <v>40.000000000020464</v>
      </c>
      <c r="BY29" s="60">
        <v>68408</v>
      </c>
      <c r="BZ29" s="67">
        <f t="shared" si="38"/>
        <v>41</v>
      </c>
      <c r="CA29" s="60">
        <v>42335.5</v>
      </c>
      <c r="CB29" s="67">
        <f t="shared" si="39"/>
        <v>62.19999999999709</v>
      </c>
      <c r="CC29" s="60">
        <v>14155</v>
      </c>
      <c r="CD29" s="67">
        <f t="shared" si="40"/>
        <v>10.299999999999272</v>
      </c>
      <c r="CE29" s="60">
        <v>7514</v>
      </c>
      <c r="CF29" s="67">
        <f t="shared" si="41"/>
        <v>1.5</v>
      </c>
      <c r="CG29" s="60">
        <v>68973.7</v>
      </c>
      <c r="CH29" s="67">
        <f t="shared" si="42"/>
        <v>32.899999999994179</v>
      </c>
      <c r="CI29" s="60">
        <v>1009484</v>
      </c>
      <c r="CJ29" s="67">
        <f t="shared" si="43"/>
        <v>284</v>
      </c>
      <c r="CK29" s="60">
        <v>900.95</v>
      </c>
      <c r="CL29" s="64">
        <f t="shared" si="44"/>
        <v>520.0000000000955</v>
      </c>
      <c r="CM29" s="65">
        <f t="shared" si="45"/>
        <v>67</v>
      </c>
      <c r="CN29" s="62">
        <v>31</v>
      </c>
      <c r="CO29" s="62">
        <v>59</v>
      </c>
      <c r="CP29" s="68">
        <v>20936</v>
      </c>
      <c r="CQ29" s="67">
        <f t="shared" si="46"/>
        <v>54</v>
      </c>
      <c r="CR29" s="68">
        <v>18812</v>
      </c>
      <c r="CS29" s="67">
        <f t="shared" si="47"/>
        <v>13</v>
      </c>
      <c r="CT29" s="75">
        <v>8700</v>
      </c>
      <c r="CU29" s="67">
        <f t="shared" si="48"/>
        <v>8</v>
      </c>
      <c r="CV29" s="68">
        <v>21421</v>
      </c>
      <c r="CW29" s="67">
        <f t="shared" si="49"/>
        <v>20</v>
      </c>
      <c r="CX29" s="58">
        <v>1665.2</v>
      </c>
      <c r="CY29" s="67">
        <f t="shared" si="50"/>
        <v>9.7999999999999545</v>
      </c>
    </row>
    <row r="30" spans="1:103" ht="25.5" customHeight="1" thickBot="1" x14ac:dyDescent="0.45">
      <c r="A30" s="63">
        <v>44588</v>
      </c>
      <c r="B30" s="44"/>
      <c r="C30" s="58">
        <v>2.8313999999999999</v>
      </c>
      <c r="D30" s="64">
        <f t="shared" si="1"/>
        <v>2800.0000000001355</v>
      </c>
      <c r="E30" s="58">
        <v>3.9119000000000002</v>
      </c>
      <c r="F30" s="64">
        <f t="shared" si="2"/>
        <v>3000.0000000001137</v>
      </c>
      <c r="G30" s="58">
        <v>3.9003999999999999</v>
      </c>
      <c r="H30" s="64">
        <f t="shared" si="3"/>
        <v>2599.9999999997135</v>
      </c>
      <c r="I30" s="58">
        <v>1.9455</v>
      </c>
      <c r="J30" s="64">
        <f t="shared" si="4"/>
        <v>1400.0000000000678</v>
      </c>
      <c r="K30" s="58">
        <v>3.0819000000000001</v>
      </c>
      <c r="L30" s="64">
        <f t="shared" si="5"/>
        <v>1800.0000000002458</v>
      </c>
      <c r="M30" s="58">
        <v>1.7116</v>
      </c>
      <c r="N30" s="64">
        <f t="shared" si="6"/>
        <v>1400.0000000000678</v>
      </c>
      <c r="O30" s="58">
        <v>16696</v>
      </c>
      <c r="P30" s="67">
        <f t="shared" si="7"/>
        <v>14</v>
      </c>
      <c r="Q30" s="58">
        <v>1897</v>
      </c>
      <c r="R30" s="67">
        <f t="shared" si="8"/>
        <v>3</v>
      </c>
      <c r="S30" s="58">
        <v>1199.5</v>
      </c>
      <c r="T30" s="67">
        <f t="shared" si="9"/>
        <v>1</v>
      </c>
      <c r="U30" s="58">
        <v>496373</v>
      </c>
      <c r="V30" s="67">
        <f t="shared" si="10"/>
        <v>330.40000000002328</v>
      </c>
      <c r="W30" s="58">
        <v>463.81</v>
      </c>
      <c r="X30" s="65">
        <f t="shared" si="11"/>
        <v>370.00000000000455</v>
      </c>
      <c r="Y30" s="58">
        <v>3.4363999999999999</v>
      </c>
      <c r="Z30" s="65">
        <f t="shared" si="12"/>
        <v>2599.9999999997135</v>
      </c>
      <c r="AA30" s="58">
        <v>467.17</v>
      </c>
      <c r="AB30" s="65">
        <f t="shared" si="13"/>
        <v>400.00000000003411</v>
      </c>
      <c r="AC30" s="58">
        <v>447.58</v>
      </c>
      <c r="AD30" s="65">
        <f t="shared" si="14"/>
        <v>519.99999999998181</v>
      </c>
      <c r="AE30" s="58">
        <v>649.98</v>
      </c>
      <c r="AF30" s="65">
        <f t="shared" si="15"/>
        <v>423.99999999997817</v>
      </c>
      <c r="AG30" s="58">
        <v>12399</v>
      </c>
      <c r="AH30" s="67">
        <f t="shared" si="16"/>
        <v>35</v>
      </c>
      <c r="AI30" s="58">
        <v>758.58</v>
      </c>
      <c r="AJ30" s="65">
        <f t="shared" si="17"/>
        <v>610.00000000001364</v>
      </c>
      <c r="AK30" s="58">
        <v>253.86</v>
      </c>
      <c r="AL30" s="65">
        <f t="shared" si="18"/>
        <v>240.00000000000909</v>
      </c>
      <c r="AM30" s="58">
        <v>237.67</v>
      </c>
      <c r="AN30" s="65">
        <f t="shared" si="19"/>
        <v>239.99999999998067</v>
      </c>
      <c r="AO30" s="58">
        <v>229.09</v>
      </c>
      <c r="AP30" s="65">
        <f t="shared" si="20"/>
        <v>170.00000000001592</v>
      </c>
      <c r="AQ30" s="58">
        <v>285.83</v>
      </c>
      <c r="AR30" s="65">
        <f t="shared" si="21"/>
        <v>250</v>
      </c>
      <c r="AS30" s="58">
        <v>412.95</v>
      </c>
      <c r="AT30" s="65">
        <f t="shared" si="22"/>
        <v>170.00000000001592</v>
      </c>
      <c r="AU30" s="58">
        <v>318.73</v>
      </c>
      <c r="AV30" s="65">
        <f t="shared" si="23"/>
        <v>140.0000000000432</v>
      </c>
      <c r="AW30" s="58">
        <v>350.39</v>
      </c>
      <c r="AX30" s="65">
        <f t="shared" si="24"/>
        <v>269.99999999998181</v>
      </c>
      <c r="AY30" s="58">
        <v>386.3</v>
      </c>
      <c r="AZ30" s="65">
        <f t="shared" si="25"/>
        <v>150.00000000003411</v>
      </c>
      <c r="BA30" s="58">
        <v>406.08</v>
      </c>
      <c r="BB30" s="65">
        <f t="shared" si="26"/>
        <v>159.99999999996817</v>
      </c>
      <c r="BC30" s="58">
        <v>259.97000000000003</v>
      </c>
      <c r="BD30" s="65">
        <f t="shared" si="27"/>
        <v>140.0000000000432</v>
      </c>
      <c r="BE30" s="59">
        <v>47447</v>
      </c>
      <c r="BF30" s="67">
        <f t="shared" si="28"/>
        <v>38</v>
      </c>
      <c r="BG30" s="60">
        <v>242.99</v>
      </c>
      <c r="BH30" s="65">
        <f t="shared" si="29"/>
        <v>30.000000000001137</v>
      </c>
      <c r="BI30" s="60">
        <v>299.14</v>
      </c>
      <c r="BJ30" s="65">
        <f t="shared" si="30"/>
        <v>19.99999999998181</v>
      </c>
      <c r="BK30" s="60">
        <v>245.66</v>
      </c>
      <c r="BL30" s="65">
        <f t="shared" si="31"/>
        <v>39.999999999992042</v>
      </c>
      <c r="BM30" s="60">
        <v>232.8</v>
      </c>
      <c r="BN30" s="65">
        <f t="shared" si="32"/>
        <v>40.000000000020464</v>
      </c>
      <c r="BO30" s="60">
        <v>298.45999999999998</v>
      </c>
      <c r="BP30" s="65">
        <f t="shared" si="33"/>
        <v>49.999999999954525</v>
      </c>
      <c r="BQ30" s="60">
        <v>51835</v>
      </c>
      <c r="BR30" s="65">
        <f t="shared" si="34"/>
        <v>32</v>
      </c>
      <c r="BS30" s="60">
        <v>209.51</v>
      </c>
      <c r="BT30" s="65">
        <f t="shared" si="35"/>
        <v>39.999999999992042</v>
      </c>
      <c r="BU30" s="60">
        <v>48678</v>
      </c>
      <c r="BV30" s="65">
        <f t="shared" si="36"/>
        <v>27</v>
      </c>
      <c r="BW30" s="60">
        <v>238.26</v>
      </c>
      <c r="BX30" s="65">
        <f t="shared" si="37"/>
        <v>19.99999999998181</v>
      </c>
      <c r="BY30" s="60">
        <v>68438</v>
      </c>
      <c r="BZ30" s="67">
        <f t="shared" si="38"/>
        <v>30</v>
      </c>
      <c r="CA30" s="60">
        <v>42376.2</v>
      </c>
      <c r="CB30" s="67">
        <f t="shared" si="39"/>
        <v>40.69999999999709</v>
      </c>
      <c r="CC30" s="60">
        <v>14161.7</v>
      </c>
      <c r="CD30" s="67">
        <f t="shared" si="40"/>
        <v>6.7000000000007276</v>
      </c>
      <c r="CE30" s="60">
        <v>7522.9</v>
      </c>
      <c r="CF30" s="67">
        <f t="shared" si="41"/>
        <v>8.8999999999996362</v>
      </c>
      <c r="CG30" s="60">
        <v>69019.399999999994</v>
      </c>
      <c r="CH30" s="67">
        <f t="shared" si="42"/>
        <v>45.69999999999709</v>
      </c>
      <c r="CI30" s="60">
        <v>1009755</v>
      </c>
      <c r="CJ30" s="67">
        <f t="shared" si="43"/>
        <v>271</v>
      </c>
      <c r="CK30" s="60">
        <v>901.53</v>
      </c>
      <c r="CL30" s="64">
        <f t="shared" si="44"/>
        <v>579.99999999992724</v>
      </c>
      <c r="CM30" s="65">
        <f t="shared" si="45"/>
        <v>71</v>
      </c>
      <c r="CN30" s="62">
        <v>31</v>
      </c>
      <c r="CO30" s="62">
        <v>59</v>
      </c>
      <c r="CP30" s="68">
        <v>20992</v>
      </c>
      <c r="CQ30" s="67">
        <f t="shared" si="46"/>
        <v>56</v>
      </c>
      <c r="CR30" s="68">
        <v>18827</v>
      </c>
      <c r="CS30" s="67">
        <f t="shared" si="47"/>
        <v>15</v>
      </c>
      <c r="CT30" s="75">
        <v>8709</v>
      </c>
      <c r="CU30" s="67">
        <f t="shared" si="48"/>
        <v>9</v>
      </c>
      <c r="CV30" s="68">
        <v>21447</v>
      </c>
      <c r="CW30" s="67">
        <f t="shared" si="49"/>
        <v>26</v>
      </c>
      <c r="CX30" s="58">
        <v>1670.3</v>
      </c>
      <c r="CY30" s="67">
        <f t="shared" si="50"/>
        <v>5.0999999999999091</v>
      </c>
    </row>
    <row r="31" spans="1:103" ht="25.5" customHeight="1" thickBot="1" x14ac:dyDescent="0.45">
      <c r="A31" s="63">
        <v>44589</v>
      </c>
      <c r="B31" s="66"/>
      <c r="C31" s="58">
        <v>2.8338999999999999</v>
      </c>
      <c r="D31" s="64">
        <f t="shared" si="1"/>
        <v>2499.9999999999468</v>
      </c>
      <c r="E31" s="58">
        <v>3.9148000000000001</v>
      </c>
      <c r="F31" s="64">
        <f t="shared" si="2"/>
        <v>2899.9999999999027</v>
      </c>
      <c r="G31" s="58">
        <v>3.903</v>
      </c>
      <c r="H31" s="64">
        <f t="shared" si="3"/>
        <v>2600.0000000001578</v>
      </c>
      <c r="I31" s="58">
        <v>1.9468000000000001</v>
      </c>
      <c r="J31" s="64">
        <f t="shared" si="4"/>
        <v>1300.0000000000789</v>
      </c>
      <c r="K31" s="58">
        <v>3.0836999999999999</v>
      </c>
      <c r="L31" s="64">
        <f t="shared" si="5"/>
        <v>1799.9999999998017</v>
      </c>
      <c r="M31" s="58">
        <v>1.7129000000000001</v>
      </c>
      <c r="N31" s="64">
        <f t="shared" si="6"/>
        <v>1300.0000000000789</v>
      </c>
      <c r="O31" s="58">
        <v>16713</v>
      </c>
      <c r="P31" s="67">
        <f t="shared" si="7"/>
        <v>17</v>
      </c>
      <c r="Q31" s="58">
        <v>1899</v>
      </c>
      <c r="R31" s="67">
        <f t="shared" si="8"/>
        <v>2</v>
      </c>
      <c r="S31" s="58">
        <v>1200.4000000000001</v>
      </c>
      <c r="T31" s="67">
        <f t="shared" si="9"/>
        <v>0.90000000000009095</v>
      </c>
      <c r="U31" s="58">
        <v>496678</v>
      </c>
      <c r="V31" s="67">
        <f t="shared" si="10"/>
        <v>305</v>
      </c>
      <c r="W31" s="58">
        <v>464.21</v>
      </c>
      <c r="X31" s="65">
        <f t="shared" si="11"/>
        <v>399.99999999997726</v>
      </c>
      <c r="Y31" s="58">
        <v>3.4388000000000001</v>
      </c>
      <c r="Z31" s="65">
        <f t="shared" si="12"/>
        <v>2400.0000000001796</v>
      </c>
      <c r="AA31" s="58">
        <v>467.53</v>
      </c>
      <c r="AB31" s="65">
        <f t="shared" si="13"/>
        <v>359.9999999999568</v>
      </c>
      <c r="AC31" s="58">
        <v>448.01</v>
      </c>
      <c r="AD31" s="65">
        <f t="shared" si="14"/>
        <v>430.00000000000682</v>
      </c>
      <c r="AE31" s="58">
        <v>650.32000000000005</v>
      </c>
      <c r="AF31" s="65">
        <f t="shared" si="15"/>
        <v>340.00000000003183</v>
      </c>
      <c r="AG31" s="58">
        <v>12428</v>
      </c>
      <c r="AH31" s="67">
        <f t="shared" si="16"/>
        <v>29</v>
      </c>
      <c r="AI31" s="58">
        <v>759.13</v>
      </c>
      <c r="AJ31" s="65">
        <f t="shared" si="17"/>
        <v>549.99999999995453</v>
      </c>
      <c r="AK31" s="58">
        <v>254.06</v>
      </c>
      <c r="AL31" s="65">
        <f t="shared" si="18"/>
        <v>199.99999999998863</v>
      </c>
      <c r="AM31" s="58">
        <v>237.85</v>
      </c>
      <c r="AN31" s="65">
        <f t="shared" si="19"/>
        <v>180.00000000000682</v>
      </c>
      <c r="AO31" s="58">
        <v>229.25</v>
      </c>
      <c r="AP31" s="65">
        <f t="shared" si="20"/>
        <v>159.99999999999659</v>
      </c>
      <c r="AQ31" s="58">
        <v>286.05</v>
      </c>
      <c r="AR31" s="65">
        <f t="shared" si="21"/>
        <v>220.00000000002728</v>
      </c>
      <c r="AS31" s="58">
        <v>413.11</v>
      </c>
      <c r="AT31" s="65">
        <f t="shared" si="22"/>
        <v>160.00000000002501</v>
      </c>
      <c r="AU31" s="58">
        <v>318.89</v>
      </c>
      <c r="AV31" s="65">
        <f t="shared" si="23"/>
        <v>159.99999999996817</v>
      </c>
      <c r="AW31" s="58">
        <v>350.6</v>
      </c>
      <c r="AX31" s="65">
        <f t="shared" si="24"/>
        <v>210.00000000003638</v>
      </c>
      <c r="AY31" s="58">
        <v>386.39</v>
      </c>
      <c r="AZ31" s="65">
        <f t="shared" si="25"/>
        <v>89.999999999974989</v>
      </c>
      <c r="BA31" s="58">
        <v>406.19</v>
      </c>
      <c r="BB31" s="65">
        <f t="shared" si="26"/>
        <v>110.00000000001364</v>
      </c>
      <c r="BC31" s="58">
        <v>260.10000000000002</v>
      </c>
      <c r="BD31" s="65">
        <f t="shared" si="27"/>
        <v>129.99999999999545</v>
      </c>
      <c r="BE31" s="59">
        <v>47475</v>
      </c>
      <c r="BF31" s="67">
        <f t="shared" si="28"/>
        <v>28</v>
      </c>
      <c r="BG31" s="60">
        <v>243.03</v>
      </c>
      <c r="BH31" s="65">
        <f t="shared" si="29"/>
        <v>39.999999999992042</v>
      </c>
      <c r="BI31" s="60">
        <v>299.16000000000003</v>
      </c>
      <c r="BJ31" s="65">
        <f t="shared" si="30"/>
        <v>20.000000000038654</v>
      </c>
      <c r="BK31" s="60">
        <v>245.7</v>
      </c>
      <c r="BL31" s="65">
        <f t="shared" si="31"/>
        <v>39.999999999992042</v>
      </c>
      <c r="BM31" s="60">
        <v>232.83</v>
      </c>
      <c r="BN31" s="65">
        <f t="shared" si="32"/>
        <v>30.000000000001137</v>
      </c>
      <c r="BO31" s="60">
        <v>298.51</v>
      </c>
      <c r="BP31" s="65">
        <f t="shared" si="33"/>
        <v>50.000000000011369</v>
      </c>
      <c r="BQ31" s="60">
        <v>51861</v>
      </c>
      <c r="BR31" s="65">
        <f t="shared" si="34"/>
        <v>26</v>
      </c>
      <c r="BS31" s="60">
        <v>209.54</v>
      </c>
      <c r="BT31" s="65">
        <f t="shared" si="35"/>
        <v>30.000000000001137</v>
      </c>
      <c r="BU31" s="60">
        <v>48708</v>
      </c>
      <c r="BV31" s="65">
        <f t="shared" si="36"/>
        <v>30</v>
      </c>
      <c r="BW31" s="60">
        <v>238.28</v>
      </c>
      <c r="BX31" s="65">
        <f t="shared" si="37"/>
        <v>20.000000000010232</v>
      </c>
      <c r="BY31" s="60">
        <v>68467</v>
      </c>
      <c r="BZ31" s="67">
        <f t="shared" si="38"/>
        <v>29</v>
      </c>
      <c r="CA31" s="60">
        <v>42415.4</v>
      </c>
      <c r="CB31" s="67">
        <f t="shared" si="39"/>
        <v>39.200000000004366</v>
      </c>
      <c r="CC31" s="60">
        <v>14168.1</v>
      </c>
      <c r="CD31" s="67">
        <f t="shared" si="40"/>
        <v>6.3999999999996362</v>
      </c>
      <c r="CE31" s="60">
        <v>7523</v>
      </c>
      <c r="CF31" s="67">
        <f t="shared" si="41"/>
        <v>0.1000000000003638</v>
      </c>
      <c r="CG31" s="60">
        <v>69058.100000000006</v>
      </c>
      <c r="CH31" s="67">
        <f t="shared" si="42"/>
        <v>38.700000000011642</v>
      </c>
      <c r="CI31" s="60">
        <v>1010061</v>
      </c>
      <c r="CJ31" s="67">
        <f t="shared" si="43"/>
        <v>306</v>
      </c>
      <c r="CK31" s="60">
        <v>902.07</v>
      </c>
      <c r="CL31" s="64">
        <f t="shared" si="44"/>
        <v>540.00000000007731</v>
      </c>
      <c r="CM31" s="65">
        <f t="shared" si="45"/>
        <v>72</v>
      </c>
      <c r="CN31" s="62">
        <v>31</v>
      </c>
      <c r="CO31" s="62">
        <v>59</v>
      </c>
      <c r="CP31" s="68">
        <v>21050</v>
      </c>
      <c r="CQ31" s="67">
        <f t="shared" si="46"/>
        <v>58</v>
      </c>
      <c r="CR31" s="68">
        <v>18841</v>
      </c>
      <c r="CS31" s="67">
        <f t="shared" si="47"/>
        <v>14</v>
      </c>
      <c r="CT31" s="75">
        <v>8718</v>
      </c>
      <c r="CU31" s="67">
        <f t="shared" si="48"/>
        <v>9</v>
      </c>
      <c r="CV31" s="68">
        <v>21468</v>
      </c>
      <c r="CW31" s="67">
        <f t="shared" si="49"/>
        <v>21</v>
      </c>
      <c r="CX31" s="58">
        <v>1671.3</v>
      </c>
      <c r="CY31" s="67">
        <f t="shared" si="50"/>
        <v>1</v>
      </c>
    </row>
    <row r="32" spans="1:103" ht="25.5" customHeight="1" thickBot="1" x14ac:dyDescent="0.45">
      <c r="A32" s="63">
        <v>44590</v>
      </c>
      <c r="B32" s="68"/>
      <c r="C32" s="58">
        <v>2.8367</v>
      </c>
      <c r="D32" s="64">
        <f t="shared" si="1"/>
        <v>2800.0000000001355</v>
      </c>
      <c r="E32" s="58">
        <v>3.9182000000000001</v>
      </c>
      <c r="F32" s="64">
        <f t="shared" si="2"/>
        <v>3400.0000000000696</v>
      </c>
      <c r="G32" s="58">
        <v>3.9056999999999999</v>
      </c>
      <c r="H32" s="64">
        <f t="shared" si="3"/>
        <v>2699.9999999999245</v>
      </c>
      <c r="I32" s="58">
        <v>1.9482999999999999</v>
      </c>
      <c r="J32" s="64">
        <f t="shared" si="4"/>
        <v>1499.9999999998347</v>
      </c>
      <c r="K32" s="58">
        <v>3.0855999999999999</v>
      </c>
      <c r="L32" s="64">
        <f t="shared" si="5"/>
        <v>1900.0000000000127</v>
      </c>
      <c r="M32" s="58">
        <v>1.714</v>
      </c>
      <c r="N32" s="64">
        <f t="shared" si="6"/>
        <v>1099.9999999998788</v>
      </c>
      <c r="O32" s="58">
        <v>16743</v>
      </c>
      <c r="P32" s="67">
        <f t="shared" si="7"/>
        <v>30</v>
      </c>
      <c r="Q32" s="58">
        <v>1904</v>
      </c>
      <c r="R32" s="67">
        <f t="shared" si="8"/>
        <v>5</v>
      </c>
      <c r="S32" s="58">
        <v>1202.2</v>
      </c>
      <c r="T32" s="67">
        <f t="shared" si="9"/>
        <v>1.7999999999999545</v>
      </c>
      <c r="U32" s="58">
        <v>497248.7</v>
      </c>
      <c r="V32" s="67">
        <f t="shared" si="10"/>
        <v>570.70000000001164</v>
      </c>
      <c r="W32" s="58">
        <v>464.65</v>
      </c>
      <c r="X32" s="65">
        <f t="shared" si="11"/>
        <v>439.99999999999773</v>
      </c>
      <c r="Y32" s="58">
        <v>3.4418000000000002</v>
      </c>
      <c r="Z32" s="65">
        <f t="shared" si="12"/>
        <v>3000.0000000001137</v>
      </c>
      <c r="AA32" s="58">
        <v>467.84</v>
      </c>
      <c r="AB32" s="65">
        <f t="shared" si="13"/>
        <v>310.00000000000227</v>
      </c>
      <c r="AC32" s="58">
        <v>448.49</v>
      </c>
      <c r="AD32" s="65">
        <f t="shared" si="14"/>
        <v>480.00000000001819</v>
      </c>
      <c r="AE32" s="58">
        <v>650.75</v>
      </c>
      <c r="AF32" s="65">
        <f t="shared" si="15"/>
        <v>429.99999999994998</v>
      </c>
      <c r="AG32" s="58">
        <v>12468</v>
      </c>
      <c r="AH32" s="67">
        <f t="shared" si="16"/>
        <v>40</v>
      </c>
      <c r="AI32" s="58">
        <v>759.85</v>
      </c>
      <c r="AJ32" s="65">
        <f t="shared" si="17"/>
        <v>720.00000000002728</v>
      </c>
      <c r="AK32" s="58">
        <v>254.37</v>
      </c>
      <c r="AL32" s="65">
        <f t="shared" si="18"/>
        <v>310.00000000000227</v>
      </c>
      <c r="AM32" s="58">
        <v>238.1</v>
      </c>
      <c r="AN32" s="65">
        <f t="shared" si="19"/>
        <v>250</v>
      </c>
      <c r="AO32" s="58">
        <v>229.45</v>
      </c>
      <c r="AP32" s="65">
        <f t="shared" si="20"/>
        <v>199.99999999998863</v>
      </c>
      <c r="AQ32" s="58">
        <v>286.33999999999997</v>
      </c>
      <c r="AR32" s="65">
        <f t="shared" si="21"/>
        <v>289.99999999996362</v>
      </c>
      <c r="AS32" s="58">
        <v>413.33</v>
      </c>
      <c r="AT32" s="65">
        <f t="shared" si="22"/>
        <v>219.99999999997044</v>
      </c>
      <c r="AU32" s="58">
        <v>319.08</v>
      </c>
      <c r="AV32" s="65">
        <f t="shared" si="23"/>
        <v>189.99999999999773</v>
      </c>
      <c r="AW32" s="58">
        <v>350.86</v>
      </c>
      <c r="AX32" s="65">
        <f t="shared" si="24"/>
        <v>259.99999999999091</v>
      </c>
      <c r="AY32" s="58">
        <v>386.48</v>
      </c>
      <c r="AZ32" s="65">
        <f t="shared" si="25"/>
        <v>90.000000000031832</v>
      </c>
      <c r="BA32" s="58">
        <v>406.38</v>
      </c>
      <c r="BB32" s="65">
        <f t="shared" si="26"/>
        <v>189.99999999999773</v>
      </c>
      <c r="BC32" s="58">
        <v>260.26</v>
      </c>
      <c r="BD32" s="65">
        <f t="shared" si="27"/>
        <v>159.99999999996817</v>
      </c>
      <c r="BE32" s="59">
        <v>47503</v>
      </c>
      <c r="BF32" s="67">
        <f t="shared" si="28"/>
        <v>28</v>
      </c>
      <c r="BG32" s="60">
        <v>243.07</v>
      </c>
      <c r="BH32" s="65">
        <f t="shared" si="29"/>
        <v>39.999999999992042</v>
      </c>
      <c r="BI32" s="60">
        <v>299.19</v>
      </c>
      <c r="BJ32" s="65">
        <f t="shared" si="30"/>
        <v>29.999999999972715</v>
      </c>
      <c r="BK32" s="60">
        <v>245.76</v>
      </c>
      <c r="BL32" s="65">
        <f t="shared" si="31"/>
        <v>60.000000000002274</v>
      </c>
      <c r="BM32" s="60">
        <v>232.88</v>
      </c>
      <c r="BN32" s="65">
        <f t="shared" si="32"/>
        <v>49.999999999982947</v>
      </c>
      <c r="BO32" s="60">
        <v>298.57</v>
      </c>
      <c r="BP32" s="65">
        <f t="shared" si="33"/>
        <v>60.000000000002274</v>
      </c>
      <c r="BQ32" s="60">
        <v>51899</v>
      </c>
      <c r="BR32" s="65">
        <f t="shared" si="34"/>
        <v>38</v>
      </c>
      <c r="BS32" s="60">
        <v>209.6</v>
      </c>
      <c r="BT32" s="65">
        <f t="shared" si="35"/>
        <v>60.000000000002274</v>
      </c>
      <c r="BU32" s="60">
        <v>48754</v>
      </c>
      <c r="BV32" s="65">
        <f t="shared" si="36"/>
        <v>46</v>
      </c>
      <c r="BW32" s="60">
        <v>238.32</v>
      </c>
      <c r="BX32" s="65">
        <f t="shared" si="37"/>
        <v>39.999999999992042</v>
      </c>
      <c r="BY32" s="60">
        <v>68512</v>
      </c>
      <c r="BZ32" s="67">
        <f t="shared" si="38"/>
        <v>45</v>
      </c>
      <c r="CA32" s="60">
        <v>42463</v>
      </c>
      <c r="CB32" s="67">
        <f t="shared" si="39"/>
        <v>47.599999999998545</v>
      </c>
      <c r="CC32" s="60">
        <v>14175.7</v>
      </c>
      <c r="CD32" s="67">
        <f t="shared" si="40"/>
        <v>7.6000000000003638</v>
      </c>
      <c r="CE32" s="60">
        <v>7529.7</v>
      </c>
      <c r="CF32" s="67">
        <f t="shared" si="41"/>
        <v>6.6999999999998181</v>
      </c>
      <c r="CG32" s="60">
        <v>69109.7</v>
      </c>
      <c r="CH32" s="67">
        <f t="shared" si="42"/>
        <v>51.599999999991269</v>
      </c>
      <c r="CI32" s="60">
        <v>1010514</v>
      </c>
      <c r="CJ32" s="67">
        <f t="shared" si="43"/>
        <v>453</v>
      </c>
      <c r="CK32" s="60">
        <v>902.55</v>
      </c>
      <c r="CL32" s="64">
        <f t="shared" si="44"/>
        <v>479.9999999999045</v>
      </c>
      <c r="CM32" s="65">
        <f t="shared" si="45"/>
        <v>77.700000000000728</v>
      </c>
      <c r="CN32" s="62">
        <v>28</v>
      </c>
      <c r="CO32" s="62">
        <v>52</v>
      </c>
      <c r="CP32" s="68">
        <v>21110.7</v>
      </c>
      <c r="CQ32" s="67">
        <f t="shared" si="46"/>
        <v>60.700000000000728</v>
      </c>
      <c r="CR32" s="68">
        <v>18858</v>
      </c>
      <c r="CS32" s="67">
        <f t="shared" si="47"/>
        <v>17</v>
      </c>
      <c r="CT32" s="75">
        <v>8727</v>
      </c>
      <c r="CU32" s="67">
        <f t="shared" si="48"/>
        <v>9</v>
      </c>
      <c r="CV32" s="68">
        <v>21493</v>
      </c>
      <c r="CW32" s="67">
        <f t="shared" si="49"/>
        <v>25</v>
      </c>
      <c r="CX32" s="58"/>
      <c r="CY32" s="67" t="str">
        <f t="shared" si="50"/>
        <v/>
      </c>
    </row>
    <row r="33" spans="1:103" ht="25.5" customHeight="1" thickBot="1" x14ac:dyDescent="0.45">
      <c r="A33" s="63">
        <v>44591</v>
      </c>
      <c r="B33" s="68"/>
      <c r="C33" s="58"/>
      <c r="D33" s="64" t="str">
        <f t="shared" si="1"/>
        <v>0</v>
      </c>
      <c r="E33" s="58"/>
      <c r="F33" s="64" t="str">
        <f t="shared" si="2"/>
        <v>0</v>
      </c>
      <c r="G33" s="58"/>
      <c r="H33" s="64" t="str">
        <f t="shared" si="3"/>
        <v>0</v>
      </c>
      <c r="I33" s="58"/>
      <c r="J33" s="64" t="str">
        <f t="shared" si="4"/>
        <v>0</v>
      </c>
      <c r="K33" s="58"/>
      <c r="L33" s="64" t="str">
        <f t="shared" si="5"/>
        <v>0</v>
      </c>
      <c r="M33" s="58"/>
      <c r="N33" s="64" t="str">
        <f t="shared" si="6"/>
        <v/>
      </c>
      <c r="O33" s="58"/>
      <c r="P33" s="67" t="str">
        <f t="shared" si="7"/>
        <v/>
      </c>
      <c r="Q33" s="58"/>
      <c r="R33" s="67" t="str">
        <f t="shared" si="8"/>
        <v/>
      </c>
      <c r="S33" s="58"/>
      <c r="T33" s="67" t="str">
        <f t="shared" si="9"/>
        <v/>
      </c>
      <c r="U33" s="58"/>
      <c r="V33" s="67" t="str">
        <f t="shared" si="10"/>
        <v/>
      </c>
      <c r="W33" s="58"/>
      <c r="X33" s="65" t="str">
        <f t="shared" si="11"/>
        <v/>
      </c>
      <c r="Y33" s="58"/>
      <c r="Z33" s="65" t="str">
        <f t="shared" si="12"/>
        <v/>
      </c>
      <c r="AA33" s="58"/>
      <c r="AB33" s="65" t="str">
        <f t="shared" si="13"/>
        <v/>
      </c>
      <c r="AC33" s="58"/>
      <c r="AD33" s="65" t="str">
        <f t="shared" si="14"/>
        <v/>
      </c>
      <c r="AE33" s="58"/>
      <c r="AF33" s="65" t="str">
        <f t="shared" si="15"/>
        <v/>
      </c>
      <c r="AG33" s="58"/>
      <c r="AH33" s="67" t="str">
        <f t="shared" si="16"/>
        <v/>
      </c>
      <c r="AI33" s="58"/>
      <c r="AJ33" s="65" t="str">
        <f t="shared" si="17"/>
        <v/>
      </c>
      <c r="AK33" s="58"/>
      <c r="AL33" s="65" t="str">
        <f t="shared" si="18"/>
        <v/>
      </c>
      <c r="AM33" s="58"/>
      <c r="AN33" s="65" t="str">
        <f t="shared" si="19"/>
        <v/>
      </c>
      <c r="AO33" s="58"/>
      <c r="AP33" s="65" t="str">
        <f t="shared" si="20"/>
        <v/>
      </c>
      <c r="AQ33" s="58"/>
      <c r="AR33" s="65" t="str">
        <f t="shared" si="21"/>
        <v/>
      </c>
      <c r="AS33" s="58"/>
      <c r="AT33" s="65" t="str">
        <f t="shared" si="22"/>
        <v/>
      </c>
      <c r="AU33" s="58"/>
      <c r="AV33" s="65" t="str">
        <f t="shared" si="23"/>
        <v/>
      </c>
      <c r="AW33" s="58"/>
      <c r="AX33" s="65" t="str">
        <f t="shared" si="24"/>
        <v/>
      </c>
      <c r="AY33" s="58"/>
      <c r="AZ33" s="65" t="str">
        <f t="shared" si="25"/>
        <v/>
      </c>
      <c r="BA33" s="58"/>
      <c r="BB33" s="65" t="str">
        <f t="shared" si="26"/>
        <v/>
      </c>
      <c r="BC33" s="58"/>
      <c r="BD33" s="65" t="str">
        <f t="shared" si="27"/>
        <v/>
      </c>
      <c r="BE33" s="59"/>
      <c r="BF33" s="67" t="str">
        <f t="shared" si="28"/>
        <v/>
      </c>
      <c r="BG33" s="60"/>
      <c r="BH33" s="65" t="str">
        <f t="shared" si="29"/>
        <v/>
      </c>
      <c r="BI33" s="60"/>
      <c r="BJ33" s="65" t="str">
        <f t="shared" si="30"/>
        <v/>
      </c>
      <c r="BK33" s="60"/>
      <c r="BL33" s="65" t="str">
        <f t="shared" si="31"/>
        <v/>
      </c>
      <c r="BM33" s="60"/>
      <c r="BN33" s="65" t="str">
        <f t="shared" si="32"/>
        <v/>
      </c>
      <c r="BO33" s="60"/>
      <c r="BP33" s="65" t="str">
        <f t="shared" si="33"/>
        <v/>
      </c>
      <c r="BQ33" s="60"/>
      <c r="BR33" s="65" t="str">
        <f t="shared" si="34"/>
        <v/>
      </c>
      <c r="BS33" s="60"/>
      <c r="BT33" s="65" t="str">
        <f t="shared" si="35"/>
        <v/>
      </c>
      <c r="BU33" s="60"/>
      <c r="BV33" s="65" t="str">
        <f t="shared" si="36"/>
        <v/>
      </c>
      <c r="BW33" s="60"/>
      <c r="BX33" s="65" t="str">
        <f t="shared" si="37"/>
        <v/>
      </c>
      <c r="BY33" s="60"/>
      <c r="BZ33" s="67" t="str">
        <f t="shared" si="38"/>
        <v/>
      </c>
      <c r="CA33" s="60"/>
      <c r="CB33" s="67" t="str">
        <f t="shared" si="39"/>
        <v/>
      </c>
      <c r="CC33" s="60"/>
      <c r="CD33" s="67" t="str">
        <f t="shared" si="40"/>
        <v/>
      </c>
      <c r="CE33" s="60"/>
      <c r="CF33" s="67" t="str">
        <f t="shared" si="41"/>
        <v/>
      </c>
      <c r="CG33" s="60"/>
      <c r="CH33" s="67" t="str">
        <f t="shared" si="42"/>
        <v/>
      </c>
      <c r="CI33" s="60"/>
      <c r="CJ33" s="67" t="str">
        <f t="shared" si="43"/>
        <v/>
      </c>
      <c r="CK33" s="60"/>
      <c r="CL33" s="64" t="str">
        <f t="shared" si="44"/>
        <v/>
      </c>
      <c r="CM33" s="65" t="e">
        <f t="shared" si="45"/>
        <v>#VALUE!</v>
      </c>
      <c r="CN33" s="62"/>
      <c r="CO33" s="62"/>
      <c r="CP33" s="68"/>
      <c r="CQ33" s="67" t="str">
        <f t="shared" si="46"/>
        <v/>
      </c>
      <c r="CR33" s="68"/>
      <c r="CS33" s="67" t="str">
        <f t="shared" si="47"/>
        <v/>
      </c>
      <c r="CT33" s="75"/>
      <c r="CU33" s="67" t="str">
        <f t="shared" si="48"/>
        <v/>
      </c>
      <c r="CV33" s="68"/>
      <c r="CW33" s="67" t="str">
        <f t="shared" si="49"/>
        <v/>
      </c>
      <c r="CX33" s="58"/>
      <c r="CY33" s="67">
        <f t="shared" si="50"/>
        <v>0</v>
      </c>
    </row>
    <row r="34" spans="1:103" ht="25.5" customHeight="1" thickBot="1" x14ac:dyDescent="0.45">
      <c r="A34" s="63">
        <v>44592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22" zoomScaleNormal="100" workbookViewId="0">
      <selection activeCell="D37" sqref="D3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44561</v>
      </c>
      <c r="B7" s="40">
        <v>0</v>
      </c>
      <c r="C7" s="40">
        <v>32</v>
      </c>
      <c r="D7" s="40">
        <v>96</v>
      </c>
      <c r="E7" s="41">
        <v>0</v>
      </c>
      <c r="F7" s="41">
        <v>6282</v>
      </c>
      <c r="G7" s="41">
        <v>0</v>
      </c>
      <c r="H7" s="41">
        <v>1942</v>
      </c>
      <c r="I7" s="41">
        <v>70</v>
      </c>
      <c r="J7" s="41">
        <v>538</v>
      </c>
      <c r="K7" s="42">
        <v>65</v>
      </c>
      <c r="L7" s="42">
        <v>5</v>
      </c>
      <c r="M7" s="42">
        <v>1525</v>
      </c>
      <c r="N7" s="39">
        <v>5</v>
      </c>
      <c r="O7" s="39">
        <v>85</v>
      </c>
      <c r="P7" s="39">
        <v>85</v>
      </c>
      <c r="Q7" s="39">
        <v>4539</v>
      </c>
      <c r="R7" s="77">
        <v>83</v>
      </c>
      <c r="S7" s="77">
        <v>219</v>
      </c>
      <c r="T7" t="e">
        <f t="shared" ref="T7" si="0">S7-S6</f>
        <v>#VALUE!</v>
      </c>
    </row>
    <row r="8" spans="1:20" x14ac:dyDescent="0.25">
      <c r="A8" s="73">
        <v>44562</v>
      </c>
      <c r="B8" s="40">
        <v>0</v>
      </c>
      <c r="C8" s="40">
        <v>32</v>
      </c>
      <c r="D8" s="40">
        <v>96</v>
      </c>
      <c r="E8" s="41">
        <v>0</v>
      </c>
      <c r="F8" s="41">
        <v>6291</v>
      </c>
      <c r="G8" s="41">
        <v>0</v>
      </c>
      <c r="H8" s="41">
        <v>1945</v>
      </c>
      <c r="I8" s="41">
        <v>50</v>
      </c>
      <c r="J8" s="41">
        <v>540</v>
      </c>
      <c r="K8" s="42">
        <v>60</v>
      </c>
      <c r="L8" s="42">
        <v>5</v>
      </c>
      <c r="M8" s="42">
        <v>1528</v>
      </c>
      <c r="N8" s="39">
        <v>0</v>
      </c>
      <c r="O8" s="39">
        <v>85</v>
      </c>
      <c r="P8" s="39">
        <v>85</v>
      </c>
      <c r="Q8" s="39">
        <v>4545</v>
      </c>
      <c r="R8" s="77">
        <v>83</v>
      </c>
      <c r="S8" s="77">
        <v>219</v>
      </c>
      <c r="T8">
        <f>S8-S7</f>
        <v>0</v>
      </c>
    </row>
    <row r="9" spans="1:20" x14ac:dyDescent="0.25">
      <c r="A9" s="73">
        <v>44563</v>
      </c>
      <c r="B9" s="40">
        <v>0</v>
      </c>
      <c r="C9" s="79">
        <v>31</v>
      </c>
      <c r="D9" s="79">
        <v>98</v>
      </c>
      <c r="E9" s="41">
        <v>0</v>
      </c>
      <c r="F9" s="41">
        <v>6293</v>
      </c>
      <c r="G9" s="41">
        <v>0</v>
      </c>
      <c r="H9" s="41">
        <v>1946</v>
      </c>
      <c r="I9" s="41">
        <v>45</v>
      </c>
      <c r="J9" s="41">
        <v>541</v>
      </c>
      <c r="K9" s="42">
        <v>60</v>
      </c>
      <c r="L9" s="42">
        <v>5</v>
      </c>
      <c r="M9" s="42">
        <v>1528</v>
      </c>
      <c r="N9" s="39">
        <v>5</v>
      </c>
      <c r="O9" s="39">
        <v>85</v>
      </c>
      <c r="P9" s="39">
        <v>85</v>
      </c>
      <c r="Q9" s="39">
        <v>4546</v>
      </c>
      <c r="R9" s="77">
        <v>83</v>
      </c>
      <c r="S9" s="77">
        <v>219</v>
      </c>
      <c r="T9">
        <f t="shared" ref="T9:T39" si="1">S9-S8</f>
        <v>0</v>
      </c>
    </row>
    <row r="10" spans="1:20" x14ac:dyDescent="0.25">
      <c r="A10" s="73">
        <v>44564</v>
      </c>
      <c r="B10" s="40">
        <v>0</v>
      </c>
      <c r="C10" s="40">
        <v>29</v>
      </c>
      <c r="D10" s="40">
        <v>75</v>
      </c>
      <c r="E10" s="41">
        <v>0</v>
      </c>
      <c r="F10" s="41">
        <v>6299</v>
      </c>
      <c r="G10" s="41">
        <v>0</v>
      </c>
      <c r="H10" s="41">
        <v>1949</v>
      </c>
      <c r="I10" s="41">
        <v>35</v>
      </c>
      <c r="J10" s="41">
        <v>541</v>
      </c>
      <c r="K10" s="42">
        <v>60</v>
      </c>
      <c r="L10" s="42">
        <v>0</v>
      </c>
      <c r="M10" s="42">
        <v>1530</v>
      </c>
      <c r="N10" s="39">
        <v>0</v>
      </c>
      <c r="O10" s="39">
        <v>85</v>
      </c>
      <c r="P10" s="39">
        <v>85</v>
      </c>
      <c r="Q10" s="39">
        <v>4548</v>
      </c>
      <c r="R10" s="77">
        <v>83</v>
      </c>
      <c r="S10" s="77">
        <v>219</v>
      </c>
      <c r="T10">
        <f t="shared" si="1"/>
        <v>0</v>
      </c>
    </row>
    <row r="11" spans="1:20" x14ac:dyDescent="0.25">
      <c r="A11" s="73">
        <v>44565</v>
      </c>
      <c r="B11" s="40">
        <v>0</v>
      </c>
      <c r="C11" s="40">
        <v>23</v>
      </c>
      <c r="D11" s="40">
        <v>74</v>
      </c>
      <c r="E11" s="41">
        <v>0</v>
      </c>
      <c r="F11" s="41">
        <v>6304</v>
      </c>
      <c r="G11" s="41">
        <v>0</v>
      </c>
      <c r="H11" s="41">
        <v>1951</v>
      </c>
      <c r="I11" s="41">
        <v>25</v>
      </c>
      <c r="J11" s="41">
        <v>541</v>
      </c>
      <c r="K11" s="42">
        <v>60</v>
      </c>
      <c r="L11" s="42">
        <v>5</v>
      </c>
      <c r="M11" s="42">
        <v>1530</v>
      </c>
      <c r="N11" s="39">
        <v>0</v>
      </c>
      <c r="O11" s="39">
        <v>85</v>
      </c>
      <c r="P11" s="39">
        <v>84</v>
      </c>
      <c r="Q11" s="39">
        <v>4551</v>
      </c>
      <c r="R11" s="77">
        <v>83</v>
      </c>
      <c r="S11" s="77">
        <v>219</v>
      </c>
      <c r="T11">
        <f t="shared" si="1"/>
        <v>0</v>
      </c>
    </row>
    <row r="12" spans="1:20" x14ac:dyDescent="0.25">
      <c r="A12" s="73">
        <v>44566</v>
      </c>
      <c r="B12" s="40">
        <v>0</v>
      </c>
      <c r="C12" s="40">
        <v>17</v>
      </c>
      <c r="D12" s="40">
        <v>60</v>
      </c>
      <c r="E12" s="41">
        <v>85</v>
      </c>
      <c r="F12" s="41">
        <v>6309</v>
      </c>
      <c r="G12" s="41">
        <v>81</v>
      </c>
      <c r="H12" s="41">
        <v>1953</v>
      </c>
      <c r="I12" s="41">
        <v>85</v>
      </c>
      <c r="J12" s="41">
        <v>541</v>
      </c>
      <c r="K12" s="42">
        <v>30</v>
      </c>
      <c r="L12" s="42">
        <v>5</v>
      </c>
      <c r="M12" s="42">
        <v>1531</v>
      </c>
      <c r="N12" s="39">
        <v>85</v>
      </c>
      <c r="O12" s="39">
        <v>85</v>
      </c>
      <c r="P12" s="39">
        <v>83</v>
      </c>
      <c r="Q12" s="39">
        <v>4554</v>
      </c>
      <c r="R12" s="77">
        <v>83</v>
      </c>
      <c r="S12" s="77">
        <v>219</v>
      </c>
      <c r="T12">
        <f t="shared" si="1"/>
        <v>0</v>
      </c>
    </row>
    <row r="13" spans="1:20" x14ac:dyDescent="0.25">
      <c r="A13" s="73">
        <v>44567</v>
      </c>
      <c r="B13" s="40">
        <v>0</v>
      </c>
      <c r="C13" s="40">
        <v>15</v>
      </c>
      <c r="D13" s="40">
        <v>56</v>
      </c>
      <c r="E13" s="41">
        <v>85</v>
      </c>
      <c r="F13" s="41">
        <v>6315</v>
      </c>
      <c r="G13" s="41">
        <v>75</v>
      </c>
      <c r="H13" s="41">
        <v>1956</v>
      </c>
      <c r="I13" s="41">
        <v>85</v>
      </c>
      <c r="J13" s="41">
        <v>541</v>
      </c>
      <c r="K13" s="42">
        <v>85</v>
      </c>
      <c r="L13" s="42">
        <v>85</v>
      </c>
      <c r="M13" s="42">
        <v>1534</v>
      </c>
      <c r="N13" s="39">
        <v>85</v>
      </c>
      <c r="O13" s="39">
        <v>81</v>
      </c>
      <c r="P13" s="39">
        <v>83</v>
      </c>
      <c r="Q13" s="39">
        <v>4560</v>
      </c>
      <c r="R13" s="77">
        <v>83</v>
      </c>
      <c r="S13" s="77">
        <v>219</v>
      </c>
      <c r="T13">
        <f t="shared" si="1"/>
        <v>0</v>
      </c>
    </row>
    <row r="14" spans="1:20" ht="17.25" customHeight="1" x14ac:dyDescent="0.25">
      <c r="A14" s="73">
        <v>44568</v>
      </c>
      <c r="B14" s="40">
        <v>0</v>
      </c>
      <c r="C14" s="40">
        <v>15</v>
      </c>
      <c r="D14" s="40">
        <v>56</v>
      </c>
      <c r="E14" s="41">
        <v>85</v>
      </c>
      <c r="F14" s="41">
        <v>6321</v>
      </c>
      <c r="G14" s="41">
        <v>65</v>
      </c>
      <c r="H14" s="41">
        <v>1958</v>
      </c>
      <c r="I14" s="41">
        <v>85</v>
      </c>
      <c r="J14" s="41">
        <v>541</v>
      </c>
      <c r="K14" s="42">
        <v>85</v>
      </c>
      <c r="L14" s="42">
        <v>85</v>
      </c>
      <c r="M14" s="42">
        <v>1534</v>
      </c>
      <c r="N14" s="39">
        <v>85</v>
      </c>
      <c r="O14" s="39">
        <v>80</v>
      </c>
      <c r="P14" s="39">
        <v>83</v>
      </c>
      <c r="Q14" s="39">
        <v>4565</v>
      </c>
      <c r="R14" s="77">
        <v>83</v>
      </c>
      <c r="S14" s="77">
        <v>219</v>
      </c>
      <c r="T14">
        <f t="shared" si="1"/>
        <v>0</v>
      </c>
    </row>
    <row r="15" spans="1:20" x14ac:dyDescent="0.25">
      <c r="A15" s="73">
        <v>44569</v>
      </c>
      <c r="B15" s="40">
        <v>0</v>
      </c>
      <c r="C15" s="40">
        <v>23</v>
      </c>
      <c r="D15" s="40">
        <v>64</v>
      </c>
      <c r="E15" s="41">
        <v>85</v>
      </c>
      <c r="F15" s="41">
        <v>6327</v>
      </c>
      <c r="G15" s="41">
        <v>50</v>
      </c>
      <c r="H15" s="41">
        <v>1960</v>
      </c>
      <c r="I15" s="41">
        <v>85</v>
      </c>
      <c r="J15" s="41">
        <v>541</v>
      </c>
      <c r="K15" s="42">
        <v>85</v>
      </c>
      <c r="L15" s="42">
        <v>85</v>
      </c>
      <c r="M15" s="42">
        <v>1534</v>
      </c>
      <c r="N15" s="39">
        <v>85</v>
      </c>
      <c r="O15" s="39">
        <v>75</v>
      </c>
      <c r="P15" s="39">
        <v>83</v>
      </c>
      <c r="Q15" s="39">
        <v>4567</v>
      </c>
      <c r="R15" s="77">
        <v>83</v>
      </c>
      <c r="S15" s="77">
        <v>219</v>
      </c>
      <c r="T15">
        <f t="shared" si="1"/>
        <v>0</v>
      </c>
    </row>
    <row r="16" spans="1:20" x14ac:dyDescent="0.25">
      <c r="A16" s="73">
        <v>44570</v>
      </c>
      <c r="B16" s="40">
        <v>0</v>
      </c>
      <c r="C16" s="40">
        <v>23</v>
      </c>
      <c r="D16" s="40">
        <v>64</v>
      </c>
      <c r="E16" s="41">
        <v>85</v>
      </c>
      <c r="F16" s="41">
        <v>6331</v>
      </c>
      <c r="G16" s="41">
        <v>45</v>
      </c>
      <c r="H16" s="41">
        <v>1962</v>
      </c>
      <c r="I16" s="41">
        <v>85</v>
      </c>
      <c r="J16" s="41">
        <v>541</v>
      </c>
      <c r="K16" s="42">
        <v>84</v>
      </c>
      <c r="L16" s="42">
        <v>85</v>
      </c>
      <c r="M16" s="42">
        <v>1537</v>
      </c>
      <c r="N16" s="39">
        <v>85</v>
      </c>
      <c r="O16" s="39">
        <v>70</v>
      </c>
      <c r="P16" s="39">
        <v>83</v>
      </c>
      <c r="Q16" s="39">
        <v>4571</v>
      </c>
      <c r="R16" s="77">
        <v>83</v>
      </c>
      <c r="S16" s="77">
        <v>219</v>
      </c>
      <c r="T16">
        <f t="shared" si="1"/>
        <v>0</v>
      </c>
    </row>
    <row r="17" spans="1:20" x14ac:dyDescent="0.25">
      <c r="A17" s="73">
        <v>44571</v>
      </c>
      <c r="B17" s="40">
        <v>0</v>
      </c>
      <c r="C17" s="40">
        <v>23</v>
      </c>
      <c r="D17" s="40">
        <v>64</v>
      </c>
      <c r="E17" s="41">
        <v>85</v>
      </c>
      <c r="F17" s="41">
        <v>6337</v>
      </c>
      <c r="G17" s="41">
        <v>35</v>
      </c>
      <c r="H17" s="41">
        <v>1964</v>
      </c>
      <c r="I17" s="41">
        <v>85</v>
      </c>
      <c r="J17" s="41">
        <v>541</v>
      </c>
      <c r="K17" s="42">
        <v>83</v>
      </c>
      <c r="L17" s="42">
        <v>85</v>
      </c>
      <c r="M17" s="42">
        <v>1538</v>
      </c>
      <c r="N17" s="39">
        <v>85</v>
      </c>
      <c r="O17" s="39">
        <v>69</v>
      </c>
      <c r="P17" s="39">
        <v>83</v>
      </c>
      <c r="Q17" s="39">
        <v>4573</v>
      </c>
      <c r="R17" s="77">
        <v>83</v>
      </c>
      <c r="S17" s="77">
        <v>219</v>
      </c>
      <c r="T17">
        <f t="shared" si="1"/>
        <v>0</v>
      </c>
    </row>
    <row r="18" spans="1:20" x14ac:dyDescent="0.25">
      <c r="A18" s="73">
        <v>44572</v>
      </c>
      <c r="B18" s="40">
        <v>0</v>
      </c>
      <c r="C18" s="40">
        <v>21</v>
      </c>
      <c r="D18" s="40">
        <v>58</v>
      </c>
      <c r="E18" s="41">
        <v>85</v>
      </c>
      <c r="F18" s="41">
        <v>6342</v>
      </c>
      <c r="G18" s="41">
        <v>25</v>
      </c>
      <c r="H18" s="41">
        <v>1966</v>
      </c>
      <c r="I18" s="41">
        <v>85</v>
      </c>
      <c r="J18" s="41">
        <v>541</v>
      </c>
      <c r="K18" s="42">
        <v>82</v>
      </c>
      <c r="L18" s="42">
        <v>85</v>
      </c>
      <c r="M18" s="42">
        <v>1538</v>
      </c>
      <c r="N18" s="39">
        <v>85</v>
      </c>
      <c r="O18" s="39">
        <v>65</v>
      </c>
      <c r="P18" s="39">
        <v>83</v>
      </c>
      <c r="Q18" s="39">
        <v>4576</v>
      </c>
      <c r="R18" s="77">
        <v>83</v>
      </c>
      <c r="S18" s="77">
        <v>219</v>
      </c>
      <c r="T18">
        <f t="shared" si="1"/>
        <v>0</v>
      </c>
    </row>
    <row r="19" spans="1:20" x14ac:dyDescent="0.25">
      <c r="A19" s="73">
        <v>44573</v>
      </c>
      <c r="B19" s="40">
        <v>0</v>
      </c>
      <c r="C19" s="40">
        <v>18</v>
      </c>
      <c r="D19" s="40">
        <v>46</v>
      </c>
      <c r="E19" s="41">
        <v>85</v>
      </c>
      <c r="F19" s="41">
        <v>6348</v>
      </c>
      <c r="G19" s="41">
        <v>15</v>
      </c>
      <c r="H19" s="41">
        <v>1968</v>
      </c>
      <c r="I19" s="41">
        <v>85</v>
      </c>
      <c r="J19" s="41">
        <v>541</v>
      </c>
      <c r="K19" s="42">
        <v>78</v>
      </c>
      <c r="L19" s="42">
        <v>85</v>
      </c>
      <c r="M19" s="42">
        <v>1541</v>
      </c>
      <c r="N19" s="39">
        <v>85</v>
      </c>
      <c r="O19" s="39">
        <v>55</v>
      </c>
      <c r="P19" s="39">
        <v>83</v>
      </c>
      <c r="Q19" s="39">
        <v>4581</v>
      </c>
      <c r="R19" s="77">
        <v>83</v>
      </c>
      <c r="S19" s="77">
        <v>219</v>
      </c>
      <c r="T19">
        <f t="shared" si="1"/>
        <v>0</v>
      </c>
    </row>
    <row r="20" spans="1:20" x14ac:dyDescent="0.25">
      <c r="A20" s="73">
        <v>44574</v>
      </c>
      <c r="B20" s="40">
        <v>0</v>
      </c>
      <c r="C20" s="40">
        <v>16</v>
      </c>
      <c r="D20" s="40">
        <v>40</v>
      </c>
      <c r="E20" s="41">
        <v>85</v>
      </c>
      <c r="F20" s="41">
        <v>6354</v>
      </c>
      <c r="G20" s="41">
        <v>10</v>
      </c>
      <c r="H20" s="41">
        <v>1971</v>
      </c>
      <c r="I20" s="41">
        <v>85</v>
      </c>
      <c r="J20" s="41">
        <v>541</v>
      </c>
      <c r="K20" s="42">
        <v>78</v>
      </c>
      <c r="L20" s="42">
        <v>85</v>
      </c>
      <c r="M20" s="42">
        <v>1541</v>
      </c>
      <c r="N20" s="39">
        <v>85</v>
      </c>
      <c r="O20" s="39">
        <v>50</v>
      </c>
      <c r="P20" s="39">
        <v>83</v>
      </c>
      <c r="Q20" s="39">
        <v>4584</v>
      </c>
      <c r="R20" s="77">
        <v>83</v>
      </c>
      <c r="S20" s="77">
        <v>219</v>
      </c>
      <c r="T20">
        <f t="shared" si="1"/>
        <v>0</v>
      </c>
    </row>
    <row r="21" spans="1:20" x14ac:dyDescent="0.25">
      <c r="A21" s="73">
        <v>44575</v>
      </c>
      <c r="B21" s="40">
        <v>0</v>
      </c>
      <c r="C21" s="40">
        <v>16</v>
      </c>
      <c r="D21" s="40">
        <v>40</v>
      </c>
      <c r="E21" s="41">
        <v>85</v>
      </c>
      <c r="F21" s="41">
        <v>6359</v>
      </c>
      <c r="G21" s="41">
        <v>3</v>
      </c>
      <c r="H21" s="41">
        <v>1973</v>
      </c>
      <c r="I21" s="41">
        <v>85</v>
      </c>
      <c r="J21" s="41">
        <v>541</v>
      </c>
      <c r="K21" s="42">
        <v>78</v>
      </c>
      <c r="L21" s="42">
        <v>85</v>
      </c>
      <c r="M21" s="42">
        <v>1543</v>
      </c>
      <c r="N21" s="39">
        <v>85</v>
      </c>
      <c r="O21" s="39">
        <v>50</v>
      </c>
      <c r="P21" s="39">
        <v>83</v>
      </c>
      <c r="Q21" s="39">
        <v>4587</v>
      </c>
      <c r="R21" s="77">
        <v>83</v>
      </c>
      <c r="S21" s="77">
        <v>219</v>
      </c>
      <c r="T21">
        <f t="shared" si="1"/>
        <v>0</v>
      </c>
    </row>
    <row r="22" spans="1:20" x14ac:dyDescent="0.25">
      <c r="A22" s="73">
        <v>44576</v>
      </c>
      <c r="B22" s="40">
        <v>0</v>
      </c>
      <c r="C22" s="40">
        <v>17</v>
      </c>
      <c r="D22" s="40">
        <v>42</v>
      </c>
      <c r="E22" s="41">
        <v>85</v>
      </c>
      <c r="F22" s="41">
        <v>6365</v>
      </c>
      <c r="G22" s="41">
        <v>0</v>
      </c>
      <c r="H22" s="41">
        <v>1975</v>
      </c>
      <c r="I22" s="41">
        <v>80</v>
      </c>
      <c r="J22" s="41">
        <v>541</v>
      </c>
      <c r="K22" s="42">
        <v>75</v>
      </c>
      <c r="L22" s="42">
        <v>85</v>
      </c>
      <c r="M22" s="42">
        <v>1543</v>
      </c>
      <c r="N22" s="39">
        <v>85</v>
      </c>
      <c r="O22" s="39">
        <v>50</v>
      </c>
      <c r="P22" s="39">
        <v>83</v>
      </c>
      <c r="Q22" s="39">
        <v>4589</v>
      </c>
      <c r="R22" s="77">
        <v>83</v>
      </c>
      <c r="S22" s="77">
        <v>219</v>
      </c>
      <c r="T22">
        <f t="shared" si="1"/>
        <v>0</v>
      </c>
    </row>
    <row r="23" spans="1:20" x14ac:dyDescent="0.25">
      <c r="A23" s="73">
        <v>44577</v>
      </c>
      <c r="B23" s="40">
        <v>0</v>
      </c>
      <c r="C23" s="40">
        <v>14</v>
      </c>
      <c r="D23" s="40">
        <v>37</v>
      </c>
      <c r="E23" s="41">
        <v>85</v>
      </c>
      <c r="F23" s="41">
        <v>6369</v>
      </c>
      <c r="G23" s="41">
        <v>0</v>
      </c>
      <c r="H23" s="41">
        <v>1978</v>
      </c>
      <c r="I23" s="41">
        <v>70</v>
      </c>
      <c r="J23" s="41">
        <v>541</v>
      </c>
      <c r="K23" s="42">
        <v>72</v>
      </c>
      <c r="L23" s="42">
        <v>85</v>
      </c>
      <c r="M23" s="42">
        <v>1547</v>
      </c>
      <c r="N23" s="39">
        <v>85</v>
      </c>
      <c r="O23" s="39">
        <v>49</v>
      </c>
      <c r="P23" s="39">
        <v>83</v>
      </c>
      <c r="Q23" s="39">
        <v>4590</v>
      </c>
      <c r="R23" s="77">
        <v>83</v>
      </c>
      <c r="S23" s="77">
        <v>219</v>
      </c>
      <c r="T23">
        <f t="shared" si="1"/>
        <v>0</v>
      </c>
    </row>
    <row r="24" spans="1:20" x14ac:dyDescent="0.25">
      <c r="A24" s="73">
        <v>44578</v>
      </c>
      <c r="B24" s="40">
        <v>0</v>
      </c>
      <c r="C24" s="40">
        <v>19</v>
      </c>
      <c r="D24" s="40">
        <v>46</v>
      </c>
      <c r="E24" s="41">
        <v>85</v>
      </c>
      <c r="F24" s="41">
        <v>6375</v>
      </c>
      <c r="G24" s="41">
        <v>0</v>
      </c>
      <c r="H24" s="41">
        <v>1980</v>
      </c>
      <c r="I24" s="41">
        <v>60</v>
      </c>
      <c r="J24" s="41">
        <v>541</v>
      </c>
      <c r="K24" s="42">
        <v>70</v>
      </c>
      <c r="L24" s="42">
        <v>85</v>
      </c>
      <c r="M24" s="42">
        <v>1549</v>
      </c>
      <c r="N24" s="39">
        <v>85</v>
      </c>
      <c r="O24" s="39">
        <v>40</v>
      </c>
      <c r="P24" s="39">
        <v>83</v>
      </c>
      <c r="Q24" s="39">
        <v>4595</v>
      </c>
      <c r="R24" s="77">
        <v>83</v>
      </c>
      <c r="S24" s="77">
        <v>219</v>
      </c>
      <c r="T24">
        <f t="shared" si="1"/>
        <v>0</v>
      </c>
    </row>
    <row r="25" spans="1:20" x14ac:dyDescent="0.25">
      <c r="A25" s="73">
        <v>44579</v>
      </c>
      <c r="B25" s="40">
        <v>0</v>
      </c>
      <c r="C25" s="40">
        <v>19</v>
      </c>
      <c r="D25" s="40">
        <v>43</v>
      </c>
      <c r="E25" s="41">
        <v>85</v>
      </c>
      <c r="F25" s="41">
        <v>6380</v>
      </c>
      <c r="G25" s="41">
        <v>0</v>
      </c>
      <c r="H25" s="41">
        <v>1982</v>
      </c>
      <c r="I25" s="41">
        <v>50</v>
      </c>
      <c r="J25" s="41">
        <v>541</v>
      </c>
      <c r="K25" s="42">
        <v>70</v>
      </c>
      <c r="L25" s="42">
        <v>85</v>
      </c>
      <c r="M25" s="42">
        <v>1549</v>
      </c>
      <c r="N25" s="39">
        <v>85</v>
      </c>
      <c r="O25" s="39">
        <v>35</v>
      </c>
      <c r="P25" s="39">
        <v>83</v>
      </c>
      <c r="Q25" s="39">
        <v>4600</v>
      </c>
      <c r="R25" s="77">
        <v>83</v>
      </c>
      <c r="S25" s="77">
        <v>219</v>
      </c>
      <c r="T25">
        <f t="shared" si="1"/>
        <v>0</v>
      </c>
    </row>
    <row r="26" spans="1:20" x14ac:dyDescent="0.25">
      <c r="A26" s="73">
        <v>44580</v>
      </c>
      <c r="B26" s="40">
        <v>0</v>
      </c>
      <c r="C26" s="79">
        <v>19</v>
      </c>
      <c r="D26" s="79">
        <v>43</v>
      </c>
      <c r="E26" s="41">
        <v>85</v>
      </c>
      <c r="F26" s="41">
        <v>6386</v>
      </c>
      <c r="G26" s="41">
        <v>0</v>
      </c>
      <c r="H26" s="41">
        <v>1984</v>
      </c>
      <c r="I26" s="41">
        <v>40</v>
      </c>
      <c r="J26" s="41">
        <v>541</v>
      </c>
      <c r="K26" s="42">
        <v>65</v>
      </c>
      <c r="L26" s="42">
        <v>85</v>
      </c>
      <c r="M26" s="42">
        <v>1552</v>
      </c>
      <c r="N26" s="39">
        <v>85</v>
      </c>
      <c r="O26" s="39">
        <v>30</v>
      </c>
      <c r="P26" s="39">
        <v>83</v>
      </c>
      <c r="Q26" s="39">
        <v>4603</v>
      </c>
      <c r="R26" s="77">
        <v>83</v>
      </c>
      <c r="S26" s="77">
        <v>219</v>
      </c>
      <c r="T26">
        <f t="shared" si="1"/>
        <v>0</v>
      </c>
    </row>
    <row r="27" spans="1:20" x14ac:dyDescent="0.25">
      <c r="A27" s="73">
        <v>44581</v>
      </c>
      <c r="B27" s="40">
        <v>0</v>
      </c>
      <c r="C27" s="40">
        <v>18</v>
      </c>
      <c r="D27" s="40">
        <v>31</v>
      </c>
      <c r="E27" s="41">
        <v>85</v>
      </c>
      <c r="F27" s="41">
        <v>6391</v>
      </c>
      <c r="G27" s="41">
        <v>0</v>
      </c>
      <c r="H27" s="41">
        <v>1987</v>
      </c>
      <c r="I27" s="41">
        <v>30</v>
      </c>
      <c r="J27" s="41">
        <v>541</v>
      </c>
      <c r="K27" s="42">
        <v>65</v>
      </c>
      <c r="L27" s="42">
        <v>85</v>
      </c>
      <c r="M27" s="42">
        <v>1552</v>
      </c>
      <c r="N27" s="39">
        <v>85</v>
      </c>
      <c r="O27" s="39">
        <v>25</v>
      </c>
      <c r="P27" s="39">
        <v>83</v>
      </c>
      <c r="Q27" s="39">
        <v>4605</v>
      </c>
      <c r="R27" s="77">
        <v>83</v>
      </c>
      <c r="S27" s="77">
        <v>219</v>
      </c>
      <c r="T27">
        <f t="shared" si="1"/>
        <v>0</v>
      </c>
    </row>
    <row r="28" spans="1:20" x14ac:dyDescent="0.25">
      <c r="A28" s="73">
        <v>44582</v>
      </c>
      <c r="B28" s="40">
        <v>0</v>
      </c>
      <c r="C28" s="40">
        <v>18</v>
      </c>
      <c r="D28" s="40">
        <v>38</v>
      </c>
      <c r="E28" s="41">
        <v>85</v>
      </c>
      <c r="F28" s="41">
        <v>6397</v>
      </c>
      <c r="G28" s="41">
        <v>0</v>
      </c>
      <c r="H28" s="41">
        <v>1989</v>
      </c>
      <c r="I28" s="41">
        <v>20</v>
      </c>
      <c r="J28" s="41">
        <v>541</v>
      </c>
      <c r="K28" s="42">
        <v>60</v>
      </c>
      <c r="L28" s="42">
        <v>85</v>
      </c>
      <c r="M28" s="42">
        <v>1554</v>
      </c>
      <c r="N28" s="39">
        <v>85</v>
      </c>
      <c r="O28" s="39">
        <v>20</v>
      </c>
      <c r="P28" s="39">
        <v>83</v>
      </c>
      <c r="Q28" s="39">
        <v>4609</v>
      </c>
      <c r="R28" s="77">
        <v>83</v>
      </c>
      <c r="S28" s="77">
        <v>219</v>
      </c>
      <c r="T28">
        <f t="shared" si="1"/>
        <v>0</v>
      </c>
    </row>
    <row r="29" spans="1:20" x14ac:dyDescent="0.25">
      <c r="A29" s="73">
        <v>44583</v>
      </c>
      <c r="B29" s="40">
        <v>0</v>
      </c>
      <c r="C29" s="40">
        <v>18</v>
      </c>
      <c r="D29" s="40">
        <v>36</v>
      </c>
      <c r="E29" s="41">
        <v>85</v>
      </c>
      <c r="F29" s="41">
        <v>6401</v>
      </c>
      <c r="G29" s="41">
        <v>0</v>
      </c>
      <c r="H29" s="41">
        <v>1991</v>
      </c>
      <c r="I29" s="41">
        <v>15</v>
      </c>
      <c r="J29" s="41">
        <v>541</v>
      </c>
      <c r="K29" s="42">
        <v>60</v>
      </c>
      <c r="L29" s="42">
        <v>85</v>
      </c>
      <c r="M29" s="42">
        <v>1555</v>
      </c>
      <c r="N29" s="39">
        <v>85</v>
      </c>
      <c r="O29" s="39">
        <v>20</v>
      </c>
      <c r="P29" s="39">
        <v>83</v>
      </c>
      <c r="Q29" s="39">
        <v>4610</v>
      </c>
      <c r="R29" s="77">
        <v>83</v>
      </c>
      <c r="S29" s="77">
        <v>219</v>
      </c>
      <c r="T29">
        <f t="shared" si="1"/>
        <v>0</v>
      </c>
    </row>
    <row r="30" spans="1:20" x14ac:dyDescent="0.25">
      <c r="A30" s="73">
        <v>44584</v>
      </c>
      <c r="B30" s="40">
        <v>0</v>
      </c>
      <c r="C30" s="40">
        <v>22</v>
      </c>
      <c r="D30" s="40">
        <v>42</v>
      </c>
      <c r="E30" s="41">
        <v>85</v>
      </c>
      <c r="F30" s="41">
        <v>6405</v>
      </c>
      <c r="G30" s="41">
        <v>0</v>
      </c>
      <c r="H30" s="41">
        <v>1993</v>
      </c>
      <c r="I30" s="41">
        <v>10</v>
      </c>
      <c r="J30" s="41">
        <v>541</v>
      </c>
      <c r="K30" s="42">
        <v>60</v>
      </c>
      <c r="L30" s="42">
        <v>85</v>
      </c>
      <c r="M30" s="42">
        <v>1557</v>
      </c>
      <c r="N30" s="39">
        <v>85</v>
      </c>
      <c r="O30" s="39">
        <v>15</v>
      </c>
      <c r="P30" s="39">
        <v>83</v>
      </c>
      <c r="Q30" s="39">
        <v>4612</v>
      </c>
      <c r="R30" s="77">
        <v>83</v>
      </c>
      <c r="S30" s="77">
        <v>219</v>
      </c>
      <c r="T30">
        <f t="shared" si="1"/>
        <v>0</v>
      </c>
    </row>
    <row r="31" spans="1:20" x14ac:dyDescent="0.25">
      <c r="A31" s="73">
        <v>44585</v>
      </c>
      <c r="B31" s="40">
        <v>0</v>
      </c>
      <c r="C31" s="40">
        <v>22</v>
      </c>
      <c r="D31" s="40">
        <v>42</v>
      </c>
      <c r="E31" s="41">
        <v>85</v>
      </c>
      <c r="F31" s="41">
        <v>6410</v>
      </c>
      <c r="G31" s="41">
        <v>0</v>
      </c>
      <c r="H31" s="41">
        <v>1995</v>
      </c>
      <c r="I31" s="41">
        <v>5</v>
      </c>
      <c r="J31" s="41">
        <v>541</v>
      </c>
      <c r="K31" s="42">
        <v>55</v>
      </c>
      <c r="L31" s="42">
        <v>85</v>
      </c>
      <c r="M31" s="42">
        <v>1560</v>
      </c>
      <c r="N31" s="39">
        <v>85</v>
      </c>
      <c r="O31" s="39">
        <v>15</v>
      </c>
      <c r="P31" s="39">
        <v>83</v>
      </c>
      <c r="Q31" s="39">
        <v>4616</v>
      </c>
      <c r="R31" s="77">
        <v>83</v>
      </c>
      <c r="S31" s="77">
        <v>219</v>
      </c>
      <c r="T31">
        <f t="shared" si="1"/>
        <v>0</v>
      </c>
    </row>
    <row r="32" spans="1:20" x14ac:dyDescent="0.25">
      <c r="A32" s="73">
        <v>44586</v>
      </c>
      <c r="B32" s="40">
        <v>0</v>
      </c>
      <c r="C32" s="40">
        <v>22</v>
      </c>
      <c r="D32" s="40">
        <v>44</v>
      </c>
      <c r="E32" s="41">
        <v>85</v>
      </c>
      <c r="F32" s="41">
        <v>6415</v>
      </c>
      <c r="G32" s="41">
        <v>0</v>
      </c>
      <c r="H32" s="41">
        <v>1997</v>
      </c>
      <c r="I32" s="41">
        <v>0</v>
      </c>
      <c r="J32" s="41">
        <v>541</v>
      </c>
      <c r="K32" s="42">
        <v>55</v>
      </c>
      <c r="L32" s="42">
        <v>85</v>
      </c>
      <c r="M32" s="42">
        <v>1560</v>
      </c>
      <c r="N32" s="39">
        <v>85</v>
      </c>
      <c r="O32" s="39">
        <v>15</v>
      </c>
      <c r="P32" s="39">
        <v>83</v>
      </c>
      <c r="Q32" s="39">
        <v>4620</v>
      </c>
      <c r="R32" s="77">
        <v>83</v>
      </c>
      <c r="S32" s="77">
        <v>219</v>
      </c>
      <c r="T32">
        <f t="shared" si="1"/>
        <v>0</v>
      </c>
    </row>
    <row r="33" spans="1:20" x14ac:dyDescent="0.25">
      <c r="A33" s="73">
        <v>44587</v>
      </c>
      <c r="B33" s="40">
        <v>0</v>
      </c>
      <c r="C33" s="40">
        <v>31</v>
      </c>
      <c r="D33" s="40">
        <v>59</v>
      </c>
      <c r="E33" s="41">
        <v>85</v>
      </c>
      <c r="F33" s="41">
        <v>6420</v>
      </c>
      <c r="G33" s="41">
        <v>0</v>
      </c>
      <c r="H33" s="41">
        <v>1999</v>
      </c>
      <c r="I33" s="41">
        <v>0</v>
      </c>
      <c r="J33" s="41">
        <v>541</v>
      </c>
      <c r="K33" s="42">
        <v>50</v>
      </c>
      <c r="L33" s="42">
        <v>85</v>
      </c>
      <c r="M33" s="42">
        <v>1561</v>
      </c>
      <c r="N33" s="39">
        <v>85</v>
      </c>
      <c r="O33" s="39">
        <v>10</v>
      </c>
      <c r="P33" s="39">
        <v>83</v>
      </c>
      <c r="Q33" s="39">
        <v>4623</v>
      </c>
      <c r="R33" s="77">
        <v>83</v>
      </c>
      <c r="S33" s="77">
        <v>219</v>
      </c>
      <c r="T33">
        <f t="shared" si="1"/>
        <v>0</v>
      </c>
    </row>
    <row r="34" spans="1:20" x14ac:dyDescent="0.25">
      <c r="A34" s="73">
        <v>44588</v>
      </c>
      <c r="B34" s="40">
        <v>0</v>
      </c>
      <c r="C34" s="40">
        <v>31</v>
      </c>
      <c r="D34" s="40">
        <v>59</v>
      </c>
      <c r="E34" s="41">
        <v>75</v>
      </c>
      <c r="F34" s="41">
        <v>6425</v>
      </c>
      <c r="G34" s="41">
        <v>0</v>
      </c>
      <c r="H34" s="41">
        <v>2001</v>
      </c>
      <c r="I34" s="41">
        <v>0</v>
      </c>
      <c r="J34" s="41">
        <v>541</v>
      </c>
      <c r="K34" s="42">
        <v>50</v>
      </c>
      <c r="L34" s="42">
        <v>85</v>
      </c>
      <c r="M34" s="42">
        <v>1562</v>
      </c>
      <c r="N34" s="39">
        <v>85</v>
      </c>
      <c r="O34" s="39">
        <v>5</v>
      </c>
      <c r="P34" s="39">
        <v>83</v>
      </c>
      <c r="Q34" s="39">
        <v>4627</v>
      </c>
      <c r="R34" s="77">
        <v>83</v>
      </c>
      <c r="S34" s="77">
        <v>219</v>
      </c>
      <c r="T34">
        <f t="shared" si="1"/>
        <v>0</v>
      </c>
    </row>
    <row r="35" spans="1:20" x14ac:dyDescent="0.25">
      <c r="A35" s="73">
        <v>44589</v>
      </c>
      <c r="B35" s="40">
        <v>0</v>
      </c>
      <c r="C35" s="40">
        <v>31</v>
      </c>
      <c r="D35" s="40">
        <v>59</v>
      </c>
      <c r="E35" s="41">
        <v>66</v>
      </c>
      <c r="F35" s="41">
        <v>6430</v>
      </c>
      <c r="G35" s="41">
        <v>0</v>
      </c>
      <c r="H35" s="41">
        <v>2003</v>
      </c>
      <c r="I35" s="41">
        <v>0</v>
      </c>
      <c r="J35" s="41">
        <v>541</v>
      </c>
      <c r="K35" s="42">
        <v>50</v>
      </c>
      <c r="L35" s="42">
        <v>85</v>
      </c>
      <c r="M35" s="42">
        <v>1563</v>
      </c>
      <c r="N35" s="39">
        <v>85</v>
      </c>
      <c r="O35" s="39">
        <v>0</v>
      </c>
      <c r="P35" s="39">
        <v>83</v>
      </c>
      <c r="Q35" s="39">
        <v>4629</v>
      </c>
      <c r="R35" s="77">
        <v>83</v>
      </c>
      <c r="S35" s="77">
        <v>219</v>
      </c>
      <c r="T35">
        <f t="shared" si="1"/>
        <v>0</v>
      </c>
    </row>
    <row r="36" spans="1:20" x14ac:dyDescent="0.25">
      <c r="A36" s="73">
        <v>44590</v>
      </c>
      <c r="B36" s="40">
        <v>0</v>
      </c>
      <c r="C36" s="40">
        <v>28</v>
      </c>
      <c r="D36" s="40">
        <v>52</v>
      </c>
      <c r="E36" s="41">
        <v>55</v>
      </c>
      <c r="F36" s="41">
        <v>6435</v>
      </c>
      <c r="G36" s="41">
        <v>0</v>
      </c>
      <c r="H36" s="41">
        <v>2007</v>
      </c>
      <c r="I36" s="41">
        <v>0</v>
      </c>
      <c r="J36" s="41">
        <v>541</v>
      </c>
      <c r="K36" s="42">
        <v>49</v>
      </c>
      <c r="L36" s="42">
        <v>85</v>
      </c>
      <c r="M36" s="42">
        <v>1563</v>
      </c>
      <c r="N36" s="39">
        <v>85</v>
      </c>
      <c r="O36" s="39">
        <v>0</v>
      </c>
      <c r="P36" s="39">
        <v>83</v>
      </c>
      <c r="Q36" s="39">
        <v>4633</v>
      </c>
      <c r="R36" s="77">
        <v>83</v>
      </c>
      <c r="S36" s="77">
        <v>219</v>
      </c>
      <c r="T36">
        <f t="shared" si="1"/>
        <v>0</v>
      </c>
    </row>
    <row r="37" spans="1:20" x14ac:dyDescent="0.25">
      <c r="A37" s="73">
        <v>44591</v>
      </c>
      <c r="B37" s="40">
        <v>0</v>
      </c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-219</v>
      </c>
    </row>
    <row r="38" spans="1:20" x14ac:dyDescent="0.25">
      <c r="A38" s="73">
        <v>44592</v>
      </c>
      <c r="B38" s="40">
        <v>0</v>
      </c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44593</v>
      </c>
      <c r="B39" s="40">
        <v>0</v>
      </c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2022-01-30T19:08:31Z</dcterms:modified>
</cp:coreProperties>
</file>