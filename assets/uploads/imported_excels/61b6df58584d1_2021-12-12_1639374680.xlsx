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K326" i="4" l="1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K352" i="4"/>
  <c r="I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6" i="1" s="1"/>
  <c r="L277" i="4"/>
  <c r="M277" i="4" s="1"/>
  <c r="K277" i="4"/>
  <c r="S276" i="4"/>
  <c r="R276" i="4"/>
  <c r="O276" i="4"/>
  <c r="E275" i="1" s="1"/>
  <c r="L276" i="4"/>
  <c r="S275" i="4"/>
  <c r="R275" i="4"/>
  <c r="O275" i="4"/>
  <c r="L275" i="4"/>
  <c r="M275" i="4" s="1"/>
  <c r="K275" i="4"/>
  <c r="S274" i="4"/>
  <c r="R274" i="4"/>
  <c r="O274" i="4"/>
  <c r="E273" i="1" s="1"/>
  <c r="L274" i="4"/>
  <c r="M274" i="4" s="1"/>
  <c r="K274" i="4"/>
  <c r="S273" i="4"/>
  <c r="R273" i="4"/>
  <c r="O273" i="4"/>
  <c r="E272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4" i="1" s="1"/>
  <c r="K346" i="3"/>
  <c r="I346" i="3"/>
  <c r="H346" i="3"/>
  <c r="L345" i="3"/>
  <c r="I343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E339" i="1"/>
  <c r="E366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E341" i="1"/>
  <c r="E343" i="1"/>
  <c r="E345" i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E358" i="1"/>
  <c r="E363" i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E352" i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E308" i="1"/>
  <c r="E322" i="1"/>
  <c r="E327" i="1"/>
  <c r="E337" i="1"/>
  <c r="E342" i="1"/>
  <c r="E351" i="1"/>
  <c r="E355" i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E365" i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E10" i="1"/>
  <c r="E128" i="1"/>
  <c r="E359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Q346" i="3"/>
  <c r="Q349" i="3"/>
  <c r="Q352" i="3"/>
  <c r="I350" i="1"/>
  <c r="M363" i="3"/>
  <c r="G361" i="1" s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<sst xmlns="http://schemas.openxmlformats.org/spreadsheetml/2006/main" count="608" uniqueCount="78">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</sst>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322" workbookViewId="0">
      <selection activeCell="U338" sqref="U33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14.15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14.15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14.15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14.15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14.15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14.15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14.15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14.15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14.15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14.15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14.15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14.15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14.15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14.15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14.15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14.15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14.15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14.15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14.15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14.15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14.15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14.15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14.15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14.15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14.15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14.15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14.15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14.15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14.15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14.15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14.95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14.95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14.95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14.95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14.95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14.95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14.95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14.95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14.95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14.95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14.95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14.95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14.95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14.95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14.95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14.95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14.95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14.95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14.95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14.95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14.95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14.95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14.95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14.95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14.95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14.95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14.95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14.95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14.95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14.95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14.95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1.1599999999999999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14.95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1.1599999999999999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14.95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1.1599999999999999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14.95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1.1599999999999999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14.95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1.1599999999999999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14.95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1.1599999999999999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14.95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1.1599999999999999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14.95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1.1599999999999999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14.95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1.1599999999999999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14.95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1.1599999999999999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14.95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1.1599999999999999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14.95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1.1599999999999999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14.95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1.1599999999999999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14.95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1.1599999999999999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14.95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>
        <f>'Electricity '!I321+'Electricity '!O321</f>
        <v>22637.52000000031</v>
      </c>
      <c r="F320" s="153">
        <v>1.1599999999999999</v>
      </c>
      <c r="G320" s="4">
        <f>'Gas Water'!M322</f>
        <v>1757</v>
      </c>
      <c r="H320" s="153">
        <v>3.85</v>
      </c>
      <c r="I320" s="2">
        <f>'Gas Water'!L322</f>
        <v>210</v>
      </c>
      <c r="J320" s="153">
        <v>14.95</v>
      </c>
      <c r="K320" s="5">
        <v>128</v>
      </c>
      <c r="L320" s="5">
        <v>199</v>
      </c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>
        <f>'Electricity '!I322+'Electricity '!O322</f>
        <v>23308.200000000452</v>
      </c>
      <c r="F321" s="153">
        <v>1.1599999999999999</v>
      </c>
      <c r="G321" s="4">
        <f>'Gas Water'!M323</f>
        <v>1897</v>
      </c>
      <c r="H321" s="153">
        <v>3.85</v>
      </c>
      <c r="I321" s="2">
        <f>'Gas Water'!L323</f>
        <v>231</v>
      </c>
      <c r="J321" s="153">
        <v>14.95</v>
      </c>
      <c r="K321" s="5">
        <v>118</v>
      </c>
      <c r="L321" s="5">
        <v>183</v>
      </c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>
        <f>'Electricity '!I323+'Electricity '!O323</f>
        <v>22939.739999999751</v>
      </c>
      <c r="F322" s="153">
        <v>1.1599999999999999</v>
      </c>
      <c r="G322" s="4">
        <f>'Gas Water'!M324</f>
        <v>1954</v>
      </c>
      <c r="H322" s="153">
        <v>3.85</v>
      </c>
      <c r="I322" s="2">
        <f>'Gas Water'!L324</f>
        <v>159</v>
      </c>
      <c r="J322" s="153">
        <v>14.95</v>
      </c>
      <c r="K322" s="5">
        <v>98</v>
      </c>
      <c r="L322" s="5">
        <v>166</v>
      </c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>
        <f>'Electricity '!I324+'Electricity '!O324</f>
        <v>23614.559999999798</v>
      </c>
      <c r="F323" s="153">
        <v>1.1599999999999999</v>
      </c>
      <c r="G323" s="4">
        <f>'Gas Water'!M325</f>
        <v>2113</v>
      </c>
      <c r="H323" s="153">
        <v>3.85</v>
      </c>
      <c r="I323" s="2">
        <f>'Gas Water'!L325</f>
        <v>217</v>
      </c>
      <c r="J323" s="153">
        <v>14.95</v>
      </c>
      <c r="K323" s="5">
        <v>122</v>
      </c>
      <c r="L323" s="5">
        <v>205</v>
      </c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>
        <f>'Electricity '!I325+'Electricity '!O325</f>
        <v>25432.02000000012</v>
      </c>
      <c r="F324" s="153">
        <v>1.1599999999999999</v>
      </c>
      <c r="G324" s="4">
        <f>'Gas Water'!M326</f>
        <v>2339</v>
      </c>
      <c r="H324" s="153">
        <v>3.85</v>
      </c>
      <c r="I324" s="2">
        <f>'Gas Water'!L326</f>
        <v>178</v>
      </c>
      <c r="J324" s="153">
        <v>14.95</v>
      </c>
      <c r="K324" s="5">
        <v>141</v>
      </c>
      <c r="L324" s="5">
        <v>243</v>
      </c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>
        <f>'Electricity '!I326+'Electricity '!O326</f>
        <v>24202.440000000017</v>
      </c>
      <c r="F325" s="153">
        <v>1.1599999999999999</v>
      </c>
      <c r="G325" s="4">
        <f>'Gas Water'!M327</f>
        <v>2342</v>
      </c>
      <c r="H325" s="153">
        <v>3.85</v>
      </c>
      <c r="I325" s="2">
        <f>'Gas Water'!L327</f>
        <v>193</v>
      </c>
      <c r="J325" s="153">
        <v>14.95</v>
      </c>
      <c r="K325" s="5">
        <v>138</v>
      </c>
      <c r="L325" s="5">
        <v>237</v>
      </c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>
        <f>'Electricity '!I327+'Electricity '!O327</f>
        <v>22724.460000000137</v>
      </c>
      <c r="F326" s="153">
        <v>1.1599999999999999</v>
      </c>
      <c r="G326" s="4">
        <f>'Gas Water'!M328</f>
        <v>2017</v>
      </c>
      <c r="H326" s="153">
        <v>3.85</v>
      </c>
      <c r="I326" s="2">
        <f>'Gas Water'!L328</f>
        <v>169</v>
      </c>
      <c r="J326" s="153">
        <v>14.95</v>
      </c>
      <c r="K326" s="5">
        <v>117</v>
      </c>
      <c r="L326" s="5">
        <v>190</v>
      </c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>
        <f>'Electricity '!I328+'Electricity '!O328</f>
        <v>21921.300000000301</v>
      </c>
      <c r="F327" s="153">
        <v>1.1599999999999999</v>
      </c>
      <c r="G327" s="4">
        <f>'Gas Water'!M329</f>
        <v>1716</v>
      </c>
      <c r="H327" s="153">
        <v>3.85</v>
      </c>
      <c r="I327" s="2">
        <f>'Gas Water'!L329</f>
        <v>166</v>
      </c>
      <c r="J327" s="153">
        <v>14.95</v>
      </c>
      <c r="K327" s="5">
        <v>127</v>
      </c>
      <c r="L327" s="5">
        <v>198</v>
      </c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>
        <f>'Electricity '!I329+'Electricity '!O329</f>
        <v>24604.019999999931</v>
      </c>
      <c r="F328" s="153">
        <v>1.1599999999999999</v>
      </c>
      <c r="G328" s="4">
        <f>'Gas Water'!M330</f>
        <v>1923</v>
      </c>
      <c r="H328" s="153">
        <v>3.85</v>
      </c>
      <c r="I328" s="2">
        <f>'Gas Water'!L330</f>
        <v>171</v>
      </c>
      <c r="J328" s="153">
        <v>14.95</v>
      </c>
      <c r="K328" s="5">
        <v>142</v>
      </c>
      <c r="L328" s="5">
        <v>217</v>
      </c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>
        <f>'Electricity '!I330+'Electricity '!O330</f>
        <v>24111.359999999346</v>
      </c>
      <c r="F329" s="153">
        <v>1.1599999999999999</v>
      </c>
      <c r="G329" s="4">
        <f>'Gas Water'!M331</f>
        <v>2248</v>
      </c>
      <c r="H329" s="153">
        <v>3.85</v>
      </c>
      <c r="I329" s="2">
        <f>'Gas Water'!L331</f>
        <v>286</v>
      </c>
      <c r="J329" s="153">
        <v>14.95</v>
      </c>
      <c r="K329" s="5">
        <v>138</v>
      </c>
      <c r="L329" s="5">
        <v>229</v>
      </c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>
        <f>'Electricity '!I331+'Electricity '!O331</f>
        <v>24136.200000000641</v>
      </c>
      <c r="F330" s="153">
        <v>1.1599999999999999</v>
      </c>
      <c r="G330" s="4">
        <f>'Gas Water'!M332</f>
        <v>2253</v>
      </c>
      <c r="H330" s="153">
        <v>3.85</v>
      </c>
      <c r="I330" s="2">
        <f>'Gas Water'!L332</f>
        <v>159</v>
      </c>
      <c r="J330" s="153">
        <v>14.95</v>
      </c>
      <c r="K330" s="5">
        <v>147</v>
      </c>
      <c r="L330" s="5">
        <v>271</v>
      </c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>
        <f>'Electricity '!I332+'Electricity '!O332</f>
        <v>25324.379999999841</v>
      </c>
      <c r="F331" s="153">
        <v>1.1599999999999999</v>
      </c>
      <c r="G331" s="4">
        <f>'Gas Water'!M333</f>
        <v>1849</v>
      </c>
      <c r="H331" s="153">
        <v>3.85</v>
      </c>
      <c r="I331" s="2">
        <f>'Gas Water'!L333</f>
        <v>181</v>
      </c>
      <c r="J331" s="153">
        <v>14.95</v>
      </c>
      <c r="K331" s="5">
        <v>136</v>
      </c>
      <c r="L331" s="5">
        <v>265</v>
      </c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>
        <f>'Electricity '!I333+'Electricity '!O333</f>
        <v>22749.299999999548</v>
      </c>
      <c r="F332" s="153">
        <v>1.1599999999999999</v>
      </c>
      <c r="G332" s="4">
        <f>'Gas Water'!M334</f>
        <v>1632</v>
      </c>
      <c r="H332" s="153">
        <v>3.85</v>
      </c>
      <c r="I332" s="2">
        <f>'Gas Water'!L334</f>
        <v>219</v>
      </c>
      <c r="J332" s="153">
        <v>14.95</v>
      </c>
      <c r="K332" s="5">
        <v>141</v>
      </c>
      <c r="L332" s="5">
        <v>280</v>
      </c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>
        <f>'Electricity '!I334+'Electricity '!O334</f>
        <v>23573.159999999836</v>
      </c>
      <c r="F333" s="153">
        <v>1.1599999999999999</v>
      </c>
      <c r="G333" s="4">
        <f>'Gas Water'!M335</f>
        <v>1526</v>
      </c>
      <c r="H333" s="153">
        <v>3.85</v>
      </c>
      <c r="I333" s="2">
        <f>'Gas Water'!L335</f>
        <v>184</v>
      </c>
      <c r="J333" s="153">
        <v>14.95</v>
      </c>
      <c r="K333" s="5">
        <v>111</v>
      </c>
      <c r="L333" s="5">
        <v>206</v>
      </c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>
        <f>'Electricity '!I335+'Electricity '!O335</f>
        <v>19391.760000000813</v>
      </c>
      <c r="F334" s="153">
        <v>1.1599999999999999</v>
      </c>
      <c r="G334" s="4">
        <f>'Gas Water'!M336</f>
        <v>1550</v>
      </c>
      <c r="H334" s="153">
        <v>3.85</v>
      </c>
      <c r="I334" s="2">
        <f>'Gas Water'!L336</f>
        <v>145</v>
      </c>
      <c r="J334" s="153">
        <v>14.95</v>
      </c>
      <c r="K334" s="5">
        <v>86</v>
      </c>
      <c r="L334" s="5">
        <v>164</v>
      </c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>
        <f>'Electricity '!I336+'Electricity '!O336</f>
        <v>21565.259999999307</v>
      </c>
      <c r="F335" s="153">
        <v>1.1599999999999999</v>
      </c>
      <c r="G335" s="4">
        <f>'Gas Water'!M337</f>
        <v>2192</v>
      </c>
      <c r="H335" s="153">
        <v>3.85</v>
      </c>
      <c r="I335" s="2">
        <f>'Gas Water'!L337</f>
        <v>178</v>
      </c>
      <c r="J335" s="153">
        <v>14.95</v>
      </c>
      <c r="K335" s="5">
        <v>98</v>
      </c>
      <c r="L335" s="5">
        <v>184</v>
      </c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>
        <f>'Electricity '!I337+'Electricity '!O337</f>
        <v>20911.140000000654</v>
      </c>
      <c r="F336" s="153">
        <v>1.1599999999999999</v>
      </c>
      <c r="G336" s="4">
        <f>'Gas Water'!M338</f>
        <v>2217</v>
      </c>
      <c r="H336" s="153">
        <v>3.85</v>
      </c>
      <c r="I336" s="2">
        <f>'Gas Water'!L338</f>
        <v>189</v>
      </c>
      <c r="J336" s="153">
        <v>14.95</v>
      </c>
      <c r="K336" s="5">
        <v>95</v>
      </c>
      <c r="L336" s="5">
        <v>169</v>
      </c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>
        <f>'Electricity '!I338+'Electricity '!O338</f>
        <v>23366.160000000022</v>
      </c>
      <c r="F337" s="153">
        <v>1.1599999999999999</v>
      </c>
      <c r="G337" s="4">
        <f>'Gas Water'!M339</f>
        <v>1907</v>
      </c>
      <c r="H337" s="153">
        <v>3.85</v>
      </c>
      <c r="I337" s="2">
        <f>'Gas Water'!L339</f>
        <v>166</v>
      </c>
      <c r="J337" s="153">
        <v>14.95</v>
      </c>
      <c r="K337" s="5">
        <v>111</v>
      </c>
      <c r="L337" s="5">
        <v>192</v>
      </c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>
        <f>'Electricity '!I339+'Electricity '!O339</f>
        <v>24152.759999999307</v>
      </c>
      <c r="F338" s="153">
        <v>1.1599999999999999</v>
      </c>
      <c r="G338" s="4">
        <f>'Gas Water'!M340</f>
        <v>1777</v>
      </c>
      <c r="H338" s="153">
        <v>3.85</v>
      </c>
      <c r="I338" s="2">
        <f>'Gas Water'!L340</f>
        <v>168</v>
      </c>
      <c r="J338" s="153">
        <v>14.95</v>
      </c>
      <c r="K338" s="5">
        <v>129</v>
      </c>
      <c r="L338" s="5">
        <v>203</v>
      </c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>
        <f>'Electricity '!I340+'Electricity '!O340</f>
        <v>23175.720000000762</v>
      </c>
      <c r="F339" s="153">
        <v>1.1599999999999999</v>
      </c>
      <c r="G339" s="4">
        <f>'Gas Water'!M341</f>
        <v>2070</v>
      </c>
      <c r="H339" s="153">
        <v>3.85</v>
      </c>
      <c r="I339" s="2">
        <f>'Gas Water'!L341</f>
        <v>163</v>
      </c>
      <c r="J339" s="153">
        <v>14.95</v>
      </c>
      <c r="K339" s="5">
        <v>113</v>
      </c>
      <c r="L339" s="5">
        <v>206</v>
      </c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>
        <f>'Electricity '!I341+'Electricity '!O341</f>
        <v>24181.739999999561</v>
      </c>
      <c r="F340" s="153">
        <v>1.1599999999999999</v>
      </c>
      <c r="G340" s="4">
        <f>'Gas Water'!M342</f>
        <v>2060</v>
      </c>
      <c r="H340" s="153">
        <v>3.85</v>
      </c>
      <c r="I340" s="2">
        <f>'Gas Water'!L342</f>
        <v>178</v>
      </c>
      <c r="J340" s="153">
        <v>14.95</v>
      </c>
      <c r="K340" s="5">
        <v>91</v>
      </c>
      <c r="L340" s="5">
        <v>160</v>
      </c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>
        <f>'Electricity '!I342+'Electricity '!O342</f>
        <v>24223.139999999526</v>
      </c>
      <c r="F341" s="153">
        <v>1.1599999999999999</v>
      </c>
      <c r="G341" s="4">
        <f>'Gas Water'!M343</f>
        <v>1894</v>
      </c>
      <c r="H341" s="153">
        <v>3.85</v>
      </c>
      <c r="I341" s="2">
        <f>'Gas Water'!L343</f>
        <v>196</v>
      </c>
      <c r="J341" s="153">
        <v>14.95</v>
      </c>
      <c r="K341" s="5">
        <v>127</v>
      </c>
      <c r="L341" s="5">
        <v>189</v>
      </c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>
        <f>'Electricity '!I343+'Electricity '!O343</f>
        <v>25059.42000000046</v>
      </c>
      <c r="F342" s="153">
        <v>1.1599999999999999</v>
      </c>
      <c r="G342" s="4">
        <f>'Gas Water'!M344</f>
        <v>1912</v>
      </c>
      <c r="H342" s="153">
        <v>3.85</v>
      </c>
      <c r="I342" s="2">
        <f>'Gas Water'!L344</f>
        <v>157</v>
      </c>
      <c r="J342" s="153">
        <v>14.95</v>
      </c>
      <c r="K342" s="5">
        <v>154</v>
      </c>
      <c r="L342" s="5">
        <v>205</v>
      </c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>
        <f>'Electricity '!I344+'Electricity '!O344</f>
        <v>23577.299999999737</v>
      </c>
      <c r="F343" s="153">
        <v>1.1599999999999999</v>
      </c>
      <c r="G343" s="4">
        <f>'Gas Water'!M345</f>
        <v>2628</v>
      </c>
      <c r="H343" s="153">
        <v>3.85</v>
      </c>
      <c r="I343" s="2">
        <f>'Gas Water'!L345</f>
        <v>165</v>
      </c>
      <c r="J343" s="153">
        <v>14.95</v>
      </c>
      <c r="K343" s="5">
        <v>155</v>
      </c>
      <c r="L343" s="5">
        <v>216</v>
      </c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>
        <f>'Electricity '!I345+'Electricity '!O345</f>
        <v>22525.740000000129</v>
      </c>
      <c r="F344" s="153">
        <v>1.1599999999999999</v>
      </c>
      <c r="G344" s="4">
        <f>'Gas Water'!M346</f>
        <v>2057</v>
      </c>
      <c r="H344" s="153">
        <v>3.85</v>
      </c>
      <c r="I344" s="2">
        <f>'Gas Water'!L346</f>
        <v>182</v>
      </c>
      <c r="J344" s="153">
        <v>14.95</v>
      </c>
      <c r="K344" s="5">
        <v>147</v>
      </c>
      <c r="L344" s="5">
        <v>221</v>
      </c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>
        <f>'Electricity '!I346+'Electricity '!O346</f>
        <v>22505.039999999677</v>
      </c>
      <c r="F345" s="153">
        <v>1.1599999999999999</v>
      </c>
      <c r="G345" s="4">
        <f>'Gas Water'!M347</f>
        <v>2042</v>
      </c>
      <c r="H345" s="153">
        <v>3.85</v>
      </c>
      <c r="I345" s="2">
        <f>'Gas Water'!L347</f>
        <v>169</v>
      </c>
      <c r="J345" s="153">
        <v>14.95</v>
      </c>
      <c r="K345" s="5">
        <v>142</v>
      </c>
      <c r="L345" s="5">
        <v>224</v>
      </c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>
        <f>'Electricity '!I347+'Electricity '!O347</f>
        <v>24926.940000000766</v>
      </c>
      <c r="F346" s="153">
        <v>1.1599999999999999</v>
      </c>
      <c r="G346" s="4">
        <f>'Gas Water'!M348</f>
        <v>1816</v>
      </c>
      <c r="H346" s="153">
        <v>3.85</v>
      </c>
      <c r="I346" s="2">
        <f>'Gas Water'!L348</f>
        <v>179</v>
      </c>
      <c r="J346" s="153">
        <v>14.95</v>
      </c>
      <c r="K346" s="5">
        <v>91</v>
      </c>
      <c r="L346" s="5">
        <v>153</v>
      </c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>
        <f>'Electricity '!I348+'Electricity '!O348</f>
        <v>22782.419999999707</v>
      </c>
      <c r="F347" s="153">
        <v>1.1599999999999999</v>
      </c>
      <c r="G347" s="4">
        <f>'Gas Water'!M349</f>
        <v>2010</v>
      </c>
      <c r="H347" s="153">
        <v>3.85</v>
      </c>
      <c r="I347" s="2">
        <f>'Gas Water'!L349</f>
        <v>165</v>
      </c>
      <c r="J347" s="153">
        <v>14.95</v>
      </c>
      <c r="K347" s="5">
        <v>93</v>
      </c>
      <c r="L347" s="5">
        <v>153</v>
      </c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>
        <v>1.1599999999999999</v>
      </c>
      <c r="G348" s="4" t="str">
        <f>'Gas Water'!M350</f>
        <v/>
      </c>
      <c r="H348" s="153">
        <v>3.85</v>
      </c>
      <c r="I348" s="2" t="str">
        <f>'Gas Water'!L350</f>
        <v/>
      </c>
      <c r="J348" s="153">
        <v>14.95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>
        <v>1.1599999999999999</v>
      </c>
      <c r="G349" s="4" t="str">
        <f>'Gas Water'!M351</f>
        <v/>
      </c>
      <c r="H349" s="153">
        <v>3.85</v>
      </c>
      <c r="I349" s="2" t="str">
        <f>'Gas Water'!L351</f>
        <v/>
      </c>
      <c r="J349" s="153">
        <v>14.95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>
        <v>1.1599999999999999</v>
      </c>
      <c r="G350" s="4" t="str">
        <f>'Gas Water'!M352</f>
        <v/>
      </c>
      <c r="H350" s="153">
        <v>3.85</v>
      </c>
      <c r="I350" s="2" t="str">
        <f>'Gas Water'!L352</f>
        <v/>
      </c>
      <c r="J350" s="153">
        <v>14.95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>
        <v>1.1599999999999999</v>
      </c>
      <c r="G351" s="4" t="str">
        <f>'Gas Water'!M353</f>
        <v/>
      </c>
      <c r="H351" s="153">
        <v>3.85</v>
      </c>
      <c r="I351" s="2" t="str">
        <f>'Gas Water'!L353</f>
        <v/>
      </c>
      <c r="J351" s="153">
        <v>14.95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>
        <v>1.1599999999999999</v>
      </c>
      <c r="G352" s="4" t="str">
        <f>'Gas Water'!M354</f>
        <v/>
      </c>
      <c r="H352" s="153">
        <v>3.85</v>
      </c>
      <c r="I352" s="2" t="str">
        <f>'Gas Water'!L354</f>
        <v/>
      </c>
      <c r="J352" s="153">
        <v>14.95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>
        <v>1.1599999999999999</v>
      </c>
      <c r="G353" s="4" t="str">
        <f>'Gas Water'!M355</f>
        <v/>
      </c>
      <c r="H353" s="153">
        <v>3.85</v>
      </c>
      <c r="I353" s="2" t="str">
        <f>'Gas Water'!L355</f>
        <v/>
      </c>
      <c r="J353" s="153">
        <v>14.95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>
        <v>1.1599999999999999</v>
      </c>
      <c r="G354" s="4" t="str">
        <f>'Gas Water'!M356</f>
        <v/>
      </c>
      <c r="H354" s="153">
        <v>3.85</v>
      </c>
      <c r="I354" s="2" t="str">
        <f>'Gas Water'!L356</f>
        <v/>
      </c>
      <c r="J354" s="153">
        <v>14.95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>
        <v>1.1599999999999999</v>
      </c>
      <c r="G355" s="4" t="str">
        <f>'Gas Water'!M357</f>
        <v/>
      </c>
      <c r="H355" s="153">
        <v>3.85</v>
      </c>
      <c r="I355" s="2" t="str">
        <f>'Gas Water'!L357</f>
        <v/>
      </c>
      <c r="J355" s="153">
        <v>14.95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>
        <v>1.1599999999999999</v>
      </c>
      <c r="G356" s="4" t="str">
        <f>'Gas Water'!M358</f>
        <v/>
      </c>
      <c r="H356" s="153">
        <v>3.85</v>
      </c>
      <c r="I356" s="2" t="str">
        <f>'Gas Water'!L358</f>
        <v/>
      </c>
      <c r="J356" s="153">
        <v>14.95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>
        <v>1.1599999999999999</v>
      </c>
      <c r="G357" s="4" t="str">
        <f>'Gas Water'!M359</f>
        <v/>
      </c>
      <c r="H357" s="153">
        <v>3.85</v>
      </c>
      <c r="I357" s="2" t="str">
        <f>'Gas Water'!L359</f>
        <v/>
      </c>
      <c r="J357" s="153">
        <v>14.95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>
        <v>1.1599999999999999</v>
      </c>
      <c r="G358" s="4" t="str">
        <f>'Gas Water'!M360</f>
        <v/>
      </c>
      <c r="H358" s="153">
        <v>3.85</v>
      </c>
      <c r="I358" s="2" t="str">
        <f>'Gas Water'!L360</f>
        <v/>
      </c>
      <c r="J358" s="153">
        <v>14.95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>
        <v>1.1599999999999999</v>
      </c>
      <c r="G359" s="4" t="str">
        <f>'Gas Water'!M361</f>
        <v/>
      </c>
      <c r="H359" s="153">
        <v>3.85</v>
      </c>
      <c r="I359" s="2" t="str">
        <f>'Gas Water'!L361</f>
        <v/>
      </c>
      <c r="J359" s="153">
        <v>14.95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>
        <v>1.1599999999999999</v>
      </c>
      <c r="G360" s="4" t="str">
        <f>'Gas Water'!M362</f>
        <v/>
      </c>
      <c r="H360" s="153">
        <v>3.85</v>
      </c>
      <c r="I360" s="2" t="str">
        <f>'Gas Water'!L362</f>
        <v/>
      </c>
      <c r="J360" s="153">
        <v>14.95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>
        <v>1.1599999999999999</v>
      </c>
      <c r="G361" s="4" t="str">
        <f>'Gas Water'!M363</f>
        <v/>
      </c>
      <c r="H361" s="153">
        <v>3.85</v>
      </c>
      <c r="I361" s="2" t="str">
        <f>'Gas Water'!L363</f>
        <v/>
      </c>
      <c r="J361" s="153">
        <v>14.95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>
        <v>1.1599999999999999</v>
      </c>
      <c r="G362" s="4" t="str">
        <f>'Gas Water'!M364</f>
        <v/>
      </c>
      <c r="H362" s="153">
        <v>3.85</v>
      </c>
      <c r="I362" s="2" t="str">
        <f>'Gas Water'!L364</f>
        <v/>
      </c>
      <c r="J362" s="153">
        <v>14.95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>
        <v>1.1599999999999999</v>
      </c>
      <c r="G363" s="4" t="str">
        <f>'Gas Water'!M365</f>
        <v/>
      </c>
      <c r="H363" s="153">
        <v>3.85</v>
      </c>
      <c r="I363" s="2" t="str">
        <f>'Gas Water'!L365</f>
        <v/>
      </c>
      <c r="J363" s="153">
        <v>14.95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>
        <v>1.1599999999999999</v>
      </c>
      <c r="G364" s="4" t="str">
        <f>'Gas Water'!M366</f>
        <v/>
      </c>
      <c r="H364" s="153">
        <v>3.85</v>
      </c>
      <c r="I364" s="2" t="str">
        <f>'Gas Water'!L366</f>
        <v/>
      </c>
      <c r="J364" s="153">
        <v>14.95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>
        <v>1.1599999999999999</v>
      </c>
      <c r="G365" s="4" t="str">
        <f>'Gas Water'!M367</f>
        <v/>
      </c>
      <c r="H365" s="153">
        <v>3.85</v>
      </c>
      <c r="I365" s="2" t="str">
        <f>'Gas Water'!L367</f>
        <v/>
      </c>
      <c r="J365" s="153">
        <v>14.95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>
        <v>1.1599999999999999</v>
      </c>
      <c r="G366" s="4" t="str">
        <f>'Gas Water'!M368</f>
        <v/>
      </c>
      <c r="H366" s="153">
        <v>3.85</v>
      </c>
      <c r="I366" s="2" t="str">
        <f>'Gas Water'!L368</f>
        <v/>
      </c>
      <c r="J366" s="153">
        <v>14.95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307" workbookViewId="0">
      <selection activeCell="Q342" sqref="Q342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>
        <v>16228335</v>
      </c>
      <c r="D322" s="24">
        <v>5007711</v>
      </c>
      <c r="E322" s="25">
        <v>235204</v>
      </c>
      <c r="F322" s="26">
        <v>629994</v>
      </c>
      <c r="G322" s="27">
        <v>285652</v>
      </c>
      <c r="H322" s="28">
        <f t="shared" si="26"/>
        <v>0</v>
      </c>
      <c r="I322" s="28">
        <f t="shared" si="26"/>
        <v>1351</v>
      </c>
      <c r="J322" s="28">
        <f t="shared" si="26"/>
        <v>180</v>
      </c>
      <c r="K322" s="28">
        <f t="shared" si="26"/>
        <v>226</v>
      </c>
      <c r="L322" s="29">
        <f t="shared" si="26"/>
        <v>210</v>
      </c>
      <c r="M322" s="30">
        <f t="shared" si="24"/>
        <v>1757</v>
      </c>
      <c r="Q322" s="20">
        <f t="shared" si="25"/>
        <v>0</v>
      </c>
    </row>
    <row r="323" spans="1:17" ht="12.95" customHeight="1" x14ac:dyDescent="0.2">
      <c r="B323" s="22">
        <v>44516</v>
      </c>
      <c r="C323" s="41">
        <v>16228335</v>
      </c>
      <c r="D323" s="24">
        <v>5009210</v>
      </c>
      <c r="E323" s="25">
        <v>235422</v>
      </c>
      <c r="F323" s="26">
        <v>630174</v>
      </c>
      <c r="G323" s="27">
        <v>285883</v>
      </c>
      <c r="H323" s="28">
        <f t="shared" si="26"/>
        <v>0</v>
      </c>
      <c r="I323" s="28">
        <f t="shared" si="26"/>
        <v>1499</v>
      </c>
      <c r="J323" s="28">
        <f t="shared" si="26"/>
        <v>218</v>
      </c>
      <c r="K323" s="28">
        <f t="shared" si="26"/>
        <v>180</v>
      </c>
      <c r="L323" s="29">
        <f t="shared" si="26"/>
        <v>231</v>
      </c>
      <c r="M323" s="30">
        <f t="shared" si="24"/>
        <v>1897</v>
      </c>
      <c r="Q323" s="20">
        <f t="shared" si="25"/>
        <v>0</v>
      </c>
    </row>
    <row r="324" spans="1:17" ht="12.95" customHeight="1" x14ac:dyDescent="0.2">
      <c r="A324" s="9" t="s">
        <v>30</v>
      </c>
      <c r="B324" s="22">
        <v>44517</v>
      </c>
      <c r="C324" s="41">
        <v>16228335</v>
      </c>
      <c r="D324" s="24">
        <v>5010749</v>
      </c>
      <c r="E324" s="25">
        <v>235639</v>
      </c>
      <c r="F324" s="26">
        <v>630372</v>
      </c>
      <c r="G324" s="27">
        <v>286042</v>
      </c>
      <c r="H324" s="28">
        <f t="shared" si="26"/>
        <v>0</v>
      </c>
      <c r="I324" s="28">
        <f t="shared" si="26"/>
        <v>1539</v>
      </c>
      <c r="J324" s="28">
        <f t="shared" si="26"/>
        <v>217</v>
      </c>
      <c r="K324" s="28">
        <f t="shared" si="26"/>
        <v>198</v>
      </c>
      <c r="L324" s="29">
        <f t="shared" si="26"/>
        <v>159</v>
      </c>
      <c r="M324" s="30">
        <f t="shared" si="24"/>
        <v>1954</v>
      </c>
      <c r="Q324" s="20">
        <f t="shared" si="25"/>
        <v>0</v>
      </c>
    </row>
    <row r="325" spans="1:17" ht="12.95" customHeight="1" x14ac:dyDescent="0.2">
      <c r="B325" s="22">
        <v>44518</v>
      </c>
      <c r="C325" s="41">
        <v>16228335</v>
      </c>
      <c r="D325" s="24">
        <v>5012470</v>
      </c>
      <c r="E325" s="25">
        <v>235848</v>
      </c>
      <c r="F325" s="26">
        <v>630555</v>
      </c>
      <c r="G325" s="27">
        <v>286259</v>
      </c>
      <c r="H325" s="28">
        <f t="shared" si="26"/>
        <v>0</v>
      </c>
      <c r="I325" s="28">
        <f t="shared" si="26"/>
        <v>1721</v>
      </c>
      <c r="J325" s="28">
        <f t="shared" si="26"/>
        <v>209</v>
      </c>
      <c r="K325" s="28">
        <f t="shared" si="26"/>
        <v>183</v>
      </c>
      <c r="L325" s="29">
        <f t="shared" si="26"/>
        <v>217</v>
      </c>
      <c r="M325" s="30">
        <f t="shared" si="24"/>
        <v>2113</v>
      </c>
      <c r="Q325" s="20">
        <f t="shared" si="25"/>
        <v>0</v>
      </c>
    </row>
    <row r="326" spans="1:17" ht="12.95" customHeight="1" x14ac:dyDescent="0.2">
      <c r="B326" s="22">
        <v>44519</v>
      </c>
      <c r="C326" s="41">
        <v>16228335</v>
      </c>
      <c r="D326" s="24">
        <v>5014438</v>
      </c>
      <c r="E326" s="25">
        <v>236045</v>
      </c>
      <c r="F326" s="26">
        <v>630729</v>
      </c>
      <c r="G326" s="27">
        <v>286437</v>
      </c>
      <c r="H326" s="28">
        <f t="shared" si="26"/>
        <v>0</v>
      </c>
      <c r="I326" s="28">
        <f t="shared" si="26"/>
        <v>1968</v>
      </c>
      <c r="J326" s="28">
        <f t="shared" si="26"/>
        <v>197</v>
      </c>
      <c r="K326" s="28">
        <f t="shared" si="26"/>
        <v>174</v>
      </c>
      <c r="L326" s="29">
        <f t="shared" si="26"/>
        <v>178</v>
      </c>
      <c r="M326" s="30">
        <f t="shared" ref="M326:M369" si="27">IF(H326="","",+(H326+I326+J326+K326))</f>
        <v>2339</v>
      </c>
      <c r="Q326" s="20">
        <f t="shared" si="25"/>
        <v>0</v>
      </c>
    </row>
    <row r="327" spans="1:17" ht="12.95" customHeight="1" thickBot="1" x14ac:dyDescent="0.25">
      <c r="B327" s="22">
        <v>44520</v>
      </c>
      <c r="C327" s="41">
        <v>16228335</v>
      </c>
      <c r="D327" s="24">
        <v>5016362</v>
      </c>
      <c r="E327" s="25">
        <v>236264</v>
      </c>
      <c r="F327" s="26">
        <v>630928</v>
      </c>
      <c r="G327" s="27">
        <v>286630</v>
      </c>
      <c r="H327" s="28">
        <f t="shared" si="26"/>
        <v>0</v>
      </c>
      <c r="I327" s="28">
        <f t="shared" si="26"/>
        <v>1924</v>
      </c>
      <c r="J327" s="28">
        <f t="shared" si="26"/>
        <v>219</v>
      </c>
      <c r="K327" s="28">
        <f t="shared" si="26"/>
        <v>199</v>
      </c>
      <c r="L327" s="29">
        <f t="shared" si="26"/>
        <v>193</v>
      </c>
      <c r="M327" s="30">
        <f t="shared" si="27"/>
        <v>2342</v>
      </c>
      <c r="Q327" s="20">
        <f t="shared" si="25"/>
        <v>0</v>
      </c>
    </row>
    <row r="328" spans="1:17" ht="12.95" customHeight="1" x14ac:dyDescent="0.2">
      <c r="B328" s="22">
        <v>44521</v>
      </c>
      <c r="C328" s="41">
        <v>16228335</v>
      </c>
      <c r="D328" s="24">
        <v>5018004</v>
      </c>
      <c r="E328" s="25">
        <v>236415</v>
      </c>
      <c r="F328" s="26">
        <v>631152</v>
      </c>
      <c r="G328" s="27">
        <v>286799</v>
      </c>
      <c r="H328" s="28">
        <f t="shared" si="26"/>
        <v>0</v>
      </c>
      <c r="I328" s="28">
        <f t="shared" si="26"/>
        <v>1642</v>
      </c>
      <c r="J328" s="28">
        <f t="shared" si="26"/>
        <v>151</v>
      </c>
      <c r="K328" s="28">
        <f t="shared" si="26"/>
        <v>224</v>
      </c>
      <c r="L328" s="29">
        <f t="shared" si="26"/>
        <v>169</v>
      </c>
      <c r="M328" s="30">
        <f t="shared" si="27"/>
        <v>2017</v>
      </c>
      <c r="N328" s="198" t="s">
        <v>21</v>
      </c>
      <c r="O328" s="198" t="s">
        <v>22</v>
      </c>
      <c r="Q328" s="20">
        <f t="shared" si="25"/>
        <v>0</v>
      </c>
    </row>
    <row r="329" spans="1:17" ht="12.95" customHeight="1" x14ac:dyDescent="0.2">
      <c r="B329" s="22">
        <v>44522</v>
      </c>
      <c r="C329" s="41">
        <v>16228335</v>
      </c>
      <c r="D329" s="24">
        <v>5019350</v>
      </c>
      <c r="E329" s="25">
        <v>236570</v>
      </c>
      <c r="F329" s="26">
        <v>631367</v>
      </c>
      <c r="G329" s="27">
        <v>286965</v>
      </c>
      <c r="H329" s="28">
        <f t="shared" si="26"/>
        <v>0</v>
      </c>
      <c r="I329" s="28">
        <f t="shared" si="26"/>
        <v>1346</v>
      </c>
      <c r="J329" s="28">
        <f t="shared" si="26"/>
        <v>155</v>
      </c>
      <c r="K329" s="28">
        <f t="shared" si="26"/>
        <v>215</v>
      </c>
      <c r="L329" s="29">
        <f t="shared" si="26"/>
        <v>166</v>
      </c>
      <c r="M329" s="30">
        <f t="shared" si="27"/>
        <v>1716</v>
      </c>
      <c r="N329" s="199"/>
      <c r="O329" s="199"/>
      <c r="Q329" s="20">
        <f t="shared" si="25"/>
        <v>0</v>
      </c>
    </row>
    <row r="330" spans="1:17" ht="12.95" customHeight="1" thickBot="1" x14ac:dyDescent="0.25">
      <c r="B330" s="22">
        <v>44523</v>
      </c>
      <c r="C330" s="41">
        <v>16228335</v>
      </c>
      <c r="D330" s="24">
        <v>5020919</v>
      </c>
      <c r="E330" s="25">
        <v>236726</v>
      </c>
      <c r="F330" s="26">
        <v>631565</v>
      </c>
      <c r="G330" s="27">
        <v>287136</v>
      </c>
      <c r="H330" s="28">
        <f t="shared" si="26"/>
        <v>0</v>
      </c>
      <c r="I330" s="28">
        <f t="shared" si="26"/>
        <v>1569</v>
      </c>
      <c r="J330" s="28">
        <f t="shared" si="26"/>
        <v>156</v>
      </c>
      <c r="K330" s="28">
        <f t="shared" si="26"/>
        <v>198</v>
      </c>
      <c r="L330" s="29">
        <f t="shared" si="26"/>
        <v>171</v>
      </c>
      <c r="M330" s="30">
        <f t="shared" si="27"/>
        <v>1923</v>
      </c>
      <c r="N330" s="200"/>
      <c r="O330" s="200"/>
      <c r="Q330" s="20">
        <f t="shared" si="25"/>
        <v>0</v>
      </c>
    </row>
    <row r="331" spans="1:17" ht="12.95" customHeight="1" thickBot="1" x14ac:dyDescent="0.25">
      <c r="B331" s="22">
        <v>44524</v>
      </c>
      <c r="C331" s="41">
        <v>16228335</v>
      </c>
      <c r="D331" s="24">
        <v>5022778</v>
      </c>
      <c r="E331" s="25">
        <v>236927</v>
      </c>
      <c r="F331" s="26">
        <v>631753</v>
      </c>
      <c r="G331" s="27">
        <v>287422</v>
      </c>
      <c r="H331" s="28">
        <f t="shared" si="26"/>
        <v>0</v>
      </c>
      <c r="I331" s="28">
        <f t="shared" si="26"/>
        <v>1859</v>
      </c>
      <c r="J331" s="28">
        <f t="shared" si="26"/>
        <v>201</v>
      </c>
      <c r="K331" s="28">
        <f t="shared" si="26"/>
        <v>188</v>
      </c>
      <c r="L331" s="29">
        <f t="shared" si="26"/>
        <v>286</v>
      </c>
      <c r="M331" s="30">
        <f t="shared" si="27"/>
        <v>2248</v>
      </c>
      <c r="N331" s="32">
        <f>SUM(L309:L338)</f>
        <v>5673</v>
      </c>
      <c r="O331" s="32">
        <f>SUM(M309:M338)</f>
        <v>56908</v>
      </c>
      <c r="Q331" s="20">
        <f t="shared" si="25"/>
        <v>0</v>
      </c>
    </row>
    <row r="332" spans="1:17" ht="12.95" customHeight="1" x14ac:dyDescent="0.2">
      <c r="B332" s="22">
        <v>44525</v>
      </c>
      <c r="C332" s="41">
        <v>16228335</v>
      </c>
      <c r="D332" s="24">
        <v>5024644</v>
      </c>
      <c r="E332" s="25">
        <v>237121</v>
      </c>
      <c r="F332" s="26">
        <v>631946</v>
      </c>
      <c r="G332" s="27">
        <v>287581</v>
      </c>
      <c r="H332" s="28">
        <f t="shared" si="26"/>
        <v>0</v>
      </c>
      <c r="I332" s="28">
        <f t="shared" si="26"/>
        <v>1866</v>
      </c>
      <c r="J332" s="28">
        <f t="shared" si="26"/>
        <v>194</v>
      </c>
      <c r="K332" s="28">
        <f t="shared" si="26"/>
        <v>193</v>
      </c>
      <c r="L332" s="29">
        <f t="shared" si="26"/>
        <v>159</v>
      </c>
      <c r="M332" s="30">
        <f t="shared" si="27"/>
        <v>2253</v>
      </c>
      <c r="N332" s="198" t="s">
        <v>23</v>
      </c>
      <c r="O332" s="198" t="s">
        <v>24</v>
      </c>
      <c r="Q332" s="20">
        <f t="shared" si="25"/>
        <v>0</v>
      </c>
    </row>
    <row r="333" spans="1:17" ht="12.95" customHeight="1" thickBot="1" x14ac:dyDescent="0.25">
      <c r="B333" s="22">
        <v>44526</v>
      </c>
      <c r="C333" s="41">
        <v>16228335</v>
      </c>
      <c r="D333" s="24">
        <v>5026118</v>
      </c>
      <c r="E333" s="25">
        <v>237301</v>
      </c>
      <c r="F333" s="26">
        <v>632141</v>
      </c>
      <c r="G333" s="27">
        <v>287762</v>
      </c>
      <c r="H333" s="28">
        <f t="shared" si="26"/>
        <v>0</v>
      </c>
      <c r="I333" s="28">
        <f t="shared" si="26"/>
        <v>1474</v>
      </c>
      <c r="J333" s="28">
        <f t="shared" si="26"/>
        <v>180</v>
      </c>
      <c r="K333" s="28">
        <f t="shared" si="26"/>
        <v>195</v>
      </c>
      <c r="L333" s="29">
        <f t="shared" si="26"/>
        <v>181</v>
      </c>
      <c r="M333" s="30">
        <f t="shared" si="27"/>
        <v>1849</v>
      </c>
      <c r="N333" s="200"/>
      <c r="O333" s="200"/>
      <c r="Q333" s="20">
        <f t="shared" si="25"/>
        <v>0</v>
      </c>
    </row>
    <row r="334" spans="1:17" ht="12.95" customHeight="1" thickBot="1" x14ac:dyDescent="0.25">
      <c r="B334" s="22">
        <v>44527</v>
      </c>
      <c r="C334" s="41">
        <v>16228335</v>
      </c>
      <c r="D334" s="24">
        <v>5027374</v>
      </c>
      <c r="E334" s="25">
        <v>237440</v>
      </c>
      <c r="F334" s="26">
        <v>632378</v>
      </c>
      <c r="G334" s="27">
        <v>287981</v>
      </c>
      <c r="H334" s="28">
        <f t="shared" si="26"/>
        <v>0</v>
      </c>
      <c r="I334" s="28">
        <f t="shared" si="26"/>
        <v>1256</v>
      </c>
      <c r="J334" s="28">
        <f t="shared" si="26"/>
        <v>139</v>
      </c>
      <c r="K334" s="28">
        <f t="shared" si="26"/>
        <v>237</v>
      </c>
      <c r="L334" s="29">
        <f t="shared" si="26"/>
        <v>219</v>
      </c>
      <c r="M334" s="30">
        <f t="shared" si="27"/>
        <v>1632</v>
      </c>
      <c r="N334" s="32">
        <f>AVERAGE(L309:L338)</f>
        <v>189.1</v>
      </c>
      <c r="O334" s="32">
        <f>AVERAGE(M309:M338)</f>
        <v>1896.9333333333334</v>
      </c>
      <c r="Q334" s="20">
        <f t="shared" si="25"/>
        <v>0</v>
      </c>
    </row>
    <row r="335" spans="1:17" ht="12.95" customHeight="1" x14ac:dyDescent="0.2">
      <c r="B335" s="22">
        <v>44528</v>
      </c>
      <c r="C335" s="41">
        <v>16228335</v>
      </c>
      <c r="D335" s="24">
        <v>5028519</v>
      </c>
      <c r="E335" s="25">
        <v>237609</v>
      </c>
      <c r="F335" s="26">
        <v>632590</v>
      </c>
      <c r="G335" s="27">
        <v>288165</v>
      </c>
      <c r="H335" s="28">
        <f t="shared" si="26"/>
        <v>0</v>
      </c>
      <c r="I335" s="28">
        <f t="shared" si="26"/>
        <v>1145</v>
      </c>
      <c r="J335" s="28">
        <f t="shared" si="26"/>
        <v>169</v>
      </c>
      <c r="K335" s="28">
        <f t="shared" si="26"/>
        <v>212</v>
      </c>
      <c r="L335" s="29">
        <f t="shared" si="26"/>
        <v>184</v>
      </c>
      <c r="M335" s="30">
        <f t="shared" si="27"/>
        <v>1526</v>
      </c>
      <c r="O335" s="20">
        <f>IF(L335="",1,0)</f>
        <v>0</v>
      </c>
    </row>
    <row r="336" spans="1:17" ht="12.95" customHeight="1" x14ac:dyDescent="0.2">
      <c r="B336" s="22">
        <v>44529</v>
      </c>
      <c r="C336" s="41">
        <v>16228335</v>
      </c>
      <c r="D336" s="24">
        <v>5029676</v>
      </c>
      <c r="E336" s="25">
        <v>237773</v>
      </c>
      <c r="F336" s="26">
        <v>632819</v>
      </c>
      <c r="G336" s="27">
        <v>288310</v>
      </c>
      <c r="H336" s="28">
        <f t="shared" si="26"/>
        <v>0</v>
      </c>
      <c r="I336" s="28">
        <f t="shared" si="26"/>
        <v>1157</v>
      </c>
      <c r="J336" s="28">
        <f>IF(E336="","",+(E336-E335))</f>
        <v>164</v>
      </c>
      <c r="K336" s="28">
        <f t="shared" si="26"/>
        <v>229</v>
      </c>
      <c r="L336" s="29">
        <f t="shared" si="26"/>
        <v>145</v>
      </c>
      <c r="M336" s="30">
        <f t="shared" si="27"/>
        <v>1550</v>
      </c>
      <c r="O336" s="20">
        <f>IF(L336="",1,0)</f>
        <v>0</v>
      </c>
    </row>
    <row r="337" spans="2:17" ht="12.95" customHeight="1" x14ac:dyDescent="0.2">
      <c r="B337" s="22">
        <v>44530</v>
      </c>
      <c r="C337" s="41">
        <v>16228335</v>
      </c>
      <c r="D337" s="24">
        <v>5031550</v>
      </c>
      <c r="E337" s="25">
        <v>237912</v>
      </c>
      <c r="F337" s="26">
        <v>632998</v>
      </c>
      <c r="G337" s="27">
        <v>288488</v>
      </c>
      <c r="H337" s="28">
        <f t="shared" si="26"/>
        <v>0</v>
      </c>
      <c r="I337" s="28">
        <f t="shared" si="26"/>
        <v>1874</v>
      </c>
      <c r="J337" s="28">
        <f>IF(E337="","",+(E337-E336))</f>
        <v>139</v>
      </c>
      <c r="K337" s="28">
        <f t="shared" si="26"/>
        <v>179</v>
      </c>
      <c r="L337" s="29">
        <f>IF(G337="","",+(G337-G336))</f>
        <v>178</v>
      </c>
      <c r="M337" s="30">
        <f t="shared" si="27"/>
        <v>2192</v>
      </c>
      <c r="O337" s="20">
        <f>IF(L337="",1,0)</f>
        <v>0</v>
      </c>
    </row>
    <row r="338" spans="2:17" ht="12.95" customHeight="1" x14ac:dyDescent="0.2">
      <c r="B338" s="22">
        <v>44531</v>
      </c>
      <c r="C338" s="41">
        <v>16228335</v>
      </c>
      <c r="D338" s="34">
        <v>5033393</v>
      </c>
      <c r="E338" s="34">
        <v>238107</v>
      </c>
      <c r="F338" s="34">
        <v>633177</v>
      </c>
      <c r="G338" s="34">
        <v>288677</v>
      </c>
      <c r="H338" s="35">
        <f t="shared" si="26"/>
        <v>0</v>
      </c>
      <c r="I338" s="39">
        <f t="shared" si="26"/>
        <v>1843</v>
      </c>
      <c r="J338" s="35">
        <f t="shared" si="26"/>
        <v>195</v>
      </c>
      <c r="K338" s="35">
        <f t="shared" si="26"/>
        <v>179</v>
      </c>
      <c r="L338" s="36">
        <f t="shared" si="26"/>
        <v>189</v>
      </c>
      <c r="M338" s="35">
        <f t="shared" si="27"/>
        <v>2217</v>
      </c>
      <c r="Q338" s="20">
        <f t="shared" si="25"/>
        <v>0</v>
      </c>
    </row>
    <row r="339" spans="2:17" ht="12.95" customHeight="1" x14ac:dyDescent="0.2">
      <c r="B339" s="22">
        <v>44532</v>
      </c>
      <c r="C339" s="41">
        <v>16228335</v>
      </c>
      <c r="D339" s="24">
        <v>5034906</v>
      </c>
      <c r="E339" s="25">
        <v>238333</v>
      </c>
      <c r="F339" s="26">
        <v>633345</v>
      </c>
      <c r="G339" s="27">
        <v>288843</v>
      </c>
      <c r="H339" s="28">
        <f t="shared" si="26"/>
        <v>0</v>
      </c>
      <c r="I339" s="28">
        <f t="shared" si="26"/>
        <v>1513</v>
      </c>
      <c r="J339" s="28">
        <f t="shared" si="26"/>
        <v>226</v>
      </c>
      <c r="K339" s="28">
        <f t="shared" si="26"/>
        <v>168</v>
      </c>
      <c r="L339" s="29">
        <f t="shared" si="26"/>
        <v>166</v>
      </c>
      <c r="M339" s="30">
        <f t="shared" si="27"/>
        <v>1907</v>
      </c>
      <c r="Q339" s="20">
        <f t="shared" si="25"/>
        <v>0</v>
      </c>
    </row>
    <row r="340" spans="2:17" ht="12.95" customHeight="1" x14ac:dyDescent="0.2">
      <c r="B340" s="22">
        <v>44533</v>
      </c>
      <c r="C340" s="41">
        <v>16228335</v>
      </c>
      <c r="D340" s="24">
        <v>5036298</v>
      </c>
      <c r="E340" s="25">
        <v>238541</v>
      </c>
      <c r="F340" s="26">
        <v>633522</v>
      </c>
      <c r="G340" s="27">
        <v>289011</v>
      </c>
      <c r="H340" s="28">
        <f t="shared" si="26"/>
        <v>0</v>
      </c>
      <c r="I340" s="28">
        <f t="shared" si="26"/>
        <v>1392</v>
      </c>
      <c r="J340" s="28">
        <f t="shared" si="26"/>
        <v>208</v>
      </c>
      <c r="K340" s="28">
        <f t="shared" si="26"/>
        <v>177</v>
      </c>
      <c r="L340" s="29">
        <f t="shared" si="26"/>
        <v>168</v>
      </c>
      <c r="M340" s="30">
        <f t="shared" si="27"/>
        <v>1777</v>
      </c>
      <c r="Q340" s="20">
        <f t="shared" si="25"/>
        <v>0</v>
      </c>
    </row>
    <row r="341" spans="2:17" ht="12.95" customHeight="1" x14ac:dyDescent="0.2">
      <c r="B341" s="22">
        <v>44534</v>
      </c>
      <c r="C341" s="41">
        <v>16228335</v>
      </c>
      <c r="D341" s="24">
        <v>5038011</v>
      </c>
      <c r="E341" s="25">
        <v>238711</v>
      </c>
      <c r="F341" s="26">
        <v>633709</v>
      </c>
      <c r="G341" s="27">
        <v>289174</v>
      </c>
      <c r="H341" s="28">
        <f t="shared" si="26"/>
        <v>0</v>
      </c>
      <c r="I341" s="28">
        <f t="shared" si="26"/>
        <v>1713</v>
      </c>
      <c r="J341" s="28">
        <f t="shared" si="26"/>
        <v>170</v>
      </c>
      <c r="K341" s="28">
        <f t="shared" si="26"/>
        <v>187</v>
      </c>
      <c r="L341" s="29">
        <f t="shared" si="26"/>
        <v>163</v>
      </c>
      <c r="M341" s="30">
        <f t="shared" si="27"/>
        <v>2070</v>
      </c>
      <c r="Q341" s="20">
        <f t="shared" si="25"/>
        <v>0</v>
      </c>
    </row>
    <row r="342" spans="2:17" ht="12.95" customHeight="1" x14ac:dyDescent="0.2">
      <c r="B342" s="22">
        <v>44535</v>
      </c>
      <c r="C342" s="41">
        <v>16228335</v>
      </c>
      <c r="D342" s="24">
        <v>5039691</v>
      </c>
      <c r="E342" s="25">
        <v>238912</v>
      </c>
      <c r="F342" s="26">
        <v>633888</v>
      </c>
      <c r="G342" s="27">
        <v>289352</v>
      </c>
      <c r="H342" s="28">
        <f t="shared" si="26"/>
        <v>0</v>
      </c>
      <c r="I342" s="28">
        <f t="shared" si="26"/>
        <v>1680</v>
      </c>
      <c r="J342" s="28">
        <f t="shared" si="26"/>
        <v>201</v>
      </c>
      <c r="K342" s="28">
        <f t="shared" si="26"/>
        <v>179</v>
      </c>
      <c r="L342" s="29">
        <f t="shared" si="26"/>
        <v>178</v>
      </c>
      <c r="M342" s="30">
        <f t="shared" si="27"/>
        <v>2060</v>
      </c>
      <c r="Q342" s="20">
        <f t="shared" si="25"/>
        <v>0</v>
      </c>
    </row>
    <row r="343" spans="2:17" ht="12.95" customHeight="1" x14ac:dyDescent="0.2">
      <c r="B343" s="22">
        <v>44536</v>
      </c>
      <c r="C343" s="41">
        <v>16228335</v>
      </c>
      <c r="D343" s="24">
        <v>5041198</v>
      </c>
      <c r="E343" s="25">
        <v>239111</v>
      </c>
      <c r="F343" s="26">
        <v>634076</v>
      </c>
      <c r="G343" s="27">
        <v>289548</v>
      </c>
      <c r="H343" s="28">
        <f t="shared" si="26"/>
        <v>0</v>
      </c>
      <c r="I343" s="28">
        <f t="shared" si="26"/>
        <v>1507</v>
      </c>
      <c r="J343" s="28">
        <f t="shared" si="26"/>
        <v>199</v>
      </c>
      <c r="K343" s="28">
        <f t="shared" si="26"/>
        <v>188</v>
      </c>
      <c r="L343" s="29">
        <f t="shared" si="26"/>
        <v>196</v>
      </c>
      <c r="M343" s="30">
        <f t="shared" si="27"/>
        <v>1894</v>
      </c>
      <c r="Q343" s="20">
        <f t="shared" si="25"/>
        <v>0</v>
      </c>
    </row>
    <row r="344" spans="2:17" ht="12.95" customHeight="1" x14ac:dyDescent="0.2">
      <c r="B344" s="22">
        <v>44537</v>
      </c>
      <c r="C344" s="41">
        <v>16228335</v>
      </c>
      <c r="D344" s="24">
        <v>5042744</v>
      </c>
      <c r="E344" s="25">
        <v>239299</v>
      </c>
      <c r="F344" s="26">
        <v>634254</v>
      </c>
      <c r="G344" s="27">
        <v>289705</v>
      </c>
      <c r="H344" s="28">
        <f t="shared" si="26"/>
        <v>0</v>
      </c>
      <c r="I344" s="28">
        <f t="shared" si="26"/>
        <v>1546</v>
      </c>
      <c r="J344" s="28">
        <f t="shared" ref="J344:J347" si="28">IF(E344="","",+(E344-E343))</f>
        <v>188</v>
      </c>
      <c r="K344" s="28">
        <f t="shared" si="26"/>
        <v>178</v>
      </c>
      <c r="L344" s="29">
        <f t="shared" si="26"/>
        <v>157</v>
      </c>
      <c r="M344" s="30">
        <f t="shared" si="27"/>
        <v>1912</v>
      </c>
      <c r="Q344" s="20">
        <f t="shared" ref="Q344:Q369" si="29">IF(L344="",1,0)</f>
        <v>0</v>
      </c>
    </row>
    <row r="345" spans="2:17" ht="12.95" customHeight="1" x14ac:dyDescent="0.2">
      <c r="B345" s="22">
        <v>44538</v>
      </c>
      <c r="C345" s="41">
        <v>16228335</v>
      </c>
      <c r="D345" s="24">
        <v>5044951</v>
      </c>
      <c r="E345" s="25">
        <v>239535</v>
      </c>
      <c r="F345" s="26">
        <v>634439</v>
      </c>
      <c r="G345" s="27">
        <v>289870</v>
      </c>
      <c r="H345" s="28">
        <f t="shared" si="26"/>
        <v>0</v>
      </c>
      <c r="I345" s="28">
        <f t="shared" si="26"/>
        <v>2207</v>
      </c>
      <c r="J345" s="28">
        <f t="shared" si="28"/>
        <v>236</v>
      </c>
      <c r="K345" s="28">
        <f t="shared" si="26"/>
        <v>185</v>
      </c>
      <c r="L345" s="29">
        <f t="shared" si="26"/>
        <v>165</v>
      </c>
      <c r="M345" s="30">
        <f t="shared" si="27"/>
        <v>2628</v>
      </c>
      <c r="Q345" s="20">
        <f t="shared" si="29"/>
        <v>0</v>
      </c>
    </row>
    <row r="346" spans="2:17" ht="12.95" customHeight="1" x14ac:dyDescent="0.2">
      <c r="B346" s="22">
        <v>44539</v>
      </c>
      <c r="C346" s="41">
        <v>16228335</v>
      </c>
      <c r="D346" s="24">
        <v>5046625</v>
      </c>
      <c r="E346" s="25">
        <v>239738</v>
      </c>
      <c r="F346" s="26">
        <v>634619</v>
      </c>
      <c r="G346" s="27">
        <v>290052</v>
      </c>
      <c r="H346" s="28">
        <f t="shared" si="26"/>
        <v>0</v>
      </c>
      <c r="I346" s="28">
        <f t="shared" si="26"/>
        <v>1674</v>
      </c>
      <c r="J346" s="28">
        <f t="shared" si="28"/>
        <v>203</v>
      </c>
      <c r="K346" s="28">
        <f t="shared" si="26"/>
        <v>180</v>
      </c>
      <c r="L346" s="29">
        <f t="shared" si="26"/>
        <v>182</v>
      </c>
      <c r="M346" s="30">
        <f t="shared" si="27"/>
        <v>2057</v>
      </c>
      <c r="Q346" s="20">
        <f t="shared" si="29"/>
        <v>0</v>
      </c>
    </row>
    <row r="347" spans="2:17" ht="12.95" customHeight="1" x14ac:dyDescent="0.2">
      <c r="B347" s="22">
        <v>44540</v>
      </c>
      <c r="C347" s="41">
        <v>16228335</v>
      </c>
      <c r="D347" s="24">
        <v>5048240</v>
      </c>
      <c r="E347" s="25">
        <v>239966</v>
      </c>
      <c r="F347" s="26">
        <v>634818</v>
      </c>
      <c r="G347" s="27">
        <v>290221</v>
      </c>
      <c r="H347" s="28">
        <f t="shared" si="26"/>
        <v>0</v>
      </c>
      <c r="I347" s="28">
        <f t="shared" si="26"/>
        <v>1615</v>
      </c>
      <c r="J347" s="28">
        <f t="shared" si="28"/>
        <v>228</v>
      </c>
      <c r="K347" s="28">
        <f t="shared" si="26"/>
        <v>199</v>
      </c>
      <c r="L347" s="29">
        <f t="shared" si="26"/>
        <v>169</v>
      </c>
      <c r="M347" s="30">
        <f t="shared" si="27"/>
        <v>2042</v>
      </c>
      <c r="Q347" s="20">
        <f t="shared" si="29"/>
        <v>0</v>
      </c>
    </row>
    <row r="348" spans="2:17" ht="12.95" customHeight="1" x14ac:dyDescent="0.2">
      <c r="B348" s="22">
        <v>44541</v>
      </c>
      <c r="C348" s="41">
        <v>16228335</v>
      </c>
      <c r="D348" s="24">
        <v>5049628</v>
      </c>
      <c r="E348" s="25">
        <v>240143</v>
      </c>
      <c r="F348" s="26">
        <v>635069</v>
      </c>
      <c r="G348" s="27">
        <v>290400</v>
      </c>
      <c r="H348" s="28">
        <f t="shared" si="26"/>
        <v>0</v>
      </c>
      <c r="I348" s="28">
        <f t="shared" si="26"/>
        <v>1388</v>
      </c>
      <c r="J348" s="28">
        <f t="shared" si="26"/>
        <v>177</v>
      </c>
      <c r="K348" s="28">
        <f t="shared" si="26"/>
        <v>251</v>
      </c>
      <c r="L348" s="29">
        <f t="shared" si="26"/>
        <v>179</v>
      </c>
      <c r="M348" s="30">
        <f t="shared" si="27"/>
        <v>1816</v>
      </c>
      <c r="Q348" s="20">
        <f t="shared" si="29"/>
        <v>0</v>
      </c>
    </row>
    <row r="349" spans="2:17" ht="12.95" customHeight="1" x14ac:dyDescent="0.2">
      <c r="B349" s="22">
        <v>44542</v>
      </c>
      <c r="C349" s="41">
        <v>16228335</v>
      </c>
      <c r="D349" s="24">
        <v>5051291</v>
      </c>
      <c r="E349" s="25">
        <v>240285</v>
      </c>
      <c r="F349" s="26">
        <v>635274</v>
      </c>
      <c r="G349" s="27">
        <v>290565</v>
      </c>
      <c r="H349" s="28">
        <f t="shared" si="26"/>
        <v>0</v>
      </c>
      <c r="I349" s="28">
        <f t="shared" si="26"/>
        <v>1663</v>
      </c>
      <c r="J349" s="28">
        <f t="shared" si="26"/>
        <v>142</v>
      </c>
      <c r="K349" s="28">
        <f t="shared" si="26"/>
        <v>205</v>
      </c>
      <c r="L349" s="29">
        <f t="shared" si="26"/>
        <v>165</v>
      </c>
      <c r="M349" s="30">
        <f t="shared" si="27"/>
        <v>2010</v>
      </c>
      <c r="Q349" s="20">
        <f t="shared" si="29"/>
        <v>0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9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9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9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9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9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9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9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9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9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9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9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9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1888</v>
      </c>
      <c r="O362" s="32">
        <f>SUM(M339:M369)</f>
        <v>22173</v>
      </c>
      <c r="Q362" s="20">
        <f t="shared" si="29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9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9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>
        <f>AVERAGE(L339:L369)</f>
        <v>171.63636363636363</v>
      </c>
      <c r="O365" s="32">
        <f>AVERAGE(M339:M369)</f>
        <v>2015.7272727272727</v>
      </c>
      <c r="Q365" s="20">
        <f t="shared" si="29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30">IF(C368="","",+(C368-C367))</f>
        <v/>
      </c>
      <c r="I368" s="28" t="str">
        <f t="shared" si="30"/>
        <v/>
      </c>
      <c r="J368" s="28" t="str">
        <f t="shared" si="30"/>
        <v/>
      </c>
      <c r="K368" s="28" t="str">
        <f t="shared" si="30"/>
        <v/>
      </c>
      <c r="L368" s="29" t="str">
        <f t="shared" si="30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30"/>
        <v/>
      </c>
      <c r="I369" s="35" t="str">
        <f t="shared" si="30"/>
        <v/>
      </c>
      <c r="J369" s="35" t="str">
        <f t="shared" si="30"/>
        <v/>
      </c>
      <c r="K369" s="35" t="str">
        <f t="shared" si="30"/>
        <v/>
      </c>
      <c r="L369" s="36" t="str">
        <f t="shared" si="30"/>
        <v/>
      </c>
      <c r="M369" s="35" t="str">
        <f t="shared" si="27"/>
        <v/>
      </c>
      <c r="Q369" s="20">
        <f t="shared" si="29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1">SUM(H4:H369)</f>
        <v>0</v>
      </c>
      <c r="I371" s="46">
        <f>SUM(I4:I369)</f>
        <v>610729</v>
      </c>
      <c r="J371" s="40">
        <f t="shared" si="31"/>
        <v>64003</v>
      </c>
      <c r="K371" s="40">
        <f t="shared" si="31"/>
        <v>59484</v>
      </c>
      <c r="L371" s="40">
        <f t="shared" si="31"/>
        <v>65007</v>
      </c>
      <c r="M371" s="40">
        <f t="shared" si="31"/>
        <v>734216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17" workbookViewId="0">
      <selection activeCell="I329" sqref="I329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51" si="42">IF(D316="","",+(E316-E315)*4140)</f>
        <v>22960.440000000202</v>
      </c>
      <c r="J316" s="59">
        <f t="shared" ref="J316:J352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>
        <v>0.14199999999999999</v>
      </c>
      <c r="E321" s="57">
        <v>1615.405</v>
      </c>
      <c r="F321" s="58">
        <v>55.244</v>
      </c>
      <c r="G321" s="59"/>
      <c r="H321" s="59">
        <v>4140</v>
      </c>
      <c r="I321" s="59">
        <f t="shared" si="42"/>
        <v>22637.52000000031</v>
      </c>
      <c r="J321" s="59">
        <f t="shared" si="43"/>
        <v>592.02000000000282</v>
      </c>
      <c r="K321" s="60">
        <f t="shared" si="39"/>
        <v>2.6152158010241171E-2</v>
      </c>
      <c r="L321" s="59">
        <f t="shared" si="36"/>
        <v>592.02000000000282</v>
      </c>
      <c r="M321" s="60">
        <f t="shared" si="40"/>
        <v>2.6152158010241171E-2</v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>
        <v>0.14199999999999999</v>
      </c>
      <c r="E322" s="57">
        <v>1621.0350000000001</v>
      </c>
      <c r="F322" s="58">
        <v>55.363999999999997</v>
      </c>
      <c r="G322" s="59"/>
      <c r="H322" s="59">
        <v>4140</v>
      </c>
      <c r="I322" s="59">
        <f t="shared" si="42"/>
        <v>23308.200000000452</v>
      </c>
      <c r="J322" s="59">
        <f t="shared" si="43"/>
        <v>496.79999999998938</v>
      </c>
      <c r="K322" s="60">
        <f t="shared" si="39"/>
        <v>2.1314387211366803E-2</v>
      </c>
      <c r="L322" s="59">
        <f t="shared" si="36"/>
        <v>496.79999999998938</v>
      </c>
      <c r="M322" s="60">
        <f t="shared" si="40"/>
        <v>2.1314387211366803E-2</v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>
        <v>0.14199999999999999</v>
      </c>
      <c r="E323" s="57">
        <v>1626.576</v>
      </c>
      <c r="F323" s="58">
        <v>55.484000000000002</v>
      </c>
      <c r="G323" s="59"/>
      <c r="H323" s="59">
        <v>4140</v>
      </c>
      <c r="I323" s="59">
        <f t="shared" si="42"/>
        <v>22939.739999999751</v>
      </c>
      <c r="J323" s="59">
        <f t="shared" si="43"/>
        <v>496.80000000001883</v>
      </c>
      <c r="K323" s="60">
        <f t="shared" si="39"/>
        <v>2.1656740660531647E-2</v>
      </c>
      <c r="L323" s="59">
        <f t="shared" si="36"/>
        <v>496.80000000001883</v>
      </c>
      <c r="M323" s="60">
        <f t="shared" si="40"/>
        <v>2.1656740660531647E-2</v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>
        <v>0.14199999999999999</v>
      </c>
      <c r="E324" s="57">
        <v>1632.28</v>
      </c>
      <c r="F324" s="58">
        <v>55.616</v>
      </c>
      <c r="G324" s="59"/>
      <c r="H324" s="59">
        <v>4140</v>
      </c>
      <c r="I324" s="59">
        <f t="shared" si="42"/>
        <v>23614.559999999798</v>
      </c>
      <c r="J324" s="59">
        <f t="shared" si="43"/>
        <v>546.47999999999126</v>
      </c>
      <c r="K324" s="60">
        <f t="shared" si="39"/>
        <v>2.3141654978961961E-2</v>
      </c>
      <c r="L324" s="59">
        <f t="shared" si="36"/>
        <v>546.47999999999126</v>
      </c>
      <c r="M324" s="60">
        <f t="shared" si="40"/>
        <v>2.3141654978961961E-2</v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>
        <v>0.14199999999999999</v>
      </c>
      <c r="E325" s="57">
        <v>1638.423</v>
      </c>
      <c r="F325" s="58">
        <v>55.79</v>
      </c>
      <c r="G325" s="59"/>
      <c r="H325" s="59">
        <v>4140</v>
      </c>
      <c r="I325" s="59">
        <f t="shared" si="42"/>
        <v>25432.02000000012</v>
      </c>
      <c r="J325" s="59">
        <f t="shared" si="43"/>
        <v>720.35999999999785</v>
      </c>
      <c r="K325" s="60">
        <f t="shared" si="39"/>
        <v>2.8324922676216613E-2</v>
      </c>
      <c r="L325" s="59">
        <f t="shared" ref="L325:L368" si="46">IF(F325="","",+(F325-F324)*4140)</f>
        <v>720.35999999999785</v>
      </c>
      <c r="M325" s="60">
        <f t="shared" si="40"/>
        <v>2.8324922676216613E-2</v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>
        <v>0.14199999999999999</v>
      </c>
      <c r="E326" s="57">
        <v>1644.269</v>
      </c>
      <c r="F326" s="58">
        <v>55.923000000000002</v>
      </c>
      <c r="G326" s="59"/>
      <c r="H326" s="59">
        <v>4140</v>
      </c>
      <c r="I326" s="59">
        <f t="shared" ref="I326:J328" si="47">IF(D326="","",+(E326-E325)*4140)</f>
        <v>24202.440000000017</v>
      </c>
      <c r="J326" s="59">
        <f t="shared" si="47"/>
        <v>550.62000000001103</v>
      </c>
      <c r="K326" s="60">
        <f t="shared" si="39"/>
        <v>2.2750598699966228E-2</v>
      </c>
      <c r="L326" s="59">
        <f>IF(F326="","",+(F326-F325)*4140)</f>
        <v>550.62000000001103</v>
      </c>
      <c r="M326" s="60">
        <f t="shared" si="40"/>
        <v>2.2750598699966228E-2</v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>
        <v>0.14199999999999999</v>
      </c>
      <c r="E327" s="57">
        <v>1649.758</v>
      </c>
      <c r="F327" s="58">
        <v>56.069000000000003</v>
      </c>
      <c r="G327" s="59"/>
      <c r="H327" s="59">
        <v>4140</v>
      </c>
      <c r="I327" s="59">
        <f t="shared" si="47"/>
        <v>22724.460000000137</v>
      </c>
      <c r="J327" s="59">
        <f t="shared" si="47"/>
        <v>604.44000000000324</v>
      </c>
      <c r="K327" s="60">
        <f t="shared" si="39"/>
        <v>2.6598651849152832E-2</v>
      </c>
      <c r="L327" s="59">
        <f>IF(F327="","",+(F327-F326)*4140)</f>
        <v>604.44000000000324</v>
      </c>
      <c r="M327" s="60">
        <f t="shared" si="40"/>
        <v>2.6598651849152832E-2</v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>
        <v>0.14199999999999999</v>
      </c>
      <c r="E328" s="57">
        <v>1655.0530000000001</v>
      </c>
      <c r="F328" s="58">
        <v>56.207999999999998</v>
      </c>
      <c r="G328" s="59"/>
      <c r="H328" s="59">
        <v>4140</v>
      </c>
      <c r="I328" s="59">
        <f t="shared" si="47"/>
        <v>21921.300000000301</v>
      </c>
      <c r="J328" s="59">
        <f t="shared" si="47"/>
        <v>575.45999999998253</v>
      </c>
      <c r="K328" s="60">
        <f t="shared" si="39"/>
        <v>2.6251180358827925E-2</v>
      </c>
      <c r="L328" s="59">
        <f>IF(F328="","",+(F328-F327)*4140)</f>
        <v>575.45999999998253</v>
      </c>
      <c r="M328" s="60">
        <f t="shared" si="40"/>
        <v>2.6251180358827925E-2</v>
      </c>
      <c r="N328" s="61">
        <v>66068309</v>
      </c>
      <c r="O328" s="61">
        <f>IF(N328="","",N328-N327)</f>
        <v>0</v>
      </c>
      <c r="P328" s="70">
        <f>IF(J308="",0,+SUM(J308:J337)/SUM(I308:I337))</f>
        <v>2.667364940009298E-2</v>
      </c>
      <c r="Q328" s="70">
        <f>IF(L308="",0,+SUM(L308:L337)/SUM(I308:I337))</f>
        <v>2.667364940009298E-2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>
        <v>0.14199999999999999</v>
      </c>
      <c r="E329" s="57">
        <v>1660.9960000000001</v>
      </c>
      <c r="F329" s="58">
        <v>56.447000000000003</v>
      </c>
      <c r="G329" s="59"/>
      <c r="H329" s="59">
        <v>4140</v>
      </c>
      <c r="I329" s="59">
        <f t="shared" si="42"/>
        <v>24604.019999999931</v>
      </c>
      <c r="J329" s="59">
        <f t="shared" si="43"/>
        <v>989.46000000001789</v>
      </c>
      <c r="K329" s="60">
        <f t="shared" si="39"/>
        <v>4.0215379437995115E-2</v>
      </c>
      <c r="L329" s="59">
        <f t="shared" si="46"/>
        <v>989.46000000001789</v>
      </c>
      <c r="M329" s="60">
        <f t="shared" si="40"/>
        <v>4.0215379437995115E-2</v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>
        <v>0.14199999999999999</v>
      </c>
      <c r="E330" s="57">
        <v>1666.82</v>
      </c>
      <c r="F330" s="58">
        <v>56.622999999999998</v>
      </c>
      <c r="G330" s="59"/>
      <c r="H330" s="59">
        <v>4140</v>
      </c>
      <c r="I330" s="59">
        <f t="shared" si="42"/>
        <v>24111.359999999346</v>
      </c>
      <c r="J330" s="59">
        <f t="shared" si="43"/>
        <v>728.63999999997861</v>
      </c>
      <c r="K330" s="60">
        <f t="shared" si="39"/>
        <v>3.0219780219780154E-2</v>
      </c>
      <c r="L330" s="59">
        <f t="shared" si="46"/>
        <v>728.63999999997861</v>
      </c>
      <c r="M330" s="60">
        <f t="shared" si="40"/>
        <v>3.0219780219780154E-2</v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>
        <v>0.14199999999999999</v>
      </c>
      <c r="E331" s="57">
        <v>1672.65</v>
      </c>
      <c r="F331" s="58">
        <v>56.802</v>
      </c>
      <c r="G331" s="59"/>
      <c r="H331" s="59">
        <v>4140</v>
      </c>
      <c r="I331" s="59">
        <f t="shared" si="42"/>
        <v>24136.200000000641</v>
      </c>
      <c r="J331" s="59">
        <f t="shared" si="43"/>
        <v>741.06000000000847</v>
      </c>
      <c r="K331" s="60">
        <f t="shared" si="39"/>
        <v>3.0703259005145332E-2</v>
      </c>
      <c r="L331" s="59">
        <f t="shared" si="46"/>
        <v>741.06000000000847</v>
      </c>
      <c r="M331" s="60">
        <f t="shared" si="40"/>
        <v>3.0703259005145332E-2</v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>
        <v>0.14199999999999999</v>
      </c>
      <c r="E332" s="57">
        <v>1678.7670000000001</v>
      </c>
      <c r="F332" s="58">
        <v>57.036999999999999</v>
      </c>
      <c r="G332" s="59"/>
      <c r="H332" s="59">
        <v>4140</v>
      </c>
      <c r="I332" s="59">
        <f t="shared" si="42"/>
        <v>25324.379999999841</v>
      </c>
      <c r="J332" s="59">
        <f t="shared" si="43"/>
        <v>972.89999999999759</v>
      </c>
      <c r="K332" s="60">
        <f t="shared" si="39"/>
        <v>3.841752493052164E-2</v>
      </c>
      <c r="L332" s="59">
        <f t="shared" si="46"/>
        <v>972.89999999999759</v>
      </c>
      <c r="M332" s="60">
        <f t="shared" si="40"/>
        <v>3.841752493052164E-2</v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>
        <v>0.14199999999999999</v>
      </c>
      <c r="E333" s="57">
        <v>1684.2619999999999</v>
      </c>
      <c r="F333" s="58">
        <v>57.143999999999998</v>
      </c>
      <c r="G333" s="59"/>
      <c r="H333" s="59">
        <v>4140</v>
      </c>
      <c r="I333" s="59">
        <f t="shared" si="42"/>
        <v>22749.299999999548</v>
      </c>
      <c r="J333" s="59">
        <f t="shared" si="43"/>
        <v>442.97999999999718</v>
      </c>
      <c r="K333" s="60">
        <f t="shared" ref="K333:K337" si="49">IF(J333="","",+(J333/I333))</f>
        <v>1.9472247497725467E-2</v>
      </c>
      <c r="L333" s="59">
        <f t="shared" si="46"/>
        <v>442.97999999999718</v>
      </c>
      <c r="M333" s="60">
        <f t="shared" ref="M333:M362" si="50">IF(L333="","",(L333/I333))</f>
        <v>1.9472247497725467E-2</v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>
        <v>0.14199999999999999</v>
      </c>
      <c r="E334" s="57">
        <v>1689.9559999999999</v>
      </c>
      <c r="F334" s="58">
        <v>57.305</v>
      </c>
      <c r="G334" s="59"/>
      <c r="H334" s="59">
        <v>4140</v>
      </c>
      <c r="I334" s="59">
        <f t="shared" si="42"/>
        <v>23573.159999999836</v>
      </c>
      <c r="J334" s="59">
        <f t="shared" si="43"/>
        <v>666.54000000000565</v>
      </c>
      <c r="K334" s="60">
        <f t="shared" si="49"/>
        <v>2.8275377590446519E-2</v>
      </c>
      <c r="L334" s="59">
        <f t="shared" si="46"/>
        <v>666.54000000000565</v>
      </c>
      <c r="M334" s="60">
        <f t="shared" si="50"/>
        <v>2.8275377590446519E-2</v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>
        <v>0.14199999999999999</v>
      </c>
      <c r="E335" s="57">
        <v>1694.64</v>
      </c>
      <c r="F335" s="58">
        <v>57.460999999999999</v>
      </c>
      <c r="G335" s="59"/>
      <c r="H335" s="59">
        <v>4140</v>
      </c>
      <c r="I335" s="59">
        <f t="shared" si="42"/>
        <v>19391.760000000813</v>
      </c>
      <c r="J335" s="59">
        <f t="shared" si="43"/>
        <v>645.83999999999503</v>
      </c>
      <c r="K335" s="60">
        <f t="shared" si="49"/>
        <v>3.3304867634498775E-2</v>
      </c>
      <c r="L335" s="59">
        <f t="shared" si="46"/>
        <v>645.83999999999503</v>
      </c>
      <c r="M335" s="60">
        <f t="shared" si="50"/>
        <v>3.3304867634498775E-2</v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>
        <v>0.14199999999999999</v>
      </c>
      <c r="E336" s="57">
        <v>1699.8489999999999</v>
      </c>
      <c r="F336" s="58">
        <v>57.747</v>
      </c>
      <c r="G336" s="59"/>
      <c r="H336" s="59">
        <v>4140</v>
      </c>
      <c r="I336" s="59">
        <f t="shared" si="42"/>
        <v>21565.259999999307</v>
      </c>
      <c r="J336" s="59">
        <f t="shared" si="43"/>
        <v>1184.0400000000056</v>
      </c>
      <c r="K336" s="60">
        <f t="shared" si="49"/>
        <v>5.4904972163565088E-2</v>
      </c>
      <c r="L336" s="59">
        <f t="shared" si="46"/>
        <v>1184.0400000000056</v>
      </c>
      <c r="M336" s="60">
        <f t="shared" si="50"/>
        <v>5.4904972163565088E-2</v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56">
        <v>0.14199999999999999</v>
      </c>
      <c r="E337" s="57">
        <v>1704.9</v>
      </c>
      <c r="F337" s="58">
        <v>57.865000000000002</v>
      </c>
      <c r="G337" s="90"/>
      <c r="H337" s="59">
        <v>4140</v>
      </c>
      <c r="I337" s="59">
        <f t="shared" si="42"/>
        <v>20911.140000000654</v>
      </c>
      <c r="J337" s="59">
        <f t="shared" si="43"/>
        <v>488.52000000000874</v>
      </c>
      <c r="K337" s="60">
        <f t="shared" si="49"/>
        <v>2.3361710552365553E-2</v>
      </c>
      <c r="L337" s="59">
        <f t="shared" si="46"/>
        <v>488.52000000000874</v>
      </c>
      <c r="M337" s="60">
        <f t="shared" si="50"/>
        <v>2.3361710552365553E-2</v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>
        <v>0.14199999999999999</v>
      </c>
      <c r="E338" s="57">
        <v>1710.5440000000001</v>
      </c>
      <c r="F338" s="58">
        <v>58.009</v>
      </c>
      <c r="G338" s="59"/>
      <c r="H338" s="59">
        <v>4140</v>
      </c>
      <c r="I338" s="59">
        <f t="shared" si="42"/>
        <v>23366.160000000022</v>
      </c>
      <c r="J338" s="59">
        <f t="shared" si="43"/>
        <v>596.15999999999315</v>
      </c>
      <c r="K338" s="60">
        <f t="shared" ref="K338:K368" si="51">IF(J338="","",+(J338/I338))</f>
        <v>2.5513819985825338E-2</v>
      </c>
      <c r="L338" s="59">
        <f t="shared" si="46"/>
        <v>596.15999999999315</v>
      </c>
      <c r="M338" s="60">
        <f t="shared" si="50"/>
        <v>2.5513819985825338E-2</v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>
        <v>0.14199999999999999</v>
      </c>
      <c r="E339" s="57">
        <v>1716.3779999999999</v>
      </c>
      <c r="F339" s="58">
        <v>58.185000000000002</v>
      </c>
      <c r="G339" s="59"/>
      <c r="H339" s="59">
        <v>4140</v>
      </c>
      <c r="I339" s="59">
        <f t="shared" si="42"/>
        <v>24152.759999999307</v>
      </c>
      <c r="J339" s="59">
        <f t="shared" si="43"/>
        <v>728.64000000000806</v>
      </c>
      <c r="K339" s="60">
        <f t="shared" si="51"/>
        <v>3.0167980802195234E-2</v>
      </c>
      <c r="L339" s="59">
        <f t="shared" si="46"/>
        <v>728.64000000000806</v>
      </c>
      <c r="M339" s="60">
        <f t="shared" si="50"/>
        <v>3.0167980802195234E-2</v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>
        <v>0.14199999999999999</v>
      </c>
      <c r="E340" s="57">
        <v>1721.9760000000001</v>
      </c>
      <c r="F340" s="58">
        <v>58.350999999999999</v>
      </c>
      <c r="G340" s="59"/>
      <c r="H340" s="59">
        <v>4140</v>
      </c>
      <c r="I340" s="59">
        <f t="shared" si="42"/>
        <v>23175.720000000762</v>
      </c>
      <c r="J340" s="59">
        <f t="shared" si="43"/>
        <v>687.23999999998682</v>
      </c>
      <c r="K340" s="60">
        <f t="shared" si="51"/>
        <v>2.9653447659876986E-2</v>
      </c>
      <c r="L340" s="59">
        <f t="shared" si="46"/>
        <v>687.23999999998682</v>
      </c>
      <c r="M340" s="60">
        <f t="shared" si="50"/>
        <v>2.9653447659876986E-2</v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>
        <v>0.14199999999999999</v>
      </c>
      <c r="E341" s="57">
        <v>1727.817</v>
      </c>
      <c r="F341" s="58">
        <v>58.515999999999998</v>
      </c>
      <c r="G341" s="59"/>
      <c r="H341" s="59">
        <v>4140</v>
      </c>
      <c r="I341" s="59">
        <f t="shared" si="42"/>
        <v>24181.739999999561</v>
      </c>
      <c r="J341" s="59">
        <f t="shared" si="43"/>
        <v>683.0999999999965</v>
      </c>
      <c r="K341" s="60">
        <f t="shared" si="51"/>
        <v>2.8248587570621837E-2</v>
      </c>
      <c r="L341" s="59">
        <f t="shared" si="46"/>
        <v>683.0999999999965</v>
      </c>
      <c r="M341" s="60">
        <f t="shared" si="50"/>
        <v>2.8248587570621837E-2</v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>
        <v>0.14199999999999999</v>
      </c>
      <c r="E342" s="57">
        <v>1733.6679999999999</v>
      </c>
      <c r="F342" s="58">
        <v>58.686999999999998</v>
      </c>
      <c r="G342" s="59"/>
      <c r="H342" s="59">
        <v>4140</v>
      </c>
      <c r="I342" s="59">
        <f t="shared" si="42"/>
        <v>24223.139999999526</v>
      </c>
      <c r="J342" s="59">
        <f t="shared" si="43"/>
        <v>707.93999999999744</v>
      </c>
      <c r="K342" s="60">
        <f t="shared" si="51"/>
        <v>2.9225773372073615E-2</v>
      </c>
      <c r="L342" s="59">
        <f t="shared" si="46"/>
        <v>707.93999999999744</v>
      </c>
      <c r="M342" s="60">
        <f t="shared" si="50"/>
        <v>2.9225773372073615E-2</v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>
        <v>0.14199999999999999</v>
      </c>
      <c r="E343" s="57">
        <v>1739.721</v>
      </c>
      <c r="F343" s="58">
        <v>58.877000000000002</v>
      </c>
      <c r="G343" s="59"/>
      <c r="H343" s="59">
        <v>4140</v>
      </c>
      <c r="I343" s="59">
        <f t="shared" si="42"/>
        <v>25059.42000000046</v>
      </c>
      <c r="J343" s="59">
        <f t="shared" si="43"/>
        <v>786.60000000002003</v>
      </c>
      <c r="K343" s="60">
        <f t="shared" si="51"/>
        <v>3.1389393689080017E-2</v>
      </c>
      <c r="L343" s="59">
        <f t="shared" si="46"/>
        <v>786.60000000002003</v>
      </c>
      <c r="M343" s="60">
        <f t="shared" si="50"/>
        <v>3.1389393689080017E-2</v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>
        <v>0.14199999999999999</v>
      </c>
      <c r="E344" s="57">
        <v>1745.4159999999999</v>
      </c>
      <c r="F344" s="58">
        <v>59.048000000000002</v>
      </c>
      <c r="G344" s="59"/>
      <c r="H344" s="59">
        <v>4140</v>
      </c>
      <c r="I344" s="59">
        <f t="shared" si="42"/>
        <v>23577.299999999737</v>
      </c>
      <c r="J344" s="59">
        <f t="shared" si="43"/>
        <v>707.93999999999744</v>
      </c>
      <c r="K344" s="60">
        <f t="shared" si="51"/>
        <v>3.0026338893766689E-2</v>
      </c>
      <c r="L344" s="59">
        <f t="shared" si="46"/>
        <v>707.93999999999744</v>
      </c>
      <c r="M344" s="60">
        <f t="shared" si="50"/>
        <v>3.0026338893766689E-2</v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>
        <v>0.14199999999999999</v>
      </c>
      <c r="E345" s="57">
        <v>1750.857</v>
      </c>
      <c r="F345" s="58">
        <v>59.198</v>
      </c>
      <c r="G345" s="59"/>
      <c r="H345" s="59">
        <v>4140</v>
      </c>
      <c r="I345" s="59">
        <f t="shared" si="42"/>
        <v>22525.740000000129</v>
      </c>
      <c r="J345" s="59">
        <f t="shared" si="43"/>
        <v>620.99999999999409</v>
      </c>
      <c r="K345" s="60">
        <f t="shared" si="51"/>
        <v>2.7568461679837845E-2</v>
      </c>
      <c r="L345" s="59">
        <f t="shared" si="46"/>
        <v>620.99999999999409</v>
      </c>
      <c r="M345" s="60">
        <f t="shared" si="50"/>
        <v>2.7568461679837845E-2</v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>
        <v>0.14199999999999999</v>
      </c>
      <c r="E346" s="57">
        <v>1756.2929999999999</v>
      </c>
      <c r="F346" s="58">
        <v>59.341000000000001</v>
      </c>
      <c r="G346" s="59"/>
      <c r="H346" s="59">
        <v>4140</v>
      </c>
      <c r="I346" s="59">
        <f t="shared" si="42"/>
        <v>22505.039999999677</v>
      </c>
      <c r="J346" s="59">
        <f t="shared" si="43"/>
        <v>592.02000000000282</v>
      </c>
      <c r="K346" s="60">
        <f t="shared" si="51"/>
        <v>2.630610743193575E-2</v>
      </c>
      <c r="L346" s="59">
        <f t="shared" si="46"/>
        <v>592.02000000000282</v>
      </c>
      <c r="M346" s="60">
        <f t="shared" si="50"/>
        <v>2.630610743193575E-2</v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>
        <v>0.14199999999999999</v>
      </c>
      <c r="E347" s="57">
        <v>1762.3140000000001</v>
      </c>
      <c r="F347" s="58">
        <v>59.505000000000003</v>
      </c>
      <c r="G347" s="59"/>
      <c r="H347" s="59">
        <v>4140</v>
      </c>
      <c r="I347" s="59">
        <f t="shared" si="42"/>
        <v>24926.940000000766</v>
      </c>
      <c r="J347" s="59">
        <f t="shared" si="43"/>
        <v>678.96000000000618</v>
      </c>
      <c r="K347" s="60">
        <f t="shared" si="51"/>
        <v>2.7238000332170147E-2</v>
      </c>
      <c r="L347" s="59">
        <f t="shared" si="46"/>
        <v>678.96000000000618</v>
      </c>
      <c r="M347" s="60">
        <f t="shared" si="50"/>
        <v>2.7238000332170147E-2</v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>
        <v>0.14199999999999999</v>
      </c>
      <c r="E348" s="57">
        <v>1767.817</v>
      </c>
      <c r="F348" s="58">
        <v>59.643000000000001</v>
      </c>
      <c r="G348" s="59"/>
      <c r="H348" s="59">
        <v>4140</v>
      </c>
      <c r="I348" s="59">
        <f t="shared" si="42"/>
        <v>22782.419999999707</v>
      </c>
      <c r="J348" s="59">
        <f t="shared" si="43"/>
        <v>571.31999999999221</v>
      </c>
      <c r="K348" s="60">
        <f t="shared" si="51"/>
        <v>2.5077230601490075E-2</v>
      </c>
      <c r="L348" s="59">
        <f t="shared" si="46"/>
        <v>571.31999999999221</v>
      </c>
      <c r="M348" s="60">
        <f t="shared" si="50"/>
        <v>2.5077230601490075E-2</v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2"/>
        <v/>
      </c>
      <c r="J349" s="59" t="str">
        <f t="shared" si="43"/>
        <v/>
      </c>
      <c r="K349" s="60" t="str">
        <f t="shared" si="51"/>
        <v/>
      </c>
      <c r="L349" s="59" t="str">
        <f t="shared" si="46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2"/>
        <v/>
      </c>
      <c r="J350" s="59" t="str">
        <f t="shared" si="43"/>
        <v/>
      </c>
      <c r="K350" s="60" t="str">
        <f t="shared" si="51"/>
        <v/>
      </c>
      <c r="L350" s="59" t="str">
        <f t="shared" si="46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2"/>
        <v/>
      </c>
      <c r="J351" s="59" t="str">
        <f t="shared" si="43"/>
        <v/>
      </c>
      <c r="K351" s="60" t="str">
        <f t="shared" si="51"/>
        <v/>
      </c>
      <c r="L351" s="59" t="str">
        <f t="shared" si="46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ref="I352:J368" si="52">IF(D352="","",+(D352-D351)*4140)</f>
        <v/>
      </c>
      <c r="J352" s="59" t="str">
        <f t="shared" si="43"/>
        <v/>
      </c>
      <c r="K352" s="60" t="str">
        <f t="shared" si="51"/>
        <v/>
      </c>
      <c r="L352" s="59" t="str">
        <f t="shared" si="46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52"/>
        <v/>
      </c>
      <c r="J353" s="59" t="str">
        <f t="shared" si="52"/>
        <v/>
      </c>
      <c r="K353" s="60" t="str">
        <f t="shared" si="51"/>
        <v/>
      </c>
      <c r="L353" s="59" t="str">
        <f t="shared" si="46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52"/>
        <v/>
      </c>
      <c r="J354" s="59" t="str">
        <f t="shared" si="52"/>
        <v/>
      </c>
      <c r="K354" s="60" t="str">
        <f t="shared" si="51"/>
        <v/>
      </c>
      <c r="L354" s="59" t="str">
        <f t="shared" si="46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52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6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52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6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52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6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52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6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52"/>
        <v/>
      </c>
      <c r="J359" s="59" t="str">
        <f t="shared" si="52"/>
        <v/>
      </c>
      <c r="K359" s="60" t="str">
        <f t="shared" si="51"/>
        <v/>
      </c>
      <c r="L359" s="59" t="str">
        <f t="shared" si="46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2.8259452930050721E-2</v>
      </c>
      <c r="Q359" s="70">
        <f>IF(L338="",0,+SUM(L338:L368)/SUM(I338:I368))</f>
        <v>2.8259452930050721E-2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52"/>
        <v/>
      </c>
      <c r="J360" s="59" t="str">
        <f t="shared" si="52"/>
        <v/>
      </c>
      <c r="K360" s="60" t="str">
        <f t="shared" si="51"/>
        <v/>
      </c>
      <c r="L360" s="59" t="str">
        <f t="shared" si="46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 t="e">
        <f>IF(J338="",0,+(+(LOOKUP(9.99999999999999E+307,E338:E368)-E337))/(+(LOOKUP(9.99999999999999E+307,D338:D368)-D337)))</f>
        <v>#DIV/0!</v>
      </c>
      <c r="Q360" s="71" t="e">
        <f>IF(L338="",0,+(+(LOOKUP(9.99999999999999E+307,F338:F368)-F337))/(+(LOOKUP(9.99999999999999E+307,D338:D368)-D337)))</f>
        <v>#DIV/0!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52"/>
        <v/>
      </c>
      <c r="J361" s="59" t="str">
        <f t="shared" si="52"/>
        <v/>
      </c>
      <c r="K361" s="60" t="str">
        <f t="shared" si="51"/>
        <v/>
      </c>
      <c r="L361" s="59" t="str">
        <f t="shared" si="46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52"/>
        <v/>
      </c>
      <c r="J362" s="59" t="str">
        <f t="shared" si="52"/>
        <v/>
      </c>
      <c r="K362" s="60" t="str">
        <f t="shared" si="51"/>
        <v/>
      </c>
      <c r="L362" s="59" t="str">
        <f t="shared" si="46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52"/>
        <v/>
      </c>
      <c r="J363" s="59" t="str">
        <f t="shared" si="52"/>
        <v/>
      </c>
      <c r="K363" s="60" t="str">
        <f t="shared" si="51"/>
        <v/>
      </c>
      <c r="L363" s="59" t="str">
        <f t="shared" si="46"/>
        <v/>
      </c>
      <c r="M363" s="60" t="str">
        <f t="shared" ref="M363:M368" si="53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52"/>
        <v/>
      </c>
      <c r="J364" s="59" t="str">
        <f t="shared" si="52"/>
        <v/>
      </c>
      <c r="K364" s="60" t="str">
        <f t="shared" si="51"/>
        <v/>
      </c>
      <c r="L364" s="59" t="str">
        <f t="shared" si="46"/>
        <v/>
      </c>
      <c r="M364" s="60" t="str">
        <f t="shared" si="53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52"/>
        <v/>
      </c>
      <c r="J365" s="59" t="str">
        <f t="shared" si="52"/>
        <v/>
      </c>
      <c r="K365" s="60" t="str">
        <f t="shared" si="51"/>
        <v/>
      </c>
      <c r="L365" s="59" t="str">
        <f t="shared" si="46"/>
        <v/>
      </c>
      <c r="M365" s="60" t="str">
        <f t="shared" si="53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52"/>
        <v/>
      </c>
      <c r="K366" s="60" t="str">
        <f t="shared" si="51"/>
        <v/>
      </c>
      <c r="L366" s="59" t="str">
        <f t="shared" si="46"/>
        <v/>
      </c>
      <c r="M366" s="60" t="str">
        <f t="shared" si="53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52"/>
        <v/>
      </c>
      <c r="J367" s="59" t="str">
        <f t="shared" si="52"/>
        <v/>
      </c>
      <c r="K367" s="60" t="str">
        <f t="shared" si="51"/>
        <v/>
      </c>
      <c r="L367" s="59" t="str">
        <f t="shared" si="46"/>
        <v/>
      </c>
      <c r="M367" s="60" t="str">
        <f t="shared" si="53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52"/>
        <v/>
      </c>
      <c r="J368" s="90" t="str">
        <f t="shared" si="52"/>
        <v/>
      </c>
      <c r="K368" s="91" t="str">
        <f t="shared" si="51"/>
        <v/>
      </c>
      <c r="L368" s="90" t="str">
        <f t="shared" si="46"/>
        <v/>
      </c>
      <c r="M368" s="91" t="str">
        <f t="shared" si="53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8907379.2599999998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2021-12-13T05:50:45Z</dcterms:modified>
  <cp:category/>
  <cp:contentStatus/>
</cp:coreProperties>
</file>