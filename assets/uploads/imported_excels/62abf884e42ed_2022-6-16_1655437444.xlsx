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<sst xmlns="http://schemas.openxmlformats.org/spreadsheetml/2006/main" count="511" uniqueCount="150">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</sst>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 t="str">
        <f>ELECT.!F19</f>
        <v>0</v>
      </c>
      <c r="J18" s="37" t="str">
        <f>ELECT.!H19</f>
        <v>0</v>
      </c>
      <c r="K18" s="37">
        <f>ELECT.!K19</f>
        <v>0</v>
      </c>
      <c r="L18" s="37" t="str">
        <f>ELECT.!M19</f>
        <v>0</v>
      </c>
      <c r="M18" s="37">
        <f>ELECT.!O19</f>
        <v>0</v>
      </c>
      <c r="N18" s="37" t="str">
        <f>ELECT.!Q19</f>
        <v>0</v>
      </c>
      <c r="O18" s="37" t="str">
        <f>ELECT.!S19</f>
        <v>0</v>
      </c>
      <c r="P18" s="37">
        <f>ELECT.!W19*2</f>
        <v>0</v>
      </c>
      <c r="Q18" s="37">
        <f>ELECT.!D19</f>
        <v>0</v>
      </c>
      <c r="R18" s="142" t="str">
        <f>BTU!C19</f>
        <v>0</v>
      </c>
      <c r="S18" s="142" t="str">
        <f>BTU!F19</f>
        <v>0</v>
      </c>
      <c r="T18" s="142" t="str">
        <f>BTU!I19</f>
        <v>0</v>
      </c>
      <c r="U18" s="142" t="str">
        <f>BTU!O19</f>
        <v>0</v>
      </c>
      <c r="V18" s="142" t="str">
        <f>BTU!L19</f>
        <v>0</v>
      </c>
      <c r="W18" s="142" t="str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142">
        <f>BTU!C20</f>
        <v>0</v>
      </c>
      <c r="S19" s="142">
        <f>BTU!F20</f>
        <v>0</v>
      </c>
      <c r="T19" s="142">
        <f>BTU!I20</f>
        <v>0</v>
      </c>
      <c r="U19" s="142">
        <f>BTU!O20</f>
        <v>0</v>
      </c>
      <c r="V19" s="142">
        <f>BTU!L20</f>
        <v>0</v>
      </c>
      <c r="W19" s="142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18" sqref="T1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f t="shared" ref="B18:B32" si="17">B18</f>
        <v>47163</v>
      </c>
      <c r="C19" s="14">
        <f t="shared" si="9"/>
        <v>0</v>
      </c>
      <c r="D19" s="32">
        <f t="shared" ref="D18:D32" si="18">D18</f>
        <v>40690</v>
      </c>
      <c r="E19" s="14">
        <f t="shared" si="1"/>
        <v>0</v>
      </c>
      <c r="F19" s="32">
        <f t="shared" ref="F18:F32" si="19">F18</f>
        <v>21743</v>
      </c>
      <c r="G19" s="14">
        <f t="shared" si="2"/>
        <v>0</v>
      </c>
      <c r="H19" s="32">
        <f t="shared" ref="H18:H32" si="20">H18</f>
        <v>255707</v>
      </c>
      <c r="I19" s="14">
        <f t="shared" si="3"/>
        <v>0</v>
      </c>
      <c r="J19" s="32">
        <f t="shared" ref="J18:J32" si="21">J18</f>
        <v>319010</v>
      </c>
      <c r="K19" s="14">
        <f t="shared" si="4"/>
        <v>0</v>
      </c>
      <c r="L19" s="32">
        <f t="shared" ref="L18:L32" si="22">L18</f>
        <v>26223</v>
      </c>
      <c r="M19" s="14">
        <f t="shared" si="5"/>
        <v>0</v>
      </c>
      <c r="N19" s="32">
        <f t="shared" ref="N18:N32" si="23">N18</f>
        <v>226087</v>
      </c>
      <c r="O19" s="14">
        <f t="shared" si="6"/>
        <v>0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f t="shared" si="11"/>
        <v>4007</v>
      </c>
      <c r="U19" s="14">
        <f t="shared" si="8"/>
        <v>0</v>
      </c>
      <c r="W19" t="s">
        <v>12</v>
      </c>
    </row>
    <row r="20" spans="1:23" ht="13.5" thickBot="1" x14ac:dyDescent="0.25">
      <c r="A20" s="9">
        <v>44730</v>
      </c>
      <c r="B20" s="32">
        <f t="shared" si="17"/>
        <v>47163</v>
      </c>
      <c r="C20" s="14">
        <f t="shared" si="9"/>
        <v>0</v>
      </c>
      <c r="D20" s="32">
        <f t="shared" si="18"/>
        <v>40690</v>
      </c>
      <c r="E20" s="14">
        <f t="shared" si="1"/>
        <v>0</v>
      </c>
      <c r="F20" s="32">
        <f t="shared" si="19"/>
        <v>21743</v>
      </c>
      <c r="G20" s="14">
        <f t="shared" si="2"/>
        <v>0</v>
      </c>
      <c r="H20" s="32">
        <f t="shared" si="20"/>
        <v>255707</v>
      </c>
      <c r="I20" s="14">
        <f t="shared" si="3"/>
        <v>0</v>
      </c>
      <c r="J20" s="32">
        <f t="shared" si="21"/>
        <v>319010</v>
      </c>
      <c r="K20" s="14">
        <f t="shared" si="4"/>
        <v>0</v>
      </c>
      <c r="L20" s="32">
        <f t="shared" si="22"/>
        <v>26223</v>
      </c>
      <c r="M20" s="14">
        <f t="shared" si="5"/>
        <v>0</v>
      </c>
      <c r="N20" s="32">
        <f t="shared" si="23"/>
        <v>226087</v>
      </c>
      <c r="O20" s="14">
        <f t="shared" si="6"/>
        <v>0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4007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7"/>
        <v>47163</v>
      </c>
      <c r="C21" s="14">
        <f t="shared" si="9"/>
        <v>0</v>
      </c>
      <c r="D21" s="32">
        <f t="shared" si="18"/>
        <v>40690</v>
      </c>
      <c r="E21" s="14">
        <f t="shared" si="1"/>
        <v>0</v>
      </c>
      <c r="F21" s="32">
        <f t="shared" si="19"/>
        <v>21743</v>
      </c>
      <c r="G21" s="14">
        <f t="shared" si="2"/>
        <v>0</v>
      </c>
      <c r="H21" s="32">
        <f t="shared" si="20"/>
        <v>255707</v>
      </c>
      <c r="I21" s="14">
        <f t="shared" si="3"/>
        <v>0</v>
      </c>
      <c r="J21" s="32">
        <f t="shared" si="21"/>
        <v>319010</v>
      </c>
      <c r="K21" s="14">
        <f t="shared" si="4"/>
        <v>0</v>
      </c>
      <c r="L21" s="32">
        <f t="shared" si="22"/>
        <v>26223</v>
      </c>
      <c r="M21" s="14">
        <f t="shared" si="5"/>
        <v>0</v>
      </c>
      <c r="N21" s="32">
        <f t="shared" si="23"/>
        <v>226087</v>
      </c>
      <c r="O21" s="14">
        <f t="shared" si="6"/>
        <v>0</v>
      </c>
      <c r="P21" s="32">
        <f t="shared" si="12"/>
        <v>155890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4007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7"/>
        <v>47163</v>
      </c>
      <c r="C22" s="14">
        <f t="shared" si="9"/>
        <v>0</v>
      </c>
      <c r="D22" s="32">
        <f t="shared" si="18"/>
        <v>40690</v>
      </c>
      <c r="E22" s="14">
        <f t="shared" si="1"/>
        <v>0</v>
      </c>
      <c r="F22" s="32">
        <f t="shared" si="19"/>
        <v>21743</v>
      </c>
      <c r="G22" s="14">
        <f t="shared" si="2"/>
        <v>0</v>
      </c>
      <c r="H22" s="32">
        <f t="shared" si="20"/>
        <v>255707</v>
      </c>
      <c r="I22" s="14">
        <f t="shared" si="3"/>
        <v>0</v>
      </c>
      <c r="J22" s="32">
        <f t="shared" si="21"/>
        <v>319010</v>
      </c>
      <c r="K22" s="14">
        <f t="shared" si="4"/>
        <v>0</v>
      </c>
      <c r="L22" s="32">
        <f t="shared" si="22"/>
        <v>26223</v>
      </c>
      <c r="M22" s="14">
        <f t="shared" si="5"/>
        <v>0</v>
      </c>
      <c r="N22" s="32">
        <f t="shared" si="23"/>
        <v>226087</v>
      </c>
      <c r="O22" s="14">
        <f t="shared" si="6"/>
        <v>0</v>
      </c>
      <c r="P22" s="32">
        <f t="shared" si="12"/>
        <v>155890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4007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7"/>
        <v>47163</v>
      </c>
      <c r="C23" s="14">
        <f t="shared" si="9"/>
        <v>0</v>
      </c>
      <c r="D23" s="32">
        <f t="shared" si="18"/>
        <v>40690</v>
      </c>
      <c r="E23" s="14">
        <f t="shared" si="1"/>
        <v>0</v>
      </c>
      <c r="F23" s="32">
        <f t="shared" si="19"/>
        <v>21743</v>
      </c>
      <c r="G23" s="14">
        <f t="shared" si="2"/>
        <v>0</v>
      </c>
      <c r="H23" s="32">
        <f t="shared" si="20"/>
        <v>255707</v>
      </c>
      <c r="I23" s="14">
        <f t="shared" si="3"/>
        <v>0</v>
      </c>
      <c r="J23" s="32">
        <f t="shared" si="21"/>
        <v>319010</v>
      </c>
      <c r="K23" s="14">
        <f t="shared" si="4"/>
        <v>0</v>
      </c>
      <c r="L23" s="32">
        <f t="shared" si="22"/>
        <v>26223</v>
      </c>
      <c r="M23" s="14">
        <f t="shared" si="5"/>
        <v>0</v>
      </c>
      <c r="N23" s="32">
        <f t="shared" si="23"/>
        <v>226087</v>
      </c>
      <c r="O23" s="14">
        <f t="shared" si="6"/>
        <v>0</v>
      </c>
      <c r="P23" s="32">
        <f t="shared" si="12"/>
        <v>155890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4007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7"/>
        <v>47163</v>
      </c>
      <c r="C24" s="14">
        <f t="shared" si="9"/>
        <v>0</v>
      </c>
      <c r="D24" s="32">
        <f t="shared" si="18"/>
        <v>40690</v>
      </c>
      <c r="E24" s="14">
        <f t="shared" si="1"/>
        <v>0</v>
      </c>
      <c r="F24" s="32">
        <f t="shared" si="19"/>
        <v>21743</v>
      </c>
      <c r="G24" s="14">
        <f t="shared" si="2"/>
        <v>0</v>
      </c>
      <c r="H24" s="32">
        <f t="shared" si="20"/>
        <v>255707</v>
      </c>
      <c r="I24" s="14">
        <f t="shared" si="3"/>
        <v>0</v>
      </c>
      <c r="J24" s="32">
        <f t="shared" si="21"/>
        <v>319010</v>
      </c>
      <c r="K24" s="14">
        <f t="shared" si="4"/>
        <v>0</v>
      </c>
      <c r="L24" s="32">
        <f t="shared" si="22"/>
        <v>26223</v>
      </c>
      <c r="M24" s="14">
        <f t="shared" si="5"/>
        <v>0</v>
      </c>
      <c r="N24" s="32">
        <f t="shared" si="23"/>
        <v>226087</v>
      </c>
      <c r="O24" s="14">
        <f t="shared" si="6"/>
        <v>0</v>
      </c>
      <c r="P24" s="32">
        <f t="shared" si="12"/>
        <v>155890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4007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7"/>
        <v>47163</v>
      </c>
      <c r="C25" s="14">
        <f t="shared" si="9"/>
        <v>0</v>
      </c>
      <c r="D25" s="32">
        <f t="shared" si="18"/>
        <v>40690</v>
      </c>
      <c r="E25" s="14">
        <f t="shared" si="1"/>
        <v>0</v>
      </c>
      <c r="F25" s="32">
        <f t="shared" si="19"/>
        <v>21743</v>
      </c>
      <c r="G25" s="14">
        <f t="shared" si="2"/>
        <v>0</v>
      </c>
      <c r="H25" s="32">
        <f t="shared" si="20"/>
        <v>255707</v>
      </c>
      <c r="I25" s="14">
        <f t="shared" si="3"/>
        <v>0</v>
      </c>
      <c r="J25" s="32">
        <f t="shared" si="21"/>
        <v>319010</v>
      </c>
      <c r="K25" s="14">
        <f t="shared" si="4"/>
        <v>0</v>
      </c>
      <c r="L25" s="32">
        <f t="shared" si="22"/>
        <v>26223</v>
      </c>
      <c r="M25" s="14">
        <f t="shared" si="5"/>
        <v>0</v>
      </c>
      <c r="N25" s="32">
        <f t="shared" si="23"/>
        <v>226087</v>
      </c>
      <c r="O25" s="14">
        <f t="shared" si="6"/>
        <v>0</v>
      </c>
      <c r="P25" s="32">
        <f t="shared" si="12"/>
        <v>155890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4007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7"/>
        <v>47163</v>
      </c>
      <c r="C26" s="14">
        <f t="shared" si="9"/>
        <v>0</v>
      </c>
      <c r="D26" s="32">
        <f t="shared" si="18"/>
        <v>40690</v>
      </c>
      <c r="E26" s="14">
        <f t="shared" si="1"/>
        <v>0</v>
      </c>
      <c r="F26" s="32">
        <f t="shared" si="19"/>
        <v>21743</v>
      </c>
      <c r="G26" s="14">
        <f t="shared" si="2"/>
        <v>0</v>
      </c>
      <c r="H26" s="32">
        <f t="shared" si="20"/>
        <v>255707</v>
      </c>
      <c r="I26" s="14">
        <f t="shared" si="3"/>
        <v>0</v>
      </c>
      <c r="J26" s="32">
        <f t="shared" si="21"/>
        <v>319010</v>
      </c>
      <c r="K26" s="14">
        <f t="shared" si="4"/>
        <v>0</v>
      </c>
      <c r="L26" s="32">
        <f t="shared" si="22"/>
        <v>26223</v>
      </c>
      <c r="M26" s="14">
        <f t="shared" si="5"/>
        <v>0</v>
      </c>
      <c r="N26" s="32">
        <f t="shared" si="23"/>
        <v>226087</v>
      </c>
      <c r="O26" s="14">
        <f t="shared" si="6"/>
        <v>0</v>
      </c>
      <c r="P26" s="32">
        <f t="shared" si="12"/>
        <v>155890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4007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7"/>
        <v>47163</v>
      </c>
      <c r="C27" s="14">
        <f t="shared" si="9"/>
        <v>0</v>
      </c>
      <c r="D27" s="32">
        <f t="shared" si="18"/>
        <v>40690</v>
      </c>
      <c r="E27" s="14">
        <f t="shared" si="1"/>
        <v>0</v>
      </c>
      <c r="F27" s="32">
        <f t="shared" si="19"/>
        <v>21743</v>
      </c>
      <c r="G27" s="14">
        <f t="shared" si="2"/>
        <v>0</v>
      </c>
      <c r="H27" s="32">
        <f t="shared" si="20"/>
        <v>255707</v>
      </c>
      <c r="I27" s="14">
        <f t="shared" si="3"/>
        <v>0</v>
      </c>
      <c r="J27" s="32">
        <f t="shared" si="21"/>
        <v>319010</v>
      </c>
      <c r="K27" s="14">
        <f t="shared" si="4"/>
        <v>0</v>
      </c>
      <c r="L27" s="32">
        <f t="shared" si="22"/>
        <v>26223</v>
      </c>
      <c r="M27" s="14">
        <f t="shared" si="5"/>
        <v>0</v>
      </c>
      <c r="N27" s="32">
        <f t="shared" si="23"/>
        <v>226087</v>
      </c>
      <c r="O27" s="14">
        <f t="shared" si="6"/>
        <v>0</v>
      </c>
      <c r="P27" s="32">
        <f t="shared" si="12"/>
        <v>155890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4007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7"/>
        <v>47163</v>
      </c>
      <c r="C28" s="14">
        <f t="shared" si="9"/>
        <v>0</v>
      </c>
      <c r="D28" s="32">
        <f t="shared" si="18"/>
        <v>40690</v>
      </c>
      <c r="E28" s="14">
        <f t="shared" si="1"/>
        <v>0</v>
      </c>
      <c r="F28" s="32">
        <f t="shared" si="19"/>
        <v>21743</v>
      </c>
      <c r="G28" s="14">
        <f t="shared" si="2"/>
        <v>0</v>
      </c>
      <c r="H28" s="32">
        <f t="shared" si="20"/>
        <v>255707</v>
      </c>
      <c r="I28" s="14">
        <f t="shared" si="3"/>
        <v>0</v>
      </c>
      <c r="J28" s="32">
        <f t="shared" si="21"/>
        <v>319010</v>
      </c>
      <c r="K28" s="14">
        <f t="shared" si="4"/>
        <v>0</v>
      </c>
      <c r="L28" s="32">
        <f t="shared" si="22"/>
        <v>26223</v>
      </c>
      <c r="M28" s="14">
        <f t="shared" si="5"/>
        <v>0</v>
      </c>
      <c r="N28" s="32">
        <f t="shared" si="23"/>
        <v>226087</v>
      </c>
      <c r="O28" s="14">
        <f t="shared" si="6"/>
        <v>0</v>
      </c>
      <c r="P28" s="32">
        <f t="shared" si="12"/>
        <v>155890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4007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7"/>
        <v>47163</v>
      </c>
      <c r="C29" s="14">
        <f t="shared" si="9"/>
        <v>0</v>
      </c>
      <c r="D29" s="32">
        <f t="shared" si="18"/>
        <v>40690</v>
      </c>
      <c r="E29" s="14">
        <f t="shared" si="1"/>
        <v>0</v>
      </c>
      <c r="F29" s="32">
        <f t="shared" si="19"/>
        <v>21743</v>
      </c>
      <c r="G29" s="14">
        <f t="shared" si="2"/>
        <v>0</v>
      </c>
      <c r="H29" s="32">
        <f t="shared" si="20"/>
        <v>255707</v>
      </c>
      <c r="I29" s="14">
        <f t="shared" si="3"/>
        <v>0</v>
      </c>
      <c r="J29" s="32">
        <f t="shared" si="21"/>
        <v>319010</v>
      </c>
      <c r="K29" s="14">
        <f t="shared" si="4"/>
        <v>0</v>
      </c>
      <c r="L29" s="32">
        <f t="shared" si="22"/>
        <v>26223</v>
      </c>
      <c r="M29" s="14">
        <f t="shared" si="5"/>
        <v>0</v>
      </c>
      <c r="N29" s="32">
        <f t="shared" si="23"/>
        <v>226087</v>
      </c>
      <c r="O29" s="14">
        <f t="shared" si="6"/>
        <v>0</v>
      </c>
      <c r="P29" s="32">
        <f t="shared" si="12"/>
        <v>155890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4007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7"/>
        <v>47163</v>
      </c>
      <c r="C30" s="14">
        <f t="shared" si="9"/>
        <v>0</v>
      </c>
      <c r="D30" s="32">
        <f t="shared" si="18"/>
        <v>40690</v>
      </c>
      <c r="E30" s="14">
        <f t="shared" si="1"/>
        <v>0</v>
      </c>
      <c r="F30" s="32">
        <f t="shared" si="19"/>
        <v>21743</v>
      </c>
      <c r="G30" s="14">
        <f t="shared" si="2"/>
        <v>0</v>
      </c>
      <c r="H30" s="32">
        <f t="shared" si="20"/>
        <v>255707</v>
      </c>
      <c r="I30" s="14">
        <f t="shared" si="3"/>
        <v>0</v>
      </c>
      <c r="J30" s="32">
        <f t="shared" si="21"/>
        <v>319010</v>
      </c>
      <c r="K30" s="14">
        <f t="shared" si="4"/>
        <v>0</v>
      </c>
      <c r="L30" s="32">
        <f t="shared" si="22"/>
        <v>26223</v>
      </c>
      <c r="M30" s="14">
        <f t="shared" si="5"/>
        <v>0</v>
      </c>
      <c r="N30" s="32">
        <f t="shared" si="23"/>
        <v>226087</v>
      </c>
      <c r="O30" s="14">
        <f t="shared" si="6"/>
        <v>0</v>
      </c>
      <c r="P30" s="32">
        <f t="shared" si="12"/>
        <v>155890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4007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47163</v>
      </c>
      <c r="C31" s="14">
        <f t="shared" si="9"/>
        <v>0</v>
      </c>
      <c r="D31" s="32">
        <f t="shared" si="18"/>
        <v>40690</v>
      </c>
      <c r="E31" s="14">
        <f t="shared" si="1"/>
        <v>0</v>
      </c>
      <c r="F31" s="32">
        <f t="shared" si="19"/>
        <v>21743</v>
      </c>
      <c r="G31" s="14">
        <f t="shared" si="2"/>
        <v>0</v>
      </c>
      <c r="H31" s="32">
        <f t="shared" si="20"/>
        <v>255707</v>
      </c>
      <c r="I31" s="14">
        <f t="shared" si="3"/>
        <v>0</v>
      </c>
      <c r="J31" s="32">
        <f t="shared" si="21"/>
        <v>319010</v>
      </c>
      <c r="K31" s="14">
        <f t="shared" si="4"/>
        <v>0</v>
      </c>
      <c r="L31" s="32">
        <f t="shared" si="22"/>
        <v>26223</v>
      </c>
      <c r="M31" s="14">
        <f t="shared" si="5"/>
        <v>0</v>
      </c>
      <c r="N31" s="32">
        <f t="shared" si="23"/>
        <v>226087</v>
      </c>
      <c r="O31" s="14">
        <f t="shared" si="6"/>
        <v>0</v>
      </c>
      <c r="P31" s="32">
        <f t="shared" si="12"/>
        <v>155890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4007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47163</v>
      </c>
      <c r="C32" s="14">
        <f t="shared" si="9"/>
        <v>0</v>
      </c>
      <c r="D32" s="32">
        <f t="shared" si="18"/>
        <v>40690</v>
      </c>
      <c r="E32" s="14">
        <f t="shared" si="1"/>
        <v>0</v>
      </c>
      <c r="F32" s="32">
        <f t="shared" si="19"/>
        <v>21743</v>
      </c>
      <c r="G32" s="14">
        <f t="shared" si="2"/>
        <v>0</v>
      </c>
      <c r="H32" s="32">
        <f t="shared" si="20"/>
        <v>255707</v>
      </c>
      <c r="I32" s="14">
        <f t="shared" si="3"/>
        <v>0</v>
      </c>
      <c r="J32" s="32">
        <f t="shared" si="21"/>
        <v>319010</v>
      </c>
      <c r="K32" s="14">
        <f t="shared" si="4"/>
        <v>0</v>
      </c>
      <c r="L32" s="32">
        <f t="shared" si="22"/>
        <v>26223</v>
      </c>
      <c r="M32" s="14">
        <f t="shared" si="5"/>
        <v>0</v>
      </c>
      <c r="N32" s="32">
        <f t="shared" si="23"/>
        <v>226087</v>
      </c>
      <c r="O32" s="14">
        <f t="shared" si="6"/>
        <v>0</v>
      </c>
      <c r="P32" s="32">
        <f t="shared" si="12"/>
        <v>155890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4007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12160</v>
      </c>
      <c r="D33" s="11"/>
      <c r="E33" s="14">
        <f>SUM(E3:E32)</f>
        <v>8320</v>
      </c>
      <c r="F33" s="11"/>
      <c r="G33" s="14">
        <f>SUM(G3:G32)</f>
        <v>1120</v>
      </c>
      <c r="H33" s="11"/>
      <c r="I33" s="14">
        <f>SUM(I3:I32)</f>
        <v>408</v>
      </c>
      <c r="J33" s="11"/>
      <c r="K33" s="14">
        <f>SUM(K3:K32)</f>
        <v>2606</v>
      </c>
      <c r="L33" s="11"/>
      <c r="M33" s="14">
        <f>SUM(M3:M32)</f>
        <v>3120</v>
      </c>
      <c r="N33" s="33"/>
      <c r="O33" s="14">
        <f>SUM(O3:O32)</f>
        <v>51</v>
      </c>
      <c r="P33" s="32"/>
      <c r="Q33" s="14">
        <f>SUM(Q3:Q32)</f>
        <v>1524</v>
      </c>
      <c r="R33" s="1"/>
      <c r="S33" s="14">
        <f>SUM(S3:S32)</f>
        <v>0</v>
      </c>
      <c r="T33" s="1"/>
      <c r="U33" s="14">
        <f>SUM(U3:U32)</f>
        <v>1600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K1" zoomScaleNormal="100" zoomScaleSheetLayoutView="110" workbookViewId="0">
      <pane ySplit="1" topLeftCell="A2" activePane="bottomLeft" state="frozen"/>
      <selection pane="bottomLeft" activeCell="AC18" sqref="AC18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39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/>
      <c r="C19" s="145"/>
      <c r="D19" s="39">
        <f t="shared" si="1"/>
        <v>0</v>
      </c>
      <c r="E19" s="146"/>
      <c r="F19" s="39" t="str">
        <f t="shared" si="2"/>
        <v>0</v>
      </c>
      <c r="G19" s="147"/>
      <c r="H19" s="39" t="str">
        <f t="shared" si="3"/>
        <v>0</v>
      </c>
      <c r="I19" s="152">
        <f t="shared" si="4"/>
        <v>0</v>
      </c>
      <c r="J19" s="146"/>
      <c r="K19" s="130">
        <f t="shared" si="12"/>
        <v>0</v>
      </c>
      <c r="L19" s="149"/>
      <c r="M19" s="130" t="str">
        <f t="shared" si="5"/>
        <v>0</v>
      </c>
      <c r="N19" s="146"/>
      <c r="O19" s="130">
        <f t="shared" si="13"/>
        <v>0</v>
      </c>
      <c r="P19" s="149"/>
      <c r="Q19" s="130" t="str">
        <f t="shared" si="6"/>
        <v>0</v>
      </c>
      <c r="R19" s="146"/>
      <c r="S19" s="130" t="str">
        <f t="shared" si="7"/>
        <v>0</v>
      </c>
      <c r="T19" s="153">
        <v>0</v>
      </c>
      <c r="U19" s="150"/>
      <c r="V19" s="146"/>
      <c r="W19" s="130" t="str">
        <f t="shared" si="8"/>
        <v>0</v>
      </c>
      <c r="X19" s="19">
        <f t="shared" si="9"/>
        <v>0</v>
      </c>
      <c r="Y19" s="154">
        <f t="shared" si="10"/>
        <v>0</v>
      </c>
      <c r="Z19" s="155">
        <f t="shared" si="11"/>
        <v>0</v>
      </c>
      <c r="AA19" s="3">
        <f>SUM(Z1:Z19)</f>
        <v>150548.56084320004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>
        <f t="shared" si="2"/>
        <v>0</v>
      </c>
      <c r="G20" s="147"/>
      <c r="H20" s="39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>
        <f t="shared" si="5"/>
        <v>0</v>
      </c>
      <c r="N20" s="146"/>
      <c r="O20" s="130">
        <f t="shared" si="13"/>
        <v>0</v>
      </c>
      <c r="P20" s="149"/>
      <c r="Q20" s="130">
        <f t="shared" si="6"/>
        <v>0</v>
      </c>
      <c r="R20" s="146"/>
      <c r="S20" s="130">
        <f t="shared" si="7"/>
        <v>0</v>
      </c>
      <c r="T20" s="153">
        <v>0</v>
      </c>
      <c r="U20" s="150"/>
      <c r="V20" s="146"/>
      <c r="W20" s="130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150548.56084320004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150548.56084320004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150548.56084320004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150548.56084320004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150548.56084320004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150548.56084320004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150548.56084320004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150548.56084320004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150548.56084320004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150548.56084320004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150548.56084320004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150548.56084320004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150548.56084320004</v>
      </c>
    </row>
    <row r="33" spans="1:27" ht="16.5" thickBot="1" x14ac:dyDescent="0.3">
      <c r="A33" s="137" t="s">
        <v>23</v>
      </c>
      <c r="B33" s="137">
        <f>SUM(B3:B32)</f>
        <v>3346</v>
      </c>
      <c r="C33" s="137">
        <v>0</v>
      </c>
      <c r="D33" s="137">
        <f>SUM(D3:D32)</f>
        <v>10560</v>
      </c>
      <c r="E33" s="56">
        <v>0</v>
      </c>
      <c r="F33" s="56">
        <f>SUM(F3:F32)</f>
        <v>345800</v>
      </c>
      <c r="G33" s="56">
        <v>0</v>
      </c>
      <c r="H33" s="56">
        <f>SUM(H3:H32)</f>
        <v>849155</v>
      </c>
      <c r="I33" s="56">
        <f>SUM(I3:I32)</f>
        <v>1194955</v>
      </c>
      <c r="J33" s="56">
        <v>0</v>
      </c>
      <c r="K33" s="56">
        <f>SUM(K2:K32)</f>
        <v>162323</v>
      </c>
      <c r="L33" s="56">
        <v>0</v>
      </c>
      <c r="M33" s="56">
        <f>SUM(M3:M32)</f>
        <v>109528</v>
      </c>
      <c r="N33" s="56">
        <v>0</v>
      </c>
      <c r="O33" s="56">
        <f>SUM(O3:O32)</f>
        <v>233148</v>
      </c>
      <c r="P33" s="56">
        <v>0</v>
      </c>
      <c r="Q33" s="56">
        <f>SUM(Q3:Q32)</f>
        <v>213891</v>
      </c>
      <c r="R33" s="56">
        <v>0</v>
      </c>
      <c r="S33" s="56">
        <f>SUM(S3:S32)</f>
        <v>172475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181156</v>
      </c>
      <c r="X33" s="56">
        <f>SUM(X3:X32)</f>
        <v>1072521</v>
      </c>
      <c r="Y33" s="56">
        <f>SUM(Y3:Y32)</f>
        <v>122434</v>
      </c>
      <c r="Z33" s="56">
        <f>SUM(Z3:Z32)</f>
        <v>150548.56084320004</v>
      </c>
      <c r="AA33" s="56">
        <f>SUM(AA3:AA32)</f>
        <v>3382567.1017631995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18" sqref="K1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/>
      <c r="C19" s="39">
        <f t="shared" si="5"/>
        <v>0</v>
      </c>
      <c r="D19" s="3"/>
      <c r="E19" s="39">
        <f t="shared" ref="E19:E32" si="6">(IF((D19-D18)&lt;0,"0",(D19-D18)))*10</f>
        <v>0</v>
      </c>
      <c r="F19" s="3"/>
      <c r="G19" s="39">
        <f t="shared" si="3"/>
        <v>0</v>
      </c>
      <c r="H19" s="3"/>
      <c r="I19" s="44">
        <f t="shared" si="4"/>
        <v>0</v>
      </c>
      <c r="J19" s="19">
        <f t="shared" si="1"/>
        <v>0</v>
      </c>
      <c r="K19" s="20">
        <f t="shared" si="2"/>
        <v>0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17120</v>
      </c>
      <c r="D33" s="3"/>
      <c r="E33" s="56">
        <f>SUM(E3:E32)</f>
        <v>7840</v>
      </c>
      <c r="F33" s="3"/>
      <c r="G33" s="56">
        <f>SUM(G3:G32)</f>
        <v>8529.2999999999993</v>
      </c>
      <c r="H33" s="3"/>
      <c r="I33" s="56">
        <f>SUM(I3:I32)</f>
        <v>88.155000000000015</v>
      </c>
      <c r="J33" s="56">
        <f>SUM(J3:J32)</f>
        <v>33577.455000000002</v>
      </c>
      <c r="K33" s="56">
        <f>SUM(K3:K32)</f>
        <v>196763.88629999995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19" sqref="B1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/>
      <c r="C19" s="45" t="str">
        <f t="shared" si="0"/>
        <v>0</v>
      </c>
    </row>
    <row r="20" spans="1:9" ht="24" thickBot="1" x14ac:dyDescent="0.4">
      <c r="A20" s="9">
        <v>44730</v>
      </c>
      <c r="B20" s="133"/>
      <c r="C20" s="45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36960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H1" zoomScale="90" zoomScaleNormal="90" workbookViewId="0">
      <pane ySplit="1" topLeftCell="A2" activePane="bottomLeft" state="frozen"/>
      <selection pane="bottomLeft" activeCell="Z11" sqref="Z11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/>
      <c r="C19" s="44" t="str">
        <f t="shared" si="22"/>
        <v>0</v>
      </c>
      <c r="D19" s="28">
        <f t="shared" si="23"/>
        <v>0</v>
      </c>
      <c r="E19" s="160"/>
      <c r="F19" s="44" t="str">
        <f t="shared" si="24"/>
        <v>0</v>
      </c>
      <c r="G19" s="28">
        <f t="shared" si="25"/>
        <v>0</v>
      </c>
      <c r="H19" s="160"/>
      <c r="I19" s="44" t="str">
        <f t="shared" si="26"/>
        <v>0</v>
      </c>
      <c r="J19" s="28">
        <f t="shared" si="27"/>
        <v>0</v>
      </c>
      <c r="K19" s="7"/>
      <c r="L19" s="44" t="str">
        <f t="shared" si="28"/>
        <v>0</v>
      </c>
      <c r="M19" s="28">
        <f t="shared" si="29"/>
        <v>0</v>
      </c>
      <c r="N19" s="160"/>
      <c r="O19" s="44" t="str">
        <f t="shared" si="30"/>
        <v>0</v>
      </c>
      <c r="P19" s="28">
        <f t="shared" si="31"/>
        <v>0</v>
      </c>
      <c r="Q19" s="160"/>
      <c r="R19" s="44" t="str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44729</v>
      </c>
      <c r="X19" s="158"/>
      <c r="Y19" s="163" t="str">
        <f t="shared" si="21"/>
        <v>0</v>
      </c>
      <c r="Z19" s="158"/>
      <c r="AA19" s="163" t="str">
        <f t="shared" si="21"/>
        <v>0</v>
      </c>
      <c r="AB19" s="158"/>
      <c r="AC19" s="163" t="str">
        <f t="shared" si="21"/>
        <v>0</v>
      </c>
      <c r="AD19" s="158"/>
      <c r="AE19" s="163" t="str">
        <f t="shared" si="21"/>
        <v>0</v>
      </c>
      <c r="AF19" s="158"/>
      <c r="AG19" s="163" t="str">
        <f t="shared" si="21"/>
        <v>0</v>
      </c>
    </row>
    <row r="20" spans="1:33" ht="16.5" thickBot="1" x14ac:dyDescent="0.25">
      <c r="A20" s="9">
        <v>44730</v>
      </c>
      <c r="B20" s="160"/>
      <c r="C20" s="44">
        <f t="shared" si="22"/>
        <v>0</v>
      </c>
      <c r="D20" s="28">
        <f t="shared" si="23"/>
        <v>0</v>
      </c>
      <c r="E20" s="160"/>
      <c r="F20" s="44">
        <f t="shared" si="24"/>
        <v>0</v>
      </c>
      <c r="G20" s="28">
        <f t="shared" si="25"/>
        <v>0</v>
      </c>
      <c r="H20" s="160"/>
      <c r="I20" s="44">
        <f t="shared" si="26"/>
        <v>0</v>
      </c>
      <c r="J20" s="28">
        <f t="shared" si="27"/>
        <v>0</v>
      </c>
      <c r="K20" s="7"/>
      <c r="L20" s="44">
        <f t="shared" si="28"/>
        <v>0</v>
      </c>
      <c r="M20" s="28">
        <f t="shared" si="29"/>
        <v>0</v>
      </c>
      <c r="N20" s="160"/>
      <c r="O20" s="44">
        <f t="shared" si="30"/>
        <v>0</v>
      </c>
      <c r="P20" s="28">
        <f t="shared" si="31"/>
        <v>0</v>
      </c>
      <c r="Q20" s="160"/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>
        <f t="shared" si="21"/>
        <v>0</v>
      </c>
      <c r="Z20" s="158"/>
      <c r="AA20" s="163">
        <f t="shared" si="21"/>
        <v>0</v>
      </c>
      <c r="AB20" s="158"/>
      <c r="AC20" s="163">
        <f t="shared" si="21"/>
        <v>0</v>
      </c>
      <c r="AD20" s="158"/>
      <c r="AE20" s="163">
        <f t="shared" si="21"/>
        <v>0</v>
      </c>
      <c r="AF20" s="158"/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210.60800000000017</v>
      </c>
      <c r="D33" s="137">
        <f>SUM(D3:D32)</f>
        <v>400155.2000000003</v>
      </c>
      <c r="E33" s="137"/>
      <c r="F33" s="44">
        <f>SUM(F2:F32)</f>
        <v>46.164999999999964</v>
      </c>
      <c r="G33" s="137">
        <f>SUM(G3:G32)</f>
        <v>87713.499999999913</v>
      </c>
      <c r="H33" s="137"/>
      <c r="I33" s="44">
        <f>SUM(I2:I32)</f>
        <v>126</v>
      </c>
      <c r="J33" s="137">
        <f>SUM(J3:J32)</f>
        <v>239400</v>
      </c>
      <c r="K33" s="137"/>
      <c r="L33" s="44">
        <f>SUM(L2:L32)</f>
        <v>36.540000000000873</v>
      </c>
      <c r="M33" s="137">
        <f>SUM(M3:M32)</f>
        <v>69426.000000001659</v>
      </c>
      <c r="N33" s="137"/>
      <c r="O33" s="44">
        <f>SUM(O2:O32)</f>
        <v>23.651999999999589</v>
      </c>
      <c r="P33" s="137">
        <f>SUM(P3:P32)</f>
        <v>44938.799999999203</v>
      </c>
      <c r="Q33" s="137"/>
      <c r="R33" s="44">
        <f>SUM(R3:R32)</f>
        <v>31.329999999999927</v>
      </c>
      <c r="S33" s="137">
        <f>SUM(S3:S32)</f>
        <v>59526.999999999854</v>
      </c>
      <c r="T33" s="137">
        <f>SUM(T3:T32)</f>
        <v>474.29500000000053</v>
      </c>
      <c r="U33" s="137">
        <f>SUM(U3:U32)</f>
        <v>901160.50000000105</v>
      </c>
      <c r="V33"/>
      <c r="W33" s="137" t="s">
        <v>141</v>
      </c>
      <c r="X33" s="137"/>
      <c r="Y33" s="137">
        <f>SUM(Y2:Y32)</f>
        <v>4211</v>
      </c>
      <c r="Z33" s="137"/>
      <c r="AA33" s="137">
        <f>SUM(AA2:AA32)</f>
        <v>101</v>
      </c>
      <c r="AB33" s="137"/>
      <c r="AC33" s="137">
        <f>SUM(AC2:AC32)</f>
        <v>1.1000000000000014</v>
      </c>
      <c r="AD33" s="137"/>
      <c r="AE33" s="137">
        <f>SUM(AE2:AE32)</f>
        <v>36</v>
      </c>
      <c r="AF33" s="137">
        <v>0</v>
      </c>
      <c r="AG33" s="137">
        <f>SUM(AG2:AG32)</f>
        <v>241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-6900588</v>
      </c>
      <c r="D7" s="105">
        <f t="shared" si="0"/>
        <v>-8763746.7599999998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18968</v>
      </c>
      <c r="D8" s="105">
        <f t="shared" si="0"/>
        <v>24089.360000000001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4257</v>
      </c>
      <c r="D9" s="105">
        <f t="shared" si="0"/>
        <v>5406.39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8320</v>
      </c>
      <c r="D10" s="105">
        <f t="shared" si="0"/>
        <v>10566.4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1524</v>
      </c>
      <c r="D11" s="105">
        <f t="shared" si="0"/>
        <v>1935.48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4007</v>
      </c>
      <c r="K16" s="94">
        <f>(J16-I16)*160</f>
        <v>1600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319010</v>
      </c>
      <c r="K17" s="94">
        <f>(J17-I17)</f>
        <v>2606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26223</v>
      </c>
      <c r="K18" s="94">
        <f>(J18-I18)*160</f>
        <v>8320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155890</v>
      </c>
      <c r="K19" s="94">
        <f>J19-I19</f>
        <v>1524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47163</v>
      </c>
      <c r="K21" s="94">
        <f>(J21-I21)*120</f>
        <v>9120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40690</v>
      </c>
      <c r="K22" s="94">
        <f>(J22-I22)*160</f>
        <v>8320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21743</v>
      </c>
      <c r="K23" s="94">
        <f>(J23-I23)*20</f>
        <v>1120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255707</v>
      </c>
      <c r="K24" s="94">
        <f>J24-I24</f>
        <v>408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226087</v>
      </c>
      <c r="K25" s="94">
        <f>J25-I25</f>
        <v>51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2022-06-17T02:08:49Z</dcterms:modified>
</cp:coreProperties>
</file>