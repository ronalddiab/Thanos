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1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979" documentId="13_ncr:1_{76C55D63-F869-4AF5-AAA3-3D809A91432B}" xr6:coauthVersionLast="47" xr6:coauthVersionMax="47" xr10:uidLastSave="{5CA99A4C-82AF-431C-8792-A84B21C11683}"/>
  <bookViews>
    <workbookView xWindow="-120" yWindow="-120" windowWidth="20730" windowHeight="11160" firstSheet="1" activeTab="2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5" i="27" l="1"/>
  <c r="J24" i="27"/>
  <c r="J23" i="27"/>
  <c r="J22" i="27"/>
  <c r="J21" i="27"/>
  <c r="J20" i="27"/>
  <c r="J19" i="27"/>
  <c r="J18" i="27"/>
  <c r="J17" i="27"/>
  <c r="J16" i="27"/>
  <c r="J15" i="27"/>
  <c r="J14" i="27"/>
  <c r="J13" i="27"/>
  <c r="J12" i="27"/>
  <c r="J11" i="27"/>
  <c r="J10" i="27"/>
  <c r="J9" i="27"/>
  <c r="J8" i="27"/>
  <c r="J7" i="27"/>
  <c r="J6" i="27"/>
  <c r="J5" i="27"/>
  <c r="L37" i="27"/>
  <c r="L36" i="27"/>
  <c r="L26" i="27"/>
  <c r="L27" i="27"/>
  <c r="L28" i="27"/>
  <c r="L29" i="27"/>
  <c r="L30" i="27"/>
  <c r="L31" i="27"/>
  <c r="L32" i="27"/>
  <c r="L33" i="27"/>
  <c r="L34" i="27"/>
  <c r="L35" i="27"/>
  <c r="G28" i="28"/>
  <c r="G29" i="28"/>
  <c r="G30" i="28"/>
  <c r="G31" i="28"/>
  <c r="G32" i="28"/>
  <c r="G33" i="28"/>
  <c r="G34" i="28"/>
  <c r="G35" i="28"/>
  <c r="G36" i="28"/>
  <c r="G37" i="28"/>
  <c r="G38" i="28"/>
  <c r="G39" i="28"/>
  <c r="K37" i="27"/>
  <c r="F37" i="27"/>
  <c r="C37" i="27"/>
  <c r="D37" i="27" s="1"/>
  <c r="E39" i="28"/>
  <c r="C39" i="28"/>
  <c r="F39" i="28" s="1"/>
  <c r="M32" i="26"/>
  <c r="B32" i="26"/>
  <c r="C38" i="28"/>
  <c r="E38" i="28"/>
  <c r="F38" i="28"/>
  <c r="E32" i="26" s="1"/>
  <c r="K36" i="27"/>
  <c r="G32" i="26" s="1"/>
  <c r="F36" i="27"/>
  <c r="K32" i="26" s="1"/>
  <c r="G36" i="27"/>
  <c r="H36" i="27"/>
  <c r="I36" i="27"/>
  <c r="C36" i="27"/>
  <c r="I32" i="26" s="1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7" i="28"/>
  <c r="C37" i="28"/>
  <c r="F37" i="28" s="1"/>
  <c r="E36" i="28"/>
  <c r="C36" i="28"/>
  <c r="F36" i="28" s="1"/>
  <c r="E35" i="28"/>
  <c r="C35" i="28"/>
  <c r="F35" i="28" s="1"/>
  <c r="E34" i="28"/>
  <c r="C34" i="28"/>
  <c r="F34" i="28" s="1"/>
  <c r="E33" i="28"/>
  <c r="C33" i="28"/>
  <c r="F33" i="28" s="1"/>
  <c r="E32" i="28"/>
  <c r="C32" i="28"/>
  <c r="F32" i="28" s="1"/>
  <c r="E31" i="28"/>
  <c r="C31" i="28"/>
  <c r="F31" i="28" s="1"/>
  <c r="E30" i="28"/>
  <c r="C30" i="28"/>
  <c r="F30" i="28" s="1"/>
  <c r="E29" i="28"/>
  <c r="C29" i="28"/>
  <c r="F29" i="28" s="1"/>
  <c r="E28" i="28"/>
  <c r="C28" i="28"/>
  <c r="F28" i="28" s="1"/>
  <c r="E27" i="28"/>
  <c r="C27" i="28"/>
  <c r="F27" i="28" s="1"/>
  <c r="G27" i="28" s="1"/>
  <c r="E26" i="28"/>
  <c r="C26" i="28"/>
  <c r="F26" i="28" s="1"/>
  <c r="G26" i="28" s="1"/>
  <c r="E25" i="28"/>
  <c r="C25" i="28"/>
  <c r="F25" i="28" s="1"/>
  <c r="G25" i="28" s="1"/>
  <c r="E24" i="28"/>
  <c r="C24" i="28"/>
  <c r="F24" i="28" s="1"/>
  <c r="G24" i="28" s="1"/>
  <c r="E23" i="28"/>
  <c r="C23" i="28"/>
  <c r="F23" i="28" s="1"/>
  <c r="G23" i="28" s="1"/>
  <c r="E22" i="28"/>
  <c r="C22" i="28"/>
  <c r="F22" i="28" s="1"/>
  <c r="G22" i="28" s="1"/>
  <c r="E21" i="28"/>
  <c r="C21" i="28"/>
  <c r="F21" i="28" s="1"/>
  <c r="G21" i="28" s="1"/>
  <c r="E20" i="28"/>
  <c r="C20" i="28"/>
  <c r="F20" i="28" s="1"/>
  <c r="G20" i="28" s="1"/>
  <c r="E19" i="28"/>
  <c r="C19" i="28"/>
  <c r="F19" i="28" s="1"/>
  <c r="G19" i="28" s="1"/>
  <c r="E18" i="28"/>
  <c r="C18" i="28"/>
  <c r="F18" i="28" s="1"/>
  <c r="G18" i="28" s="1"/>
  <c r="E17" i="28"/>
  <c r="C17" i="28"/>
  <c r="F17" i="28" s="1"/>
  <c r="G17" i="28" s="1"/>
  <c r="E16" i="28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F35" i="27"/>
  <c r="C35" i="27"/>
  <c r="D35" i="27" s="1"/>
  <c r="K34" i="27"/>
  <c r="F34" i="27"/>
  <c r="C34" i="27"/>
  <c r="D34" i="27" s="1"/>
  <c r="K33" i="27"/>
  <c r="F33" i="27"/>
  <c r="C33" i="27"/>
  <c r="D33" i="27" s="1"/>
  <c r="K32" i="27"/>
  <c r="F32" i="27"/>
  <c r="C32" i="27"/>
  <c r="D32" i="27" s="1"/>
  <c r="K31" i="27"/>
  <c r="F31" i="27"/>
  <c r="C31" i="27"/>
  <c r="D31" i="27" s="1"/>
  <c r="K30" i="27"/>
  <c r="G26" i="26" s="1"/>
  <c r="F30" i="27"/>
  <c r="C30" i="27"/>
  <c r="D30" i="27" s="1"/>
  <c r="K29" i="27"/>
  <c r="F29" i="27"/>
  <c r="C29" i="27"/>
  <c r="D29" i="27" s="1"/>
  <c r="K28" i="27"/>
  <c r="F28" i="27"/>
  <c r="C28" i="27"/>
  <c r="D28" i="27" s="1"/>
  <c r="K27" i="27"/>
  <c r="F27" i="27"/>
  <c r="C27" i="27"/>
  <c r="D27" i="27" s="1"/>
  <c r="K26" i="27"/>
  <c r="F26" i="27"/>
  <c r="C26" i="27"/>
  <c r="D26" i="27" s="1"/>
  <c r="K25" i="27"/>
  <c r="L25" i="27" s="1"/>
  <c r="F25" i="27"/>
  <c r="C25" i="27"/>
  <c r="D25" i="27" s="1"/>
  <c r="K24" i="27"/>
  <c r="L24" i="27" s="1"/>
  <c r="F24" i="27"/>
  <c r="C24" i="27"/>
  <c r="D24" i="27" s="1"/>
  <c r="K23" i="27"/>
  <c r="L23" i="27" s="1"/>
  <c r="F23" i="27"/>
  <c r="C23" i="27"/>
  <c r="D23" i="27" s="1"/>
  <c r="K22" i="27"/>
  <c r="L22" i="27" s="1"/>
  <c r="F22" i="27"/>
  <c r="C22" i="27"/>
  <c r="D22" i="27" s="1"/>
  <c r="K21" i="27"/>
  <c r="L21" i="27" s="1"/>
  <c r="F21" i="27"/>
  <c r="C21" i="27"/>
  <c r="D21" i="27" s="1"/>
  <c r="K20" i="27"/>
  <c r="L20" i="27" s="1"/>
  <c r="F20" i="27"/>
  <c r="C20" i="27"/>
  <c r="D20" i="27" s="1"/>
  <c r="K19" i="27"/>
  <c r="L19" i="27" s="1"/>
  <c r="F19" i="27"/>
  <c r="C19" i="27"/>
  <c r="D19" i="27" s="1"/>
  <c r="K18" i="27"/>
  <c r="L18" i="27" s="1"/>
  <c r="F18" i="27"/>
  <c r="C18" i="27"/>
  <c r="D18" i="27" s="1"/>
  <c r="K17" i="27"/>
  <c r="L17" i="27" s="1"/>
  <c r="F17" i="27"/>
  <c r="C17" i="27"/>
  <c r="D17" i="27" s="1"/>
  <c r="K16" i="27"/>
  <c r="L16" i="27" s="1"/>
  <c r="F16" i="27"/>
  <c r="C16" i="27"/>
  <c r="D16" i="27" s="1"/>
  <c r="K15" i="27"/>
  <c r="L15" i="27" s="1"/>
  <c r="F15" i="27"/>
  <c r="C15" i="27"/>
  <c r="D15" i="27" s="1"/>
  <c r="K14" i="27"/>
  <c r="L14" i="27" s="1"/>
  <c r="F14" i="27"/>
  <c r="C14" i="27"/>
  <c r="D14" i="27" s="1"/>
  <c r="K13" i="27"/>
  <c r="L13" i="27" s="1"/>
  <c r="F13" i="27"/>
  <c r="C13" i="27"/>
  <c r="D13" i="27" s="1"/>
  <c r="K12" i="27"/>
  <c r="L12" i="27" s="1"/>
  <c r="F12" i="27"/>
  <c r="C12" i="27"/>
  <c r="D12" i="27" s="1"/>
  <c r="K11" i="27"/>
  <c r="L11" i="27" s="1"/>
  <c r="F11" i="27"/>
  <c r="C11" i="27"/>
  <c r="D11" i="27" s="1"/>
  <c r="K10" i="27"/>
  <c r="L10" i="27" s="1"/>
  <c r="F10" i="27"/>
  <c r="C10" i="27"/>
  <c r="D10" i="27" s="1"/>
  <c r="K9" i="27"/>
  <c r="L9" i="27" s="1"/>
  <c r="F9" i="27"/>
  <c r="C9" i="27"/>
  <c r="D9" i="27" s="1"/>
  <c r="K8" i="27"/>
  <c r="L8" i="27" s="1"/>
  <c r="F8" i="27"/>
  <c r="C8" i="27"/>
  <c r="D8" i="27" s="1"/>
  <c r="F7" i="27"/>
  <c r="C7" i="27"/>
  <c r="D7" i="27" s="1"/>
  <c r="F6" i="27"/>
  <c r="C6" i="27"/>
  <c r="D6" i="27" s="1"/>
  <c r="K5" i="27"/>
  <c r="L5" i="27" s="1"/>
  <c r="F5" i="27"/>
  <c r="G5" i="27" s="1"/>
  <c r="C5" i="27"/>
  <c r="D5" i="27" s="1"/>
  <c r="H37" i="27" l="1"/>
  <c r="G37" i="27"/>
  <c r="I37" i="27" s="1"/>
  <c r="D36" i="27"/>
  <c r="I2" i="26"/>
  <c r="H6" i="27"/>
  <c r="K2" i="26"/>
  <c r="I3" i="26"/>
  <c r="G7" i="27"/>
  <c r="K3" i="26"/>
  <c r="H7" i="27"/>
  <c r="K6" i="27"/>
  <c r="L6" i="27" s="1"/>
  <c r="I4" i="26"/>
  <c r="H8" i="27"/>
  <c r="K4" i="26"/>
  <c r="G8" i="27"/>
  <c r="G4" i="26"/>
  <c r="I5" i="26"/>
  <c r="G9" i="27"/>
  <c r="K5" i="26"/>
  <c r="H9" i="27"/>
  <c r="G5" i="26"/>
  <c r="I6" i="26"/>
  <c r="K6" i="26"/>
  <c r="H10" i="27"/>
  <c r="G10" i="27"/>
  <c r="I10" i="27" s="1"/>
  <c r="G6" i="26"/>
  <c r="I7" i="26"/>
  <c r="H11" i="27"/>
  <c r="K7" i="26"/>
  <c r="G7" i="26"/>
  <c r="I8" i="26"/>
  <c r="K8" i="26"/>
  <c r="H12" i="27"/>
  <c r="G12" i="27"/>
  <c r="I12" i="27" s="1"/>
  <c r="G8" i="26"/>
  <c r="I9" i="26"/>
  <c r="G13" i="27"/>
  <c r="K9" i="26"/>
  <c r="G9" i="26"/>
  <c r="I10" i="26"/>
  <c r="H14" i="27"/>
  <c r="K10" i="26"/>
  <c r="G10" i="26"/>
  <c r="I11" i="26"/>
  <c r="G15" i="27"/>
  <c r="K11" i="26"/>
  <c r="H15" i="27"/>
  <c r="G11" i="26"/>
  <c r="I12" i="26"/>
  <c r="H16" i="27"/>
  <c r="K12" i="26"/>
  <c r="G16" i="27"/>
  <c r="G12" i="26"/>
  <c r="I13" i="26"/>
  <c r="G17" i="27"/>
  <c r="K13" i="26"/>
  <c r="H17" i="27"/>
  <c r="G13" i="26"/>
  <c r="I14" i="26"/>
  <c r="K14" i="26"/>
  <c r="H18" i="27"/>
  <c r="G18" i="27"/>
  <c r="I18" i="27" s="1"/>
  <c r="G14" i="26"/>
  <c r="I15" i="26"/>
  <c r="H19" i="27"/>
  <c r="K15" i="26"/>
  <c r="G15" i="26"/>
  <c r="I16" i="26"/>
  <c r="K16" i="26"/>
  <c r="H20" i="27"/>
  <c r="G20" i="27"/>
  <c r="I20" i="27" s="1"/>
  <c r="G16" i="26"/>
  <c r="I17" i="26"/>
  <c r="H21" i="27"/>
  <c r="K17" i="26"/>
  <c r="G17" i="26"/>
  <c r="I18" i="26"/>
  <c r="H22" i="27"/>
  <c r="K18" i="26"/>
  <c r="G18" i="26"/>
  <c r="I19" i="26"/>
  <c r="H23" i="27"/>
  <c r="K19" i="26"/>
  <c r="G19" i="26"/>
  <c r="I20" i="26"/>
  <c r="H24" i="27"/>
  <c r="K20" i="26"/>
  <c r="G20" i="26"/>
  <c r="I21" i="26"/>
  <c r="H25" i="27"/>
  <c r="K21" i="26"/>
  <c r="G21" i="26"/>
  <c r="I22" i="26"/>
  <c r="H26" i="27"/>
  <c r="K22" i="26"/>
  <c r="G22" i="26"/>
  <c r="I23" i="26"/>
  <c r="H27" i="27"/>
  <c r="K23" i="26"/>
  <c r="G23" i="26"/>
  <c r="I24" i="26"/>
  <c r="H28" i="27"/>
  <c r="K24" i="26"/>
  <c r="G24" i="26"/>
  <c r="I25" i="26"/>
  <c r="H29" i="27"/>
  <c r="K25" i="26"/>
  <c r="G25" i="26"/>
  <c r="I26" i="26"/>
  <c r="H30" i="27"/>
  <c r="K26" i="26"/>
  <c r="I27" i="26"/>
  <c r="H31" i="27"/>
  <c r="K27" i="26"/>
  <c r="G27" i="26"/>
  <c r="I28" i="26"/>
  <c r="H32" i="27"/>
  <c r="K28" i="26"/>
  <c r="G28" i="26"/>
  <c r="I29" i="26"/>
  <c r="H33" i="27"/>
  <c r="K29" i="26"/>
  <c r="G29" i="26"/>
  <c r="I30" i="26"/>
  <c r="H34" i="27"/>
  <c r="K30" i="26"/>
  <c r="G30" i="26"/>
  <c r="I31" i="26"/>
  <c r="H35" i="27"/>
  <c r="K31" i="26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L7" i="27" s="1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G3" i="26" l="1"/>
  <c r="I17" i="27"/>
  <c r="I16" i="27"/>
  <c r="I15" i="27"/>
  <c r="I9" i="27"/>
  <c r="I8" i="27"/>
  <c r="G2" i="26"/>
  <c r="I7" i="27"/>
</calcChain>
</file>

<file path=xl/sharedStrings.xml><?xml version="1.0" encoding="utf-8"?>
<sst xmlns="http://schemas.openxmlformats.org/spreadsheetml/2006/main" count="72" uniqueCount="33">
  <si>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</si>
  <si>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</si>
  <si>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</si>
  <si>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</si>
  <si>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</si>
  <si>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</si>
  <si>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</si>
  <si>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</si>
  <si>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</si>
  <si>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</si>
  <si>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</si>
  <si>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</si>
  <si>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</si>
  <si>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</si>
  <si>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</si>
  <si>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>December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</si>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</sst>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8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67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5" xfId="6" applyFont="1" applyBorder="1" applyAlignment="1">
      <alignment horizontal="center" vertical="center"/>
    </xf>
    <xf numFmtId="0" fontId="12" fillId="0" borderId="36" xfId="6" applyFont="1" applyBorder="1" applyAlignment="1">
      <alignment horizontal="center" vertical="center"/>
    </xf>
    <xf numFmtId="0" fontId="12" fillId="0" borderId="38" xfId="6" applyFont="1" applyBorder="1" applyAlignment="1">
      <alignment horizontal="center" vertical="center"/>
    </xf>
    <xf numFmtId="0" fontId="12" fillId="0" borderId="39" xfId="6" applyFont="1" applyBorder="1" applyAlignment="1">
      <alignment horizontal="center" vertical="center"/>
    </xf>
    <xf numFmtId="0" fontId="12" fillId="0" borderId="37" xfId="6" applyFont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164" fontId="10" fillId="0" borderId="23" xfId="6" applyNumberFormat="1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3" xfId="6" applyNumberFormat="1" applyFont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3" borderId="31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0" fillId="0" borderId="54" xfId="6" applyFont="1" applyBorder="1"/>
    <xf numFmtId="0" fontId="10" fillId="0" borderId="55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63" xfId="6" applyFont="1" applyBorder="1" applyAlignment="1">
      <alignment horizontal="center" vertical="center"/>
    </xf>
    <xf numFmtId="164" fontId="10" fillId="3" borderId="64" xfId="6" applyNumberFormat="1" applyFont="1" applyFill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164" fontId="10" fillId="0" borderId="66" xfId="6" applyNumberFormat="1" applyFont="1" applyBorder="1" applyAlignment="1">
      <alignment horizontal="center" vertical="center"/>
    </xf>
    <xf numFmtId="0" fontId="10" fillId="2" borderId="64" xfId="6" applyFont="1" applyFill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0" fontId="10" fillId="2" borderId="69" xfId="6" applyFont="1" applyFill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0" fontId="10" fillId="3" borderId="64" xfId="6" applyFont="1" applyFill="1" applyBorder="1" applyAlignment="1">
      <alignment horizontal="center" vertical="center"/>
    </xf>
    <xf numFmtId="0" fontId="10" fillId="2" borderId="71" xfId="6" applyFont="1" applyFill="1" applyBorder="1" applyAlignment="1">
      <alignment horizontal="center" vertical="center"/>
    </xf>
    <xf numFmtId="0" fontId="10" fillId="2" borderId="65" xfId="6" applyFont="1" applyFill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2" borderId="75" xfId="6" applyFont="1" applyFill="1" applyBorder="1" applyAlignment="1">
      <alignment horizontal="center" vertical="center"/>
    </xf>
    <xf numFmtId="0" fontId="10" fillId="2" borderId="70" xfId="6" applyFont="1" applyFill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0" fontId="10" fillId="0" borderId="78" xfId="6" applyFont="1" applyBorder="1" applyAlignment="1">
      <alignment horizontal="center" vertical="center"/>
    </xf>
    <xf numFmtId="0" fontId="10" fillId="0" borderId="79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80" xfId="6" applyFont="1" applyBorder="1" applyAlignment="1">
      <alignment horizontal="center" vertical="center"/>
    </xf>
    <xf numFmtId="164" fontId="10" fillId="0" borderId="45" xfId="6" applyNumberFormat="1" applyFont="1" applyBorder="1" applyAlignment="1">
      <alignment horizontal="center" vertical="center"/>
    </xf>
    <xf numFmtId="0" fontId="10" fillId="2" borderId="62" xfId="6" applyFont="1" applyFill="1" applyBorder="1" applyAlignment="1">
      <alignment horizontal="center" vertical="center"/>
    </xf>
    <xf numFmtId="0" fontId="10" fillId="0" borderId="81" xfId="6" applyFont="1" applyBorder="1" applyAlignment="1">
      <alignment horizontal="center" vertical="center"/>
    </xf>
    <xf numFmtId="0" fontId="10" fillId="0" borderId="82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164" fontId="10" fillId="3" borderId="34" xfId="6" applyNumberFormat="1" applyFont="1" applyFill="1" applyBorder="1" applyAlignment="1">
      <alignment horizontal="center" vertical="center"/>
    </xf>
    <xf numFmtId="2" fontId="10" fillId="0" borderId="44" xfId="6" applyNumberFormat="1" applyFont="1" applyBorder="1" applyAlignment="1">
      <alignment horizontal="center" vertical="center"/>
    </xf>
    <xf numFmtId="2" fontId="10" fillId="0" borderId="45" xfId="6" applyNumberFormat="1" applyFont="1" applyBorder="1" applyAlignment="1">
      <alignment horizontal="center" vertical="center"/>
    </xf>
    <xf numFmtId="2" fontId="10" fillId="0" borderId="46" xfId="6" applyNumberFormat="1" applyFont="1" applyBorder="1" applyAlignment="1">
      <alignment horizontal="center" vertical="center"/>
    </xf>
    <xf numFmtId="0" fontId="12" fillId="0" borderId="49" xfId="6" applyFont="1" applyBorder="1" applyAlignment="1">
      <alignment horizontal="center" vertical="center"/>
    </xf>
    <xf numFmtId="0" fontId="12" fillId="0" borderId="52" xfId="6" applyFont="1" applyBorder="1" applyAlignment="1">
      <alignment horizontal="center" vertical="center"/>
    </xf>
    <xf numFmtId="0" fontId="13" fillId="0" borderId="48" xfId="6" applyFont="1" applyBorder="1" applyAlignment="1">
      <alignment horizontal="center" vertical="center"/>
    </xf>
    <xf numFmtId="0" fontId="13" fillId="0" borderId="50" xfId="6" applyFont="1" applyBorder="1" applyAlignment="1">
      <alignment horizontal="center" vertical="center"/>
    </xf>
    <xf numFmtId="0" fontId="13" fillId="0" borderId="51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2"/>
  <sheetViews>
    <sheetView topLeftCell="A7" workbookViewId="0">
      <selection activeCell="F2" sqref="F2:F32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3"/>
    <col min="7" max="7" width="12.5703125" style="1" customWidth="1"/>
    <col min="8" max="8" width="11.5703125" style="13"/>
    <col min="9" max="9" width="11.5703125" style="1"/>
    <col min="10" max="10" width="11.5703125" style="13"/>
    <col min="11" max="11" width="11.5703125" style="1"/>
    <col min="12" max="12" width="11.5703125" style="13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2" t="s">
        <v>5</v>
      </c>
      <c r="G1" s="6" t="s">
        <v>6</v>
      </c>
      <c r="H1" s="12" t="s">
        <v>7</v>
      </c>
      <c r="I1" s="6" t="s">
        <v>8</v>
      </c>
      <c r="J1" s="12" t="s">
        <v>9</v>
      </c>
      <c r="K1" s="6" t="s">
        <v>10</v>
      </c>
      <c r="L1" s="12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12</v>
      </c>
      <c r="D2" s="10">
        <v>2022</v>
      </c>
      <c r="E2" s="11">
        <f>IF(Electricity!F8&lt;0,0,Electricity!F8)</f>
        <v>18250.000000007276</v>
      </c>
      <c r="F2" s="80">
        <v>9.3200000000000005E-2</v>
      </c>
      <c r="G2" s="11">
        <f>IF('Water, Gas, Diesel'!K6&lt;0,0,'Water, Gas, Diesel'!K6)</f>
        <v>0</v>
      </c>
      <c r="H2" s="80">
        <v>0.7</v>
      </c>
      <c r="I2" s="11">
        <f>IF('Water, Gas, Diesel'!C6&lt;0,0,'Water, Gas, Diesel'!C6)</f>
        <v>3098</v>
      </c>
      <c r="J2" s="80">
        <v>0.21186441</v>
      </c>
      <c r="K2" s="11">
        <f>IF('Water, Gas, Diesel'!F6&lt;0,0,'Water, Gas, Diesel'!F6)</f>
        <v>313</v>
      </c>
      <c r="L2" s="80">
        <v>1.6949000000000001</v>
      </c>
      <c r="M2" s="11">
        <f>Electricity!H8</f>
        <v>74</v>
      </c>
      <c r="O2" s="103"/>
    </row>
    <row r="3" spans="1:15">
      <c r="A3" s="8" t="s">
        <v>13</v>
      </c>
      <c r="B3" s="9">
        <f>B2+1</f>
        <v>2</v>
      </c>
      <c r="C3" s="9">
        <v>12</v>
      </c>
      <c r="D3" s="10">
        <v>2022</v>
      </c>
      <c r="E3" s="11">
        <f>IF(Electricity!F9&lt;0,0,Electricity!F9)</f>
        <v>14337.499999996908</v>
      </c>
      <c r="F3" s="80">
        <v>9.3200000000000005E-2</v>
      </c>
      <c r="G3" s="11">
        <f>IF('Water, Gas, Diesel'!K7&lt;0,0,'Water, Gas, Diesel'!K7)</f>
        <v>0</v>
      </c>
      <c r="H3" s="80">
        <v>0.7</v>
      </c>
      <c r="I3" s="11">
        <f>IF('Water, Gas, Diesel'!C7&lt;0,0,'Water, Gas, Diesel'!C7)</f>
        <v>2351</v>
      </c>
      <c r="J3" s="80">
        <v>0.21186441</v>
      </c>
      <c r="K3" s="11">
        <f>IF('Water, Gas, Diesel'!F7&lt;0,0,'Water, Gas, Diesel'!F7)</f>
        <v>244</v>
      </c>
      <c r="L3" s="80">
        <v>1.6949000000000001</v>
      </c>
      <c r="M3" s="11">
        <f>Electricity!H9</f>
        <v>77</v>
      </c>
    </row>
    <row r="4" spans="1:15">
      <c r="A4" s="8" t="s">
        <v>13</v>
      </c>
      <c r="B4" s="9">
        <f t="shared" ref="B4:B32" si="0">B3+1</f>
        <v>3</v>
      </c>
      <c r="C4" s="9">
        <v>12</v>
      </c>
      <c r="D4" s="10">
        <v>2022</v>
      </c>
      <c r="E4" s="11">
        <f>IF(Electricity!F10&lt;0,0,Electricity!F10)</f>
        <v>17789.999999995416</v>
      </c>
      <c r="F4" s="80">
        <v>9.3200000000000005E-2</v>
      </c>
      <c r="G4" s="11">
        <f>IF('Water, Gas, Diesel'!K8&lt;0,0,'Water, Gas, Diesel'!K8)</f>
        <v>0</v>
      </c>
      <c r="H4" s="80">
        <v>0.7</v>
      </c>
      <c r="I4" s="11">
        <f>IF('Water, Gas, Diesel'!C8&lt;0,0,'Water, Gas, Diesel'!C8)</f>
        <v>3633</v>
      </c>
      <c r="J4" s="80">
        <v>0.21186441</v>
      </c>
      <c r="K4" s="11">
        <f>IF('Water, Gas, Diesel'!F8&lt;0,0,'Water, Gas, Diesel'!F8)</f>
        <v>302</v>
      </c>
      <c r="L4" s="80">
        <v>1.6949000000000001</v>
      </c>
      <c r="M4" s="11">
        <f>Electricity!H10</f>
        <v>69</v>
      </c>
    </row>
    <row r="5" spans="1:15">
      <c r="A5" s="8" t="s">
        <v>13</v>
      </c>
      <c r="B5" s="9">
        <f t="shared" si="0"/>
        <v>4</v>
      </c>
      <c r="C5" s="9">
        <v>12</v>
      </c>
      <c r="D5" s="10">
        <v>2022</v>
      </c>
      <c r="E5" s="11">
        <f>IF(Electricity!F11&lt;0,0,Electricity!F11)</f>
        <v>17352.50000000633</v>
      </c>
      <c r="F5" s="80">
        <v>9.3200000000000005E-2</v>
      </c>
      <c r="G5" s="11">
        <f>IF('Water, Gas, Diesel'!K9&lt;0,0,'Water, Gas, Diesel'!K9)</f>
        <v>0</v>
      </c>
      <c r="H5" s="80">
        <v>0.7</v>
      </c>
      <c r="I5" s="11">
        <f>IF('Water, Gas, Diesel'!C9&lt;0,0,'Water, Gas, Diesel'!C9)</f>
        <v>3095</v>
      </c>
      <c r="J5" s="80">
        <v>0.21186441</v>
      </c>
      <c r="K5" s="11">
        <f>IF('Water, Gas, Diesel'!F9&lt;0,0,'Water, Gas, Diesel'!F9)</f>
        <v>331</v>
      </c>
      <c r="L5" s="80">
        <v>1.6949000000000001</v>
      </c>
      <c r="M5" s="11">
        <f>Electricity!H11</f>
        <v>66</v>
      </c>
    </row>
    <row r="6" spans="1:15">
      <c r="A6" s="8" t="s">
        <v>13</v>
      </c>
      <c r="B6" s="9">
        <f t="shared" si="0"/>
        <v>5</v>
      </c>
      <c r="C6" s="9">
        <v>12</v>
      </c>
      <c r="D6" s="10">
        <v>2022</v>
      </c>
      <c r="E6" s="11">
        <f>IF(Electricity!F12&lt;0,0,Electricity!F12)</f>
        <v>17672.499999994216</v>
      </c>
      <c r="F6" s="80">
        <v>9.3200000000000005E-2</v>
      </c>
      <c r="G6" s="11">
        <f>IF('Water, Gas, Diesel'!K10&lt;0,0,'Water, Gas, Diesel'!K10)</f>
        <v>0</v>
      </c>
      <c r="H6" s="80">
        <v>0.7</v>
      </c>
      <c r="I6" s="11">
        <f>IF('Water, Gas, Diesel'!C10&lt;0,0,'Water, Gas, Diesel'!C10)</f>
        <v>4668</v>
      </c>
      <c r="J6" s="80">
        <v>0.21186441</v>
      </c>
      <c r="K6" s="11">
        <f>IF('Water, Gas, Diesel'!F10&lt;0,0,'Water, Gas, Diesel'!F10)</f>
        <v>277</v>
      </c>
      <c r="L6" s="80">
        <v>1.6949000000000001</v>
      </c>
      <c r="M6" s="11">
        <f>Electricity!H12</f>
        <v>107</v>
      </c>
    </row>
    <row r="7" spans="1:15">
      <c r="A7" s="8" t="s">
        <v>13</v>
      </c>
      <c r="B7" s="9">
        <f t="shared" si="0"/>
        <v>6</v>
      </c>
      <c r="C7" s="9">
        <v>12</v>
      </c>
      <c r="D7" s="10">
        <v>2022</v>
      </c>
      <c r="E7" s="11">
        <f>IF(Electricity!F13&lt;0,0,Electricity!F13)</f>
        <v>21185.000000004948</v>
      </c>
      <c r="F7" s="80">
        <v>9.3200000000000005E-2</v>
      </c>
      <c r="G7" s="11">
        <f>IF('Water, Gas, Diesel'!K11&lt;0,0,'Water, Gas, Diesel'!K11)</f>
        <v>0</v>
      </c>
      <c r="H7" s="80">
        <v>0.7</v>
      </c>
      <c r="I7" s="11">
        <f>IF('Water, Gas, Diesel'!C11&lt;0,0,'Water, Gas, Diesel'!C11)</f>
        <v>4579</v>
      </c>
      <c r="J7" s="80">
        <v>0.21186441</v>
      </c>
      <c r="K7" s="11">
        <f>IF('Water, Gas, Diesel'!F11&lt;0,0,'Water, Gas, Diesel'!F11)</f>
        <v>364</v>
      </c>
      <c r="L7" s="80">
        <v>1.6949000000000001</v>
      </c>
      <c r="M7" s="11">
        <f>Electricity!H13</f>
        <v>88</v>
      </c>
    </row>
    <row r="8" spans="1:15">
      <c r="A8" s="8" t="s">
        <v>13</v>
      </c>
      <c r="B8" s="9">
        <f t="shared" si="0"/>
        <v>7</v>
      </c>
      <c r="C8" s="9">
        <v>12</v>
      </c>
      <c r="D8" s="10">
        <v>2022</v>
      </c>
      <c r="E8" s="11">
        <f>IF(Electricity!F14&lt;0,0,Electricity!F14)</f>
        <v>18602.499999997235</v>
      </c>
      <c r="F8" s="80">
        <v>9.3200000000000005E-2</v>
      </c>
      <c r="G8" s="11">
        <f>IF('Water, Gas, Diesel'!K12&lt;0,0,'Water, Gas, Diesel'!K12)</f>
        <v>0</v>
      </c>
      <c r="H8" s="80">
        <v>0.7</v>
      </c>
      <c r="I8" s="11">
        <f>IF('Water, Gas, Diesel'!C12&lt;0,0,'Water, Gas, Diesel'!C12)</f>
        <v>4044</v>
      </c>
      <c r="J8" s="80">
        <v>0.21186441</v>
      </c>
      <c r="K8" s="11">
        <f>IF('Water, Gas, Diesel'!F12&lt;0,0,'Water, Gas, Diesel'!F12)</f>
        <v>314</v>
      </c>
      <c r="L8" s="80">
        <v>1.6949000000000001</v>
      </c>
      <c r="M8" s="11">
        <f>Electricity!H14</f>
        <v>99</v>
      </c>
    </row>
    <row r="9" spans="1:15">
      <c r="A9" s="8" t="s">
        <v>13</v>
      </c>
      <c r="B9" s="9">
        <f t="shared" si="0"/>
        <v>8</v>
      </c>
      <c r="C9" s="9">
        <v>12</v>
      </c>
      <c r="D9" s="10">
        <v>2022</v>
      </c>
      <c r="E9" s="11">
        <f>IF(Electricity!F15&lt;0,0,Electricity!F15)</f>
        <v>18772.500000000036</v>
      </c>
      <c r="F9" s="80">
        <v>9.3200000000000005E-2</v>
      </c>
      <c r="G9" s="11">
        <f>IF('Water, Gas, Diesel'!K13&lt;0,0,'Water, Gas, Diesel'!K13)</f>
        <v>0</v>
      </c>
      <c r="H9" s="80">
        <v>0.7</v>
      </c>
      <c r="I9" s="11">
        <f>IF('Water, Gas, Diesel'!C13&lt;0,0,'Water, Gas, Diesel'!C13)</f>
        <v>4428</v>
      </c>
      <c r="J9" s="80">
        <v>0.21186441</v>
      </c>
      <c r="K9" s="11">
        <f>IF('Water, Gas, Diesel'!F13&lt;0,0,'Water, Gas, Diesel'!F13)</f>
        <v>320</v>
      </c>
      <c r="L9" s="80">
        <v>1.6949000000000001</v>
      </c>
      <c r="M9" s="11">
        <f>Electricity!H15</f>
        <v>77</v>
      </c>
    </row>
    <row r="10" spans="1:15">
      <c r="A10" s="8" t="s">
        <v>13</v>
      </c>
      <c r="B10" s="9">
        <f t="shared" si="0"/>
        <v>9</v>
      </c>
      <c r="C10" s="9">
        <v>12</v>
      </c>
      <c r="D10" s="10">
        <v>2022</v>
      </c>
      <c r="E10" s="11">
        <f>IF(Electricity!F16&lt;0,0,Electricity!F16)</f>
        <v>17585.000000003674</v>
      </c>
      <c r="F10" s="80">
        <v>9.3200000000000005E-2</v>
      </c>
      <c r="G10" s="11">
        <f>IF('Water, Gas, Diesel'!K14&lt;0,0,'Water, Gas, Diesel'!K14)</f>
        <v>0</v>
      </c>
      <c r="H10" s="80">
        <v>0.7</v>
      </c>
      <c r="I10" s="11">
        <f>IF('Water, Gas, Diesel'!C14&lt;0,0,'Water, Gas, Diesel'!C14)</f>
        <v>3553</v>
      </c>
      <c r="J10" s="80">
        <v>0.21186441</v>
      </c>
      <c r="K10" s="11">
        <f>IF('Water, Gas, Diesel'!F14&lt;0,0,'Water, Gas, Diesel'!F14)</f>
        <v>298</v>
      </c>
      <c r="L10" s="80">
        <v>1.6949000000000001</v>
      </c>
      <c r="M10" s="11">
        <f>Electricity!H16</f>
        <v>68</v>
      </c>
    </row>
    <row r="11" spans="1:15">
      <c r="A11" s="8" t="s">
        <v>13</v>
      </c>
      <c r="B11" s="9">
        <f t="shared" si="0"/>
        <v>10</v>
      </c>
      <c r="C11" s="9">
        <v>12</v>
      </c>
      <c r="D11" s="10">
        <v>2022</v>
      </c>
      <c r="E11" s="11">
        <f>IF(Electricity!F17&lt;0,0,Electricity!F17)</f>
        <v>14104.999999999563</v>
      </c>
      <c r="F11" s="80">
        <v>9.3200000000000005E-2</v>
      </c>
      <c r="G11" s="11">
        <f>IF('Water, Gas, Diesel'!K15&lt;0,0,'Water, Gas, Diesel'!K15)</f>
        <v>0</v>
      </c>
      <c r="H11" s="80">
        <v>0.7</v>
      </c>
      <c r="I11" s="11">
        <f>IF('Water, Gas, Diesel'!C15&lt;0,0,'Water, Gas, Diesel'!C15)</f>
        <v>2959</v>
      </c>
      <c r="J11" s="80">
        <v>0.21186441</v>
      </c>
      <c r="K11" s="11">
        <f>IF('Water, Gas, Diesel'!F15&lt;0,0,'Water, Gas, Diesel'!F15)</f>
        <v>52</v>
      </c>
      <c r="L11" s="80">
        <v>1.6949000000000001</v>
      </c>
      <c r="M11" s="11">
        <f>Electricity!H17</f>
        <v>53</v>
      </c>
    </row>
    <row r="12" spans="1:15">
      <c r="A12" s="8" t="s">
        <v>13</v>
      </c>
      <c r="B12" s="9">
        <f t="shared" si="0"/>
        <v>11</v>
      </c>
      <c r="C12" s="9">
        <v>12</v>
      </c>
      <c r="D12" s="10">
        <v>2022</v>
      </c>
      <c r="E12" s="11">
        <f>IF(Electricity!F18&lt;0,0,Electricity!F18)</f>
        <v>18635.000000003856</v>
      </c>
      <c r="F12" s="80">
        <v>9.3200000000000005E-2</v>
      </c>
      <c r="G12" s="11">
        <f>IF('Water, Gas, Diesel'!K16&lt;0,0,'Water, Gas, Diesel'!K16)</f>
        <v>0</v>
      </c>
      <c r="H12" s="80">
        <v>0.7</v>
      </c>
      <c r="I12" s="11">
        <f>IF('Water, Gas, Diesel'!C16&lt;0,0,'Water, Gas, Diesel'!C16)</f>
        <v>4010</v>
      </c>
      <c r="J12" s="80">
        <v>0.21186441</v>
      </c>
      <c r="K12" s="11">
        <f>IF('Water, Gas, Diesel'!F16&lt;0,0,'Water, Gas, Diesel'!F16)</f>
        <v>94</v>
      </c>
      <c r="L12" s="80">
        <v>1.6949000000000001</v>
      </c>
      <c r="M12" s="11">
        <f>Electricity!H18</f>
        <v>46</v>
      </c>
    </row>
    <row r="13" spans="1:15">
      <c r="A13" s="8" t="s">
        <v>13</v>
      </c>
      <c r="B13" s="9">
        <f t="shared" si="0"/>
        <v>12</v>
      </c>
      <c r="C13" s="9">
        <v>12</v>
      </c>
      <c r="D13" s="10">
        <v>2022</v>
      </c>
      <c r="E13" s="11">
        <f>IF(Electricity!F19&lt;0,0,Electricity!F19)</f>
        <v>18349.999999991269</v>
      </c>
      <c r="F13" s="80">
        <v>9.3200000000000005E-2</v>
      </c>
      <c r="G13" s="11">
        <f>IF('Water, Gas, Diesel'!K17&lt;0,0,'Water, Gas, Diesel'!K17)</f>
        <v>0</v>
      </c>
      <c r="H13" s="80">
        <v>0.7</v>
      </c>
      <c r="I13" s="11">
        <f>IF('Water, Gas, Diesel'!C17&lt;0,0,'Water, Gas, Diesel'!C17)</f>
        <v>3936</v>
      </c>
      <c r="J13" s="80">
        <v>0.21186441</v>
      </c>
      <c r="K13" s="11">
        <f>IF('Water, Gas, Diesel'!F17&lt;0,0,'Water, Gas, Diesel'!F17)</f>
        <v>320</v>
      </c>
      <c r="L13" s="80">
        <v>1.6949000000000001</v>
      </c>
      <c r="M13" s="11">
        <f>Electricity!H19</f>
        <v>60</v>
      </c>
    </row>
    <row r="14" spans="1:15">
      <c r="A14" s="8" t="s">
        <v>13</v>
      </c>
      <c r="B14" s="9">
        <f t="shared" si="0"/>
        <v>13</v>
      </c>
      <c r="C14" s="9">
        <v>12</v>
      </c>
      <c r="D14" s="10">
        <v>2022</v>
      </c>
      <c r="E14" s="11">
        <f>IF(Electricity!F20&lt;0,0,Electricity!F20)</f>
        <v>20527.500000007421</v>
      </c>
      <c r="F14" s="80">
        <v>9.3200000000000005E-2</v>
      </c>
      <c r="G14" s="11">
        <f>IF('Water, Gas, Diesel'!K18&lt;0,0,'Water, Gas, Diesel'!K18)</f>
        <v>10</v>
      </c>
      <c r="H14" s="80">
        <v>0.7</v>
      </c>
      <c r="I14" s="11">
        <f>IF('Water, Gas, Diesel'!C18&lt;0,0,'Water, Gas, Diesel'!C18)</f>
        <v>3933</v>
      </c>
      <c r="J14" s="80">
        <v>0.21186441</v>
      </c>
      <c r="K14" s="11">
        <f>IF('Water, Gas, Diesel'!F18&lt;0,0,'Water, Gas, Diesel'!F18)</f>
        <v>352</v>
      </c>
      <c r="L14" s="80">
        <v>1.6949000000000001</v>
      </c>
      <c r="M14" s="11">
        <f>Electricity!H20</f>
        <v>66</v>
      </c>
    </row>
    <row r="15" spans="1:15">
      <c r="A15" s="8" t="s">
        <v>13</v>
      </c>
      <c r="B15" s="9">
        <f t="shared" si="0"/>
        <v>14</v>
      </c>
      <c r="C15" s="9">
        <v>12</v>
      </c>
      <c r="D15" s="10">
        <v>2022</v>
      </c>
      <c r="E15" s="11">
        <f>IF(Electricity!F21&lt;0,0,Electricity!F21)</f>
        <v>17545.000000000073</v>
      </c>
      <c r="F15" s="80">
        <v>9.3200000000000005E-2</v>
      </c>
      <c r="G15" s="11">
        <f>IF('Water, Gas, Diesel'!K19&lt;0,0,'Water, Gas, Diesel'!K19)</f>
        <v>0</v>
      </c>
      <c r="H15" s="80">
        <v>0.7</v>
      </c>
      <c r="I15" s="11">
        <f>IF('Water, Gas, Diesel'!C19&lt;0,0,'Water, Gas, Diesel'!C19)</f>
        <v>4002</v>
      </c>
      <c r="J15" s="80">
        <v>0.21186441</v>
      </c>
      <c r="K15" s="11">
        <f>IF('Water, Gas, Diesel'!F19&lt;0,0,'Water, Gas, Diesel'!F19)</f>
        <v>142</v>
      </c>
      <c r="L15" s="80">
        <v>1.6949000000000001</v>
      </c>
      <c r="M15" s="11">
        <f>Electricity!H21</f>
        <v>61</v>
      </c>
    </row>
    <row r="16" spans="1:15">
      <c r="A16" s="8" t="s">
        <v>13</v>
      </c>
      <c r="B16" s="9">
        <f t="shared" si="0"/>
        <v>15</v>
      </c>
      <c r="C16" s="9">
        <v>12</v>
      </c>
      <c r="D16" s="10">
        <v>2022</v>
      </c>
      <c r="E16" s="11">
        <f>IF(Electricity!F22&lt;0,0,Electricity!F22)</f>
        <v>22094.999999999345</v>
      </c>
      <c r="F16" s="80">
        <v>9.3200000000000005E-2</v>
      </c>
      <c r="G16" s="11">
        <f>IF('Water, Gas, Diesel'!K20&lt;0,0,'Water, Gas, Diesel'!K20)</f>
        <v>0</v>
      </c>
      <c r="H16" s="80">
        <v>0.7</v>
      </c>
      <c r="I16" s="11">
        <f>IF('Water, Gas, Diesel'!C20&lt;0,0,'Water, Gas, Diesel'!C20)</f>
        <v>3569</v>
      </c>
      <c r="J16" s="80">
        <v>0.21186441</v>
      </c>
      <c r="K16" s="11">
        <f>IF('Water, Gas, Diesel'!F20&lt;0,0,'Water, Gas, Diesel'!F20)</f>
        <v>90</v>
      </c>
      <c r="L16" s="80">
        <v>1.6949000000000001</v>
      </c>
      <c r="M16" s="11">
        <f>Electricity!H22</f>
        <v>58</v>
      </c>
    </row>
    <row r="17" spans="1:13">
      <c r="A17" s="8" t="s">
        <v>13</v>
      </c>
      <c r="B17" s="9">
        <f t="shared" si="0"/>
        <v>16</v>
      </c>
      <c r="C17" s="9">
        <v>12</v>
      </c>
      <c r="D17" s="10">
        <v>2022</v>
      </c>
      <c r="E17" s="11">
        <f>IF(Electricity!F23&lt;0,0,Electricity!F23)</f>
        <v>16097.499999996217</v>
      </c>
      <c r="F17" s="80">
        <v>9.3200000000000005E-2</v>
      </c>
      <c r="G17" s="11">
        <f>IF('Water, Gas, Diesel'!K21&lt;0,0,'Water, Gas, Diesel'!K21)</f>
        <v>111</v>
      </c>
      <c r="H17" s="80">
        <v>0.7</v>
      </c>
      <c r="I17" s="11">
        <f>IF('Water, Gas, Diesel'!C21&lt;0,0,'Water, Gas, Diesel'!C21)</f>
        <v>2946</v>
      </c>
      <c r="J17" s="80">
        <v>0.21186441</v>
      </c>
      <c r="K17" s="11">
        <f>IF('Water, Gas, Diesel'!F21&lt;0,0,'Water, Gas, Diesel'!F21)</f>
        <v>87</v>
      </c>
      <c r="L17" s="80">
        <v>1.6949000000000001</v>
      </c>
      <c r="M17" s="11">
        <f>Electricity!H23</f>
        <v>64</v>
      </c>
    </row>
    <row r="18" spans="1:13">
      <c r="A18" s="8" t="s">
        <v>13</v>
      </c>
      <c r="B18" s="9">
        <f t="shared" si="0"/>
        <v>17</v>
      </c>
      <c r="C18" s="9">
        <v>12</v>
      </c>
      <c r="D18" s="10">
        <v>2022</v>
      </c>
      <c r="E18" s="11">
        <f>IF(Electricity!F24&lt;0,0,Electricity!F24)</f>
        <v>17457.500000004984</v>
      </c>
      <c r="F18" s="80">
        <v>9.3200000000000005E-2</v>
      </c>
      <c r="G18" s="11">
        <f>IF('Water, Gas, Diesel'!K22&lt;0,0,'Water, Gas, Diesel'!K22)</f>
        <v>0</v>
      </c>
      <c r="H18" s="80">
        <v>0.7</v>
      </c>
      <c r="I18" s="11">
        <f>IF('Water, Gas, Diesel'!C22&lt;0,0,'Water, Gas, Diesel'!C22)</f>
        <v>3485</v>
      </c>
      <c r="J18" s="80">
        <v>0.21186441</v>
      </c>
      <c r="K18" s="11">
        <f>IF('Water, Gas, Diesel'!F22&lt;0,0,'Water, Gas, Diesel'!F22)</f>
        <v>263</v>
      </c>
      <c r="L18" s="80">
        <v>1.6949000000000001</v>
      </c>
      <c r="M18" s="11">
        <f>Electricity!H24</f>
        <v>139</v>
      </c>
    </row>
    <row r="19" spans="1:13">
      <c r="A19" s="8" t="s">
        <v>13</v>
      </c>
      <c r="B19" s="9">
        <f t="shared" si="0"/>
        <v>18</v>
      </c>
      <c r="C19" s="9">
        <v>12</v>
      </c>
      <c r="D19" s="10">
        <v>2022</v>
      </c>
      <c r="E19" s="11">
        <f>IF(Electricity!F25&lt;0,0,Electricity!F25)</f>
        <v>18472.499999993488</v>
      </c>
      <c r="F19" s="80">
        <v>9.3200000000000005E-2</v>
      </c>
      <c r="G19" s="11">
        <f>IF('Water, Gas, Diesel'!K23&lt;0,0,'Water, Gas, Diesel'!K23)</f>
        <v>0</v>
      </c>
      <c r="H19" s="80">
        <v>0.7</v>
      </c>
      <c r="I19" s="11">
        <f>IF('Water, Gas, Diesel'!C23&lt;0,0,'Water, Gas, Diesel'!C23)</f>
        <v>3485</v>
      </c>
      <c r="J19" s="80">
        <v>0.21186441</v>
      </c>
      <c r="K19" s="11">
        <f>IF('Water, Gas, Diesel'!F23&lt;0,0,'Water, Gas, Diesel'!F23)</f>
        <v>299</v>
      </c>
      <c r="L19" s="80">
        <v>1.6949000000000001</v>
      </c>
      <c r="M19" s="11">
        <f>Electricity!H25</f>
        <v>162</v>
      </c>
    </row>
    <row r="20" spans="1:13">
      <c r="A20" s="8" t="s">
        <v>13</v>
      </c>
      <c r="B20" s="9">
        <f t="shared" si="0"/>
        <v>19</v>
      </c>
      <c r="C20" s="9">
        <v>12</v>
      </c>
      <c r="D20" s="10">
        <v>2022</v>
      </c>
      <c r="E20" s="11">
        <f>IF(Electricity!F26&lt;0,0,Electricity!F26)</f>
        <v>21205.000000004475</v>
      </c>
      <c r="F20" s="80">
        <v>9.3200000000000005E-2</v>
      </c>
      <c r="G20" s="11">
        <f>IF('Water, Gas, Diesel'!K24&lt;0,0,'Water, Gas, Diesel'!K24)</f>
        <v>70</v>
      </c>
      <c r="H20" s="80">
        <v>0.7</v>
      </c>
      <c r="I20" s="11">
        <f>IF('Water, Gas, Diesel'!C24&lt;0,0,'Water, Gas, Diesel'!C24)</f>
        <v>5219</v>
      </c>
      <c r="J20" s="80">
        <v>0.21186441</v>
      </c>
      <c r="K20" s="11">
        <f>IF('Water, Gas, Diesel'!F24&lt;0,0,'Water, Gas, Diesel'!F24)</f>
        <v>352</v>
      </c>
      <c r="L20" s="80">
        <v>1.6949000000000001</v>
      </c>
      <c r="M20" s="11">
        <f>Electricity!H26</f>
        <v>161</v>
      </c>
    </row>
    <row r="21" spans="1:13">
      <c r="A21" s="8" t="s">
        <v>13</v>
      </c>
      <c r="B21" s="9">
        <f t="shared" si="0"/>
        <v>20</v>
      </c>
      <c r="C21" s="9">
        <v>12</v>
      </c>
      <c r="D21" s="10">
        <v>2022</v>
      </c>
      <c r="E21" s="11">
        <f>IF(Electricity!F27&lt;0,0,Electricity!F27)</f>
        <v>0</v>
      </c>
      <c r="F21" s="80">
        <v>9.3200000000000005E-2</v>
      </c>
      <c r="G21" s="11">
        <f>IF('Water, Gas, Diesel'!K25&lt;0,0,'Water, Gas, Diesel'!K25)</f>
        <v>16180</v>
      </c>
      <c r="H21" s="80">
        <v>0.7</v>
      </c>
      <c r="I21" s="11">
        <f>IF('Water, Gas, Diesel'!C25&lt;0,0,'Water, Gas, Diesel'!C25)</f>
        <v>0</v>
      </c>
      <c r="J21" s="80">
        <v>0.21186441</v>
      </c>
      <c r="K21" s="11">
        <f>IF('Water, Gas, Diesel'!F25&lt;0,0,'Water, Gas, Diesel'!F25)</f>
        <v>0</v>
      </c>
      <c r="L21" s="80">
        <v>1.6949000000000001</v>
      </c>
      <c r="M21" s="11">
        <f>Electricity!H27</f>
        <v>116</v>
      </c>
    </row>
    <row r="22" spans="1:13">
      <c r="A22" s="8" t="s">
        <v>13</v>
      </c>
      <c r="B22" s="9">
        <f t="shared" si="0"/>
        <v>21</v>
      </c>
      <c r="C22" s="9">
        <v>12</v>
      </c>
      <c r="D22" s="10">
        <v>2022</v>
      </c>
      <c r="E22" s="11">
        <f>IF(Electricity!F28&lt;0,0,Electricity!F28)</f>
        <v>0</v>
      </c>
      <c r="F22" s="80">
        <v>9.3200000000000005E-2</v>
      </c>
      <c r="G22" s="11">
        <f>IF('Water, Gas, Diesel'!K26&lt;0,0,'Water, Gas, Diesel'!K26)</f>
        <v>0</v>
      </c>
      <c r="H22" s="80">
        <v>0.7</v>
      </c>
      <c r="I22" s="11">
        <f>IF('Water, Gas, Diesel'!C26&lt;0,0,'Water, Gas, Diesel'!C26)</f>
        <v>0</v>
      </c>
      <c r="J22" s="80">
        <v>0.21186441</v>
      </c>
      <c r="K22" s="11">
        <f>IF('Water, Gas, Diesel'!F26&lt;0,0,'Water, Gas, Diesel'!F26)</f>
        <v>0</v>
      </c>
      <c r="L22" s="80">
        <v>1.6949000000000001</v>
      </c>
      <c r="M22" s="11">
        <f>Electricity!H28</f>
        <v>0</v>
      </c>
    </row>
    <row r="23" spans="1:13">
      <c r="A23" s="8" t="s">
        <v>13</v>
      </c>
      <c r="B23" s="9">
        <f t="shared" si="0"/>
        <v>22</v>
      </c>
      <c r="C23" s="9">
        <v>12</v>
      </c>
      <c r="D23" s="10">
        <v>2022</v>
      </c>
      <c r="E23" s="11">
        <f>IF(Electricity!F29&lt;0,0,Electricity!F29)</f>
        <v>0</v>
      </c>
      <c r="F23" s="80">
        <v>9.3200000000000005E-2</v>
      </c>
      <c r="G23" s="11">
        <f>IF('Water, Gas, Diesel'!K27&lt;0,0,'Water, Gas, Diesel'!K27)</f>
        <v>0</v>
      </c>
      <c r="H23" s="80">
        <v>0.7</v>
      </c>
      <c r="I23" s="11">
        <f>IF('Water, Gas, Diesel'!C27&lt;0,0,'Water, Gas, Diesel'!C27)</f>
        <v>0</v>
      </c>
      <c r="J23" s="80">
        <v>0.21186441</v>
      </c>
      <c r="K23" s="11">
        <f>IF('Water, Gas, Diesel'!F27&lt;0,0,'Water, Gas, Diesel'!F27)</f>
        <v>0</v>
      </c>
      <c r="L23" s="80">
        <v>1.6949000000000001</v>
      </c>
      <c r="M23" s="11">
        <f>Electricity!H29</f>
        <v>0</v>
      </c>
    </row>
    <row r="24" spans="1:13">
      <c r="A24" s="8" t="s">
        <v>13</v>
      </c>
      <c r="B24" s="9">
        <f t="shared" si="0"/>
        <v>23</v>
      </c>
      <c r="C24" s="9">
        <v>12</v>
      </c>
      <c r="D24" s="10">
        <v>2022</v>
      </c>
      <c r="E24" s="11">
        <f>IF(Electricity!F30&lt;0,0,Electricity!F30)</f>
        <v>0</v>
      </c>
      <c r="F24" s="80">
        <v>9.3200000000000005E-2</v>
      </c>
      <c r="G24" s="11">
        <f>IF('Water, Gas, Diesel'!K28&lt;0,0,'Water, Gas, Diesel'!K28)</f>
        <v>0</v>
      </c>
      <c r="H24" s="80">
        <v>0.7</v>
      </c>
      <c r="I24" s="11">
        <f>IF('Water, Gas, Diesel'!C28&lt;0,0,'Water, Gas, Diesel'!C28)</f>
        <v>0</v>
      </c>
      <c r="J24" s="80">
        <v>0.21186441</v>
      </c>
      <c r="K24" s="11">
        <f>IF('Water, Gas, Diesel'!F28&lt;0,0,'Water, Gas, Diesel'!F28)</f>
        <v>0</v>
      </c>
      <c r="L24" s="80">
        <v>1.6949000000000001</v>
      </c>
      <c r="M24" s="11">
        <f>Electricity!H30</f>
        <v>0</v>
      </c>
    </row>
    <row r="25" spans="1:13">
      <c r="A25" s="8" t="s">
        <v>13</v>
      </c>
      <c r="B25" s="9">
        <f t="shared" si="0"/>
        <v>24</v>
      </c>
      <c r="C25" s="9">
        <v>12</v>
      </c>
      <c r="D25" s="10">
        <v>2022</v>
      </c>
      <c r="E25" s="11">
        <f>IF(Electricity!F31&lt;0,0,Electricity!F31)</f>
        <v>0</v>
      </c>
      <c r="F25" s="80">
        <v>9.3200000000000005E-2</v>
      </c>
      <c r="G25" s="11">
        <f>IF('Water, Gas, Diesel'!K29&lt;0,0,'Water, Gas, Diesel'!K29)</f>
        <v>0</v>
      </c>
      <c r="H25" s="80">
        <v>0.7</v>
      </c>
      <c r="I25" s="11">
        <f>IF('Water, Gas, Diesel'!C29&lt;0,0,'Water, Gas, Diesel'!C29)</f>
        <v>0</v>
      </c>
      <c r="J25" s="80">
        <v>0.21186441</v>
      </c>
      <c r="K25" s="11">
        <f>IF('Water, Gas, Diesel'!F29&lt;0,0,'Water, Gas, Diesel'!F29)</f>
        <v>0</v>
      </c>
      <c r="L25" s="80">
        <v>1.6949000000000001</v>
      </c>
      <c r="M25" s="11">
        <f>Electricity!H31</f>
        <v>0</v>
      </c>
    </row>
    <row r="26" spans="1:13">
      <c r="A26" s="8" t="s">
        <v>13</v>
      </c>
      <c r="B26" s="9">
        <f>B25+1</f>
        <v>25</v>
      </c>
      <c r="C26" s="9">
        <v>12</v>
      </c>
      <c r="D26" s="10">
        <v>2022</v>
      </c>
      <c r="E26" s="11">
        <f>IF(Electricity!F32&lt;0,0,Electricity!F32)</f>
        <v>0</v>
      </c>
      <c r="F26" s="80">
        <v>9.3200000000000005E-2</v>
      </c>
      <c r="G26" s="11">
        <f>IF('Water, Gas, Diesel'!K30&lt;0,0,'Water, Gas, Diesel'!K30)</f>
        <v>0</v>
      </c>
      <c r="H26" s="80">
        <v>0.7</v>
      </c>
      <c r="I26" s="11">
        <f>IF('Water, Gas, Diesel'!C30&lt;0,0,'Water, Gas, Diesel'!C30)</f>
        <v>0</v>
      </c>
      <c r="J26" s="80">
        <v>0.21186441</v>
      </c>
      <c r="K26" s="11">
        <f>IF('Water, Gas, Diesel'!F30&lt;0,0,'Water, Gas, Diesel'!F30)</f>
        <v>0</v>
      </c>
      <c r="L26" s="80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12</v>
      </c>
      <c r="D27" s="10">
        <v>2022</v>
      </c>
      <c r="E27" s="11">
        <f>IF(Electricity!F33&lt;0,0,Electricity!F33)</f>
        <v>0</v>
      </c>
      <c r="F27" s="80">
        <v>9.3200000000000005E-2</v>
      </c>
      <c r="G27" s="11">
        <f>IF('Water, Gas, Diesel'!K31&lt;0,0,'Water, Gas, Diesel'!K31)</f>
        <v>0</v>
      </c>
      <c r="H27" s="80">
        <v>0.7</v>
      </c>
      <c r="I27" s="11">
        <f>IF('Water, Gas, Diesel'!C31&lt;0,0,'Water, Gas, Diesel'!C31)</f>
        <v>0</v>
      </c>
      <c r="J27" s="80">
        <v>0.21186441</v>
      </c>
      <c r="K27" s="11">
        <f>IF('Water, Gas, Diesel'!F31&lt;0,0,'Water, Gas, Diesel'!F31)</f>
        <v>0</v>
      </c>
      <c r="L27" s="80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12</v>
      </c>
      <c r="D28" s="10">
        <v>2022</v>
      </c>
      <c r="E28" s="11">
        <f>IF(Electricity!F34&lt;0,0,Electricity!F34)</f>
        <v>0</v>
      </c>
      <c r="F28" s="80">
        <v>9.3200000000000005E-2</v>
      </c>
      <c r="G28" s="11">
        <f>IF('Water, Gas, Diesel'!K32&lt;0,0,'Water, Gas, Diesel'!K32)</f>
        <v>0</v>
      </c>
      <c r="H28" s="80">
        <v>0.7</v>
      </c>
      <c r="I28" s="11">
        <f>IF('Water, Gas, Diesel'!C32&lt;0,0,'Water, Gas, Diesel'!C32)</f>
        <v>0</v>
      </c>
      <c r="J28" s="80">
        <v>0.21186441</v>
      </c>
      <c r="K28" s="11">
        <f>IF('Water, Gas, Diesel'!F32&lt;0,0,'Water, Gas, Diesel'!F32)</f>
        <v>0</v>
      </c>
      <c r="L28" s="80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12</v>
      </c>
      <c r="D29" s="10">
        <v>2022</v>
      </c>
      <c r="E29" s="11">
        <f>IF(Electricity!F35&lt;0,0,Electricity!F35)</f>
        <v>0</v>
      </c>
      <c r="F29" s="80">
        <v>9.3200000000000005E-2</v>
      </c>
      <c r="G29" s="11">
        <f>IF('Water, Gas, Diesel'!K33&lt;0,0,'Water, Gas, Diesel'!K33)</f>
        <v>0</v>
      </c>
      <c r="H29" s="80">
        <v>0.7</v>
      </c>
      <c r="I29" s="11">
        <f>IF('Water, Gas, Diesel'!C33&lt;0,0,'Water, Gas, Diesel'!C33)</f>
        <v>0</v>
      </c>
      <c r="J29" s="80">
        <v>0.21186441</v>
      </c>
      <c r="K29" s="11">
        <f>IF('Water, Gas, Diesel'!F33&lt;0,0,'Water, Gas, Diesel'!F33)</f>
        <v>0</v>
      </c>
      <c r="L29" s="80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12</v>
      </c>
      <c r="D30" s="10">
        <v>2022</v>
      </c>
      <c r="E30" s="11">
        <f>IF(Electricity!F36&lt;0,0,Electricity!F36)</f>
        <v>0</v>
      </c>
      <c r="F30" s="80">
        <v>9.3200000000000005E-2</v>
      </c>
      <c r="G30" s="11">
        <f>IF('Water, Gas, Diesel'!K34&lt;0,0,'Water, Gas, Diesel'!K34)</f>
        <v>0</v>
      </c>
      <c r="H30" s="80">
        <v>0.7</v>
      </c>
      <c r="I30" s="11">
        <f>IF('Water, Gas, Diesel'!C34&lt;0,0,'Water, Gas, Diesel'!C34)</f>
        <v>0</v>
      </c>
      <c r="J30" s="80">
        <v>0.21186441</v>
      </c>
      <c r="K30" s="11">
        <f>IF('Water, Gas, Diesel'!F34&lt;0,0,'Water, Gas, Diesel'!F34)</f>
        <v>0</v>
      </c>
      <c r="L30" s="80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12</v>
      </c>
      <c r="D31" s="10">
        <v>2022</v>
      </c>
      <c r="E31" s="11">
        <f>IF(Electricity!F37&lt;0,0,Electricity!F37)</f>
        <v>0</v>
      </c>
      <c r="F31" s="80">
        <v>9.3200000000000005E-2</v>
      </c>
      <c r="G31" s="11">
        <f>IF('Water, Gas, Diesel'!K35&lt;0,0,'Water, Gas, Diesel'!K35)</f>
        <v>0</v>
      </c>
      <c r="H31" s="80">
        <v>0.7</v>
      </c>
      <c r="I31" s="11">
        <f>IF('Water, Gas, Diesel'!C35&lt;0,0,'Water, Gas, Diesel'!C35)</f>
        <v>0</v>
      </c>
      <c r="J31" s="80">
        <v>0.21186441</v>
      </c>
      <c r="K31" s="11">
        <f>IF('Water, Gas, Diesel'!F35&lt;0,0,'Water, Gas, Diesel'!F35)</f>
        <v>0</v>
      </c>
      <c r="L31" s="80">
        <v>1.6949000000000001</v>
      </c>
      <c r="M31" s="11">
        <f>Electricity!H37</f>
        <v>0</v>
      </c>
    </row>
    <row r="32" spans="1:13">
      <c r="A32" s="8" t="s">
        <v>13</v>
      </c>
      <c r="B32" s="9">
        <f t="shared" si="0"/>
        <v>31</v>
      </c>
      <c r="C32" s="9">
        <v>12</v>
      </c>
      <c r="D32" s="10">
        <v>2022</v>
      </c>
      <c r="E32" s="11">
        <f>IF(Electricity!F38&lt;0,0,Electricity!F38)</f>
        <v>0</v>
      </c>
      <c r="F32" s="80">
        <v>9.3200000000000005E-2</v>
      </c>
      <c r="G32" s="11">
        <f>IF('Water, Gas, Diesel'!K36&lt;0,0,'Water, Gas, Diesel'!K36)</f>
        <v>0</v>
      </c>
      <c r="H32" s="80">
        <v>0.7</v>
      </c>
      <c r="I32" s="11">
        <f>IF('Water, Gas, Diesel'!C36&lt;0,0,'Water, Gas, Diesel'!C36)</f>
        <v>0</v>
      </c>
      <c r="J32" s="80">
        <v>0.21186441</v>
      </c>
      <c r="K32" s="11">
        <f>IF('Water, Gas, Diesel'!F36&lt;0,0,'Water, Gas, Diesel'!F36)</f>
        <v>0</v>
      </c>
      <c r="L32" s="80">
        <v>1.6949000000000001</v>
      </c>
      <c r="M32" s="11">
        <f>Electricity!H38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zoomScaleNormal="100" workbookViewId="0">
      <pane ySplit="5" topLeftCell="A15" activePane="bottomLeft" state="frozen"/>
      <selection pane="bottomLeft" activeCell="J18" sqref="J18"/>
      <selection activeCell="E1" sqref="E1"/>
    </sheetView>
  </sheetViews>
  <sheetFormatPr defaultColWidth="9.140625" defaultRowHeight="15"/>
  <cols>
    <col min="1" max="1" width="11.85546875" style="55" customWidth="1"/>
    <col min="2" max="5" width="21.28515625" style="14" customWidth="1"/>
    <col min="6" max="6" width="21.28515625" style="56" customWidth="1"/>
    <col min="7" max="7" width="21.28515625" style="55" customWidth="1"/>
    <col min="8" max="8" width="11.28515625" style="14" bestFit="1" customWidth="1"/>
    <col min="9" max="16384" width="9.140625" style="14"/>
  </cols>
  <sheetData>
    <row r="1" spans="1:8" ht="28.5" customHeight="1">
      <c r="A1" s="92" t="s">
        <v>14</v>
      </c>
      <c r="B1" s="139"/>
      <c r="C1" s="140"/>
      <c r="D1" s="140"/>
      <c r="E1" s="140"/>
      <c r="F1" s="140"/>
      <c r="G1" s="140"/>
      <c r="H1" s="141"/>
    </row>
    <row r="2" spans="1:8" ht="15.75" customHeight="1">
      <c r="A2" s="144" t="s">
        <v>15</v>
      </c>
      <c r="B2" s="147" t="s">
        <v>16</v>
      </c>
      <c r="C2" s="148"/>
      <c r="D2" s="148"/>
      <c r="E2" s="149"/>
      <c r="F2" s="150" t="s">
        <v>17</v>
      </c>
      <c r="G2" s="152" t="s">
        <v>18</v>
      </c>
      <c r="H2" s="142" t="s">
        <v>19</v>
      </c>
    </row>
    <row r="3" spans="1:8">
      <c r="A3" s="145"/>
      <c r="B3" s="154" t="s">
        <v>20</v>
      </c>
      <c r="C3" s="155"/>
      <c r="D3" s="154" t="s">
        <v>21</v>
      </c>
      <c r="E3" s="155"/>
      <c r="F3" s="150"/>
      <c r="G3" s="152"/>
      <c r="H3" s="142"/>
    </row>
    <row r="4" spans="1:8">
      <c r="A4" s="145"/>
      <c r="B4" s="156"/>
      <c r="C4" s="157"/>
      <c r="D4" s="156"/>
      <c r="E4" s="157"/>
      <c r="F4" s="150"/>
      <c r="G4" s="152"/>
      <c r="H4" s="142"/>
    </row>
    <row r="5" spans="1:8">
      <c r="A5" s="146"/>
      <c r="B5" s="15" t="s">
        <v>22</v>
      </c>
      <c r="C5" s="60" t="s">
        <v>23</v>
      </c>
      <c r="D5" s="61" t="s">
        <v>22</v>
      </c>
      <c r="E5" s="60" t="s">
        <v>23</v>
      </c>
      <c r="F5" s="151"/>
      <c r="G5" s="153"/>
      <c r="H5" s="143"/>
    </row>
    <row r="6" spans="1:8" ht="15.75" hidden="1">
      <c r="A6" s="93"/>
      <c r="B6" s="22"/>
      <c r="C6" s="62"/>
      <c r="D6" s="63"/>
      <c r="E6" s="62"/>
      <c r="F6" s="25"/>
      <c r="G6" s="64"/>
      <c r="H6" s="94"/>
    </row>
    <row r="7" spans="1:8" ht="27.75" customHeight="1">
      <c r="A7" s="95">
        <v>30</v>
      </c>
      <c r="B7" s="66">
        <v>16145.029</v>
      </c>
      <c r="C7" s="67">
        <f t="shared" ref="C7:C24" si="0">(B8-B7)*2500</f>
        <v>10747.499999997672</v>
      </c>
      <c r="D7" s="66">
        <v>16388.432000000001</v>
      </c>
      <c r="E7" s="67">
        <f t="shared" ref="E7:E24" si="1">(D8-D7)*2500</f>
        <v>11044.999999994616</v>
      </c>
      <c r="F7" s="91">
        <f t="shared" ref="F7:F38" si="2">C7+E7</f>
        <v>21792.499999992287</v>
      </c>
      <c r="G7" s="65">
        <f>F7*0.0932</f>
        <v>2031.0609999992812</v>
      </c>
      <c r="H7" s="137">
        <v>76</v>
      </c>
    </row>
    <row r="8" spans="1:8" ht="30.95" customHeight="1">
      <c r="A8" s="96">
        <v>1</v>
      </c>
      <c r="B8" s="90">
        <v>16149.328</v>
      </c>
      <c r="C8" s="68">
        <f t="shared" si="0"/>
        <v>8765.0000000030559</v>
      </c>
      <c r="D8" s="69">
        <v>16392.849999999999</v>
      </c>
      <c r="E8" s="68">
        <f t="shared" si="1"/>
        <v>9485.0000000042201</v>
      </c>
      <c r="F8" s="49">
        <f t="shared" si="2"/>
        <v>18250.000000007276</v>
      </c>
      <c r="G8" s="65">
        <f t="shared" ref="G8:G39" si="3">F8*0.0932</f>
        <v>1700.9000000006781</v>
      </c>
      <c r="H8" s="97">
        <v>74</v>
      </c>
    </row>
    <row r="9" spans="1:8" ht="30.95" customHeight="1">
      <c r="A9" s="98">
        <v>2</v>
      </c>
      <c r="B9" s="70">
        <v>16152.834000000001</v>
      </c>
      <c r="C9" s="37">
        <f t="shared" si="0"/>
        <v>7502.4999999959618</v>
      </c>
      <c r="D9" s="69">
        <v>16396.644</v>
      </c>
      <c r="E9" s="37">
        <f t="shared" si="1"/>
        <v>6835.0000000009459</v>
      </c>
      <c r="F9" s="45">
        <f t="shared" si="2"/>
        <v>14337.499999996908</v>
      </c>
      <c r="G9" s="65">
        <f t="shared" si="3"/>
        <v>1336.2549999997118</v>
      </c>
      <c r="H9" s="99">
        <v>77</v>
      </c>
    </row>
    <row r="10" spans="1:8" ht="30.95" customHeight="1">
      <c r="A10" s="96">
        <v>3</v>
      </c>
      <c r="B10" s="71">
        <v>16155.834999999999</v>
      </c>
      <c r="C10" s="68">
        <f t="shared" si="0"/>
        <v>8710.0000000009459</v>
      </c>
      <c r="D10" s="72">
        <v>16399.378000000001</v>
      </c>
      <c r="E10" s="68">
        <f t="shared" si="1"/>
        <v>9079.9999999944703</v>
      </c>
      <c r="F10" s="49">
        <f t="shared" si="2"/>
        <v>17789.999999995416</v>
      </c>
      <c r="G10" s="65">
        <f t="shared" si="3"/>
        <v>1658.0279999995728</v>
      </c>
      <c r="H10" s="99">
        <v>69</v>
      </c>
    </row>
    <row r="11" spans="1:8" ht="30.95" customHeight="1">
      <c r="A11" s="98">
        <v>4</v>
      </c>
      <c r="B11" s="73">
        <v>16159.319</v>
      </c>
      <c r="C11" s="37">
        <f t="shared" si="0"/>
        <v>8209.9999999991269</v>
      </c>
      <c r="D11" s="74">
        <v>16403.009999999998</v>
      </c>
      <c r="E11" s="37">
        <f t="shared" si="1"/>
        <v>9142.5000000072032</v>
      </c>
      <c r="F11" s="45">
        <f t="shared" si="2"/>
        <v>17352.50000000633</v>
      </c>
      <c r="G11" s="65">
        <f t="shared" si="3"/>
        <v>1617.25300000059</v>
      </c>
      <c r="H11" s="99">
        <v>66</v>
      </c>
    </row>
    <row r="12" spans="1:8" ht="30.95" customHeight="1">
      <c r="A12" s="96">
        <v>5</v>
      </c>
      <c r="B12" s="75">
        <v>16162.602999999999</v>
      </c>
      <c r="C12" s="68">
        <f t="shared" si="0"/>
        <v>8507.5000000006185</v>
      </c>
      <c r="D12" s="72">
        <v>16406.667000000001</v>
      </c>
      <c r="E12" s="68">
        <f t="shared" si="1"/>
        <v>9164.9999999935972</v>
      </c>
      <c r="F12" s="49">
        <f t="shared" si="2"/>
        <v>17672.499999994216</v>
      </c>
      <c r="G12" s="65">
        <f t="shared" si="3"/>
        <v>1647.0769999994609</v>
      </c>
      <c r="H12" s="99">
        <v>107</v>
      </c>
    </row>
    <row r="13" spans="1:8" ht="30.95" customHeight="1">
      <c r="A13" s="98">
        <v>6</v>
      </c>
      <c r="B13" s="73">
        <v>16166.005999999999</v>
      </c>
      <c r="C13" s="37">
        <f t="shared" si="0"/>
        <v>10105.000000003201</v>
      </c>
      <c r="D13" s="74">
        <v>16410.332999999999</v>
      </c>
      <c r="E13" s="37">
        <f t="shared" si="1"/>
        <v>11080.000000001746</v>
      </c>
      <c r="F13" s="45">
        <f t="shared" si="2"/>
        <v>21185.000000004948</v>
      </c>
      <c r="G13" s="65">
        <f t="shared" si="3"/>
        <v>1974.4420000004611</v>
      </c>
      <c r="H13" s="99">
        <v>88</v>
      </c>
    </row>
    <row r="14" spans="1:8" ht="30.95" customHeight="1">
      <c r="A14" s="96">
        <v>7</v>
      </c>
      <c r="B14" s="75">
        <v>16170.048000000001</v>
      </c>
      <c r="C14" s="68">
        <f t="shared" si="0"/>
        <v>8509.9999999965803</v>
      </c>
      <c r="D14" s="100">
        <v>16414.764999999999</v>
      </c>
      <c r="E14" s="68">
        <f t="shared" si="1"/>
        <v>10092.500000000655</v>
      </c>
      <c r="F14" s="49">
        <f t="shared" si="2"/>
        <v>18602.499999997235</v>
      </c>
      <c r="G14" s="65">
        <f t="shared" si="3"/>
        <v>1733.7529999997423</v>
      </c>
      <c r="H14" s="99">
        <v>99</v>
      </c>
    </row>
    <row r="15" spans="1:8" ht="30.95" customHeight="1">
      <c r="A15" s="98">
        <v>8</v>
      </c>
      <c r="B15" s="73">
        <v>16173.451999999999</v>
      </c>
      <c r="C15" s="37">
        <f t="shared" si="0"/>
        <v>8595.0000000002547</v>
      </c>
      <c r="D15" s="76">
        <v>16418.802</v>
      </c>
      <c r="E15" s="37">
        <f t="shared" si="1"/>
        <v>10177.499999999782</v>
      </c>
      <c r="F15" s="45">
        <f t="shared" si="2"/>
        <v>18772.500000000036</v>
      </c>
      <c r="G15" s="65">
        <f t="shared" si="3"/>
        <v>1749.5970000000034</v>
      </c>
      <c r="H15" s="99">
        <v>77</v>
      </c>
    </row>
    <row r="16" spans="1:8" ht="30.95" customHeight="1">
      <c r="A16" s="96">
        <v>9</v>
      </c>
      <c r="B16" s="138">
        <v>16176.89</v>
      </c>
      <c r="C16" s="68">
        <f t="shared" si="0"/>
        <v>8247.5000000022192</v>
      </c>
      <c r="D16" s="77">
        <v>16422.873</v>
      </c>
      <c r="E16" s="68">
        <f t="shared" si="1"/>
        <v>9337.5000000014552</v>
      </c>
      <c r="F16" s="49">
        <f t="shared" si="2"/>
        <v>17585.000000003674</v>
      </c>
      <c r="G16" s="65">
        <f t="shared" si="3"/>
        <v>1638.9220000003425</v>
      </c>
      <c r="H16" s="99">
        <v>68</v>
      </c>
    </row>
    <row r="17" spans="1:8" ht="30.95" customHeight="1">
      <c r="A17" s="98">
        <v>10</v>
      </c>
      <c r="B17" s="75">
        <v>16180.189</v>
      </c>
      <c r="C17" s="37">
        <f t="shared" si="0"/>
        <v>6914.9999999990541</v>
      </c>
      <c r="D17" s="100">
        <v>16426.608</v>
      </c>
      <c r="E17" s="37">
        <f t="shared" si="1"/>
        <v>7190.0000000005093</v>
      </c>
      <c r="F17" s="45">
        <f t="shared" si="2"/>
        <v>14104.999999999563</v>
      </c>
      <c r="G17" s="65">
        <f t="shared" si="3"/>
        <v>1314.5859999999593</v>
      </c>
      <c r="H17" s="99">
        <v>53</v>
      </c>
    </row>
    <row r="18" spans="1:8" ht="30.95" customHeight="1">
      <c r="A18" s="96">
        <v>11</v>
      </c>
      <c r="B18" s="73">
        <v>16182.955</v>
      </c>
      <c r="C18" s="68">
        <f t="shared" si="0"/>
        <v>8715.0000000019645</v>
      </c>
      <c r="D18" s="76">
        <v>16429.484</v>
      </c>
      <c r="E18" s="68">
        <f t="shared" si="1"/>
        <v>9920.0000000018917</v>
      </c>
      <c r="F18" s="49">
        <f t="shared" si="2"/>
        <v>18635.000000003856</v>
      </c>
      <c r="G18" s="65">
        <f t="shared" si="3"/>
        <v>1736.7820000003594</v>
      </c>
      <c r="H18" s="99">
        <v>46</v>
      </c>
    </row>
    <row r="19" spans="1:8" ht="30.95" customHeight="1">
      <c r="A19" s="98">
        <v>12</v>
      </c>
      <c r="B19" s="75">
        <v>16186.441000000001</v>
      </c>
      <c r="C19" s="37">
        <f t="shared" si="0"/>
        <v>8644.9999999967986</v>
      </c>
      <c r="D19" s="100">
        <v>16433.452000000001</v>
      </c>
      <c r="E19" s="37">
        <f t="shared" si="1"/>
        <v>9704.9999999944703</v>
      </c>
      <c r="F19" s="45">
        <f t="shared" si="2"/>
        <v>18349.999999991269</v>
      </c>
      <c r="G19" s="65">
        <f t="shared" si="3"/>
        <v>1710.2199999991863</v>
      </c>
      <c r="H19" s="99">
        <v>60</v>
      </c>
    </row>
    <row r="20" spans="1:8" ht="30.95" customHeight="1">
      <c r="A20" s="96">
        <v>13</v>
      </c>
      <c r="B20" s="73">
        <v>16189.898999999999</v>
      </c>
      <c r="C20" s="68">
        <f t="shared" si="0"/>
        <v>11175.00000000291</v>
      </c>
      <c r="D20" s="78">
        <v>16437.333999999999</v>
      </c>
      <c r="E20" s="68">
        <f t="shared" si="1"/>
        <v>9352.5000000045111</v>
      </c>
      <c r="F20" s="49">
        <f t="shared" si="2"/>
        <v>20527.500000007421</v>
      </c>
      <c r="G20" s="65">
        <f t="shared" si="3"/>
        <v>1913.1630000006917</v>
      </c>
      <c r="H20" s="99">
        <v>66</v>
      </c>
    </row>
    <row r="21" spans="1:8" ht="30.95" customHeight="1">
      <c r="A21" s="98">
        <v>14</v>
      </c>
      <c r="B21" s="73">
        <v>16194.369000000001</v>
      </c>
      <c r="C21" s="37">
        <f t="shared" si="0"/>
        <v>10929.999999998472</v>
      </c>
      <c r="D21" s="76">
        <v>16441.075000000001</v>
      </c>
      <c r="E21" s="37">
        <f t="shared" si="1"/>
        <v>6615.0000000016007</v>
      </c>
      <c r="F21" s="45">
        <f t="shared" si="2"/>
        <v>17545.000000000073</v>
      </c>
      <c r="G21" s="65">
        <f t="shared" si="3"/>
        <v>1635.1940000000068</v>
      </c>
      <c r="H21" s="99">
        <v>61</v>
      </c>
    </row>
    <row r="22" spans="1:8" ht="30.95" customHeight="1">
      <c r="A22" s="96">
        <v>15</v>
      </c>
      <c r="B22" s="73">
        <v>16198.741</v>
      </c>
      <c r="C22" s="68">
        <f t="shared" si="0"/>
        <v>13789.999999999054</v>
      </c>
      <c r="D22" s="55">
        <v>16443.721000000001</v>
      </c>
      <c r="E22" s="68">
        <f t="shared" si="1"/>
        <v>8305.000000000291</v>
      </c>
      <c r="F22" s="49">
        <f t="shared" si="2"/>
        <v>22094.999999999345</v>
      </c>
      <c r="G22" s="65">
        <f t="shared" si="3"/>
        <v>2059.253999999939</v>
      </c>
      <c r="H22" s="99">
        <v>58</v>
      </c>
    </row>
    <row r="23" spans="1:8" ht="30.95" customHeight="1">
      <c r="A23" s="98">
        <v>16</v>
      </c>
      <c r="B23" s="81">
        <v>16204.257</v>
      </c>
      <c r="C23" s="37">
        <f t="shared" si="0"/>
        <v>10015.000000003056</v>
      </c>
      <c r="D23" s="82">
        <v>16447.043000000001</v>
      </c>
      <c r="E23" s="37">
        <f t="shared" si="1"/>
        <v>6082.4999999931606</v>
      </c>
      <c r="F23" s="45">
        <f t="shared" si="2"/>
        <v>16097.499999996217</v>
      </c>
      <c r="G23" s="65">
        <f t="shared" si="3"/>
        <v>1500.2869999996474</v>
      </c>
      <c r="H23" s="99">
        <v>64</v>
      </c>
    </row>
    <row r="24" spans="1:8" ht="30.95" customHeight="1">
      <c r="A24" s="96">
        <v>17</v>
      </c>
      <c r="B24" s="83">
        <v>16208.263000000001</v>
      </c>
      <c r="C24" s="68">
        <f t="shared" si="0"/>
        <v>10864.999999998872</v>
      </c>
      <c r="D24" s="100">
        <v>16449.475999999999</v>
      </c>
      <c r="E24" s="68">
        <f t="shared" si="1"/>
        <v>6592.5000000061118</v>
      </c>
      <c r="F24" s="49">
        <f t="shared" si="2"/>
        <v>17457.500000004984</v>
      </c>
      <c r="G24" s="65">
        <f t="shared" si="3"/>
        <v>1627.0390000004645</v>
      </c>
      <c r="H24" s="99">
        <v>139</v>
      </c>
    </row>
    <row r="25" spans="1:8" ht="30.95" customHeight="1">
      <c r="A25" s="98">
        <v>18</v>
      </c>
      <c r="B25" s="73">
        <v>16212.609</v>
      </c>
      <c r="C25" s="37">
        <f>(B26-B25)*2500</f>
        <v>11449.999999999818</v>
      </c>
      <c r="D25" s="76">
        <v>16452.113000000001</v>
      </c>
      <c r="E25" s="37">
        <f>(D26-D25)*2500</f>
        <v>7022.4999999936699</v>
      </c>
      <c r="F25" s="45">
        <f t="shared" si="2"/>
        <v>18472.499999993488</v>
      </c>
      <c r="G25" s="65">
        <f t="shared" si="3"/>
        <v>1721.6369999993931</v>
      </c>
      <c r="H25" s="99">
        <v>162</v>
      </c>
    </row>
    <row r="26" spans="1:8" ht="30.95" customHeight="1">
      <c r="A26" s="96">
        <v>19</v>
      </c>
      <c r="B26" s="75">
        <v>16217.189</v>
      </c>
      <c r="C26" s="68">
        <f t="shared" ref="C26:C38" si="4">(B27-B26)*2500</f>
        <v>12880.000000000109</v>
      </c>
      <c r="D26" s="100">
        <v>16454.921999999999</v>
      </c>
      <c r="E26" s="68">
        <f t="shared" ref="E26:E38" si="5">(D27-D26)*2500</f>
        <v>8325.0000000043656</v>
      </c>
      <c r="F26" s="45">
        <f t="shared" si="2"/>
        <v>21205.000000004475</v>
      </c>
      <c r="G26" s="65">
        <f t="shared" si="3"/>
        <v>1976.306000000417</v>
      </c>
      <c r="H26" s="99">
        <v>161</v>
      </c>
    </row>
    <row r="27" spans="1:8" ht="30.95" customHeight="1">
      <c r="A27" s="98">
        <v>20</v>
      </c>
      <c r="B27" s="73">
        <v>16222.341</v>
      </c>
      <c r="C27" s="37">
        <f t="shared" si="4"/>
        <v>-40555852.5</v>
      </c>
      <c r="D27" s="78">
        <v>16458.252</v>
      </c>
      <c r="E27" s="37">
        <f t="shared" si="5"/>
        <v>-41145630</v>
      </c>
      <c r="F27" s="49">
        <f t="shared" si="2"/>
        <v>-81701482.5</v>
      </c>
      <c r="G27" s="65">
        <f t="shared" si="3"/>
        <v>-7614578.1690000007</v>
      </c>
      <c r="H27" s="99">
        <v>116</v>
      </c>
    </row>
    <row r="28" spans="1:8" ht="30.95" customHeight="1">
      <c r="A28" s="96">
        <v>21</v>
      </c>
      <c r="B28" s="75"/>
      <c r="C28" s="68">
        <f t="shared" si="4"/>
        <v>0</v>
      </c>
      <c r="D28" s="100"/>
      <c r="E28" s="68">
        <f t="shared" si="5"/>
        <v>0</v>
      </c>
      <c r="F28" s="45">
        <f t="shared" si="2"/>
        <v>0</v>
      </c>
      <c r="G28" s="65">
        <f t="shared" si="3"/>
        <v>0</v>
      </c>
      <c r="H28" s="99"/>
    </row>
    <row r="29" spans="1:8" ht="30.95" customHeight="1">
      <c r="A29" s="98">
        <v>22</v>
      </c>
      <c r="B29" s="73"/>
      <c r="C29" s="37">
        <f t="shared" si="4"/>
        <v>0</v>
      </c>
      <c r="D29" s="76"/>
      <c r="E29" s="37">
        <f t="shared" si="5"/>
        <v>0</v>
      </c>
      <c r="F29" s="49">
        <f t="shared" si="2"/>
        <v>0</v>
      </c>
      <c r="G29" s="65">
        <f t="shared" si="3"/>
        <v>0</v>
      </c>
      <c r="H29" s="99"/>
    </row>
    <row r="30" spans="1:8" ht="30.95" customHeight="1">
      <c r="A30" s="96">
        <v>23</v>
      </c>
      <c r="B30" s="75"/>
      <c r="C30" s="68">
        <f t="shared" si="4"/>
        <v>0</v>
      </c>
      <c r="D30" s="100"/>
      <c r="E30" s="68">
        <f t="shared" si="5"/>
        <v>0</v>
      </c>
      <c r="F30" s="45">
        <f t="shared" si="2"/>
        <v>0</v>
      </c>
      <c r="G30" s="65">
        <f t="shared" si="3"/>
        <v>0</v>
      </c>
      <c r="H30" s="99"/>
    </row>
    <row r="31" spans="1:8" ht="30.95" customHeight="1">
      <c r="A31" s="98">
        <v>24</v>
      </c>
      <c r="B31" s="73"/>
      <c r="C31" s="37">
        <f t="shared" si="4"/>
        <v>0</v>
      </c>
      <c r="D31" s="76"/>
      <c r="E31" s="37">
        <f t="shared" si="5"/>
        <v>0</v>
      </c>
      <c r="F31" s="49">
        <f t="shared" si="2"/>
        <v>0</v>
      </c>
      <c r="G31" s="65">
        <f t="shared" si="3"/>
        <v>0</v>
      </c>
      <c r="H31" s="99"/>
    </row>
    <row r="32" spans="1:8" ht="30.95" customHeight="1">
      <c r="A32" s="96">
        <v>25</v>
      </c>
      <c r="B32" s="75"/>
      <c r="C32" s="68">
        <f t="shared" si="4"/>
        <v>0</v>
      </c>
      <c r="D32" s="100"/>
      <c r="E32" s="68">
        <f t="shared" si="5"/>
        <v>0</v>
      </c>
      <c r="F32" s="45">
        <f t="shared" si="2"/>
        <v>0</v>
      </c>
      <c r="G32" s="65">
        <f t="shared" si="3"/>
        <v>0</v>
      </c>
      <c r="H32" s="99"/>
    </row>
    <row r="33" spans="1:8" ht="30.95" customHeight="1">
      <c r="A33" s="98">
        <v>26</v>
      </c>
      <c r="B33" s="73"/>
      <c r="C33" s="37">
        <f t="shared" si="4"/>
        <v>0</v>
      </c>
      <c r="D33" s="76"/>
      <c r="E33" s="37">
        <f t="shared" si="5"/>
        <v>0</v>
      </c>
      <c r="F33" s="49">
        <f t="shared" si="2"/>
        <v>0</v>
      </c>
      <c r="G33" s="65">
        <f t="shared" si="3"/>
        <v>0</v>
      </c>
      <c r="H33" s="99"/>
    </row>
    <row r="34" spans="1:8" ht="30.95" customHeight="1">
      <c r="A34" s="96">
        <v>27</v>
      </c>
      <c r="B34" s="75"/>
      <c r="C34" s="68">
        <f t="shared" si="4"/>
        <v>0</v>
      </c>
      <c r="D34" s="100"/>
      <c r="E34" s="37">
        <f t="shared" si="5"/>
        <v>0</v>
      </c>
      <c r="F34" s="45">
        <f t="shared" si="2"/>
        <v>0</v>
      </c>
      <c r="G34" s="65">
        <f t="shared" si="3"/>
        <v>0</v>
      </c>
      <c r="H34" s="99"/>
    </row>
    <row r="35" spans="1:8" ht="30.95" customHeight="1">
      <c r="A35" s="98">
        <v>28</v>
      </c>
      <c r="B35" s="79"/>
      <c r="C35" s="37">
        <f t="shared" si="4"/>
        <v>0</v>
      </c>
      <c r="D35" s="76"/>
      <c r="E35" s="37">
        <f t="shared" si="5"/>
        <v>0</v>
      </c>
      <c r="F35" s="45">
        <f t="shared" si="2"/>
        <v>0</v>
      </c>
      <c r="G35" s="65">
        <f t="shared" si="3"/>
        <v>0</v>
      </c>
      <c r="H35" s="99"/>
    </row>
    <row r="36" spans="1:8" ht="30.95" customHeight="1">
      <c r="A36" s="96">
        <v>29</v>
      </c>
      <c r="B36" s="75"/>
      <c r="C36" s="67">
        <f t="shared" si="4"/>
        <v>0</v>
      </c>
      <c r="D36" s="55"/>
      <c r="E36" s="67">
        <f t="shared" si="5"/>
        <v>0</v>
      </c>
      <c r="F36" s="40">
        <f t="shared" si="2"/>
        <v>0</v>
      </c>
      <c r="G36" s="65">
        <f t="shared" si="3"/>
        <v>0</v>
      </c>
      <c r="H36" s="97"/>
    </row>
    <row r="37" spans="1:8" ht="30.95" customHeight="1">
      <c r="A37" s="104">
        <v>30</v>
      </c>
      <c r="B37" s="105"/>
      <c r="C37" s="106">
        <f>(B38-B37)*2500</f>
        <v>0</v>
      </c>
      <c r="D37" s="107"/>
      <c r="E37" s="106">
        <f>(D38-D37)*2500</f>
        <v>0</v>
      </c>
      <c r="F37" s="108">
        <f t="shared" si="2"/>
        <v>0</v>
      </c>
      <c r="G37" s="65">
        <f t="shared" si="3"/>
        <v>0</v>
      </c>
      <c r="H37" s="109"/>
    </row>
    <row r="38" spans="1:8" ht="30.95" customHeight="1">
      <c r="A38" s="96">
        <v>31</v>
      </c>
      <c r="B38" s="38"/>
      <c r="C38" s="68">
        <f t="shared" si="4"/>
        <v>0</v>
      </c>
      <c r="D38" s="100"/>
      <c r="E38" s="68">
        <f t="shared" si="5"/>
        <v>0</v>
      </c>
      <c r="F38" s="49">
        <f t="shared" si="2"/>
        <v>0</v>
      </c>
      <c r="G38" s="135">
        <f t="shared" si="3"/>
        <v>0</v>
      </c>
      <c r="H38" s="136"/>
    </row>
    <row r="39" spans="1:8" ht="30.95" customHeight="1">
      <c r="A39" s="128">
        <v>1</v>
      </c>
      <c r="B39" s="129"/>
      <c r="C39" s="130">
        <f t="shared" ref="C39" si="6">(B40-B39)*2500</f>
        <v>0</v>
      </c>
      <c r="D39" s="131"/>
      <c r="E39" s="130">
        <f t="shared" ref="E39" si="7">(D40-D39)*2500</f>
        <v>0</v>
      </c>
      <c r="F39" s="132">
        <f t="shared" ref="F39" si="8">C39+E39</f>
        <v>0</v>
      </c>
      <c r="G39" s="133">
        <f t="shared" si="3"/>
        <v>0</v>
      </c>
      <c r="H39" s="134"/>
    </row>
    <row r="40" spans="1:8">
      <c r="B40" s="55"/>
      <c r="C40" s="55"/>
      <c r="D40" s="55"/>
      <c r="E40" s="55"/>
    </row>
    <row r="41" spans="1:8">
      <c r="B41" s="55"/>
      <c r="C41" s="55"/>
      <c r="D41" s="55"/>
      <c r="E41" s="55"/>
    </row>
    <row r="42" spans="1:8">
      <c r="B42" s="55"/>
      <c r="C42" s="55"/>
      <c r="D42" s="55"/>
      <c r="E42" s="55"/>
    </row>
    <row r="43" spans="1:8">
      <c r="B43" s="55"/>
      <c r="C43" s="55"/>
      <c r="D43" s="55"/>
      <c r="E43" s="55"/>
    </row>
    <row r="44" spans="1:8">
      <c r="B44" s="55"/>
      <c r="C44" s="55"/>
      <c r="D44" s="55"/>
      <c r="E44" s="55"/>
    </row>
    <row r="45" spans="1:8">
      <c r="B45" s="55"/>
      <c r="C45" s="55"/>
      <c r="D45" s="55"/>
      <c r="E45" s="55"/>
    </row>
    <row r="46" spans="1:8">
      <c r="B46" s="55"/>
      <c r="C46" s="55"/>
      <c r="D46" s="55"/>
      <c r="E46" s="55"/>
      <c r="F46" s="57"/>
      <c r="G46" s="14"/>
    </row>
    <row r="47" spans="1:8">
      <c r="B47" s="55"/>
      <c r="C47" s="55"/>
      <c r="D47" s="55"/>
      <c r="E47" s="55"/>
      <c r="F47" s="57"/>
      <c r="G47" s="14"/>
    </row>
    <row r="48" spans="1:8">
      <c r="B48" s="55"/>
      <c r="C48" s="55"/>
      <c r="D48" s="55"/>
      <c r="E48" s="55"/>
      <c r="F48" s="57"/>
      <c r="G48" s="14"/>
    </row>
    <row r="49" spans="1:7">
      <c r="B49" s="55"/>
      <c r="C49" s="55"/>
      <c r="D49" s="55"/>
      <c r="E49" s="55"/>
      <c r="F49" s="57"/>
      <c r="G49" s="14"/>
    </row>
    <row r="50" spans="1:7">
      <c r="B50" s="55"/>
      <c r="C50" s="55"/>
      <c r="D50" s="55"/>
      <c r="E50" s="55"/>
      <c r="F50" s="57"/>
      <c r="G50" s="14"/>
    </row>
    <row r="51" spans="1:7">
      <c r="A51" s="58"/>
      <c r="B51" s="55"/>
      <c r="C51" s="55"/>
      <c r="D51" s="55"/>
      <c r="E51" s="55"/>
      <c r="F51" s="57"/>
      <c r="G51" s="14"/>
    </row>
    <row r="52" spans="1:7">
      <c r="A52" s="58"/>
      <c r="B52" s="55"/>
      <c r="C52" s="55"/>
      <c r="D52" s="55"/>
      <c r="E52" s="55"/>
      <c r="F52" s="57"/>
      <c r="G52" s="14"/>
    </row>
    <row r="53" spans="1:7">
      <c r="A53" s="58"/>
      <c r="B53" s="55"/>
      <c r="C53" s="55"/>
      <c r="D53" s="55"/>
      <c r="E53" s="55"/>
      <c r="F53" s="57"/>
      <c r="G53" s="14"/>
    </row>
    <row r="54" spans="1:7">
      <c r="A54" s="58"/>
      <c r="B54" s="55"/>
      <c r="C54" s="55"/>
      <c r="D54" s="55"/>
      <c r="E54" s="55"/>
      <c r="F54" s="57"/>
      <c r="G54" s="14"/>
    </row>
    <row r="55" spans="1:7">
      <c r="A55" s="58"/>
      <c r="B55" s="55"/>
      <c r="C55" s="55"/>
      <c r="D55" s="55"/>
      <c r="E55" s="55"/>
      <c r="F55" s="57"/>
      <c r="G55" s="14"/>
    </row>
    <row r="56" spans="1:7">
      <c r="A56" s="58"/>
      <c r="B56" s="55"/>
      <c r="C56" s="55"/>
      <c r="D56" s="55"/>
      <c r="E56" s="55"/>
      <c r="F56" s="57"/>
      <c r="G56" s="14"/>
    </row>
    <row r="57" spans="1:7">
      <c r="A57" s="58"/>
      <c r="B57" s="55"/>
      <c r="C57" s="55"/>
      <c r="D57" s="55"/>
      <c r="E57" s="55"/>
      <c r="F57" s="57"/>
      <c r="G57" s="14"/>
    </row>
    <row r="58" spans="1:7">
      <c r="A58" s="58"/>
      <c r="B58" s="55"/>
      <c r="C58" s="55"/>
      <c r="D58" s="55"/>
      <c r="E58" s="55"/>
      <c r="F58" s="57"/>
      <c r="G58" s="14"/>
    </row>
    <row r="59" spans="1:7">
      <c r="A59" s="58"/>
      <c r="B59" s="55"/>
      <c r="C59" s="55"/>
      <c r="D59" s="55"/>
      <c r="E59" s="55"/>
      <c r="F59" s="57"/>
      <c r="G59" s="14"/>
    </row>
    <row r="60" spans="1:7">
      <c r="A60" s="58"/>
      <c r="B60" s="55"/>
      <c r="C60" s="55"/>
      <c r="D60" s="55"/>
      <c r="E60" s="55"/>
      <c r="F60" s="57"/>
      <c r="G60" s="14"/>
    </row>
    <row r="61" spans="1:7">
      <c r="A61" s="58"/>
      <c r="B61" s="55"/>
      <c r="C61" s="55"/>
      <c r="D61" s="55"/>
      <c r="E61" s="55"/>
      <c r="F61" s="57"/>
      <c r="G61" s="14"/>
    </row>
    <row r="62" spans="1:7">
      <c r="A62" s="58"/>
      <c r="B62" s="55"/>
      <c r="C62" s="55"/>
      <c r="D62" s="55"/>
      <c r="E62" s="55"/>
      <c r="F62" s="57"/>
      <c r="G62" s="14"/>
    </row>
    <row r="63" spans="1:7">
      <c r="A63" s="58"/>
      <c r="B63" s="55"/>
      <c r="C63" s="55"/>
      <c r="D63" s="55"/>
      <c r="E63" s="55"/>
      <c r="F63" s="57"/>
      <c r="G63" s="14"/>
    </row>
    <row r="64" spans="1:7">
      <c r="A64" s="58"/>
      <c r="B64" s="55"/>
      <c r="C64" s="55"/>
      <c r="D64" s="55"/>
      <c r="E64" s="55"/>
      <c r="F64" s="57"/>
      <c r="G64" s="14"/>
    </row>
    <row r="65" spans="1:7">
      <c r="A65" s="58"/>
      <c r="B65" s="55"/>
      <c r="C65" s="55"/>
      <c r="D65" s="55"/>
      <c r="E65" s="55"/>
      <c r="F65" s="57"/>
      <c r="G65" s="14"/>
    </row>
    <row r="66" spans="1:7">
      <c r="A66" s="58"/>
      <c r="B66" s="55"/>
      <c r="C66" s="55"/>
      <c r="D66" s="55"/>
      <c r="E66" s="55"/>
      <c r="F66" s="57"/>
      <c r="G66" s="14"/>
    </row>
    <row r="67" spans="1:7">
      <c r="A67" s="58"/>
      <c r="B67" s="55"/>
      <c r="C67" s="55"/>
      <c r="D67" s="55"/>
      <c r="E67" s="55"/>
      <c r="F67" s="57"/>
      <c r="G67" s="14"/>
    </row>
    <row r="68" spans="1:7">
      <c r="A68" s="58"/>
      <c r="B68" s="55"/>
      <c r="C68" s="55"/>
      <c r="D68" s="55"/>
      <c r="E68" s="55"/>
      <c r="F68" s="57"/>
      <c r="G68" s="14"/>
    </row>
    <row r="69" spans="1:7">
      <c r="A69" s="58"/>
      <c r="B69" s="55"/>
      <c r="C69" s="55"/>
      <c r="D69" s="55"/>
      <c r="E69" s="55"/>
      <c r="F69" s="57"/>
      <c r="G69" s="14"/>
    </row>
    <row r="70" spans="1:7">
      <c r="A70" s="58"/>
      <c r="B70" s="55"/>
      <c r="C70" s="55"/>
      <c r="D70" s="55"/>
      <c r="E70" s="55"/>
      <c r="F70" s="57"/>
      <c r="G70" s="14"/>
    </row>
    <row r="71" spans="1:7">
      <c r="A71" s="58"/>
      <c r="B71" s="55"/>
      <c r="C71" s="55"/>
      <c r="D71" s="55"/>
      <c r="E71" s="55"/>
      <c r="F71" s="57"/>
      <c r="G71" s="14"/>
    </row>
    <row r="72" spans="1:7">
      <c r="A72" s="58"/>
      <c r="B72" s="55"/>
      <c r="C72" s="55"/>
      <c r="D72" s="55"/>
      <c r="E72" s="55"/>
      <c r="F72" s="57"/>
      <c r="G72" s="14"/>
    </row>
    <row r="73" spans="1:7">
      <c r="A73" s="58"/>
      <c r="B73" s="55"/>
      <c r="C73" s="55"/>
      <c r="D73" s="55"/>
      <c r="E73" s="55"/>
      <c r="F73" s="57"/>
      <c r="G73" s="14"/>
    </row>
    <row r="74" spans="1:7">
      <c r="A74" s="58"/>
      <c r="B74" s="55"/>
      <c r="C74" s="55"/>
      <c r="D74" s="55"/>
      <c r="E74" s="55"/>
      <c r="F74" s="57"/>
      <c r="G74" s="14"/>
    </row>
    <row r="75" spans="1:7">
      <c r="A75" s="58"/>
      <c r="B75" s="55"/>
      <c r="C75" s="55"/>
      <c r="D75" s="55"/>
      <c r="E75" s="55"/>
      <c r="F75" s="57"/>
      <c r="G75" s="14"/>
    </row>
    <row r="76" spans="1:7">
      <c r="A76" s="58"/>
      <c r="B76" s="55"/>
      <c r="C76" s="55"/>
      <c r="D76" s="55"/>
      <c r="E76" s="55"/>
      <c r="F76" s="57"/>
      <c r="G76" s="14"/>
    </row>
    <row r="77" spans="1:7">
      <c r="A77" s="58"/>
      <c r="B77" s="55"/>
      <c r="C77" s="55"/>
      <c r="D77" s="55"/>
      <c r="E77" s="55"/>
      <c r="F77" s="57"/>
      <c r="G77" s="14"/>
    </row>
    <row r="78" spans="1:7">
      <c r="A78" s="58"/>
      <c r="B78" s="55"/>
      <c r="C78" s="55"/>
      <c r="D78" s="55"/>
      <c r="E78" s="55"/>
      <c r="F78" s="57"/>
      <c r="G78" s="14"/>
    </row>
    <row r="79" spans="1:7">
      <c r="A79" s="58"/>
      <c r="B79" s="55"/>
      <c r="C79" s="55"/>
      <c r="D79" s="55"/>
      <c r="E79" s="55"/>
      <c r="F79" s="57"/>
      <c r="G79" s="14"/>
    </row>
    <row r="80" spans="1:7">
      <c r="A80" s="58"/>
      <c r="B80" s="55"/>
      <c r="C80" s="55"/>
      <c r="D80" s="55"/>
      <c r="E80" s="55"/>
      <c r="F80" s="57"/>
      <c r="G80" s="14"/>
    </row>
    <row r="81" spans="1:7">
      <c r="A81" s="58"/>
      <c r="B81" s="55"/>
      <c r="C81" s="55"/>
      <c r="D81" s="55"/>
      <c r="E81" s="55"/>
      <c r="F81" s="57"/>
      <c r="G81" s="14"/>
    </row>
    <row r="82" spans="1:7">
      <c r="A82" s="58"/>
      <c r="B82" s="55"/>
      <c r="C82" s="55"/>
      <c r="D82" s="55"/>
      <c r="E82" s="55"/>
      <c r="F82" s="57"/>
      <c r="G82" s="14"/>
    </row>
    <row r="83" spans="1:7">
      <c r="A83" s="58"/>
      <c r="B83" s="55"/>
      <c r="C83" s="55"/>
      <c r="D83" s="55"/>
      <c r="E83" s="55"/>
      <c r="F83" s="57"/>
      <c r="G83" s="14"/>
    </row>
    <row r="84" spans="1:7">
      <c r="A84" s="58"/>
      <c r="B84" s="55"/>
      <c r="C84" s="55"/>
      <c r="D84" s="55"/>
      <c r="E84" s="55"/>
      <c r="F84" s="57"/>
      <c r="G84" s="14"/>
    </row>
    <row r="85" spans="1:7">
      <c r="A85" s="58"/>
      <c r="B85" s="55"/>
      <c r="C85" s="55"/>
      <c r="D85" s="55"/>
      <c r="E85" s="55"/>
      <c r="F85" s="57"/>
      <c r="G85" s="14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tabSelected="1" zoomScaleNormal="100" workbookViewId="0">
      <pane ySplit="3" topLeftCell="A22" activePane="bottomLeft" state="frozen"/>
      <selection pane="bottomLeft" activeCell="M23" sqref="M23"/>
    </sheetView>
  </sheetViews>
  <sheetFormatPr defaultRowHeight="15"/>
  <cols>
    <col min="1" max="1" width="10.7109375" style="55" customWidth="1"/>
    <col min="2" max="2" width="12.7109375" style="14" customWidth="1"/>
    <col min="3" max="6" width="12.7109375" style="57" customWidth="1"/>
    <col min="7" max="9" width="12.7109375" style="14" customWidth="1"/>
    <col min="10" max="12" width="12.7109375" style="59" customWidth="1"/>
    <col min="13" max="13" width="12.7109375" style="14" customWidth="1"/>
    <col min="14" max="16384" width="9.140625" style="14"/>
  </cols>
  <sheetData>
    <row r="1" spans="1:12" ht="30" customHeight="1">
      <c r="A1" s="154" t="s">
        <v>14</v>
      </c>
      <c r="B1" s="159" t="s">
        <v>24</v>
      </c>
      <c r="C1" s="160"/>
      <c r="D1" s="161"/>
      <c r="E1" s="162" t="s">
        <v>25</v>
      </c>
      <c r="F1" s="160"/>
      <c r="G1" s="160"/>
      <c r="H1" s="160"/>
      <c r="I1" s="161"/>
      <c r="J1" s="162" t="s">
        <v>26</v>
      </c>
      <c r="K1" s="160"/>
      <c r="L1" s="163"/>
    </row>
    <row r="2" spans="1:12" ht="27" customHeight="1">
      <c r="A2" s="158"/>
      <c r="B2" s="164"/>
      <c r="C2" s="165"/>
      <c r="D2" s="166"/>
      <c r="E2" s="164"/>
      <c r="F2" s="165"/>
      <c r="G2" s="165"/>
      <c r="H2" s="165"/>
      <c r="I2" s="166"/>
      <c r="J2" s="164"/>
      <c r="K2" s="165"/>
      <c r="L2" s="166"/>
    </row>
    <row r="3" spans="1:12" ht="59.25" customHeight="1">
      <c r="A3" s="89" t="s">
        <v>15</v>
      </c>
      <c r="B3" s="15" t="s">
        <v>22</v>
      </c>
      <c r="C3" s="16" t="s">
        <v>27</v>
      </c>
      <c r="D3" s="17" t="s">
        <v>28</v>
      </c>
      <c r="E3" s="86" t="s">
        <v>22</v>
      </c>
      <c r="F3" s="18" t="s">
        <v>23</v>
      </c>
      <c r="G3" s="19" t="s">
        <v>29</v>
      </c>
      <c r="H3" s="19" t="s">
        <v>30</v>
      </c>
      <c r="I3" s="85" t="s">
        <v>31</v>
      </c>
      <c r="J3" s="15" t="s">
        <v>22</v>
      </c>
      <c r="K3" s="19" t="s">
        <v>27</v>
      </c>
      <c r="L3" s="20" t="s">
        <v>32</v>
      </c>
    </row>
    <row r="4" spans="1:12" ht="17.25" hidden="1" customHeight="1">
      <c r="A4" s="21"/>
      <c r="B4" s="22"/>
      <c r="C4" s="23"/>
      <c r="D4" s="24"/>
      <c r="E4" s="25"/>
      <c r="F4" s="26"/>
      <c r="G4" s="27"/>
      <c r="H4" s="27"/>
      <c r="I4" s="28"/>
      <c r="J4" s="29"/>
      <c r="K4" s="30"/>
      <c r="L4" s="31"/>
    </row>
    <row r="5" spans="1:12" ht="32.450000000000003" customHeight="1">
      <c r="A5" s="87">
        <v>30</v>
      </c>
      <c r="B5" s="87">
        <v>7186431</v>
      </c>
      <c r="C5" s="101">
        <f>B6-B5</f>
        <v>3989</v>
      </c>
      <c r="D5" s="32">
        <f>C5*0.21186441</f>
        <v>845.12713149000001</v>
      </c>
      <c r="E5" s="33">
        <v>580231</v>
      </c>
      <c r="F5" s="102">
        <f>E6-E5</f>
        <v>371</v>
      </c>
      <c r="G5" s="34">
        <f>F5*0.84746</f>
        <v>314.40766000000002</v>
      </c>
      <c r="H5" s="34">
        <f>F5*0.84746</f>
        <v>314.40766000000002</v>
      </c>
      <c r="I5" s="88">
        <f>G5+H5</f>
        <v>628.81532000000004</v>
      </c>
      <c r="J5" s="35">
        <f>9960+6300</f>
        <v>16260</v>
      </c>
      <c r="K5" s="36">
        <f>J5-J6</f>
        <v>80</v>
      </c>
      <c r="L5" s="37">
        <f>K5*0.7</f>
        <v>56</v>
      </c>
    </row>
    <row r="6" spans="1:12" ht="32.450000000000003" customHeight="1">
      <c r="A6" s="38">
        <v>1</v>
      </c>
      <c r="B6" s="87">
        <v>7190420</v>
      </c>
      <c r="C6" s="51">
        <f t="shared" ref="C6:C15" si="0">B7-B6</f>
        <v>3098</v>
      </c>
      <c r="D6" s="39">
        <f>C6*0.21186441</f>
        <v>656.35594218000006</v>
      </c>
      <c r="E6" s="40">
        <v>580602</v>
      </c>
      <c r="F6" s="52">
        <f t="shared" ref="F6:F15" si="1">E7-E6</f>
        <v>313</v>
      </c>
      <c r="G6" s="41">
        <f>F6*0.84746</f>
        <v>265.25497999999999</v>
      </c>
      <c r="H6" s="41">
        <f>F6*0.84746</f>
        <v>265.25497999999999</v>
      </c>
      <c r="I6" s="42">
        <f t="shared" ref="I6:I36" si="2">G6+H6</f>
        <v>530.50995999999998</v>
      </c>
      <c r="J6" s="35">
        <f>9880+6300</f>
        <v>16180</v>
      </c>
      <c r="K6" s="36">
        <f t="shared" ref="K6:K35" si="3">J6-J7</f>
        <v>0</v>
      </c>
      <c r="L6" s="37">
        <f>K6*0.7</f>
        <v>0</v>
      </c>
    </row>
    <row r="7" spans="1:12" ht="32.450000000000003" customHeight="1">
      <c r="A7" s="43">
        <v>2</v>
      </c>
      <c r="B7" s="43">
        <v>7193518</v>
      </c>
      <c r="C7" s="53">
        <f t="shared" si="0"/>
        <v>2351</v>
      </c>
      <c r="D7" s="44">
        <f>C7*0.21186441</f>
        <v>498.09322791</v>
      </c>
      <c r="E7" s="45">
        <v>580915</v>
      </c>
      <c r="F7" s="54">
        <f t="shared" si="1"/>
        <v>244</v>
      </c>
      <c r="G7" s="46">
        <f t="shared" ref="G7:G36" si="4">F7*0.84746</f>
        <v>206.78023999999999</v>
      </c>
      <c r="H7" s="46">
        <f t="shared" ref="H7:H36" si="5">F7*0.84746</f>
        <v>206.78023999999999</v>
      </c>
      <c r="I7" s="47">
        <f t="shared" si="2"/>
        <v>413.56047999999998</v>
      </c>
      <c r="J7" s="35">
        <f>9880+6300</f>
        <v>16180</v>
      </c>
      <c r="K7" s="36">
        <f t="shared" si="3"/>
        <v>-119</v>
      </c>
      <c r="L7" s="37">
        <f t="shared" ref="L7:L35" si="6">K7*0.7</f>
        <v>-83.3</v>
      </c>
    </row>
    <row r="8" spans="1:12" ht="32.450000000000003" customHeight="1">
      <c r="A8" s="38">
        <v>3</v>
      </c>
      <c r="B8" s="38">
        <v>7195869</v>
      </c>
      <c r="C8" s="51">
        <f t="shared" si="0"/>
        <v>3633</v>
      </c>
      <c r="D8" s="44">
        <f t="shared" ref="D8:D36" si="7">C8*0.21186441</f>
        <v>769.70340153000006</v>
      </c>
      <c r="E8" s="45">
        <v>581159</v>
      </c>
      <c r="F8" s="52">
        <f t="shared" si="1"/>
        <v>302</v>
      </c>
      <c r="G8" s="41">
        <f t="shared" si="4"/>
        <v>255.93292</v>
      </c>
      <c r="H8" s="41">
        <f t="shared" si="5"/>
        <v>255.93292</v>
      </c>
      <c r="I8" s="47">
        <f t="shared" si="2"/>
        <v>511.86583999999999</v>
      </c>
      <c r="J8" s="35">
        <f>9999+6300</f>
        <v>16299</v>
      </c>
      <c r="K8" s="36">
        <f t="shared" si="3"/>
        <v>0</v>
      </c>
      <c r="L8" s="37">
        <f t="shared" si="6"/>
        <v>0</v>
      </c>
    </row>
    <row r="9" spans="1:12" ht="32.450000000000003" customHeight="1">
      <c r="A9" s="43">
        <v>4</v>
      </c>
      <c r="B9" s="43">
        <v>7199502</v>
      </c>
      <c r="C9" s="53">
        <f t="shared" si="0"/>
        <v>3095</v>
      </c>
      <c r="D9" s="44">
        <f t="shared" si="7"/>
        <v>655.72034895000002</v>
      </c>
      <c r="E9" s="45">
        <v>581461</v>
      </c>
      <c r="F9" s="54">
        <f t="shared" si="1"/>
        <v>331</v>
      </c>
      <c r="G9" s="46">
        <f t="shared" si="4"/>
        <v>280.50925999999998</v>
      </c>
      <c r="H9" s="46">
        <f t="shared" si="5"/>
        <v>280.50925999999998</v>
      </c>
      <c r="I9" s="47">
        <f t="shared" si="2"/>
        <v>561.01851999999997</v>
      </c>
      <c r="J9" s="35">
        <f>9999+6300</f>
        <v>16299</v>
      </c>
      <c r="K9" s="36">
        <f t="shared" si="3"/>
        <v>0</v>
      </c>
      <c r="L9" s="37">
        <f t="shared" si="6"/>
        <v>0</v>
      </c>
    </row>
    <row r="10" spans="1:12" ht="32.450000000000003" customHeight="1">
      <c r="A10" s="38">
        <v>5</v>
      </c>
      <c r="B10" s="38">
        <v>7202597</v>
      </c>
      <c r="C10" s="51">
        <f t="shared" si="0"/>
        <v>4668</v>
      </c>
      <c r="D10" s="44">
        <f t="shared" si="7"/>
        <v>988.98306588000003</v>
      </c>
      <c r="E10" s="45">
        <v>581792</v>
      </c>
      <c r="F10" s="52">
        <f t="shared" si="1"/>
        <v>277</v>
      </c>
      <c r="G10" s="41">
        <f t="shared" si="4"/>
        <v>234.74642</v>
      </c>
      <c r="H10" s="41">
        <f t="shared" si="5"/>
        <v>234.74642</v>
      </c>
      <c r="I10" s="47">
        <f t="shared" si="2"/>
        <v>469.49284</v>
      </c>
      <c r="J10" s="35">
        <f>9999+6300</f>
        <v>16299</v>
      </c>
      <c r="K10" s="36">
        <f t="shared" si="3"/>
        <v>0</v>
      </c>
      <c r="L10" s="37">
        <f t="shared" si="6"/>
        <v>0</v>
      </c>
    </row>
    <row r="11" spans="1:12" ht="32.450000000000003" customHeight="1">
      <c r="A11" s="43">
        <v>6</v>
      </c>
      <c r="B11" s="43">
        <v>7207265</v>
      </c>
      <c r="C11" s="53">
        <f t="shared" si="0"/>
        <v>4579</v>
      </c>
      <c r="D11" s="44">
        <f t="shared" si="7"/>
        <v>970.12713339000004</v>
      </c>
      <c r="E11" s="45">
        <v>582069</v>
      </c>
      <c r="F11" s="54">
        <f t="shared" si="1"/>
        <v>364</v>
      </c>
      <c r="G11" s="46">
        <f t="shared" si="4"/>
        <v>308.47543999999999</v>
      </c>
      <c r="H11" s="46">
        <f t="shared" si="5"/>
        <v>308.47543999999999</v>
      </c>
      <c r="I11" s="47">
        <f t="shared" si="2"/>
        <v>616.95087999999998</v>
      </c>
      <c r="J11" s="35">
        <f>9999+6300</f>
        <v>16299</v>
      </c>
      <c r="K11" s="36">
        <f t="shared" si="3"/>
        <v>0</v>
      </c>
      <c r="L11" s="37">
        <f t="shared" si="6"/>
        <v>0</v>
      </c>
    </row>
    <row r="12" spans="1:12" ht="32.450000000000003" customHeight="1">
      <c r="A12" s="38">
        <v>7</v>
      </c>
      <c r="B12" s="38">
        <v>7211844</v>
      </c>
      <c r="C12" s="51">
        <f t="shared" si="0"/>
        <v>4044</v>
      </c>
      <c r="D12" s="44">
        <f t="shared" si="7"/>
        <v>856.77967404000003</v>
      </c>
      <c r="E12" s="45">
        <v>582433</v>
      </c>
      <c r="F12" s="52">
        <f t="shared" si="1"/>
        <v>314</v>
      </c>
      <c r="G12" s="41">
        <f t="shared" si="4"/>
        <v>266.10244</v>
      </c>
      <c r="H12" s="41">
        <f t="shared" si="5"/>
        <v>266.10244</v>
      </c>
      <c r="I12" s="47">
        <f t="shared" si="2"/>
        <v>532.20488</v>
      </c>
      <c r="J12" s="35">
        <f>9999+6300</f>
        <v>16299</v>
      </c>
      <c r="K12" s="36">
        <f t="shared" si="3"/>
        <v>0</v>
      </c>
      <c r="L12" s="37">
        <f t="shared" si="6"/>
        <v>0</v>
      </c>
    </row>
    <row r="13" spans="1:12" ht="32.450000000000003" customHeight="1">
      <c r="A13" s="43">
        <v>8</v>
      </c>
      <c r="B13" s="43">
        <v>7215888</v>
      </c>
      <c r="C13" s="53">
        <f t="shared" si="0"/>
        <v>4428</v>
      </c>
      <c r="D13" s="44">
        <f t="shared" si="7"/>
        <v>938.13560747999998</v>
      </c>
      <c r="E13" s="45">
        <v>582747</v>
      </c>
      <c r="F13" s="54">
        <f t="shared" si="1"/>
        <v>320</v>
      </c>
      <c r="G13" s="46">
        <f t="shared" si="4"/>
        <v>271.18720000000002</v>
      </c>
      <c r="H13" s="46">
        <f t="shared" si="5"/>
        <v>271.18720000000002</v>
      </c>
      <c r="I13" s="47">
        <f t="shared" si="2"/>
        <v>542.37440000000004</v>
      </c>
      <c r="J13" s="35">
        <f>9999+6300</f>
        <v>16299</v>
      </c>
      <c r="K13" s="36">
        <f>J13-J14</f>
        <v>0</v>
      </c>
      <c r="L13" s="37">
        <f t="shared" si="6"/>
        <v>0</v>
      </c>
    </row>
    <row r="14" spans="1:12" ht="32.450000000000003" customHeight="1">
      <c r="A14" s="38">
        <v>9</v>
      </c>
      <c r="B14" s="38">
        <v>7220316</v>
      </c>
      <c r="C14" s="51">
        <f t="shared" si="0"/>
        <v>3553</v>
      </c>
      <c r="D14" s="44">
        <f t="shared" si="7"/>
        <v>752.75424872999997</v>
      </c>
      <c r="E14" s="45">
        <v>583067</v>
      </c>
      <c r="F14" s="52">
        <f t="shared" si="1"/>
        <v>298</v>
      </c>
      <c r="G14" s="46">
        <f t="shared" si="4"/>
        <v>252.54308</v>
      </c>
      <c r="H14" s="41">
        <f t="shared" si="5"/>
        <v>252.54308</v>
      </c>
      <c r="I14" s="47">
        <f t="shared" si="2"/>
        <v>505.08616000000001</v>
      </c>
      <c r="J14" s="35">
        <f>9999+6300</f>
        <v>16299</v>
      </c>
      <c r="K14" s="36">
        <f>J14-J15</f>
        <v>0</v>
      </c>
      <c r="L14" s="37">
        <f t="shared" si="6"/>
        <v>0</v>
      </c>
    </row>
    <row r="15" spans="1:12" ht="32.450000000000003" customHeight="1">
      <c r="A15" s="43">
        <v>10</v>
      </c>
      <c r="B15" s="43">
        <v>7223869</v>
      </c>
      <c r="C15" s="53">
        <f t="shared" si="0"/>
        <v>2959</v>
      </c>
      <c r="D15" s="44">
        <f t="shared" si="7"/>
        <v>626.90678919000004</v>
      </c>
      <c r="E15" s="45">
        <v>583365</v>
      </c>
      <c r="F15" s="54">
        <f t="shared" si="1"/>
        <v>52</v>
      </c>
      <c r="G15" s="46">
        <f t="shared" si="4"/>
        <v>44.067920000000001</v>
      </c>
      <c r="H15" s="46">
        <f t="shared" si="5"/>
        <v>44.067920000000001</v>
      </c>
      <c r="I15" s="47">
        <f t="shared" si="2"/>
        <v>88.135840000000002</v>
      </c>
      <c r="J15" s="35">
        <f>9999+6300</f>
        <v>16299</v>
      </c>
      <c r="K15" s="36">
        <f>J15-J16</f>
        <v>0</v>
      </c>
      <c r="L15" s="37">
        <f t="shared" si="6"/>
        <v>0</v>
      </c>
    </row>
    <row r="16" spans="1:12" ht="32.450000000000003" customHeight="1">
      <c r="A16" s="38">
        <v>11</v>
      </c>
      <c r="B16" s="38">
        <v>7226828</v>
      </c>
      <c r="C16" s="51">
        <f>B17-B16</f>
        <v>4010</v>
      </c>
      <c r="D16" s="44">
        <f t="shared" si="7"/>
        <v>849.57628410000007</v>
      </c>
      <c r="E16" s="45">
        <v>583417</v>
      </c>
      <c r="F16" s="52">
        <f>E17-E16</f>
        <v>94</v>
      </c>
      <c r="G16" s="41">
        <f t="shared" si="4"/>
        <v>79.661239999999992</v>
      </c>
      <c r="H16" s="41">
        <f t="shared" si="5"/>
        <v>79.661239999999992</v>
      </c>
      <c r="I16" s="47">
        <f t="shared" si="2"/>
        <v>159.32247999999998</v>
      </c>
      <c r="J16" s="35">
        <f>9999+6300</f>
        <v>16299</v>
      </c>
      <c r="K16" s="36">
        <f t="shared" si="3"/>
        <v>0</v>
      </c>
      <c r="L16" s="37">
        <f t="shared" si="6"/>
        <v>0</v>
      </c>
    </row>
    <row r="17" spans="1:12" ht="32.450000000000003" customHeight="1">
      <c r="A17" s="43">
        <v>12</v>
      </c>
      <c r="B17" s="43">
        <v>7230838</v>
      </c>
      <c r="C17" s="53">
        <f t="shared" ref="C17:C35" si="8">B18-B17</f>
        <v>3936</v>
      </c>
      <c r="D17" s="44">
        <f t="shared" si="7"/>
        <v>833.89831776000005</v>
      </c>
      <c r="E17" s="45">
        <v>583511</v>
      </c>
      <c r="F17" s="54">
        <f t="shared" ref="F17:F35" si="9">E18-E17</f>
        <v>320</v>
      </c>
      <c r="G17" s="46">
        <f t="shared" si="4"/>
        <v>271.18720000000002</v>
      </c>
      <c r="H17" s="46">
        <f t="shared" si="5"/>
        <v>271.18720000000002</v>
      </c>
      <c r="I17" s="47">
        <f t="shared" si="2"/>
        <v>542.37440000000004</v>
      </c>
      <c r="J17" s="35">
        <f>9999+6300</f>
        <v>16299</v>
      </c>
      <c r="K17" s="36">
        <f t="shared" si="3"/>
        <v>0</v>
      </c>
      <c r="L17" s="37">
        <f t="shared" si="6"/>
        <v>0</v>
      </c>
    </row>
    <row r="18" spans="1:12" ht="32.450000000000003" customHeight="1">
      <c r="A18" s="38">
        <v>13</v>
      </c>
      <c r="B18" s="38">
        <v>7234774</v>
      </c>
      <c r="C18" s="51">
        <f t="shared" si="8"/>
        <v>3933</v>
      </c>
      <c r="D18" s="44">
        <f t="shared" si="7"/>
        <v>833.26272453000001</v>
      </c>
      <c r="E18" s="49">
        <v>583831</v>
      </c>
      <c r="F18" s="52">
        <f t="shared" si="9"/>
        <v>352</v>
      </c>
      <c r="G18" s="41">
        <f t="shared" si="4"/>
        <v>298.30592000000001</v>
      </c>
      <c r="H18" s="41">
        <f t="shared" si="5"/>
        <v>298.30592000000001</v>
      </c>
      <c r="I18" s="47">
        <f t="shared" si="2"/>
        <v>596.61184000000003</v>
      </c>
      <c r="J18" s="35">
        <f>9999+6300</f>
        <v>16299</v>
      </c>
      <c r="K18" s="36">
        <f t="shared" si="3"/>
        <v>10</v>
      </c>
      <c r="L18" s="37">
        <f t="shared" si="6"/>
        <v>7</v>
      </c>
    </row>
    <row r="19" spans="1:12" ht="32.450000000000003" customHeight="1">
      <c r="A19" s="43">
        <v>14</v>
      </c>
      <c r="B19" s="43">
        <v>7238707</v>
      </c>
      <c r="C19" s="53">
        <f t="shared" si="8"/>
        <v>4002</v>
      </c>
      <c r="D19" s="44">
        <f t="shared" si="7"/>
        <v>847.88136882000003</v>
      </c>
      <c r="E19" s="50">
        <v>584183</v>
      </c>
      <c r="F19" s="54">
        <f t="shared" si="9"/>
        <v>142</v>
      </c>
      <c r="G19" s="46">
        <f t="shared" si="4"/>
        <v>120.33932</v>
      </c>
      <c r="H19" s="46">
        <f t="shared" si="5"/>
        <v>120.33932</v>
      </c>
      <c r="I19" s="47">
        <f t="shared" si="2"/>
        <v>240.67864</v>
      </c>
      <c r="J19" s="35">
        <f>9999+6290</f>
        <v>16289</v>
      </c>
      <c r="K19" s="36">
        <f t="shared" si="3"/>
        <v>0</v>
      </c>
      <c r="L19" s="37">
        <f t="shared" si="6"/>
        <v>0</v>
      </c>
    </row>
    <row r="20" spans="1:12" ht="32.450000000000003" customHeight="1">
      <c r="A20" s="38">
        <v>15</v>
      </c>
      <c r="B20" s="38">
        <v>7242709</v>
      </c>
      <c r="C20" s="51">
        <f t="shared" si="8"/>
        <v>3569</v>
      </c>
      <c r="D20" s="44">
        <f t="shared" si="7"/>
        <v>756.14407929000004</v>
      </c>
      <c r="E20" s="49">
        <v>584325</v>
      </c>
      <c r="F20" s="52">
        <f t="shared" si="9"/>
        <v>90</v>
      </c>
      <c r="G20" s="41">
        <f t="shared" si="4"/>
        <v>76.2714</v>
      </c>
      <c r="H20" s="41">
        <f t="shared" si="5"/>
        <v>76.2714</v>
      </c>
      <c r="I20" s="47">
        <f t="shared" si="2"/>
        <v>152.5428</v>
      </c>
      <c r="J20" s="35">
        <f>9999+6290</f>
        <v>16289</v>
      </c>
      <c r="K20" s="36">
        <f t="shared" si="3"/>
        <v>0</v>
      </c>
      <c r="L20" s="37">
        <f t="shared" si="6"/>
        <v>0</v>
      </c>
    </row>
    <row r="21" spans="1:12" ht="32.450000000000003" customHeight="1">
      <c r="A21" s="43">
        <v>16</v>
      </c>
      <c r="B21" s="83">
        <v>7246278</v>
      </c>
      <c r="C21" s="53">
        <f t="shared" si="8"/>
        <v>2946</v>
      </c>
      <c r="D21" s="44">
        <f t="shared" si="7"/>
        <v>624.15255186000002</v>
      </c>
      <c r="E21" s="84">
        <v>584415</v>
      </c>
      <c r="F21" s="54">
        <f t="shared" si="9"/>
        <v>87</v>
      </c>
      <c r="G21" s="46">
        <f t="shared" si="4"/>
        <v>73.729020000000006</v>
      </c>
      <c r="H21" s="46">
        <f t="shared" si="5"/>
        <v>73.729020000000006</v>
      </c>
      <c r="I21" s="47">
        <f t="shared" si="2"/>
        <v>147.45804000000001</v>
      </c>
      <c r="J21" s="35">
        <f>9999+6290</f>
        <v>16289</v>
      </c>
      <c r="K21" s="36">
        <f t="shared" si="3"/>
        <v>111</v>
      </c>
      <c r="L21" s="37">
        <f t="shared" si="6"/>
        <v>77.699999999999989</v>
      </c>
    </row>
    <row r="22" spans="1:12" ht="32.450000000000003" customHeight="1">
      <c r="A22" s="38">
        <v>17</v>
      </c>
      <c r="B22" s="38">
        <v>7249224</v>
      </c>
      <c r="C22" s="51">
        <f t="shared" si="8"/>
        <v>3485</v>
      </c>
      <c r="D22" s="44">
        <f t="shared" si="7"/>
        <v>738.34746885000004</v>
      </c>
      <c r="E22" s="50">
        <v>584502</v>
      </c>
      <c r="F22" s="52">
        <f t="shared" si="9"/>
        <v>263</v>
      </c>
      <c r="G22" s="41">
        <f t="shared" si="4"/>
        <v>222.88198</v>
      </c>
      <c r="H22" s="41">
        <f t="shared" si="5"/>
        <v>222.88198</v>
      </c>
      <c r="I22" s="47">
        <f t="shared" si="2"/>
        <v>445.76396</v>
      </c>
      <c r="J22" s="48">
        <f>9888+6290</f>
        <v>16178</v>
      </c>
      <c r="K22" s="36">
        <f t="shared" si="3"/>
        <v>-72</v>
      </c>
      <c r="L22" s="37">
        <f t="shared" si="6"/>
        <v>-50.4</v>
      </c>
    </row>
    <row r="23" spans="1:12" ht="32.450000000000003" customHeight="1">
      <c r="A23" s="43">
        <v>18</v>
      </c>
      <c r="B23" s="43">
        <v>7252709</v>
      </c>
      <c r="C23" s="53">
        <f t="shared" si="8"/>
        <v>3485</v>
      </c>
      <c r="D23" s="44">
        <f t="shared" si="7"/>
        <v>738.34746885000004</v>
      </c>
      <c r="E23" s="50">
        <v>584765</v>
      </c>
      <c r="F23" s="54">
        <f t="shared" si="9"/>
        <v>299</v>
      </c>
      <c r="G23" s="46">
        <f t="shared" si="4"/>
        <v>253.39053999999999</v>
      </c>
      <c r="H23" s="46">
        <f t="shared" si="5"/>
        <v>253.39053999999999</v>
      </c>
      <c r="I23" s="47">
        <f t="shared" si="2"/>
        <v>506.78107999999997</v>
      </c>
      <c r="J23" s="48">
        <f>9960+6290</f>
        <v>16250</v>
      </c>
      <c r="K23" s="36">
        <f t="shared" si="3"/>
        <v>0</v>
      </c>
      <c r="L23" s="37">
        <f t="shared" si="6"/>
        <v>0</v>
      </c>
    </row>
    <row r="24" spans="1:12" ht="32.450000000000003" customHeight="1">
      <c r="A24" s="38">
        <v>19</v>
      </c>
      <c r="B24" s="38">
        <v>7256194</v>
      </c>
      <c r="C24" s="51">
        <f t="shared" si="8"/>
        <v>5219</v>
      </c>
      <c r="D24" s="44">
        <f t="shared" si="7"/>
        <v>1105.72035579</v>
      </c>
      <c r="E24" s="50">
        <v>585064</v>
      </c>
      <c r="F24" s="52">
        <f t="shared" si="9"/>
        <v>352</v>
      </c>
      <c r="G24" s="41">
        <f t="shared" si="4"/>
        <v>298.30592000000001</v>
      </c>
      <c r="H24" s="41">
        <f t="shared" si="5"/>
        <v>298.30592000000001</v>
      </c>
      <c r="I24" s="47">
        <f t="shared" si="2"/>
        <v>596.61184000000003</v>
      </c>
      <c r="J24" s="48">
        <f>9960+6290</f>
        <v>16250</v>
      </c>
      <c r="K24" s="36">
        <f t="shared" si="3"/>
        <v>70</v>
      </c>
      <c r="L24" s="37">
        <f t="shared" si="6"/>
        <v>49</v>
      </c>
    </row>
    <row r="25" spans="1:12" ht="32.450000000000003" customHeight="1">
      <c r="A25" s="43">
        <v>20</v>
      </c>
      <c r="B25" s="43">
        <v>7261413</v>
      </c>
      <c r="C25" s="53">
        <f t="shared" si="8"/>
        <v>-7261413</v>
      </c>
      <c r="D25" s="44">
        <f t="shared" si="7"/>
        <v>-1538434.9810113299</v>
      </c>
      <c r="E25" s="50">
        <v>585416</v>
      </c>
      <c r="F25" s="54">
        <f t="shared" si="9"/>
        <v>-585416</v>
      </c>
      <c r="G25" s="46">
        <f t="shared" si="4"/>
        <v>-496116.64335999999</v>
      </c>
      <c r="H25" s="46">
        <f t="shared" si="5"/>
        <v>-496116.64335999999</v>
      </c>
      <c r="I25" s="47">
        <f t="shared" si="2"/>
        <v>-992233.28671999997</v>
      </c>
      <c r="J25" s="48">
        <f>9880+6300</f>
        <v>16180</v>
      </c>
      <c r="K25" s="36">
        <f t="shared" si="3"/>
        <v>16180</v>
      </c>
      <c r="L25" s="37">
        <f t="shared" si="6"/>
        <v>11326</v>
      </c>
    </row>
    <row r="26" spans="1:12" ht="32.450000000000003" customHeight="1">
      <c r="A26" s="38">
        <v>21</v>
      </c>
      <c r="B26" s="38"/>
      <c r="C26" s="51">
        <f t="shared" si="8"/>
        <v>0</v>
      </c>
      <c r="D26" s="44">
        <f t="shared" si="7"/>
        <v>0</v>
      </c>
      <c r="E26" s="50"/>
      <c r="F26" s="52">
        <f t="shared" si="9"/>
        <v>0</v>
      </c>
      <c r="G26" s="41">
        <f t="shared" si="4"/>
        <v>0</v>
      </c>
      <c r="H26" s="41">
        <f t="shared" si="5"/>
        <v>0</v>
      </c>
      <c r="I26" s="47">
        <f t="shared" si="2"/>
        <v>0</v>
      </c>
      <c r="J26" s="48"/>
      <c r="K26" s="36">
        <f t="shared" si="3"/>
        <v>0</v>
      </c>
      <c r="L26" s="37">
        <f t="shared" si="6"/>
        <v>0</v>
      </c>
    </row>
    <row r="27" spans="1:12" ht="32.450000000000003" customHeight="1">
      <c r="A27" s="43">
        <v>22</v>
      </c>
      <c r="B27" s="43"/>
      <c r="C27" s="53">
        <f t="shared" si="8"/>
        <v>0</v>
      </c>
      <c r="D27" s="44">
        <f t="shared" si="7"/>
        <v>0</v>
      </c>
      <c r="E27" s="50"/>
      <c r="F27" s="54">
        <f t="shared" si="9"/>
        <v>0</v>
      </c>
      <c r="G27" s="46">
        <f t="shared" si="4"/>
        <v>0</v>
      </c>
      <c r="H27" s="46">
        <f t="shared" si="5"/>
        <v>0</v>
      </c>
      <c r="I27" s="47">
        <f t="shared" si="2"/>
        <v>0</v>
      </c>
      <c r="J27" s="48"/>
      <c r="K27" s="36">
        <f t="shared" si="3"/>
        <v>0</v>
      </c>
      <c r="L27" s="37">
        <f t="shared" si="6"/>
        <v>0</v>
      </c>
    </row>
    <row r="28" spans="1:12" ht="32.450000000000003" customHeight="1">
      <c r="A28" s="38">
        <v>23</v>
      </c>
      <c r="B28" s="38"/>
      <c r="C28" s="51">
        <f t="shared" si="8"/>
        <v>0</v>
      </c>
      <c r="D28" s="44">
        <f t="shared" si="7"/>
        <v>0</v>
      </c>
      <c r="E28" s="50"/>
      <c r="F28" s="52">
        <f t="shared" si="9"/>
        <v>0</v>
      </c>
      <c r="G28" s="41">
        <f t="shared" si="4"/>
        <v>0</v>
      </c>
      <c r="H28" s="41">
        <f t="shared" si="5"/>
        <v>0</v>
      </c>
      <c r="I28" s="47">
        <f t="shared" si="2"/>
        <v>0</v>
      </c>
      <c r="J28" s="48"/>
      <c r="K28" s="36">
        <f t="shared" si="3"/>
        <v>0</v>
      </c>
      <c r="L28" s="37">
        <f t="shared" si="6"/>
        <v>0</v>
      </c>
    </row>
    <row r="29" spans="1:12" ht="32.450000000000003" customHeight="1">
      <c r="A29" s="43">
        <v>24</v>
      </c>
      <c r="B29" s="43"/>
      <c r="C29" s="53">
        <f t="shared" si="8"/>
        <v>0</v>
      </c>
      <c r="D29" s="44">
        <f t="shared" si="7"/>
        <v>0</v>
      </c>
      <c r="E29" s="50"/>
      <c r="F29" s="54">
        <f t="shared" si="9"/>
        <v>0</v>
      </c>
      <c r="G29" s="46">
        <f t="shared" si="4"/>
        <v>0</v>
      </c>
      <c r="H29" s="46">
        <f t="shared" si="5"/>
        <v>0</v>
      </c>
      <c r="I29" s="47">
        <f t="shared" si="2"/>
        <v>0</v>
      </c>
      <c r="J29" s="48"/>
      <c r="K29" s="36">
        <f t="shared" si="3"/>
        <v>0</v>
      </c>
      <c r="L29" s="37">
        <f t="shared" si="6"/>
        <v>0</v>
      </c>
    </row>
    <row r="30" spans="1:12" ht="32.450000000000003" customHeight="1">
      <c r="A30" s="38">
        <v>25</v>
      </c>
      <c r="B30" s="38"/>
      <c r="C30" s="51">
        <f t="shared" si="8"/>
        <v>0</v>
      </c>
      <c r="D30" s="44">
        <f t="shared" si="7"/>
        <v>0</v>
      </c>
      <c r="E30" s="50"/>
      <c r="F30" s="52">
        <f t="shared" si="9"/>
        <v>0</v>
      </c>
      <c r="G30" s="41">
        <f t="shared" si="4"/>
        <v>0</v>
      </c>
      <c r="H30" s="41">
        <f t="shared" si="5"/>
        <v>0</v>
      </c>
      <c r="I30" s="47">
        <f t="shared" si="2"/>
        <v>0</v>
      </c>
      <c r="J30" s="48"/>
      <c r="K30" s="36">
        <f t="shared" si="3"/>
        <v>0</v>
      </c>
      <c r="L30" s="37">
        <f t="shared" si="6"/>
        <v>0</v>
      </c>
    </row>
    <row r="31" spans="1:12" ht="32.450000000000003" customHeight="1">
      <c r="A31" s="43">
        <v>26</v>
      </c>
      <c r="B31" s="43"/>
      <c r="C31" s="53">
        <f t="shared" si="8"/>
        <v>0</v>
      </c>
      <c r="D31" s="44">
        <f t="shared" si="7"/>
        <v>0</v>
      </c>
      <c r="E31" s="50"/>
      <c r="F31" s="54">
        <f t="shared" si="9"/>
        <v>0</v>
      </c>
      <c r="G31" s="46">
        <f t="shared" si="4"/>
        <v>0</v>
      </c>
      <c r="H31" s="46">
        <f t="shared" si="5"/>
        <v>0</v>
      </c>
      <c r="I31" s="47">
        <f t="shared" si="2"/>
        <v>0</v>
      </c>
      <c r="J31" s="48"/>
      <c r="K31" s="36">
        <f t="shared" si="3"/>
        <v>0</v>
      </c>
      <c r="L31" s="37">
        <f t="shared" si="6"/>
        <v>0</v>
      </c>
    </row>
    <row r="32" spans="1:12" ht="32.450000000000003" customHeight="1">
      <c r="A32" s="38">
        <v>27</v>
      </c>
      <c r="B32" s="38"/>
      <c r="C32" s="51">
        <f t="shared" si="8"/>
        <v>0</v>
      </c>
      <c r="D32" s="44">
        <f t="shared" si="7"/>
        <v>0</v>
      </c>
      <c r="E32" s="50"/>
      <c r="F32" s="53">
        <f t="shared" si="9"/>
        <v>0</v>
      </c>
      <c r="G32" s="41">
        <f t="shared" si="4"/>
        <v>0</v>
      </c>
      <c r="H32" s="41">
        <f t="shared" si="5"/>
        <v>0</v>
      </c>
      <c r="I32" s="47">
        <f t="shared" si="2"/>
        <v>0</v>
      </c>
      <c r="J32" s="48"/>
      <c r="K32" s="36">
        <f t="shared" si="3"/>
        <v>0</v>
      </c>
      <c r="L32" s="37">
        <f t="shared" si="6"/>
        <v>0</v>
      </c>
    </row>
    <row r="33" spans="1:12" ht="32.450000000000003" customHeight="1">
      <c r="A33" s="43">
        <v>28</v>
      </c>
      <c r="B33" s="43"/>
      <c r="C33" s="53">
        <f t="shared" si="8"/>
        <v>0</v>
      </c>
      <c r="D33" s="44">
        <f t="shared" si="7"/>
        <v>0</v>
      </c>
      <c r="E33" s="50"/>
      <c r="F33" s="52">
        <f t="shared" si="9"/>
        <v>0</v>
      </c>
      <c r="G33" s="46">
        <f t="shared" si="4"/>
        <v>0</v>
      </c>
      <c r="H33" s="46">
        <f t="shared" si="5"/>
        <v>0</v>
      </c>
      <c r="I33" s="47">
        <f t="shared" si="2"/>
        <v>0</v>
      </c>
      <c r="J33" s="48"/>
      <c r="K33" s="36">
        <f t="shared" si="3"/>
        <v>0</v>
      </c>
      <c r="L33" s="37">
        <f t="shared" si="6"/>
        <v>0</v>
      </c>
    </row>
    <row r="34" spans="1:12" ht="32.450000000000003" customHeight="1">
      <c r="A34" s="38">
        <v>29</v>
      </c>
      <c r="B34" s="38"/>
      <c r="C34" s="53">
        <f t="shared" si="8"/>
        <v>0</v>
      </c>
      <c r="D34" s="44">
        <f t="shared" si="7"/>
        <v>0</v>
      </c>
      <c r="E34" s="50"/>
      <c r="F34" s="53">
        <f t="shared" si="9"/>
        <v>0</v>
      </c>
      <c r="G34" s="41">
        <f t="shared" si="4"/>
        <v>0</v>
      </c>
      <c r="H34" s="41">
        <f t="shared" si="5"/>
        <v>0</v>
      </c>
      <c r="I34" s="47">
        <f t="shared" si="2"/>
        <v>0</v>
      </c>
      <c r="J34" s="48"/>
      <c r="K34" s="36">
        <f t="shared" si="3"/>
        <v>0</v>
      </c>
      <c r="L34" s="37">
        <f t="shared" si="6"/>
        <v>0</v>
      </c>
    </row>
    <row r="35" spans="1:12" ht="32.450000000000003" customHeight="1">
      <c r="A35" s="113">
        <v>30</v>
      </c>
      <c r="B35" s="114"/>
      <c r="C35" s="115">
        <f t="shared" si="8"/>
        <v>0</v>
      </c>
      <c r="D35" s="116">
        <f t="shared" si="7"/>
        <v>0</v>
      </c>
      <c r="E35" s="108"/>
      <c r="F35" s="115">
        <f t="shared" si="9"/>
        <v>0</v>
      </c>
      <c r="G35" s="117">
        <f t="shared" si="4"/>
        <v>0</v>
      </c>
      <c r="H35" s="117">
        <f t="shared" si="5"/>
        <v>0</v>
      </c>
      <c r="I35" s="118">
        <f t="shared" si="2"/>
        <v>0</v>
      </c>
      <c r="J35" s="119"/>
      <c r="K35" s="120">
        <f t="shared" si="3"/>
        <v>0</v>
      </c>
      <c r="L35" s="37">
        <f t="shared" si="6"/>
        <v>0</v>
      </c>
    </row>
    <row r="36" spans="1:12" ht="32.450000000000003" customHeight="1">
      <c r="A36" s="110">
        <v>31</v>
      </c>
      <c r="B36" s="111"/>
      <c r="C36" s="121">
        <f t="shared" ref="C36" si="10">B37-B36</f>
        <v>0</v>
      </c>
      <c r="D36" s="122">
        <f t="shared" si="7"/>
        <v>0</v>
      </c>
      <c r="E36" s="112"/>
      <c r="F36" s="121">
        <f t="shared" ref="F36" si="11">E37-E36</f>
        <v>0</v>
      </c>
      <c r="G36" s="123">
        <f t="shared" ref="G36" si="12">F36*0.84746</f>
        <v>0</v>
      </c>
      <c r="H36" s="123">
        <f t="shared" ref="H36" si="13">F36*0.84746</f>
        <v>0</v>
      </c>
      <c r="I36" s="124">
        <f t="shared" ref="I36" si="14">G36+H36</f>
        <v>0</v>
      </c>
      <c r="J36" s="125"/>
      <c r="K36" s="126">
        <f t="shared" ref="K36" si="15">J36-J37</f>
        <v>0</v>
      </c>
      <c r="L36" s="127">
        <f>K36*0.7</f>
        <v>0</v>
      </c>
    </row>
    <row r="37" spans="1:12" ht="32.450000000000003" customHeight="1">
      <c r="A37" s="110">
        <v>1</v>
      </c>
      <c r="B37" s="111"/>
      <c r="C37" s="121">
        <f t="shared" ref="C37" si="16">B38-B37</f>
        <v>0</v>
      </c>
      <c r="D37" s="122">
        <f t="shared" ref="D37" si="17">C37*0.21186441</f>
        <v>0</v>
      </c>
      <c r="E37" s="112"/>
      <c r="F37" s="121">
        <f t="shared" ref="F37" si="18">E38-E37</f>
        <v>0</v>
      </c>
      <c r="G37" s="123">
        <f t="shared" ref="G37" si="19">F37*0.84746</f>
        <v>0</v>
      </c>
      <c r="H37" s="123">
        <f t="shared" ref="H37" si="20">F37*0.84746</f>
        <v>0</v>
      </c>
      <c r="I37" s="124">
        <f t="shared" ref="I37" si="21">G37+H37</f>
        <v>0</v>
      </c>
      <c r="J37" s="125"/>
      <c r="K37" s="126">
        <f t="shared" ref="K37" si="22">J37-J38</f>
        <v>0</v>
      </c>
      <c r="L37" s="127">
        <f>K37*0.7</f>
        <v>0</v>
      </c>
    </row>
    <row r="38" spans="1:12">
      <c r="B38" s="55"/>
      <c r="C38" s="56"/>
      <c r="D38" s="56"/>
      <c r="J38" s="55"/>
      <c r="K38" s="55"/>
      <c r="L38" s="55"/>
    </row>
    <row r="39" spans="1:12">
      <c r="B39" s="55"/>
      <c r="C39" s="56"/>
      <c r="D39" s="56"/>
      <c r="J39" s="55"/>
      <c r="K39" s="55"/>
      <c r="L39" s="55"/>
    </row>
    <row r="40" spans="1:12">
      <c r="B40" s="55"/>
      <c r="C40" s="56"/>
      <c r="D40" s="56"/>
      <c r="J40" s="55"/>
      <c r="K40" s="55"/>
      <c r="L40" s="55"/>
    </row>
    <row r="41" spans="1:12">
      <c r="B41" s="55"/>
      <c r="C41" s="56"/>
      <c r="D41" s="56"/>
      <c r="J41" s="55"/>
      <c r="K41" s="55"/>
      <c r="L41" s="55"/>
    </row>
    <row r="42" spans="1:12">
      <c r="B42" s="55"/>
      <c r="C42" s="56"/>
      <c r="D42" s="56"/>
      <c r="J42" s="55"/>
      <c r="K42" s="55"/>
      <c r="L42" s="55"/>
    </row>
    <row r="43" spans="1:12">
      <c r="B43" s="55"/>
      <c r="C43" s="56"/>
      <c r="D43" s="56"/>
      <c r="J43" s="55"/>
      <c r="K43" s="55"/>
      <c r="L43" s="55"/>
    </row>
    <row r="44" spans="1:12">
      <c r="B44" s="55"/>
      <c r="C44" s="56"/>
      <c r="D44" s="56"/>
      <c r="J44" s="55"/>
      <c r="K44" s="55"/>
      <c r="L44" s="55"/>
    </row>
    <row r="45" spans="1:12">
      <c r="B45" s="55"/>
      <c r="C45" s="56"/>
      <c r="D45" s="56"/>
      <c r="J45" s="55"/>
      <c r="K45" s="55"/>
      <c r="L45" s="55"/>
    </row>
    <row r="46" spans="1:12">
      <c r="B46" s="55"/>
      <c r="C46" s="56"/>
      <c r="D46" s="56"/>
      <c r="J46" s="55"/>
      <c r="K46" s="55"/>
      <c r="L46" s="55"/>
    </row>
    <row r="47" spans="1:12">
      <c r="B47" s="55"/>
      <c r="C47" s="56"/>
      <c r="D47" s="56"/>
      <c r="J47" s="55"/>
      <c r="K47" s="55"/>
      <c r="L47" s="55"/>
    </row>
    <row r="48" spans="1:12">
      <c r="B48" s="55"/>
      <c r="C48" s="56"/>
      <c r="D48" s="56"/>
      <c r="J48" s="55"/>
      <c r="K48" s="55"/>
      <c r="L48" s="55"/>
    </row>
    <row r="49" spans="1:12">
      <c r="A49" s="58"/>
      <c r="B49" s="55"/>
      <c r="C49" s="56"/>
      <c r="D49" s="56"/>
      <c r="J49" s="55"/>
      <c r="K49" s="55"/>
      <c r="L49" s="55"/>
    </row>
    <row r="50" spans="1:12">
      <c r="A50" s="58"/>
      <c r="B50" s="55"/>
      <c r="C50" s="56"/>
      <c r="D50" s="56"/>
      <c r="J50" s="55"/>
      <c r="K50" s="55"/>
      <c r="L50" s="55"/>
    </row>
    <row r="51" spans="1:12">
      <c r="A51" s="58"/>
      <c r="B51" s="55"/>
      <c r="C51" s="56"/>
      <c r="D51" s="56"/>
      <c r="J51" s="55"/>
      <c r="K51" s="55"/>
      <c r="L51" s="55"/>
    </row>
    <row r="52" spans="1:12">
      <c r="A52" s="58"/>
      <c r="B52" s="55"/>
      <c r="C52" s="56"/>
      <c r="D52" s="56"/>
      <c r="J52" s="55"/>
      <c r="K52" s="55"/>
      <c r="L52" s="55"/>
    </row>
    <row r="53" spans="1:12">
      <c r="A53" s="58"/>
      <c r="B53" s="55"/>
      <c r="C53" s="56"/>
      <c r="D53" s="56"/>
      <c r="J53" s="55"/>
      <c r="K53" s="55"/>
      <c r="L53" s="55"/>
    </row>
    <row r="54" spans="1:12">
      <c r="A54" s="58"/>
      <c r="B54" s="55"/>
      <c r="C54" s="56"/>
      <c r="D54" s="56"/>
      <c r="J54" s="55"/>
      <c r="K54" s="55"/>
      <c r="L54" s="55"/>
    </row>
    <row r="55" spans="1:12">
      <c r="A55" s="58"/>
      <c r="B55" s="55"/>
      <c r="C55" s="56"/>
      <c r="D55" s="56"/>
      <c r="J55" s="55"/>
      <c r="K55" s="55"/>
      <c r="L55" s="55"/>
    </row>
    <row r="56" spans="1:12">
      <c r="A56" s="58"/>
      <c r="B56" s="55"/>
      <c r="C56" s="56"/>
      <c r="D56" s="56"/>
      <c r="J56" s="55"/>
      <c r="K56" s="55"/>
      <c r="L56" s="55"/>
    </row>
    <row r="57" spans="1:12">
      <c r="A57" s="58"/>
      <c r="B57" s="55"/>
      <c r="C57" s="56"/>
      <c r="D57" s="56"/>
      <c r="J57" s="55"/>
      <c r="K57" s="55"/>
      <c r="L57" s="55"/>
    </row>
    <row r="58" spans="1:12">
      <c r="A58" s="58"/>
      <c r="B58" s="55"/>
      <c r="C58" s="56"/>
      <c r="D58" s="56"/>
      <c r="J58" s="55"/>
      <c r="K58" s="55"/>
      <c r="L58" s="55"/>
    </row>
    <row r="59" spans="1:12">
      <c r="A59" s="58"/>
      <c r="B59" s="55"/>
      <c r="C59" s="56"/>
      <c r="D59" s="56"/>
      <c r="J59" s="55"/>
      <c r="K59" s="55"/>
      <c r="L59" s="55"/>
    </row>
    <row r="60" spans="1:12">
      <c r="A60" s="58"/>
      <c r="B60" s="55"/>
      <c r="C60" s="56"/>
      <c r="D60" s="56"/>
      <c r="J60" s="55"/>
      <c r="K60" s="55"/>
      <c r="L60" s="55"/>
    </row>
    <row r="61" spans="1:12">
      <c r="A61" s="58"/>
      <c r="B61" s="55"/>
      <c r="C61" s="56"/>
      <c r="D61" s="56"/>
      <c r="J61" s="55"/>
      <c r="K61" s="55"/>
      <c r="L61" s="55"/>
    </row>
    <row r="62" spans="1:12">
      <c r="A62" s="58"/>
      <c r="B62" s="55"/>
      <c r="C62" s="56"/>
      <c r="D62" s="56"/>
      <c r="J62" s="55"/>
      <c r="K62" s="55"/>
      <c r="L62" s="55"/>
    </row>
    <row r="63" spans="1:12">
      <c r="A63" s="58"/>
      <c r="B63" s="55"/>
      <c r="C63" s="56"/>
      <c r="D63" s="56"/>
      <c r="J63" s="55"/>
      <c r="K63" s="55"/>
      <c r="L63" s="55"/>
    </row>
    <row r="64" spans="1:12">
      <c r="A64" s="58"/>
      <c r="B64" s="55"/>
      <c r="C64" s="56"/>
      <c r="D64" s="56"/>
      <c r="J64" s="55"/>
      <c r="K64" s="55"/>
      <c r="L64" s="55"/>
    </row>
    <row r="65" spans="1:12">
      <c r="A65" s="58"/>
      <c r="B65" s="55"/>
      <c r="C65" s="56"/>
      <c r="D65" s="56"/>
      <c r="J65" s="55"/>
      <c r="K65" s="55"/>
      <c r="L65" s="55"/>
    </row>
    <row r="66" spans="1:12">
      <c r="A66" s="58"/>
      <c r="B66" s="55"/>
      <c r="C66" s="56"/>
      <c r="D66" s="56"/>
      <c r="J66" s="55"/>
      <c r="K66" s="55"/>
      <c r="L66" s="55"/>
    </row>
    <row r="67" spans="1:12">
      <c r="A67" s="58"/>
      <c r="B67" s="55"/>
      <c r="C67" s="56"/>
      <c r="D67" s="56"/>
      <c r="J67" s="55"/>
      <c r="K67" s="55"/>
      <c r="L67" s="55"/>
    </row>
    <row r="68" spans="1:12">
      <c r="A68" s="58"/>
      <c r="B68" s="55"/>
      <c r="C68" s="56"/>
      <c r="D68" s="56"/>
      <c r="J68" s="55"/>
      <c r="K68" s="55"/>
      <c r="L68" s="55"/>
    </row>
    <row r="69" spans="1:12">
      <c r="A69" s="58"/>
      <c r="B69" s="55"/>
      <c r="C69" s="56"/>
      <c r="D69" s="56"/>
      <c r="J69" s="55"/>
      <c r="K69" s="55"/>
      <c r="L69" s="55"/>
    </row>
    <row r="70" spans="1:12">
      <c r="A70" s="58"/>
      <c r="B70" s="55"/>
      <c r="C70" s="56"/>
      <c r="D70" s="56"/>
      <c r="J70" s="55"/>
      <c r="K70" s="55"/>
      <c r="L70" s="55"/>
    </row>
    <row r="71" spans="1:12">
      <c r="A71" s="58"/>
      <c r="B71" s="55"/>
      <c r="C71" s="56"/>
      <c r="D71" s="56"/>
      <c r="J71" s="55"/>
      <c r="K71" s="55"/>
      <c r="L71" s="55"/>
    </row>
    <row r="72" spans="1:12">
      <c r="A72" s="58"/>
      <c r="B72" s="55"/>
      <c r="C72" s="56"/>
      <c r="D72" s="56"/>
      <c r="J72" s="55"/>
      <c r="K72" s="55"/>
      <c r="L72" s="55"/>
    </row>
    <row r="73" spans="1:12">
      <c r="A73" s="58"/>
      <c r="B73" s="55"/>
      <c r="C73" s="56"/>
      <c r="D73" s="56"/>
      <c r="J73" s="55"/>
      <c r="K73" s="55"/>
      <c r="L73" s="55"/>
    </row>
    <row r="74" spans="1:12">
      <c r="A74" s="58"/>
      <c r="B74" s="55"/>
      <c r="C74" s="56"/>
      <c r="D74" s="56"/>
      <c r="J74" s="55"/>
      <c r="K74" s="55"/>
      <c r="L74" s="55"/>
    </row>
    <row r="75" spans="1:12">
      <c r="A75" s="58"/>
      <c r="B75" s="55"/>
      <c r="C75" s="56"/>
      <c r="D75" s="56"/>
      <c r="J75" s="55"/>
      <c r="K75" s="55"/>
      <c r="L75" s="55"/>
    </row>
    <row r="76" spans="1:12">
      <c r="A76" s="58"/>
      <c r="B76" s="55"/>
      <c r="C76" s="56"/>
      <c r="D76" s="56"/>
      <c r="J76" s="55"/>
      <c r="K76" s="55"/>
      <c r="L76" s="55"/>
    </row>
    <row r="77" spans="1:12">
      <c r="A77" s="58"/>
      <c r="B77" s="55"/>
      <c r="C77" s="56"/>
      <c r="D77" s="56"/>
      <c r="J77" s="55"/>
      <c r="K77" s="55"/>
      <c r="L77" s="55"/>
    </row>
    <row r="78" spans="1:12">
      <c r="A78" s="58"/>
      <c r="B78" s="55"/>
      <c r="C78" s="56"/>
      <c r="D78" s="56"/>
      <c r="J78" s="55"/>
      <c r="K78" s="55"/>
      <c r="L78" s="55"/>
    </row>
    <row r="79" spans="1:12">
      <c r="A79" s="58"/>
      <c r="B79" s="55"/>
      <c r="C79" s="56"/>
      <c r="D79" s="56"/>
      <c r="J79" s="55"/>
      <c r="K79" s="55"/>
      <c r="L79" s="55"/>
    </row>
    <row r="80" spans="1:12">
      <c r="A80" s="58"/>
      <c r="B80" s="55"/>
      <c r="C80" s="56"/>
      <c r="D80" s="56"/>
      <c r="J80" s="55"/>
      <c r="K80" s="55"/>
      <c r="L80" s="55"/>
    </row>
    <row r="81" spans="1:12">
      <c r="A81" s="58"/>
      <c r="B81" s="55"/>
      <c r="C81" s="56"/>
      <c r="D81" s="56"/>
      <c r="J81" s="55"/>
      <c r="K81" s="55"/>
      <c r="L81" s="55"/>
    </row>
    <row r="82" spans="1:12">
      <c r="A82" s="58"/>
      <c r="B82" s="55"/>
      <c r="C82" s="56"/>
      <c r="D82" s="56"/>
      <c r="J82" s="55"/>
      <c r="K82" s="55"/>
      <c r="L82" s="55"/>
    </row>
    <row r="83" spans="1:12">
      <c r="A83" s="58"/>
      <c r="B83" s="55"/>
      <c r="C83" s="56"/>
      <c r="D83" s="56"/>
      <c r="J83" s="55"/>
      <c r="K83" s="55"/>
      <c r="L83" s="55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2702E74CCC4042A0526E91882C5327" ma:contentTypeVersion="10" ma:contentTypeDescription="Create a new document." ma:contentTypeScope="" ma:versionID="4048d3e4ea44297a412927d26ce16be3">
  <xsd:schema xmlns:xsd="http://www.w3.org/2001/XMLSchema" xmlns:xs="http://www.w3.org/2001/XMLSchema" xmlns:p="http://schemas.microsoft.com/office/2006/metadata/properties" xmlns:ns2="168a0297-c11a-4c1e-b171-761d00e04df6" xmlns:ns3="3b72a257-011e-4ccc-ade1-d8b2acea7b26" targetNamespace="http://schemas.microsoft.com/office/2006/metadata/properties" ma:root="true" ma:fieldsID="236d5ec305b82333c90270d361a0ffb1" ns2:_="" ns3:_="">
    <xsd:import namespace="168a0297-c11a-4c1e-b171-761d00e04df6"/>
    <xsd:import namespace="3b72a257-011e-4ccc-ade1-d8b2acea7b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8a0297-c11a-4c1e-b171-761d00e04d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72a257-011e-4ccc-ade1-d8b2acea7b2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bf69de48-76fb-4a53-a260-1d4cfa336fac}" ma:internalName="TaxCatchAll" ma:showField="CatchAllData" ma:web="3b72a257-011e-4ccc-ade1-d8b2acea7b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72a257-011e-4ccc-ade1-d8b2acea7b26" xsi:nil="true"/>
    <lcf76f155ced4ddcb4097134ff3c332f xmlns="168a0297-c11a-4c1e-b171-761d00e04df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169A055-6880-4B7E-B153-32E81666CB30}"/>
</file>

<file path=customXml/itemProps2.xml><?xml version="1.0" encoding="utf-8"?>
<ds:datastoreItem xmlns:ds="http://schemas.openxmlformats.org/officeDocument/2006/customXml" ds:itemID="{7D32A88E-4F20-4310-AD4B-B43665ADED7A}"/>
</file>

<file path=customXml/itemProps3.xml><?xml version="1.0" encoding="utf-8"?>
<ds:datastoreItem xmlns:ds="http://schemas.openxmlformats.org/officeDocument/2006/customXml" ds:itemID="{B764E2F0-68A0-4923-AC43-D41B6713ED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2022-12-21T07:56:51Z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0x010100E32702E74CCC4042A0526E91882C5327</vt:lpwstr>
  </property>
  <property fmtid="{D5CDD505-2E9C-101B-9397-08002B2CF9AE}" pid="3" name="MediaServiceImageTags">
    <vt:lpwstr/>
  </property>
</Properties>
</file>