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EC2F98A3-AF91-470E-95D9-1586BF2DBD37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L31" i="31" l="1"/>
  <c r="I31" i="31"/>
  <c r="G31" i="31"/>
  <c r="L28" i="31" l="1"/>
  <c r="L29" i="31"/>
  <c r="L30" i="31"/>
  <c r="I28" i="31"/>
  <c r="I29" i="31"/>
  <c r="I30" i="31"/>
  <c r="G28" i="31"/>
  <c r="G29" i="31"/>
  <c r="G30" i="31"/>
  <c r="L27" i="31" l="1"/>
  <c r="G27" i="31"/>
  <c r="I27" i="31"/>
  <c r="L25" i="31" l="1"/>
  <c r="L26" i="31"/>
  <c r="I26" i="31"/>
  <c r="G26" i="31"/>
  <c r="I25" i="31" l="1"/>
  <c r="G25" i="31"/>
  <c r="G24" i="31" l="1"/>
  <c r="L24" i="31"/>
  <c r="I24" i="31"/>
  <c r="L11" i="31" l="1"/>
  <c r="L12" i="31"/>
  <c r="L13" i="31"/>
  <c r="L14" i="31"/>
  <c r="L15" i="31"/>
  <c r="L16" i="31"/>
  <c r="L17" i="31"/>
  <c r="L18" i="31"/>
  <c r="L19" i="31"/>
  <c r="L20" i="31"/>
  <c r="L21" i="31"/>
  <c r="L22" i="31"/>
  <c r="L23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11" i="31"/>
  <c r="G23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<sst xmlns="http://schemas.openxmlformats.org/spreadsheetml/2006/main" count="66" uniqueCount="32">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</sst>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5" sqref="D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59000</v>
      </c>
      <c r="J8" s="10">
        <v>3.61E-2</v>
      </c>
      <c r="K8" s="1">
        <f>'June 2021'!I11</f>
        <v>121</v>
      </c>
      <c r="L8" s="10">
        <v>0.75</v>
      </c>
      <c r="M8" s="10">
        <f>'June 2021'!L11</f>
        <v>315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56000</v>
      </c>
      <c r="J9" s="10">
        <v>3.61E-2</v>
      </c>
      <c r="K9" s="1">
        <f>'June 2021'!I12</f>
        <v>182</v>
      </c>
      <c r="L9" s="10">
        <v>0.75</v>
      </c>
      <c r="M9" s="10">
        <f>'June 2021'!L12</f>
        <v>265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54000</v>
      </c>
      <c r="J10" s="10">
        <v>3.61E-2</v>
      </c>
      <c r="K10" s="1">
        <f>'June 2021'!I13</f>
        <v>72</v>
      </c>
      <c r="L10" s="10">
        <v>0.75</v>
      </c>
      <c r="M10" s="10">
        <f>'June 2021'!L13</f>
        <v>274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57000</v>
      </c>
      <c r="J11" s="10">
        <v>3.61E-2</v>
      </c>
      <c r="K11" s="1">
        <f>'June 2021'!I14</f>
        <v>60</v>
      </c>
      <c r="L11" s="10">
        <v>0.75</v>
      </c>
      <c r="M11" s="10">
        <f>'June 2021'!L14</f>
        <v>319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55000</v>
      </c>
      <c r="J12" s="10">
        <v>3.61E-2</v>
      </c>
      <c r="K12" s="1">
        <f>'June 2021'!I15</f>
        <v>209</v>
      </c>
      <c r="L12" s="10">
        <v>0.75</v>
      </c>
      <c r="M12" s="10">
        <f>'June 2021'!L15</f>
        <v>206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21005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53000</v>
      </c>
      <c r="J13" s="10">
        <v>3.61E-2</v>
      </c>
      <c r="K13" s="1">
        <f>'June 2021'!I16</f>
        <v>108</v>
      </c>
      <c r="L13" s="10">
        <v>0.75</v>
      </c>
      <c r="M13" s="10">
        <f>'June 2021'!L16</f>
        <v>346</v>
      </c>
      <c r="N13" s="10">
        <v>0.56299999999999994</v>
      </c>
      <c r="O13" s="14">
        <f>'June 2021'!D16</f>
        <v>14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21009</v>
      </c>
      <c r="F14" s="10">
        <v>2.9000000000000001E-2</v>
      </c>
      <c r="G14" s="1">
        <f>'June 2021'!J17</f>
        <v>2970</v>
      </c>
      <c r="H14" s="10">
        <v>0.112</v>
      </c>
      <c r="I14" s="1">
        <f>'June 2021'!G17*1000</f>
        <v>50000</v>
      </c>
      <c r="J14" s="10">
        <v>3.61E-2</v>
      </c>
      <c r="K14" s="1">
        <f>'June 2021'!I17</f>
        <v>107</v>
      </c>
      <c r="L14" s="10">
        <v>0.75</v>
      </c>
      <c r="M14" s="10">
        <f>'June 2021'!L17</f>
        <v>297</v>
      </c>
      <c r="N14" s="10">
        <v>0.56299999999999994</v>
      </c>
      <c r="O14" s="14">
        <f>'June 2021'!D17</f>
        <v>20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20324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50000</v>
      </c>
      <c r="J15" s="10">
        <v>3.61E-2</v>
      </c>
      <c r="K15" s="1">
        <f>'June 2021'!I18</f>
        <v>19</v>
      </c>
      <c r="L15" s="10">
        <v>0.75</v>
      </c>
      <c r="M15" s="10">
        <f>'June 2021'!L18</f>
        <v>317</v>
      </c>
      <c r="N15" s="10">
        <v>0.56299999999999994</v>
      </c>
      <c r="O15" s="14">
        <f>'June 2021'!D18</f>
        <v>23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20655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52000</v>
      </c>
      <c r="J16" s="10">
        <v>3.61E-2</v>
      </c>
      <c r="K16" s="1">
        <f>'June 2021'!I19</f>
        <v>126</v>
      </c>
      <c r="L16" s="10">
        <v>0.75</v>
      </c>
      <c r="M16" s="10">
        <f>'June 2021'!L19</f>
        <v>312</v>
      </c>
      <c r="N16" s="10">
        <v>0.56299999999999994</v>
      </c>
      <c r="O16" s="14">
        <f>'June 2021'!D19</f>
        <v>21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20187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53000</v>
      </c>
      <c r="J17" s="10">
        <v>3.61E-2</v>
      </c>
      <c r="K17" s="1">
        <f>'June 2021'!I20</f>
        <v>123</v>
      </c>
      <c r="L17" s="10">
        <v>0.75</v>
      </c>
      <c r="M17" s="10">
        <f>'June 2021'!L20</f>
        <v>297</v>
      </c>
      <c r="N17" s="10">
        <v>0.56299999999999994</v>
      </c>
      <c r="O17" s="14">
        <f>'June 2021'!D20</f>
        <v>25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20176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48000</v>
      </c>
      <c r="J18" s="10">
        <v>3.61E-2</v>
      </c>
      <c r="K18" s="1">
        <f>'June 2021'!I21</f>
        <v>49</v>
      </c>
      <c r="L18" s="10">
        <v>0.75</v>
      </c>
      <c r="M18" s="10">
        <f>'June 2021'!L21</f>
        <v>321</v>
      </c>
      <c r="N18" s="10">
        <v>0.56299999999999994</v>
      </c>
      <c r="O18" s="14">
        <f>'June 2021'!D21</f>
        <v>33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20491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49000</v>
      </c>
      <c r="J19" s="10">
        <v>3.61E-2</v>
      </c>
      <c r="K19" s="1">
        <f>'June 2021'!I22</f>
        <v>128</v>
      </c>
      <c r="L19" s="10">
        <v>0.75</v>
      </c>
      <c r="M19" s="10">
        <f>'June 2021'!L22</f>
        <v>251</v>
      </c>
      <c r="N19" s="10">
        <v>0.56299999999999994</v>
      </c>
      <c r="O19" s="14">
        <f>'June 2021'!D22</f>
        <v>29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21346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53000</v>
      </c>
      <c r="J20" s="10">
        <v>3.61E-2</v>
      </c>
      <c r="K20" s="1">
        <f>'June 2021'!I23</f>
        <v>101</v>
      </c>
      <c r="L20" s="10">
        <v>0.75</v>
      </c>
      <c r="M20" s="10">
        <f>'June 2021'!L23</f>
        <v>310</v>
      </c>
      <c r="N20" s="10">
        <v>0.56299999999999994</v>
      </c>
      <c r="O20" s="14">
        <f>'June 2021'!D23</f>
        <v>23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20496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53000</v>
      </c>
      <c r="J21" s="10">
        <v>3.61E-2</v>
      </c>
      <c r="K21" s="1">
        <f>'June 2021'!I23</f>
        <v>101</v>
      </c>
      <c r="L21" s="10">
        <v>0.75</v>
      </c>
      <c r="M21" s="10">
        <f>'June 2021'!L24</f>
        <v>289</v>
      </c>
      <c r="N21" s="10">
        <v>0.56299999999999994</v>
      </c>
      <c r="O21" s="14">
        <f>'June 2021'!D24</f>
        <v>30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19923</v>
      </c>
      <c r="F22" s="10">
        <v>2.9000000000000001E-2</v>
      </c>
      <c r="G22" s="1">
        <f>'June 2021'!J24</f>
        <v>2970</v>
      </c>
      <c r="H22" s="10">
        <v>0.112</v>
      </c>
      <c r="I22" s="1">
        <f>'June 2021'!G26*1000</f>
        <v>50000</v>
      </c>
      <c r="J22" s="10">
        <v>3.61E-2</v>
      </c>
      <c r="K22" s="1">
        <f>'June 2021'!I24</f>
        <v>128</v>
      </c>
      <c r="L22" s="10">
        <v>0.75</v>
      </c>
      <c r="M22" s="10">
        <f>'June 2021'!L25</f>
        <v>323</v>
      </c>
      <c r="N22" s="10">
        <v>0.56299999999999994</v>
      </c>
      <c r="O22" s="14">
        <f>'June 2021'!D25</f>
        <v>27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20387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58000</v>
      </c>
      <c r="J23" s="10">
        <v>3.61E-2</v>
      </c>
      <c r="K23" s="1">
        <f>'June 2021'!I26</f>
        <v>119</v>
      </c>
      <c r="L23" s="10">
        <v>0.75</v>
      </c>
      <c r="M23" s="10">
        <f>'June 2021'!L26</f>
        <v>286</v>
      </c>
      <c r="N23" s="10">
        <v>0.56299999999999994</v>
      </c>
      <c r="O23" s="14">
        <f>'June 2021'!D26</f>
        <v>27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20536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58000</v>
      </c>
      <c r="J24" s="10">
        <v>3.61E-2</v>
      </c>
      <c r="K24" s="1">
        <f>'June 2021'!I27</f>
        <v>45</v>
      </c>
      <c r="L24" s="10">
        <v>0.75</v>
      </c>
      <c r="M24" s="10">
        <f>'June 2021'!L27</f>
        <v>298</v>
      </c>
      <c r="N24" s="10">
        <v>0.56299999999999994</v>
      </c>
      <c r="O24" s="14">
        <f>'June 2021'!D27</f>
        <v>29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20198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57000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363</v>
      </c>
      <c r="N25" s="10">
        <v>0.56299999999999994</v>
      </c>
      <c r="O25" s="14">
        <f>'June 2021'!D28</f>
        <v>41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21987</v>
      </c>
      <c r="F26" s="10">
        <v>2.9000000000000001E-2</v>
      </c>
      <c r="G26" s="1">
        <f>'June 2021'!J29</f>
        <v>2970</v>
      </c>
      <c r="H26" s="10">
        <v>0.112</v>
      </c>
      <c r="I26" s="1">
        <f>'June 2021'!G29*1000</f>
        <v>49000</v>
      </c>
      <c r="J26" s="10">
        <v>3.61E-2</v>
      </c>
      <c r="K26" s="1">
        <f>'June 2021'!I29</f>
        <v>116</v>
      </c>
      <c r="L26" s="10">
        <v>0.75</v>
      </c>
      <c r="M26" s="10">
        <f>'June 2021'!L29</f>
        <v>354</v>
      </c>
      <c r="N26" s="10">
        <v>0.56299999999999994</v>
      </c>
      <c r="O26" s="14">
        <f>'June 2021'!D29</f>
        <v>56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21567</v>
      </c>
      <c r="F27" s="10">
        <v>2.9000000000000001E-2</v>
      </c>
      <c r="G27" s="1">
        <f>'June 2021'!J30</f>
        <v>2970</v>
      </c>
      <c r="H27" s="10">
        <v>0.112</v>
      </c>
      <c r="I27" s="1">
        <f>'June 2021'!G30*1000</f>
        <v>52000</v>
      </c>
      <c r="J27" s="10">
        <v>3.61E-2</v>
      </c>
      <c r="K27" s="1">
        <f>'June 2021'!I30</f>
        <v>156</v>
      </c>
      <c r="L27" s="10">
        <v>0.75</v>
      </c>
      <c r="M27" s="10">
        <f>'June 2021'!L30</f>
        <v>322</v>
      </c>
      <c r="N27" s="10">
        <v>0.56299999999999994</v>
      </c>
      <c r="O27" s="14">
        <f>'June 2021'!D30</f>
        <v>36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20975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55000</v>
      </c>
      <c r="J28" s="10">
        <v>3.61E-2</v>
      </c>
      <c r="K28" s="1">
        <f>'June 2021'!I31</f>
        <v>69</v>
      </c>
      <c r="L28" s="10">
        <v>0.75</v>
      </c>
      <c r="M28" s="10">
        <f>'June 2021'!L31</f>
        <v>272</v>
      </c>
      <c r="N28" s="10">
        <v>0.56299999999999994</v>
      </c>
      <c r="O28" s="14">
        <f>'June 2021'!D31</f>
        <v>35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32" sqref="J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31" si="0">F7-F6</f>
        <v>56</v>
      </c>
      <c r="H6" s="5">
        <v>482422</v>
      </c>
      <c r="I6" s="3">
        <f t="shared" ref="I6:I31" si="1">H7-H6</f>
        <v>212</v>
      </c>
      <c r="J6" s="3">
        <v>0</v>
      </c>
      <c r="K6" s="4">
        <v>286215</v>
      </c>
      <c r="L6" s="9">
        <f t="shared" ref="L6:L31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59</v>
      </c>
      <c r="H11" s="7">
        <v>483024</v>
      </c>
      <c r="I11" s="3">
        <f t="shared" si="1"/>
        <v>121</v>
      </c>
      <c r="J11" s="3">
        <v>0</v>
      </c>
      <c r="K11" s="4">
        <v>287633</v>
      </c>
      <c r="L11" s="9">
        <f t="shared" si="2"/>
        <v>315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28">
        <v>189489</v>
      </c>
      <c r="G12" s="8">
        <f t="shared" si="0"/>
        <v>56</v>
      </c>
      <c r="H12" s="7">
        <v>483145</v>
      </c>
      <c r="I12" s="3">
        <f t="shared" si="1"/>
        <v>182</v>
      </c>
      <c r="J12" s="3">
        <v>2970</v>
      </c>
      <c r="K12" s="4">
        <v>287948</v>
      </c>
      <c r="L12" s="9">
        <f t="shared" si="2"/>
        <v>265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4">
        <v>189545</v>
      </c>
      <c r="G13" s="8">
        <f t="shared" si="0"/>
        <v>54</v>
      </c>
      <c r="H13" s="16">
        <v>483327</v>
      </c>
      <c r="I13" s="3">
        <f t="shared" si="1"/>
        <v>72</v>
      </c>
      <c r="J13" s="3">
        <v>0</v>
      </c>
      <c r="K13" s="29">
        <v>288213</v>
      </c>
      <c r="L13" s="9">
        <f t="shared" si="2"/>
        <v>274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189599</v>
      </c>
      <c r="G14" s="8">
        <f t="shared" si="0"/>
        <v>57</v>
      </c>
      <c r="H14" s="16">
        <v>483399</v>
      </c>
      <c r="I14" s="3">
        <f t="shared" si="1"/>
        <v>60</v>
      </c>
      <c r="J14" s="3">
        <v>0</v>
      </c>
      <c r="K14" s="28">
        <v>288487</v>
      </c>
      <c r="L14" s="9">
        <f t="shared" si="2"/>
        <v>319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189656</v>
      </c>
      <c r="G15" s="8">
        <f t="shared" si="0"/>
        <v>55</v>
      </c>
      <c r="H15" s="31">
        <v>483459</v>
      </c>
      <c r="I15" s="3">
        <f t="shared" si="1"/>
        <v>209</v>
      </c>
      <c r="J15" s="3">
        <v>0</v>
      </c>
      <c r="K15" s="29">
        <v>288806</v>
      </c>
      <c r="L15" s="9">
        <f t="shared" si="2"/>
        <v>206</v>
      </c>
      <c r="N15" s="1"/>
    </row>
    <row r="16" spans="1:14" ht="13.5" customHeight="1" x14ac:dyDescent="0.2">
      <c r="B16" s="2">
        <v>12</v>
      </c>
      <c r="C16" s="11">
        <v>44359</v>
      </c>
      <c r="D16" s="7">
        <v>14</v>
      </c>
      <c r="E16" s="12">
        <v>21005</v>
      </c>
      <c r="F16" s="29">
        <v>189711</v>
      </c>
      <c r="G16" s="8">
        <f t="shared" si="0"/>
        <v>53</v>
      </c>
      <c r="H16" s="31">
        <v>483668</v>
      </c>
      <c r="I16" s="3">
        <f t="shared" si="1"/>
        <v>108</v>
      </c>
      <c r="J16" s="3">
        <v>0</v>
      </c>
      <c r="K16" s="29">
        <v>289012</v>
      </c>
      <c r="L16" s="9">
        <f t="shared" si="2"/>
        <v>346</v>
      </c>
      <c r="N16" s="1"/>
    </row>
    <row r="17" spans="1:14" x14ac:dyDescent="0.2">
      <c r="B17" s="2">
        <v>13</v>
      </c>
      <c r="C17" s="11">
        <v>44360</v>
      </c>
      <c r="D17" s="7">
        <v>20</v>
      </c>
      <c r="E17" s="12">
        <v>21009</v>
      </c>
      <c r="F17" s="4">
        <v>189764</v>
      </c>
      <c r="G17" s="8">
        <f t="shared" si="0"/>
        <v>50</v>
      </c>
      <c r="H17" s="7">
        <v>483776</v>
      </c>
      <c r="I17" s="3">
        <f t="shared" si="1"/>
        <v>107</v>
      </c>
      <c r="J17" s="3">
        <v>2970</v>
      </c>
      <c r="K17" s="4">
        <v>289358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44361</v>
      </c>
      <c r="D18" s="7">
        <v>23</v>
      </c>
      <c r="E18" s="31">
        <v>20324</v>
      </c>
      <c r="F18" s="4">
        <v>189814</v>
      </c>
      <c r="G18" s="8">
        <f t="shared" si="0"/>
        <v>50</v>
      </c>
      <c r="H18" s="7">
        <v>483883</v>
      </c>
      <c r="I18" s="3">
        <f t="shared" si="1"/>
        <v>19</v>
      </c>
      <c r="J18" s="3">
        <v>0</v>
      </c>
      <c r="K18" s="4">
        <v>289655</v>
      </c>
      <c r="L18" s="9">
        <f t="shared" si="2"/>
        <v>317</v>
      </c>
      <c r="N18" s="1"/>
    </row>
    <row r="19" spans="1:14" x14ac:dyDescent="0.2">
      <c r="B19" s="2">
        <v>15</v>
      </c>
      <c r="C19" s="11">
        <v>44362</v>
      </c>
      <c r="D19" s="7">
        <v>21</v>
      </c>
      <c r="E19" s="31">
        <v>20655</v>
      </c>
      <c r="F19" s="4">
        <v>189864</v>
      </c>
      <c r="G19" s="8">
        <f t="shared" si="0"/>
        <v>46</v>
      </c>
      <c r="H19" s="7">
        <v>483902</v>
      </c>
      <c r="I19" s="3">
        <f t="shared" si="1"/>
        <v>126</v>
      </c>
      <c r="J19" s="3">
        <v>0</v>
      </c>
      <c r="K19" s="4">
        <v>289972</v>
      </c>
      <c r="L19" s="9">
        <f t="shared" si="2"/>
        <v>312</v>
      </c>
      <c r="N19" s="1"/>
    </row>
    <row r="20" spans="1:14" x14ac:dyDescent="0.2">
      <c r="A20" t="s">
        <v>28</v>
      </c>
      <c r="B20" s="2">
        <v>16</v>
      </c>
      <c r="C20" s="11">
        <v>44363</v>
      </c>
      <c r="D20" s="7">
        <v>25</v>
      </c>
      <c r="E20" s="31">
        <v>20187</v>
      </c>
      <c r="F20" s="29">
        <v>189910</v>
      </c>
      <c r="G20" s="8">
        <f t="shared" si="0"/>
        <v>52</v>
      </c>
      <c r="H20" s="31">
        <v>484028</v>
      </c>
      <c r="I20" s="3">
        <f t="shared" si="1"/>
        <v>123</v>
      </c>
      <c r="J20" s="25">
        <v>0</v>
      </c>
      <c r="K20" s="4">
        <v>290284</v>
      </c>
      <c r="L20" s="9">
        <f t="shared" si="2"/>
        <v>297</v>
      </c>
      <c r="N20" s="1"/>
    </row>
    <row r="21" spans="1:14" x14ac:dyDescent="0.2">
      <c r="B21" s="2">
        <v>17</v>
      </c>
      <c r="C21" s="11">
        <v>44364</v>
      </c>
      <c r="D21" s="7">
        <v>33</v>
      </c>
      <c r="E21" s="7">
        <v>20176</v>
      </c>
      <c r="F21" s="29">
        <v>189962</v>
      </c>
      <c r="G21" s="8">
        <f t="shared" si="0"/>
        <v>53</v>
      </c>
      <c r="H21" s="32">
        <v>484151</v>
      </c>
      <c r="I21" s="3">
        <f t="shared" si="1"/>
        <v>49</v>
      </c>
      <c r="J21" s="33">
        <v>0</v>
      </c>
      <c r="K21" s="24">
        <v>290581</v>
      </c>
      <c r="L21" s="9">
        <f t="shared" si="2"/>
        <v>321</v>
      </c>
      <c r="N21" s="1"/>
    </row>
    <row r="22" spans="1:14" x14ac:dyDescent="0.2">
      <c r="B22" s="2">
        <v>18</v>
      </c>
      <c r="C22" s="11">
        <v>44365</v>
      </c>
      <c r="D22" s="7">
        <v>29</v>
      </c>
      <c r="E22" s="7">
        <v>20491</v>
      </c>
      <c r="F22" s="4">
        <v>190015</v>
      </c>
      <c r="G22" s="8">
        <f t="shared" si="0"/>
        <v>48</v>
      </c>
      <c r="H22" s="33">
        <v>484200</v>
      </c>
      <c r="I22" s="3">
        <f t="shared" si="1"/>
        <v>128</v>
      </c>
      <c r="J22" s="3">
        <v>0</v>
      </c>
      <c r="K22" s="29">
        <v>290902</v>
      </c>
      <c r="L22" s="9">
        <f t="shared" si="2"/>
        <v>251</v>
      </c>
      <c r="N22" s="1"/>
    </row>
    <row r="23" spans="1:14" x14ac:dyDescent="0.2">
      <c r="B23" s="2">
        <v>19</v>
      </c>
      <c r="C23" s="11">
        <v>44366</v>
      </c>
      <c r="D23" s="7">
        <v>23</v>
      </c>
      <c r="E23" s="31">
        <v>21346</v>
      </c>
      <c r="F23" s="4">
        <v>190063</v>
      </c>
      <c r="G23" s="8">
        <f t="shared" si="0"/>
        <v>49</v>
      </c>
      <c r="H23" s="4">
        <v>484328</v>
      </c>
      <c r="I23" s="3">
        <f t="shared" si="1"/>
        <v>101</v>
      </c>
      <c r="J23" s="3">
        <v>0</v>
      </c>
      <c r="K23" s="29">
        <v>291153</v>
      </c>
      <c r="L23" s="9">
        <f t="shared" si="2"/>
        <v>310</v>
      </c>
      <c r="N23" s="1"/>
    </row>
    <row r="24" spans="1:14" ht="12" customHeight="1" x14ac:dyDescent="0.2">
      <c r="B24" s="2">
        <v>20</v>
      </c>
      <c r="C24" s="11">
        <v>44367</v>
      </c>
      <c r="D24" s="7">
        <v>30</v>
      </c>
      <c r="E24" s="31">
        <v>20496</v>
      </c>
      <c r="F24" s="4">
        <v>190112</v>
      </c>
      <c r="G24" s="8">
        <f t="shared" si="0"/>
        <v>53</v>
      </c>
      <c r="H24" s="29">
        <v>484429</v>
      </c>
      <c r="I24" s="3">
        <f t="shared" si="1"/>
        <v>128</v>
      </c>
      <c r="J24" s="3">
        <v>2970</v>
      </c>
      <c r="K24" s="4">
        <v>291463</v>
      </c>
      <c r="L24" s="9">
        <f t="shared" si="2"/>
        <v>289</v>
      </c>
      <c r="N24" s="1"/>
    </row>
    <row r="25" spans="1:14" x14ac:dyDescent="0.2">
      <c r="B25" s="2">
        <v>21</v>
      </c>
      <c r="C25" s="11">
        <v>44368</v>
      </c>
      <c r="D25" s="7">
        <v>27</v>
      </c>
      <c r="E25" s="7">
        <v>19923</v>
      </c>
      <c r="F25" s="29">
        <v>190165</v>
      </c>
      <c r="G25" s="8">
        <f t="shared" si="0"/>
        <v>53</v>
      </c>
      <c r="H25" s="28">
        <v>484557</v>
      </c>
      <c r="I25" s="3">
        <f t="shared" si="1"/>
        <v>4</v>
      </c>
      <c r="J25" s="3">
        <v>0</v>
      </c>
      <c r="K25" s="4">
        <v>291752</v>
      </c>
      <c r="L25" s="9">
        <f t="shared" si="2"/>
        <v>323</v>
      </c>
      <c r="N25" s="1"/>
    </row>
    <row r="26" spans="1:14" x14ac:dyDescent="0.2">
      <c r="B26" s="2">
        <v>22</v>
      </c>
      <c r="C26" s="11">
        <v>44369</v>
      </c>
      <c r="D26" s="7">
        <v>27</v>
      </c>
      <c r="E26" s="7">
        <v>20387</v>
      </c>
      <c r="F26" s="4">
        <v>190218</v>
      </c>
      <c r="G26" s="8">
        <f t="shared" si="0"/>
        <v>50</v>
      </c>
      <c r="H26" s="4">
        <v>484561</v>
      </c>
      <c r="I26" s="3">
        <f t="shared" si="1"/>
        <v>119</v>
      </c>
      <c r="J26" s="3">
        <v>0</v>
      </c>
      <c r="K26" s="28">
        <v>292075</v>
      </c>
      <c r="L26" s="9">
        <f t="shared" si="2"/>
        <v>286</v>
      </c>
      <c r="N26" s="1"/>
    </row>
    <row r="27" spans="1:14" x14ac:dyDescent="0.2">
      <c r="B27" s="2">
        <v>23</v>
      </c>
      <c r="C27" s="11">
        <v>44370</v>
      </c>
      <c r="D27" s="7">
        <v>29</v>
      </c>
      <c r="E27" s="7">
        <v>20536</v>
      </c>
      <c r="F27" s="4">
        <v>190268</v>
      </c>
      <c r="G27" s="8">
        <f t="shared" si="0"/>
        <v>58</v>
      </c>
      <c r="H27" s="7">
        <v>484680</v>
      </c>
      <c r="I27" s="3">
        <f t="shared" si="1"/>
        <v>45</v>
      </c>
      <c r="J27" s="3">
        <v>0</v>
      </c>
      <c r="K27" s="4">
        <v>292361</v>
      </c>
      <c r="L27" s="9">
        <f t="shared" si="2"/>
        <v>298</v>
      </c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>
        <v>41</v>
      </c>
      <c r="E28" s="7">
        <v>20198</v>
      </c>
      <c r="F28" s="4">
        <v>190326</v>
      </c>
      <c r="G28" s="8">
        <f t="shared" si="0"/>
        <v>57</v>
      </c>
      <c r="H28" s="7">
        <v>484725</v>
      </c>
      <c r="I28" s="3">
        <f t="shared" si="1"/>
        <v>0</v>
      </c>
      <c r="J28" s="3">
        <v>0</v>
      </c>
      <c r="K28" s="4">
        <v>292659</v>
      </c>
      <c r="L28" s="9">
        <f t="shared" si="2"/>
        <v>363</v>
      </c>
      <c r="N28" s="1"/>
    </row>
    <row r="29" spans="1:14" x14ac:dyDescent="0.2">
      <c r="A29" t="s">
        <v>30</v>
      </c>
      <c r="B29" s="2">
        <v>25</v>
      </c>
      <c r="C29" s="11">
        <v>44372</v>
      </c>
      <c r="D29" s="7">
        <v>56</v>
      </c>
      <c r="E29" s="7">
        <v>21987</v>
      </c>
      <c r="F29" s="4">
        <v>190383</v>
      </c>
      <c r="G29" s="8">
        <f t="shared" si="0"/>
        <v>49</v>
      </c>
      <c r="H29" s="7">
        <v>484725</v>
      </c>
      <c r="I29" s="3">
        <f t="shared" si="1"/>
        <v>116</v>
      </c>
      <c r="J29" s="3">
        <v>2970</v>
      </c>
      <c r="K29" s="4">
        <v>293022</v>
      </c>
      <c r="L29" s="9">
        <f t="shared" si="2"/>
        <v>354</v>
      </c>
      <c r="N29" s="1"/>
    </row>
    <row r="30" spans="1:14" x14ac:dyDescent="0.2">
      <c r="B30" s="2">
        <v>26</v>
      </c>
      <c r="C30" s="11">
        <v>44373</v>
      </c>
      <c r="D30" s="7">
        <v>36</v>
      </c>
      <c r="E30" s="7">
        <v>21567</v>
      </c>
      <c r="F30" s="4">
        <v>190432</v>
      </c>
      <c r="G30" s="8">
        <f t="shared" si="0"/>
        <v>52</v>
      </c>
      <c r="H30" s="7">
        <v>484841</v>
      </c>
      <c r="I30" s="3">
        <f t="shared" si="1"/>
        <v>156</v>
      </c>
      <c r="J30" s="3">
        <v>2970</v>
      </c>
      <c r="K30" s="30">
        <v>293376</v>
      </c>
      <c r="L30" s="9">
        <f t="shared" si="2"/>
        <v>322</v>
      </c>
      <c r="N30" s="1"/>
    </row>
    <row r="31" spans="1:14" x14ac:dyDescent="0.2">
      <c r="A31" t="s">
        <v>29</v>
      </c>
      <c r="B31" s="2">
        <v>27</v>
      </c>
      <c r="C31" s="11">
        <v>44374</v>
      </c>
      <c r="D31" s="7">
        <v>35</v>
      </c>
      <c r="E31" s="7">
        <v>20975</v>
      </c>
      <c r="F31" s="28">
        <v>190484</v>
      </c>
      <c r="G31" s="8">
        <f t="shared" si="0"/>
        <v>55</v>
      </c>
      <c r="H31" s="16">
        <v>484997</v>
      </c>
      <c r="I31" s="3">
        <f t="shared" si="1"/>
        <v>69</v>
      </c>
      <c r="J31" s="3">
        <v>0</v>
      </c>
      <c r="K31" s="34">
        <v>293698</v>
      </c>
      <c r="L31" s="9">
        <f t="shared" si="2"/>
        <v>272</v>
      </c>
      <c r="N31" s="1"/>
    </row>
    <row r="32" spans="1:14" x14ac:dyDescent="0.2">
      <c r="B32" s="2">
        <v>28</v>
      </c>
      <c r="C32" s="11">
        <v>44375</v>
      </c>
      <c r="D32" s="7"/>
      <c r="E32" s="12"/>
      <c r="F32" s="4">
        <v>190539</v>
      </c>
      <c r="G32" s="8"/>
      <c r="H32" s="7">
        <v>485066</v>
      </c>
      <c r="I32" s="3"/>
      <c r="J32" s="3"/>
      <c r="K32" s="4">
        <v>293970</v>
      </c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2021-06-28T05:19:59Z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