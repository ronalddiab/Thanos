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<sst xmlns="http://schemas.openxmlformats.org/spreadsheetml/2006/main" count="313" uniqueCount="148">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</sst>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 t="e">
        <f>(Submetering!AX2+Submetering!AY2+Submetering!AZ2+Submetering!BA2+Submetering!BB2)</f>
        <v>#REF!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 t="e">
        <f>(Submetering!AX3+Submetering!AY3+Submetering!AZ3+Submetering!BA3+Submetering!BB3)</f>
        <v>#REF!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 t="e">
        <f>IF(LPG!#REF!-LPG!F8&lt;0,"0",(LPG!#REF!-LPG!F8)*1.8315)</f>
        <v>#REF!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 t="str">
        <f>'FS Desroches Daily'!X6</f>
        <v/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 t="e">
        <f>IF(LPG!F10-LPG!#REF!&lt;0,"0",(LPG!F10-LPG!#REF!)*1.8315)</f>
        <v>#REF!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7200.0000000000955</v>
      </c>
      <c r="F33" s="17">
        <f t="shared" ref="F33:BC33" si="1">SUM(F2:F32)</f>
        <v>4299.9999999997481</v>
      </c>
      <c r="G33" s="17">
        <f t="shared" si="1"/>
        <v>4899.9999999996817</v>
      </c>
      <c r="H33" s="17">
        <f t="shared" si="1"/>
        <v>2600.0000000001578</v>
      </c>
      <c r="I33" s="17">
        <f t="shared" si="1"/>
        <v>4700.0000000001492</v>
      </c>
      <c r="J33" s="17">
        <f t="shared" si="1"/>
        <v>1500.0000000000568</v>
      </c>
      <c r="K33" s="17">
        <f t="shared" si="1"/>
        <v>2</v>
      </c>
      <c r="L33" s="17">
        <f t="shared" si="1"/>
        <v>21</v>
      </c>
      <c r="M33" s="17">
        <f t="shared" si="1"/>
        <v>1338</v>
      </c>
      <c r="N33" s="17">
        <f t="shared" si="1"/>
        <v>590.5</v>
      </c>
      <c r="O33" s="17">
        <f t="shared" si="1"/>
        <v>189.99999999999773</v>
      </c>
      <c r="P33" s="17">
        <f t="shared" si="1"/>
        <v>3800.0000000000255</v>
      </c>
      <c r="Q33" s="17">
        <f t="shared" si="1"/>
        <v>660.00000000002501</v>
      </c>
      <c r="R33" s="17">
        <f t="shared" si="1"/>
        <v>330.00000000004093</v>
      </c>
      <c r="S33" s="17">
        <f t="shared" si="1"/>
        <v>370.00000000000455</v>
      </c>
      <c r="T33" s="17">
        <f t="shared" si="1"/>
        <v>2.8999999999998636</v>
      </c>
      <c r="U33" s="35">
        <f t="shared" si="1"/>
        <v>2230.0000000000182</v>
      </c>
      <c r="V33" s="35">
        <f t="shared" si="1"/>
        <v>340.00000000000341</v>
      </c>
      <c r="W33" s="35">
        <f t="shared" si="1"/>
        <v>250</v>
      </c>
      <c r="X33" s="35">
        <f t="shared" si="1"/>
        <v>229.99999999998977</v>
      </c>
      <c r="Y33" s="35">
        <f t="shared" si="1"/>
        <v>210.00000000000796</v>
      </c>
      <c r="Z33" s="35">
        <f t="shared" si="1"/>
        <v>459.99999999997954</v>
      </c>
      <c r="AA33" s="35">
        <f t="shared" si="1"/>
        <v>459.99999999997954</v>
      </c>
      <c r="AB33" s="35">
        <f t="shared" si="1"/>
        <v>250</v>
      </c>
      <c r="AC33" s="35">
        <f t="shared" si="1"/>
        <v>439.99999999999773</v>
      </c>
      <c r="AD33" s="35">
        <f t="shared" si="1"/>
        <v>610.00000000001364</v>
      </c>
      <c r="AE33" s="35">
        <f t="shared" si="1"/>
        <v>99.999999999994316</v>
      </c>
      <c r="AF33" s="17">
        <f t="shared" si="1"/>
        <v>81</v>
      </c>
      <c r="AG33" s="32">
        <f t="shared" si="1"/>
        <v>69.999999999993179</v>
      </c>
      <c r="AH33" s="32">
        <f t="shared" si="1"/>
        <v>90.000000000031832</v>
      </c>
      <c r="AI33" s="32">
        <f t="shared" si="1"/>
        <v>50.000000000011369</v>
      </c>
      <c r="AJ33" s="32">
        <f t="shared" si="1"/>
        <v>50.000000000011369</v>
      </c>
      <c r="AK33" s="32">
        <f t="shared" si="1"/>
        <v>60.000000000002274</v>
      </c>
      <c r="AL33" s="32">
        <f t="shared" si="1"/>
        <v>36</v>
      </c>
      <c r="AM33" s="32">
        <f t="shared" si="1"/>
        <v>49.999999999982947</v>
      </c>
      <c r="AN33" s="32">
        <f t="shared" si="1"/>
        <v>66</v>
      </c>
      <c r="AO33" s="32">
        <f t="shared" si="1"/>
        <v>49.999999999982947</v>
      </c>
      <c r="AP33" s="32">
        <f t="shared" si="1"/>
        <v>60</v>
      </c>
      <c r="AQ33" s="17">
        <f t="shared" si="1"/>
        <v>62.399999999997817</v>
      </c>
      <c r="AR33" s="17">
        <f t="shared" si="1"/>
        <v>0</v>
      </c>
      <c r="AS33" s="17">
        <f t="shared" si="1"/>
        <v>15.100000000000364</v>
      </c>
      <c r="AT33" s="17">
        <f t="shared" si="1"/>
        <v>94.400000000001455</v>
      </c>
      <c r="AU33" s="17">
        <f t="shared" si="1"/>
        <v>529</v>
      </c>
      <c r="AV33" s="17">
        <f t="shared" si="1"/>
        <v>1230.0000000000182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10.988999999999999</v>
      </c>
      <c r="BC33" s="17">
        <f t="shared" si="1"/>
        <v>0</v>
      </c>
    </row>
    <row r="35" spans="5:55" x14ac:dyDescent="0.25">
      <c r="E35" s="38">
        <f>E33/E37</f>
        <v>0.61866300051557443</v>
      </c>
      <c r="G35" s="29">
        <f>G33-M36</f>
        <v>2971.4999999996817</v>
      </c>
      <c r="AE35" s="35">
        <f>SUM(U33:AE33)</f>
        <v>5579.9999999999845</v>
      </c>
      <c r="AG35" s="32">
        <f>SUM(AG33:AP33)</f>
        <v>582.00000000001592</v>
      </c>
    </row>
    <row r="36" spans="5:55" x14ac:dyDescent="0.25">
      <c r="G36" s="29">
        <f>G35-633*14</f>
        <v>-5890.5000000003183</v>
      </c>
      <c r="M36" s="29">
        <f>M33+N33</f>
        <v>1928.5</v>
      </c>
    </row>
    <row r="37" spans="5:55" x14ac:dyDescent="0.25">
      <c r="E37" s="17">
        <f>E33+F33+G33+H33+J33-633*14</f>
        <v>11637.999999999742</v>
      </c>
      <c r="G37" s="37">
        <f>M36/E37</f>
        <v>0.16570716617975964</v>
      </c>
      <c r="M37" s="35">
        <f>AE35</f>
        <v>5579.9999999999845</v>
      </c>
    </row>
    <row r="38" spans="5:55" x14ac:dyDescent="0.25">
      <c r="L38" s="27">
        <f>M38/E37</f>
        <v>5.0008592541676306E-2</v>
      </c>
      <c r="M38" s="29">
        <f>AG35</f>
        <v>582.00000000001592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CW5" sqref="CW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38"/>
        <v>0</v>
      </c>
      <c r="M6" s="58"/>
      <c r="N6" s="64" t="str">
        <f t="shared" si="4"/>
        <v/>
      </c>
      <c r="O6" s="58"/>
      <c r="P6" s="67" t="str">
        <f>IF((O6-O5&lt;0), "",O6-O5)</f>
        <v/>
      </c>
      <c r="Q6" s="58"/>
      <c r="R6" s="67" t="str">
        <f t="shared" si="5"/>
        <v/>
      </c>
      <c r="S6" s="58"/>
      <c r="T6" s="67" t="str">
        <f t="shared" si="6"/>
        <v/>
      </c>
      <c r="U6" s="58"/>
      <c r="V6" s="67" t="str">
        <f t="shared" si="7"/>
        <v/>
      </c>
      <c r="W6" s="58"/>
      <c r="X6" s="65" t="str">
        <f t="shared" si="8"/>
        <v/>
      </c>
      <c r="Y6" s="58"/>
      <c r="Z6" s="65" t="str">
        <f t="shared" si="9"/>
        <v/>
      </c>
      <c r="AA6" s="58"/>
      <c r="AB6" s="65" t="str">
        <f t="shared" si="10"/>
        <v/>
      </c>
      <c r="AC6" s="58"/>
      <c r="AD6" s="65" t="str">
        <f t="shared" si="11"/>
        <v/>
      </c>
      <c r="AE6" s="58"/>
      <c r="AF6" s="65" t="str">
        <f t="shared" si="12"/>
        <v/>
      </c>
      <c r="AG6" s="58"/>
      <c r="AH6" s="67" t="str">
        <f t="shared" si="13"/>
        <v/>
      </c>
      <c r="AI6" s="58"/>
      <c r="AJ6" s="65" t="str">
        <f t="shared" si="14"/>
        <v/>
      </c>
      <c r="AK6" s="58"/>
      <c r="AL6" s="65" t="str">
        <f t="shared" si="14"/>
        <v/>
      </c>
      <c r="AM6" s="58"/>
      <c r="AN6" s="65" t="str">
        <f t="shared" si="14"/>
        <v/>
      </c>
      <c r="AO6" s="58"/>
      <c r="AP6" s="65" t="str">
        <f t="shared" si="14"/>
        <v/>
      </c>
      <c r="AQ6" s="58"/>
      <c r="AR6" s="65" t="str">
        <f t="shared" si="15"/>
        <v/>
      </c>
      <c r="AS6" s="58"/>
      <c r="AT6" s="65" t="str">
        <f t="shared" si="16"/>
        <v/>
      </c>
      <c r="AU6" s="58"/>
      <c r="AV6" s="65" t="str">
        <f t="shared" si="17"/>
        <v/>
      </c>
      <c r="AW6" s="58"/>
      <c r="AX6" s="65" t="str">
        <f t="shared" si="18"/>
        <v/>
      </c>
      <c r="AY6" s="58"/>
      <c r="AZ6" s="65" t="str">
        <f t="shared" si="19"/>
        <v/>
      </c>
      <c r="BA6" s="58"/>
      <c r="BB6" s="65" t="str">
        <f t="shared" si="20"/>
        <v/>
      </c>
      <c r="BC6" s="58"/>
      <c r="BD6" s="65" t="str">
        <f t="shared" si="21"/>
        <v/>
      </c>
      <c r="BE6" s="59"/>
      <c r="BF6" s="67" t="str">
        <f t="shared" si="39"/>
        <v/>
      </c>
      <c r="BG6" s="60"/>
      <c r="BH6" s="65" t="str">
        <f t="shared" si="22"/>
        <v/>
      </c>
      <c r="BI6" s="60"/>
      <c r="BJ6" s="65" t="str">
        <f t="shared" si="40"/>
        <v/>
      </c>
      <c r="BK6" s="60"/>
      <c r="BL6" s="65" t="str">
        <f t="shared" si="23"/>
        <v/>
      </c>
      <c r="BM6" s="60"/>
      <c r="BN6" s="65" t="str">
        <f t="shared" si="24"/>
        <v/>
      </c>
      <c r="BO6" s="60"/>
      <c r="BP6" s="65" t="str">
        <f t="shared" si="25"/>
        <v/>
      </c>
      <c r="BQ6" s="60"/>
      <c r="BR6" s="65" t="str">
        <f t="shared" si="26"/>
        <v/>
      </c>
      <c r="BS6" s="60"/>
      <c r="BT6" s="65" t="str">
        <f t="shared" ref="BT6:BT35" si="42">IF((BS6-BS5&lt;0), "",(BS6-BS5)*1000)</f>
        <v/>
      </c>
      <c r="BU6" s="60"/>
      <c r="BV6" s="65" t="str">
        <f t="shared" si="28"/>
        <v/>
      </c>
      <c r="BW6" s="60"/>
      <c r="BX6" s="65" t="str">
        <f t="shared" si="29"/>
        <v/>
      </c>
      <c r="BY6" s="60"/>
      <c r="BZ6" s="67" t="str">
        <f t="shared" si="30"/>
        <v/>
      </c>
      <c r="CA6" s="60"/>
      <c r="CB6" s="67" t="str">
        <f t="shared" si="31"/>
        <v/>
      </c>
      <c r="CC6" s="60"/>
      <c r="CD6" s="67" t="str">
        <f t="shared" si="32"/>
        <v/>
      </c>
      <c r="CE6" s="60"/>
      <c r="CF6" s="67" t="str">
        <f t="shared" si="33"/>
        <v/>
      </c>
      <c r="CG6" s="60"/>
      <c r="CH6" s="67" t="str">
        <f t="shared" si="34"/>
        <v/>
      </c>
      <c r="CI6" s="60"/>
      <c r="CJ6" s="67" t="str">
        <f t="shared" si="35"/>
        <v/>
      </c>
      <c r="CK6" s="60"/>
      <c r="CL6" s="64" t="str">
        <f t="shared" si="36"/>
        <v/>
      </c>
      <c r="CM6" s="65" t="e">
        <f t="shared" si="41"/>
        <v>#VALUE!</v>
      </c>
      <c r="CN6" s="62">
        <v>0</v>
      </c>
      <c r="CO6" s="62">
        <v>0</v>
      </c>
      <c r="CP6" s="68"/>
      <c r="CQ6" s="67" t="str">
        <f t="shared" si="37"/>
        <v/>
      </c>
      <c r="CR6" s="68"/>
      <c r="CS6" s="67" t="str">
        <f t="shared" si="37"/>
        <v/>
      </c>
      <c r="CT6" s="75"/>
      <c r="CU6" s="67" t="str">
        <f t="shared" si="37"/>
        <v/>
      </c>
      <c r="CV6" s="68"/>
      <c r="CW6" s="67" t="str">
        <f t="shared" si="37"/>
        <v/>
      </c>
    </row>
    <row r="7" spans="1:102" ht="25.5" customHeight="1" thickBot="1" x14ac:dyDescent="0.45">
      <c r="A7" s="63">
        <v>44200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38"/>
        <v>0</v>
      </c>
      <c r="M7" s="58"/>
      <c r="N7" s="64">
        <f t="shared" si="4"/>
        <v>0</v>
      </c>
      <c r="O7" s="58"/>
      <c r="P7" s="67">
        <f t="shared" ref="P7:P10" si="43">IF((O7-O6&lt;0), "",O7-O6)</f>
        <v>0</v>
      </c>
      <c r="Q7" s="58"/>
      <c r="R7" s="67">
        <f t="shared" si="5"/>
        <v>0</v>
      </c>
      <c r="S7" s="58"/>
      <c r="T7" s="67">
        <f t="shared" si="6"/>
        <v>0</v>
      </c>
      <c r="U7" s="58"/>
      <c r="V7" s="67">
        <f t="shared" si="7"/>
        <v>0</v>
      </c>
      <c r="W7" s="58"/>
      <c r="X7" s="65">
        <f t="shared" si="8"/>
        <v>0</v>
      </c>
      <c r="Y7" s="58"/>
      <c r="Z7" s="65">
        <f t="shared" si="9"/>
        <v>0</v>
      </c>
      <c r="AA7" s="58"/>
      <c r="AB7" s="65">
        <f t="shared" si="10"/>
        <v>0</v>
      </c>
      <c r="AC7" s="58"/>
      <c r="AD7" s="65">
        <f t="shared" si="11"/>
        <v>0</v>
      </c>
      <c r="AE7" s="58"/>
      <c r="AF7" s="65">
        <f t="shared" si="12"/>
        <v>0</v>
      </c>
      <c r="AG7" s="58"/>
      <c r="AH7" s="67">
        <f t="shared" si="13"/>
        <v>0</v>
      </c>
      <c r="AI7" s="58"/>
      <c r="AJ7" s="65">
        <f t="shared" si="14"/>
        <v>0</v>
      </c>
      <c r="AK7" s="58"/>
      <c r="AL7" s="65">
        <f t="shared" si="14"/>
        <v>0</v>
      </c>
      <c r="AM7" s="58"/>
      <c r="AN7" s="65">
        <f t="shared" si="14"/>
        <v>0</v>
      </c>
      <c r="AO7" s="58"/>
      <c r="AP7" s="65">
        <f t="shared" si="14"/>
        <v>0</v>
      </c>
      <c r="AQ7" s="58"/>
      <c r="AR7" s="65">
        <f t="shared" si="15"/>
        <v>0</v>
      </c>
      <c r="AS7" s="58"/>
      <c r="AT7" s="65">
        <f t="shared" si="16"/>
        <v>0</v>
      </c>
      <c r="AU7" s="58"/>
      <c r="AV7" s="65">
        <f t="shared" si="17"/>
        <v>0</v>
      </c>
      <c r="AW7" s="58"/>
      <c r="AX7" s="65">
        <f t="shared" si="18"/>
        <v>0</v>
      </c>
      <c r="AY7" s="58"/>
      <c r="AZ7" s="65">
        <f t="shared" si="19"/>
        <v>0</v>
      </c>
      <c r="BA7" s="58"/>
      <c r="BB7" s="65">
        <f t="shared" si="20"/>
        <v>0</v>
      </c>
      <c r="BC7" s="58"/>
      <c r="BD7" s="65">
        <f t="shared" si="21"/>
        <v>0</v>
      </c>
      <c r="BE7" s="59"/>
      <c r="BF7" s="67">
        <f t="shared" si="39"/>
        <v>0</v>
      </c>
      <c r="BG7" s="60"/>
      <c r="BH7" s="65">
        <f t="shared" si="22"/>
        <v>0</v>
      </c>
      <c r="BI7" s="60"/>
      <c r="BJ7" s="65">
        <f t="shared" si="40"/>
        <v>0</v>
      </c>
      <c r="BK7" s="60"/>
      <c r="BL7" s="65">
        <f t="shared" si="23"/>
        <v>0</v>
      </c>
      <c r="BM7" s="60"/>
      <c r="BN7" s="65">
        <f t="shared" si="24"/>
        <v>0</v>
      </c>
      <c r="BO7" s="60"/>
      <c r="BP7" s="65">
        <f t="shared" si="25"/>
        <v>0</v>
      </c>
      <c r="BQ7" s="60"/>
      <c r="BR7" s="65">
        <f t="shared" si="26"/>
        <v>0</v>
      </c>
      <c r="BS7" s="60"/>
      <c r="BT7" s="65">
        <f t="shared" si="42"/>
        <v>0</v>
      </c>
      <c r="BU7" s="60"/>
      <c r="BV7" s="65">
        <f t="shared" si="28"/>
        <v>0</v>
      </c>
      <c r="BW7" s="60"/>
      <c r="BX7" s="65">
        <f t="shared" si="29"/>
        <v>0</v>
      </c>
      <c r="BY7" s="60"/>
      <c r="BZ7" s="67">
        <f t="shared" si="30"/>
        <v>0</v>
      </c>
      <c r="CA7" s="60"/>
      <c r="CB7" s="67">
        <f t="shared" si="31"/>
        <v>0</v>
      </c>
      <c r="CC7" s="60"/>
      <c r="CD7" s="67">
        <f t="shared" si="32"/>
        <v>0</v>
      </c>
      <c r="CE7" s="60"/>
      <c r="CF7" s="67">
        <f t="shared" si="33"/>
        <v>0</v>
      </c>
      <c r="CG7" s="60"/>
      <c r="CH7" s="67">
        <f t="shared" si="34"/>
        <v>0</v>
      </c>
      <c r="CI7" s="60"/>
      <c r="CJ7" s="67">
        <f t="shared" si="35"/>
        <v>0</v>
      </c>
      <c r="CK7" s="60"/>
      <c r="CL7" s="64">
        <f t="shared" si="36"/>
        <v>0</v>
      </c>
      <c r="CM7" s="65">
        <f t="shared" si="41"/>
        <v>0</v>
      </c>
      <c r="CN7" s="62">
        <v>0</v>
      </c>
      <c r="CO7" s="62">
        <v>0</v>
      </c>
      <c r="CP7" s="68"/>
      <c r="CQ7" s="67">
        <f t="shared" si="37"/>
        <v>0</v>
      </c>
      <c r="CR7" s="68"/>
      <c r="CS7" s="67">
        <f t="shared" si="37"/>
        <v>0</v>
      </c>
      <c r="CT7" s="75"/>
      <c r="CU7" s="67">
        <f t="shared" si="37"/>
        <v>0</v>
      </c>
      <c r="CV7" s="68"/>
      <c r="CW7" s="67">
        <f t="shared" si="37"/>
        <v>0</v>
      </c>
    </row>
    <row r="8" spans="1:102" ht="25.5" customHeight="1" thickBot="1" x14ac:dyDescent="0.45">
      <c r="A8" s="63">
        <v>44201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38"/>
        <v>0</v>
      </c>
      <c r="M8" s="58"/>
      <c r="N8" s="64">
        <f t="shared" si="4"/>
        <v>0</v>
      </c>
      <c r="O8" s="58"/>
      <c r="P8" s="67">
        <f t="shared" si="43"/>
        <v>0</v>
      </c>
      <c r="Q8" s="58"/>
      <c r="R8" s="67">
        <f t="shared" si="5"/>
        <v>0</v>
      </c>
      <c r="S8" s="58"/>
      <c r="T8" s="67">
        <f t="shared" si="6"/>
        <v>0</v>
      </c>
      <c r="U8" s="58"/>
      <c r="V8" s="67">
        <f t="shared" si="7"/>
        <v>0</v>
      </c>
      <c r="W8" s="58"/>
      <c r="X8" s="65">
        <f t="shared" si="8"/>
        <v>0</v>
      </c>
      <c r="Y8" s="58"/>
      <c r="Z8" s="65">
        <f t="shared" si="9"/>
        <v>0</v>
      </c>
      <c r="AA8" s="58"/>
      <c r="AB8" s="65">
        <f t="shared" si="10"/>
        <v>0</v>
      </c>
      <c r="AC8" s="58"/>
      <c r="AD8" s="65">
        <f t="shared" si="11"/>
        <v>0</v>
      </c>
      <c r="AE8" s="58"/>
      <c r="AF8" s="65">
        <f t="shared" si="12"/>
        <v>0</v>
      </c>
      <c r="AG8" s="58"/>
      <c r="AH8" s="67">
        <f t="shared" si="13"/>
        <v>0</v>
      </c>
      <c r="AI8" s="58"/>
      <c r="AJ8" s="65">
        <f t="shared" si="14"/>
        <v>0</v>
      </c>
      <c r="AK8" s="58"/>
      <c r="AL8" s="65">
        <f t="shared" si="14"/>
        <v>0</v>
      </c>
      <c r="AM8" s="58"/>
      <c r="AN8" s="65">
        <f t="shared" si="14"/>
        <v>0</v>
      </c>
      <c r="AO8" s="58"/>
      <c r="AP8" s="65">
        <f t="shared" si="14"/>
        <v>0</v>
      </c>
      <c r="AQ8" s="58"/>
      <c r="AR8" s="65">
        <f t="shared" si="15"/>
        <v>0</v>
      </c>
      <c r="AS8" s="58"/>
      <c r="AT8" s="65">
        <f t="shared" si="16"/>
        <v>0</v>
      </c>
      <c r="AU8" s="58"/>
      <c r="AV8" s="65">
        <f t="shared" si="17"/>
        <v>0</v>
      </c>
      <c r="AW8" s="58"/>
      <c r="AX8" s="65">
        <f t="shared" si="18"/>
        <v>0</v>
      </c>
      <c r="AY8" s="58"/>
      <c r="AZ8" s="65">
        <f t="shared" si="19"/>
        <v>0</v>
      </c>
      <c r="BA8" s="58"/>
      <c r="BB8" s="65">
        <f t="shared" si="20"/>
        <v>0</v>
      </c>
      <c r="BC8" s="58"/>
      <c r="BD8" s="65">
        <f t="shared" si="21"/>
        <v>0</v>
      </c>
      <c r="BE8" s="59"/>
      <c r="BF8" s="67">
        <f t="shared" si="39"/>
        <v>0</v>
      </c>
      <c r="BG8" s="60"/>
      <c r="BH8" s="65">
        <f t="shared" si="22"/>
        <v>0</v>
      </c>
      <c r="BI8" s="60"/>
      <c r="BJ8" s="65">
        <f t="shared" si="40"/>
        <v>0</v>
      </c>
      <c r="BK8" s="60"/>
      <c r="BL8" s="65">
        <f t="shared" si="23"/>
        <v>0</v>
      </c>
      <c r="BM8" s="60"/>
      <c r="BN8" s="65">
        <f t="shared" si="24"/>
        <v>0</v>
      </c>
      <c r="BO8" s="60"/>
      <c r="BP8" s="65">
        <f t="shared" si="25"/>
        <v>0</v>
      </c>
      <c r="BQ8" s="60"/>
      <c r="BR8" s="65">
        <f t="shared" si="26"/>
        <v>0</v>
      </c>
      <c r="BS8" s="60"/>
      <c r="BT8" s="65">
        <f t="shared" si="42"/>
        <v>0</v>
      </c>
      <c r="BU8" s="60"/>
      <c r="BV8" s="65">
        <f t="shared" si="28"/>
        <v>0</v>
      </c>
      <c r="BW8" s="60"/>
      <c r="BX8" s="65">
        <f t="shared" si="29"/>
        <v>0</v>
      </c>
      <c r="BY8" s="60"/>
      <c r="BZ8" s="67">
        <f t="shared" si="30"/>
        <v>0</v>
      </c>
      <c r="CA8" s="60"/>
      <c r="CB8" s="67">
        <f t="shared" si="31"/>
        <v>0</v>
      </c>
      <c r="CC8" s="60"/>
      <c r="CD8" s="67">
        <f t="shared" si="32"/>
        <v>0</v>
      </c>
      <c r="CE8" s="60"/>
      <c r="CF8" s="67">
        <f t="shared" si="33"/>
        <v>0</v>
      </c>
      <c r="CG8" s="60"/>
      <c r="CH8" s="67">
        <f t="shared" si="34"/>
        <v>0</v>
      </c>
      <c r="CI8" s="60"/>
      <c r="CJ8" s="67">
        <f t="shared" si="35"/>
        <v>0</v>
      </c>
      <c r="CK8" s="60"/>
      <c r="CL8" s="64">
        <f t="shared" si="36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7"/>
        <v>0</v>
      </c>
      <c r="CR8" s="68"/>
      <c r="CS8" s="67">
        <f t="shared" si="37"/>
        <v>0</v>
      </c>
      <c r="CT8" s="75"/>
      <c r="CU8" s="67">
        <f t="shared" si="37"/>
        <v>0</v>
      </c>
      <c r="CV8" s="68"/>
      <c r="CW8" s="67">
        <f t="shared" si="37"/>
        <v>0</v>
      </c>
    </row>
    <row r="9" spans="1:102" ht="25.5" customHeight="1" thickBot="1" x14ac:dyDescent="0.45">
      <c r="A9" s="63">
        <v>44202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8"/>
        <v>0</v>
      </c>
      <c r="M9" s="58"/>
      <c r="N9" s="64">
        <f t="shared" si="4"/>
        <v>0</v>
      </c>
      <c r="O9" s="58"/>
      <c r="P9" s="67">
        <f t="shared" si="43"/>
        <v>0</v>
      </c>
      <c r="Q9" s="58"/>
      <c r="R9" s="67">
        <f t="shared" si="5"/>
        <v>0</v>
      </c>
      <c r="S9" s="58"/>
      <c r="T9" s="67">
        <f t="shared" si="6"/>
        <v>0</v>
      </c>
      <c r="U9" s="58"/>
      <c r="V9" s="67">
        <f t="shared" si="7"/>
        <v>0</v>
      </c>
      <c r="W9" s="58"/>
      <c r="X9" s="65">
        <f t="shared" si="8"/>
        <v>0</v>
      </c>
      <c r="Y9" s="58"/>
      <c r="Z9" s="65">
        <f t="shared" si="9"/>
        <v>0</v>
      </c>
      <c r="AA9" s="58"/>
      <c r="AB9" s="65">
        <f t="shared" si="10"/>
        <v>0</v>
      </c>
      <c r="AC9" s="58"/>
      <c r="AD9" s="65">
        <f t="shared" si="11"/>
        <v>0</v>
      </c>
      <c r="AE9" s="58"/>
      <c r="AF9" s="65">
        <f t="shared" si="12"/>
        <v>0</v>
      </c>
      <c r="AG9" s="58"/>
      <c r="AH9" s="67">
        <f t="shared" si="13"/>
        <v>0</v>
      </c>
      <c r="AI9" s="58"/>
      <c r="AJ9" s="65">
        <f t="shared" si="14"/>
        <v>0</v>
      </c>
      <c r="AK9" s="58"/>
      <c r="AL9" s="65">
        <f t="shared" si="14"/>
        <v>0</v>
      </c>
      <c r="AM9" s="58"/>
      <c r="AN9" s="65">
        <f t="shared" si="14"/>
        <v>0</v>
      </c>
      <c r="AO9" s="58"/>
      <c r="AP9" s="65">
        <f t="shared" si="14"/>
        <v>0</v>
      </c>
      <c r="AQ9" s="58"/>
      <c r="AR9" s="65">
        <f t="shared" si="15"/>
        <v>0</v>
      </c>
      <c r="AS9" s="58"/>
      <c r="AT9" s="65">
        <f t="shared" si="16"/>
        <v>0</v>
      </c>
      <c r="AU9" s="58"/>
      <c r="AV9" s="65">
        <f t="shared" si="17"/>
        <v>0</v>
      </c>
      <c r="AW9" s="58"/>
      <c r="AX9" s="65">
        <f t="shared" si="18"/>
        <v>0</v>
      </c>
      <c r="AY9" s="58"/>
      <c r="AZ9" s="65">
        <f t="shared" si="19"/>
        <v>0</v>
      </c>
      <c r="BA9" s="58"/>
      <c r="BB9" s="65">
        <f t="shared" si="20"/>
        <v>0</v>
      </c>
      <c r="BC9" s="58"/>
      <c r="BD9" s="65">
        <f t="shared" si="21"/>
        <v>0</v>
      </c>
      <c r="BE9" s="59"/>
      <c r="BF9" s="67">
        <f t="shared" si="39"/>
        <v>0</v>
      </c>
      <c r="BG9" s="60"/>
      <c r="BH9" s="65">
        <f t="shared" si="22"/>
        <v>0</v>
      </c>
      <c r="BI9" s="60"/>
      <c r="BJ9" s="65">
        <f t="shared" si="40"/>
        <v>0</v>
      </c>
      <c r="BK9" s="60"/>
      <c r="BL9" s="65">
        <f t="shared" si="23"/>
        <v>0</v>
      </c>
      <c r="BM9" s="60"/>
      <c r="BN9" s="65">
        <f t="shared" si="24"/>
        <v>0</v>
      </c>
      <c r="BO9" s="60"/>
      <c r="BP9" s="65">
        <f t="shared" si="25"/>
        <v>0</v>
      </c>
      <c r="BQ9" s="60"/>
      <c r="BR9" s="65">
        <f t="shared" si="26"/>
        <v>0</v>
      </c>
      <c r="BS9" s="60"/>
      <c r="BT9" s="65">
        <f t="shared" si="42"/>
        <v>0</v>
      </c>
      <c r="BU9" s="60"/>
      <c r="BV9" s="65">
        <f t="shared" si="28"/>
        <v>0</v>
      </c>
      <c r="BW9" s="60"/>
      <c r="BX9" s="65">
        <f t="shared" si="29"/>
        <v>0</v>
      </c>
      <c r="BY9" s="60"/>
      <c r="BZ9" s="67">
        <f t="shared" si="30"/>
        <v>0</v>
      </c>
      <c r="CA9" s="60"/>
      <c r="CB9" s="67">
        <f t="shared" si="31"/>
        <v>0</v>
      </c>
      <c r="CC9" s="60"/>
      <c r="CD9" s="67">
        <f t="shared" si="32"/>
        <v>0</v>
      </c>
      <c r="CE9" s="60"/>
      <c r="CF9" s="67">
        <f t="shared" si="33"/>
        <v>0</v>
      </c>
      <c r="CG9" s="60"/>
      <c r="CH9" s="67">
        <f t="shared" si="34"/>
        <v>0</v>
      </c>
      <c r="CI9" s="60"/>
      <c r="CJ9" s="67">
        <f t="shared" si="35"/>
        <v>0</v>
      </c>
      <c r="CK9" s="60"/>
      <c r="CL9" s="64">
        <f t="shared" si="36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7"/>
        <v>0</v>
      </c>
      <c r="CR9" s="68"/>
      <c r="CS9" s="67">
        <f t="shared" si="37"/>
        <v>0</v>
      </c>
      <c r="CT9" s="75"/>
      <c r="CU9" s="67">
        <f t="shared" si="37"/>
        <v>0</v>
      </c>
      <c r="CV9" s="68"/>
      <c r="CW9" s="67">
        <f t="shared" si="37"/>
        <v>0</v>
      </c>
    </row>
    <row r="10" spans="1:102" ht="25.5" customHeight="1" thickBot="1" x14ac:dyDescent="0.45">
      <c r="A10" s="63">
        <v>44203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8"/>
        <v>0</v>
      </c>
      <c r="M10" s="58"/>
      <c r="N10" s="64">
        <f t="shared" si="4"/>
        <v>0</v>
      </c>
      <c r="O10" s="58"/>
      <c r="P10" s="67">
        <f t="shared" si="43"/>
        <v>0</v>
      </c>
      <c r="Q10" s="58"/>
      <c r="R10" s="67">
        <f t="shared" si="5"/>
        <v>0</v>
      </c>
      <c r="S10" s="58"/>
      <c r="T10" s="67">
        <f t="shared" si="6"/>
        <v>0</v>
      </c>
      <c r="U10" s="58"/>
      <c r="V10" s="67">
        <f t="shared" si="7"/>
        <v>0</v>
      </c>
      <c r="W10" s="58"/>
      <c r="X10" s="65">
        <f t="shared" si="8"/>
        <v>0</v>
      </c>
      <c r="Y10" s="58"/>
      <c r="Z10" s="65">
        <f t="shared" si="9"/>
        <v>0</v>
      </c>
      <c r="AA10" s="58"/>
      <c r="AB10" s="65">
        <f t="shared" si="10"/>
        <v>0</v>
      </c>
      <c r="AC10" s="58"/>
      <c r="AD10" s="65">
        <f t="shared" si="11"/>
        <v>0</v>
      </c>
      <c r="AE10" s="58"/>
      <c r="AF10" s="65">
        <f t="shared" si="12"/>
        <v>0</v>
      </c>
      <c r="AG10" s="58"/>
      <c r="AH10" s="67">
        <f t="shared" si="13"/>
        <v>0</v>
      </c>
      <c r="AI10" s="58"/>
      <c r="AJ10" s="65">
        <f t="shared" si="14"/>
        <v>0</v>
      </c>
      <c r="AK10" s="58"/>
      <c r="AL10" s="65">
        <f t="shared" si="14"/>
        <v>0</v>
      </c>
      <c r="AM10" s="58"/>
      <c r="AN10" s="65">
        <f t="shared" si="14"/>
        <v>0</v>
      </c>
      <c r="AO10" s="58"/>
      <c r="AP10" s="65">
        <f t="shared" si="14"/>
        <v>0</v>
      </c>
      <c r="AQ10" s="58"/>
      <c r="AR10" s="65">
        <f t="shared" si="15"/>
        <v>0</v>
      </c>
      <c r="AS10" s="58"/>
      <c r="AT10" s="65">
        <f t="shared" si="16"/>
        <v>0</v>
      </c>
      <c r="AU10" s="58"/>
      <c r="AV10" s="65">
        <f t="shared" si="17"/>
        <v>0</v>
      </c>
      <c r="AW10" s="58"/>
      <c r="AX10" s="65">
        <f t="shared" si="18"/>
        <v>0</v>
      </c>
      <c r="AY10" s="58"/>
      <c r="AZ10" s="65">
        <f t="shared" si="19"/>
        <v>0</v>
      </c>
      <c r="BA10" s="58"/>
      <c r="BB10" s="65">
        <f t="shared" si="20"/>
        <v>0</v>
      </c>
      <c r="BC10" s="58"/>
      <c r="BD10" s="65">
        <f t="shared" si="21"/>
        <v>0</v>
      </c>
      <c r="BE10" s="59"/>
      <c r="BF10" s="67">
        <f t="shared" si="39"/>
        <v>0</v>
      </c>
      <c r="BG10" s="60"/>
      <c r="BH10" s="65">
        <f t="shared" si="22"/>
        <v>0</v>
      </c>
      <c r="BI10" s="60"/>
      <c r="BJ10" s="65">
        <f t="shared" si="40"/>
        <v>0</v>
      </c>
      <c r="BK10" s="60"/>
      <c r="BL10" s="65">
        <f t="shared" si="23"/>
        <v>0</v>
      </c>
      <c r="BM10" s="60"/>
      <c r="BN10" s="65">
        <f t="shared" si="24"/>
        <v>0</v>
      </c>
      <c r="BO10" s="60"/>
      <c r="BP10" s="65">
        <f t="shared" si="25"/>
        <v>0</v>
      </c>
      <c r="BQ10" s="60"/>
      <c r="BR10" s="65">
        <f t="shared" si="26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 t="shared" si="32"/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7"/>
        <v>0</v>
      </c>
      <c r="CT10" s="75"/>
      <c r="CU10" s="67">
        <f t="shared" si="37"/>
        <v>0</v>
      </c>
      <c r="CV10" s="68"/>
      <c r="CW10" s="67">
        <f t="shared" si="37"/>
        <v>0</v>
      </c>
    </row>
    <row r="11" spans="1:102" ht="25.5" customHeight="1" thickBot="1" x14ac:dyDescent="0.45">
      <c r="A11" s="63">
        <v>44204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8"/>
        <v>0</v>
      </c>
      <c r="M11" s="58"/>
      <c r="N11" s="64">
        <f t="shared" si="4"/>
        <v>0</v>
      </c>
      <c r="O11" s="58"/>
      <c r="P11" s="67">
        <f t="shared" ref="P11:P34" si="44">IF((O11-O10&lt;0), "",O11-O10)</f>
        <v>0</v>
      </c>
      <c r="Q11" s="58"/>
      <c r="R11" s="67">
        <f t="shared" si="5"/>
        <v>0</v>
      </c>
      <c r="S11" s="58"/>
      <c r="T11" s="67">
        <f t="shared" si="6"/>
        <v>0</v>
      </c>
      <c r="U11" s="58"/>
      <c r="V11" s="67">
        <f t="shared" si="7"/>
        <v>0</v>
      </c>
      <c r="W11" s="58"/>
      <c r="X11" s="65">
        <f t="shared" si="8"/>
        <v>0</v>
      </c>
      <c r="Y11" s="58"/>
      <c r="Z11" s="65">
        <f t="shared" si="9"/>
        <v>0</v>
      </c>
      <c r="AA11" s="58"/>
      <c r="AB11" s="65">
        <f t="shared" si="10"/>
        <v>0</v>
      </c>
      <c r="AC11" s="58"/>
      <c r="AD11" s="65">
        <f t="shared" si="11"/>
        <v>0</v>
      </c>
      <c r="AE11" s="58"/>
      <c r="AF11" s="65">
        <f t="shared" si="12"/>
        <v>0</v>
      </c>
      <c r="AG11" s="58"/>
      <c r="AH11" s="67">
        <f t="shared" si="13"/>
        <v>0</v>
      </c>
      <c r="AI11" s="58"/>
      <c r="AJ11" s="65">
        <f t="shared" si="14"/>
        <v>0</v>
      </c>
      <c r="AK11" s="58"/>
      <c r="AL11" s="65">
        <f t="shared" si="14"/>
        <v>0</v>
      </c>
      <c r="AM11" s="58"/>
      <c r="AN11" s="65">
        <f t="shared" si="14"/>
        <v>0</v>
      </c>
      <c r="AO11" s="58"/>
      <c r="AP11" s="65">
        <f t="shared" si="14"/>
        <v>0</v>
      </c>
      <c r="AQ11" s="58"/>
      <c r="AR11" s="65">
        <f t="shared" si="15"/>
        <v>0</v>
      </c>
      <c r="AS11" s="58"/>
      <c r="AT11" s="65">
        <f t="shared" si="16"/>
        <v>0</v>
      </c>
      <c r="AU11" s="58"/>
      <c r="AV11" s="65">
        <f t="shared" si="17"/>
        <v>0</v>
      </c>
      <c r="AW11" s="58"/>
      <c r="AX11" s="65">
        <f t="shared" si="18"/>
        <v>0</v>
      </c>
      <c r="AY11" s="58"/>
      <c r="AZ11" s="65">
        <f t="shared" si="19"/>
        <v>0</v>
      </c>
      <c r="BA11" s="58"/>
      <c r="BB11" s="65">
        <f t="shared" si="20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2"/>
        <v>0</v>
      </c>
      <c r="BI11" s="60"/>
      <c r="BJ11" s="65">
        <f t="shared" si="40"/>
        <v>0</v>
      </c>
      <c r="BK11" s="60"/>
      <c r="BL11" s="65">
        <f t="shared" si="23"/>
        <v>0</v>
      </c>
      <c r="BM11" s="60"/>
      <c r="BN11" s="65">
        <f t="shared" si="24"/>
        <v>0</v>
      </c>
      <c r="BO11" s="60"/>
      <c r="BP11" s="65">
        <f t="shared" si="25"/>
        <v>0</v>
      </c>
      <c r="BQ11" s="60"/>
      <c r="BR11" s="65">
        <f t="shared" si="26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7"/>
        <v>0</v>
      </c>
      <c r="CT11" s="75"/>
      <c r="CU11" s="67">
        <f t="shared" si="37"/>
        <v>0</v>
      </c>
      <c r="CV11" s="68"/>
      <c r="CW11" s="67">
        <f t="shared" si="37"/>
        <v>0</v>
      </c>
    </row>
    <row r="12" spans="1:102" ht="25.5" customHeight="1" thickBot="1" x14ac:dyDescent="0.45">
      <c r="A12" s="63">
        <v>44205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8"/>
        <v>0</v>
      </c>
      <c r="M12" s="58"/>
      <c r="N12" s="64">
        <f t="shared" si="4"/>
        <v>0</v>
      </c>
      <c r="O12" s="58"/>
      <c r="P12" s="67">
        <f t="shared" si="44"/>
        <v>0</v>
      </c>
      <c r="Q12" s="58"/>
      <c r="R12" s="67">
        <f t="shared" si="5"/>
        <v>0</v>
      </c>
      <c r="S12" s="58"/>
      <c r="T12" s="67">
        <f t="shared" si="6"/>
        <v>0</v>
      </c>
      <c r="U12" s="58"/>
      <c r="V12" s="67">
        <f t="shared" si="7"/>
        <v>0</v>
      </c>
      <c r="W12" s="58"/>
      <c r="X12" s="65">
        <f t="shared" si="8"/>
        <v>0</v>
      </c>
      <c r="Y12" s="58"/>
      <c r="Z12" s="65">
        <f t="shared" si="9"/>
        <v>0</v>
      </c>
      <c r="AA12" s="58"/>
      <c r="AB12" s="65">
        <f t="shared" si="10"/>
        <v>0</v>
      </c>
      <c r="AC12" s="58"/>
      <c r="AD12" s="65">
        <f t="shared" si="11"/>
        <v>0</v>
      </c>
      <c r="AE12" s="58"/>
      <c r="AF12" s="65">
        <f t="shared" si="12"/>
        <v>0</v>
      </c>
      <c r="AG12" s="58"/>
      <c r="AH12" s="67">
        <f t="shared" si="13"/>
        <v>0</v>
      </c>
      <c r="AI12" s="58"/>
      <c r="AJ12" s="65">
        <f t="shared" si="14"/>
        <v>0</v>
      </c>
      <c r="AK12" s="58"/>
      <c r="AL12" s="65">
        <f t="shared" si="14"/>
        <v>0</v>
      </c>
      <c r="AM12" s="58"/>
      <c r="AN12" s="65">
        <f t="shared" si="14"/>
        <v>0</v>
      </c>
      <c r="AO12" s="58"/>
      <c r="AP12" s="65">
        <f t="shared" si="14"/>
        <v>0</v>
      </c>
      <c r="AQ12" s="58"/>
      <c r="AR12" s="65">
        <f t="shared" si="15"/>
        <v>0</v>
      </c>
      <c r="AS12" s="58"/>
      <c r="AT12" s="65">
        <f t="shared" si="16"/>
        <v>0</v>
      </c>
      <c r="AU12" s="58"/>
      <c r="AV12" s="65">
        <f t="shared" si="17"/>
        <v>0</v>
      </c>
      <c r="AW12" s="58"/>
      <c r="AX12" s="65">
        <f t="shared" si="18"/>
        <v>0</v>
      </c>
      <c r="AY12" s="58"/>
      <c r="AZ12" s="65">
        <f t="shared" si="19"/>
        <v>0</v>
      </c>
      <c r="BA12" s="58"/>
      <c r="BB12" s="65">
        <f t="shared" si="20"/>
        <v>0</v>
      </c>
      <c r="BC12" s="58"/>
      <c r="BD12" s="65">
        <f t="shared" si="21"/>
        <v>0</v>
      </c>
      <c r="BE12" s="59"/>
      <c r="BF12" s="67">
        <f t="shared" si="39"/>
        <v>0</v>
      </c>
      <c r="BG12" s="60"/>
      <c r="BH12" s="65">
        <f t="shared" si="22"/>
        <v>0</v>
      </c>
      <c r="BI12" s="60"/>
      <c r="BJ12" s="65">
        <f t="shared" si="40"/>
        <v>0</v>
      </c>
      <c r="BK12" s="60"/>
      <c r="BL12" s="65">
        <f t="shared" si="23"/>
        <v>0</v>
      </c>
      <c r="BM12" s="60"/>
      <c r="BN12" s="65">
        <f t="shared" si="24"/>
        <v>0</v>
      </c>
      <c r="BO12" s="60"/>
      <c r="BP12" s="65">
        <f t="shared" si="25"/>
        <v>0</v>
      </c>
      <c r="BQ12" s="60"/>
      <c r="BR12" s="65">
        <f t="shared" si="26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7"/>
        <v>0</v>
      </c>
      <c r="CT12" s="75"/>
      <c r="CU12" s="67">
        <f t="shared" si="37"/>
        <v>0</v>
      </c>
      <c r="CV12" s="68"/>
      <c r="CW12" s="67">
        <f t="shared" si="37"/>
        <v>0</v>
      </c>
    </row>
    <row r="13" spans="1:102" ht="25.5" customHeight="1" thickBot="1" x14ac:dyDescent="0.45">
      <c r="A13" s="63">
        <v>44206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8"/>
        <v>0</v>
      </c>
      <c r="M13" s="58"/>
      <c r="N13" s="64">
        <f t="shared" si="4"/>
        <v>0</v>
      </c>
      <c r="O13" s="58"/>
      <c r="P13" s="67">
        <f t="shared" si="44"/>
        <v>0</v>
      </c>
      <c r="Q13" s="58"/>
      <c r="R13" s="67">
        <f t="shared" si="5"/>
        <v>0</v>
      </c>
      <c r="S13" s="58"/>
      <c r="T13" s="67">
        <f t="shared" si="6"/>
        <v>0</v>
      </c>
      <c r="U13" s="58"/>
      <c r="V13" s="67">
        <f t="shared" si="7"/>
        <v>0</v>
      </c>
      <c r="W13" s="58"/>
      <c r="X13" s="65">
        <f t="shared" si="8"/>
        <v>0</v>
      </c>
      <c r="Y13" s="58"/>
      <c r="Z13" s="65">
        <f t="shared" si="9"/>
        <v>0</v>
      </c>
      <c r="AA13" s="58"/>
      <c r="AB13" s="65">
        <f t="shared" si="10"/>
        <v>0</v>
      </c>
      <c r="AC13" s="58"/>
      <c r="AD13" s="65">
        <f t="shared" si="11"/>
        <v>0</v>
      </c>
      <c r="AE13" s="58"/>
      <c r="AF13" s="65">
        <f t="shared" si="12"/>
        <v>0</v>
      </c>
      <c r="AG13" s="58"/>
      <c r="AH13" s="67">
        <f t="shared" si="13"/>
        <v>0</v>
      </c>
      <c r="AI13" s="58"/>
      <c r="AJ13" s="65">
        <f t="shared" si="14"/>
        <v>0</v>
      </c>
      <c r="AK13" s="58"/>
      <c r="AL13" s="65">
        <f t="shared" si="14"/>
        <v>0</v>
      </c>
      <c r="AM13" s="58"/>
      <c r="AN13" s="65">
        <f t="shared" si="14"/>
        <v>0</v>
      </c>
      <c r="AO13" s="58"/>
      <c r="AP13" s="65">
        <f t="shared" si="14"/>
        <v>0</v>
      </c>
      <c r="AQ13" s="58"/>
      <c r="AR13" s="65">
        <f t="shared" si="15"/>
        <v>0</v>
      </c>
      <c r="AS13" s="58"/>
      <c r="AT13" s="65">
        <f t="shared" si="16"/>
        <v>0</v>
      </c>
      <c r="AU13" s="58"/>
      <c r="AV13" s="65">
        <f t="shared" si="17"/>
        <v>0</v>
      </c>
      <c r="AW13" s="58"/>
      <c r="AX13" s="65">
        <f t="shared" si="18"/>
        <v>0</v>
      </c>
      <c r="AY13" s="58"/>
      <c r="AZ13" s="65">
        <f t="shared" si="19"/>
        <v>0</v>
      </c>
      <c r="BA13" s="58"/>
      <c r="BB13" s="65">
        <f t="shared" si="20"/>
        <v>0</v>
      </c>
      <c r="BC13" s="58"/>
      <c r="BD13" s="65">
        <f t="shared" si="21"/>
        <v>0</v>
      </c>
      <c r="BE13" s="59"/>
      <c r="BF13" s="67">
        <f t="shared" si="39"/>
        <v>0</v>
      </c>
      <c r="BG13" s="60"/>
      <c r="BH13" s="65">
        <f t="shared" si="22"/>
        <v>0</v>
      </c>
      <c r="BI13" s="60"/>
      <c r="BJ13" s="65">
        <f t="shared" si="40"/>
        <v>0</v>
      </c>
      <c r="BK13" s="60"/>
      <c r="BL13" s="65">
        <f t="shared" si="23"/>
        <v>0</v>
      </c>
      <c r="BM13" s="60"/>
      <c r="BN13" s="65">
        <f t="shared" si="24"/>
        <v>0</v>
      </c>
      <c r="BO13" s="60"/>
      <c r="BP13" s="65">
        <f t="shared" si="25"/>
        <v>0</v>
      </c>
      <c r="BQ13" s="60"/>
      <c r="BR13" s="65">
        <f t="shared" si="26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7"/>
        <v>0</v>
      </c>
      <c r="CT13" s="75"/>
      <c r="CU13" s="67">
        <f t="shared" si="37"/>
        <v>0</v>
      </c>
      <c r="CV13" s="68"/>
      <c r="CW13" s="67">
        <f t="shared" si="37"/>
        <v>0</v>
      </c>
    </row>
    <row r="14" spans="1:102" ht="25.5" customHeight="1" thickBot="1" x14ac:dyDescent="0.45">
      <c r="A14" s="63">
        <v>44207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8"/>
        <v>0</v>
      </c>
      <c r="M14" s="58"/>
      <c r="N14" s="64">
        <f t="shared" si="4"/>
        <v>0</v>
      </c>
      <c r="O14" s="58"/>
      <c r="P14" s="67">
        <f t="shared" si="44"/>
        <v>0</v>
      </c>
      <c r="Q14" s="58"/>
      <c r="R14" s="67">
        <f t="shared" si="5"/>
        <v>0</v>
      </c>
      <c r="S14" s="58"/>
      <c r="T14" s="67">
        <f t="shared" si="6"/>
        <v>0</v>
      </c>
      <c r="U14" s="58"/>
      <c r="V14" s="67">
        <f t="shared" si="7"/>
        <v>0</v>
      </c>
      <c r="W14" s="58"/>
      <c r="X14" s="65">
        <f t="shared" si="8"/>
        <v>0</v>
      </c>
      <c r="Y14" s="58"/>
      <c r="Z14" s="65">
        <f t="shared" si="9"/>
        <v>0</v>
      </c>
      <c r="AA14" s="58"/>
      <c r="AB14" s="65">
        <f t="shared" si="10"/>
        <v>0</v>
      </c>
      <c r="AC14" s="58"/>
      <c r="AD14" s="65">
        <f t="shared" si="11"/>
        <v>0</v>
      </c>
      <c r="AE14" s="58"/>
      <c r="AF14" s="65">
        <f t="shared" si="12"/>
        <v>0</v>
      </c>
      <c r="AG14" s="58"/>
      <c r="AH14" s="67">
        <f t="shared" si="13"/>
        <v>0</v>
      </c>
      <c r="AI14" s="58"/>
      <c r="AJ14" s="65">
        <f t="shared" si="14"/>
        <v>0</v>
      </c>
      <c r="AK14" s="58"/>
      <c r="AL14" s="65">
        <f t="shared" si="14"/>
        <v>0</v>
      </c>
      <c r="AM14" s="58"/>
      <c r="AN14" s="65">
        <f t="shared" si="14"/>
        <v>0</v>
      </c>
      <c r="AO14" s="58"/>
      <c r="AP14" s="65">
        <f t="shared" si="14"/>
        <v>0</v>
      </c>
      <c r="AQ14" s="58"/>
      <c r="AR14" s="65">
        <f t="shared" si="15"/>
        <v>0</v>
      </c>
      <c r="AS14" s="58"/>
      <c r="AT14" s="65">
        <f t="shared" si="16"/>
        <v>0</v>
      </c>
      <c r="AU14" s="58"/>
      <c r="AV14" s="65">
        <f t="shared" si="17"/>
        <v>0</v>
      </c>
      <c r="AW14" s="58"/>
      <c r="AX14" s="65">
        <f t="shared" si="18"/>
        <v>0</v>
      </c>
      <c r="AY14" s="58"/>
      <c r="AZ14" s="65">
        <f t="shared" si="19"/>
        <v>0</v>
      </c>
      <c r="BA14" s="58"/>
      <c r="BB14" s="65">
        <f t="shared" si="20"/>
        <v>0</v>
      </c>
      <c r="BC14" s="58"/>
      <c r="BD14" s="65">
        <f t="shared" si="21"/>
        <v>0</v>
      </c>
      <c r="BE14" s="59"/>
      <c r="BF14" s="67">
        <f t="shared" si="39"/>
        <v>0</v>
      </c>
      <c r="BG14" s="60"/>
      <c r="BH14" s="65">
        <f t="shared" si="22"/>
        <v>0</v>
      </c>
      <c r="BI14" s="60"/>
      <c r="BJ14" s="65">
        <f t="shared" si="40"/>
        <v>0</v>
      </c>
      <c r="BK14" s="60"/>
      <c r="BL14" s="65">
        <f t="shared" si="23"/>
        <v>0</v>
      </c>
      <c r="BM14" s="60"/>
      <c r="BN14" s="65">
        <f t="shared" si="24"/>
        <v>0</v>
      </c>
      <c r="BO14" s="60"/>
      <c r="BP14" s="65">
        <f t="shared" si="25"/>
        <v>0</v>
      </c>
      <c r="BQ14" s="60"/>
      <c r="BR14" s="65">
        <f t="shared" si="26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7"/>
        <v>0</v>
      </c>
      <c r="CR14" s="68"/>
      <c r="CS14" s="67">
        <f t="shared" si="37"/>
        <v>0</v>
      </c>
      <c r="CT14" s="75"/>
      <c r="CU14" s="67">
        <f t="shared" si="37"/>
        <v>0</v>
      </c>
      <c r="CV14" s="68"/>
      <c r="CW14" s="67">
        <f t="shared" si="37"/>
        <v>0</v>
      </c>
    </row>
    <row r="15" spans="1:102" ht="25.5" customHeight="1" thickBot="1" x14ac:dyDescent="0.45">
      <c r="A15" s="63">
        <v>44208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8"/>
        <v>0</v>
      </c>
      <c r="M15" s="58"/>
      <c r="N15" s="64">
        <f t="shared" si="4"/>
        <v>0</v>
      </c>
      <c r="O15" s="58"/>
      <c r="P15" s="67">
        <f t="shared" si="44"/>
        <v>0</v>
      </c>
      <c r="Q15" s="58"/>
      <c r="R15" s="67">
        <f t="shared" si="5"/>
        <v>0</v>
      </c>
      <c r="S15" s="58"/>
      <c r="T15" s="67">
        <f t="shared" si="6"/>
        <v>0</v>
      </c>
      <c r="U15" s="58"/>
      <c r="V15" s="67">
        <f t="shared" si="7"/>
        <v>0</v>
      </c>
      <c r="W15" s="58"/>
      <c r="X15" s="65">
        <f t="shared" si="8"/>
        <v>0</v>
      </c>
      <c r="Y15" s="58"/>
      <c r="Z15" s="65">
        <f t="shared" si="9"/>
        <v>0</v>
      </c>
      <c r="AA15" s="58"/>
      <c r="AB15" s="65">
        <f t="shared" si="10"/>
        <v>0</v>
      </c>
      <c r="AC15" s="58"/>
      <c r="AD15" s="65">
        <f t="shared" si="11"/>
        <v>0</v>
      </c>
      <c r="AE15" s="58"/>
      <c r="AF15" s="65">
        <f t="shared" si="12"/>
        <v>0</v>
      </c>
      <c r="AG15" s="58"/>
      <c r="AH15" s="67">
        <f t="shared" si="13"/>
        <v>0</v>
      </c>
      <c r="AI15" s="58"/>
      <c r="AJ15" s="65">
        <f t="shared" si="14"/>
        <v>0</v>
      </c>
      <c r="AK15" s="58"/>
      <c r="AL15" s="65">
        <f t="shared" si="14"/>
        <v>0</v>
      </c>
      <c r="AM15" s="58"/>
      <c r="AN15" s="65">
        <f t="shared" si="14"/>
        <v>0</v>
      </c>
      <c r="AO15" s="58"/>
      <c r="AP15" s="65">
        <f t="shared" si="14"/>
        <v>0</v>
      </c>
      <c r="AQ15" s="58"/>
      <c r="AR15" s="65">
        <f t="shared" si="15"/>
        <v>0</v>
      </c>
      <c r="AS15" s="58"/>
      <c r="AT15" s="65">
        <f t="shared" si="16"/>
        <v>0</v>
      </c>
      <c r="AU15" s="58"/>
      <c r="AV15" s="65">
        <f t="shared" si="17"/>
        <v>0</v>
      </c>
      <c r="AW15" s="58"/>
      <c r="AX15" s="65">
        <f t="shared" si="18"/>
        <v>0</v>
      </c>
      <c r="AY15" s="58"/>
      <c r="AZ15" s="65">
        <f t="shared" si="19"/>
        <v>0</v>
      </c>
      <c r="BA15" s="58"/>
      <c r="BB15" s="65">
        <f t="shared" si="20"/>
        <v>0</v>
      </c>
      <c r="BC15" s="58"/>
      <c r="BD15" s="65">
        <f t="shared" si="21"/>
        <v>0</v>
      </c>
      <c r="BE15" s="59"/>
      <c r="BF15" s="67">
        <f t="shared" si="39"/>
        <v>0</v>
      </c>
      <c r="BG15" s="60"/>
      <c r="BH15" s="65">
        <f t="shared" si="22"/>
        <v>0</v>
      </c>
      <c r="BI15" s="60"/>
      <c r="BJ15" s="65">
        <f t="shared" si="40"/>
        <v>0</v>
      </c>
      <c r="BK15" s="60"/>
      <c r="BL15" s="65">
        <f t="shared" si="23"/>
        <v>0</v>
      </c>
      <c r="BM15" s="60"/>
      <c r="BN15" s="65">
        <f t="shared" si="24"/>
        <v>0</v>
      </c>
      <c r="BO15" s="60"/>
      <c r="BP15" s="65">
        <f t="shared" si="25"/>
        <v>0</v>
      </c>
      <c r="BQ15" s="60"/>
      <c r="BR15" s="65">
        <f t="shared" si="26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7"/>
        <v>0</v>
      </c>
      <c r="CR15" s="68"/>
      <c r="CS15" s="67">
        <f t="shared" si="37"/>
        <v>0</v>
      </c>
      <c r="CT15" s="75"/>
      <c r="CU15" s="67">
        <f t="shared" si="37"/>
        <v>0</v>
      </c>
      <c r="CV15" s="68"/>
      <c r="CW15" s="67">
        <f t="shared" si="37"/>
        <v>0</v>
      </c>
    </row>
    <row r="16" spans="1:102" ht="25.5" customHeight="1" thickBot="1" x14ac:dyDescent="0.45">
      <c r="A16" s="63">
        <v>44209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8"/>
        <v>0</v>
      </c>
      <c r="M16" s="58"/>
      <c r="N16" s="64">
        <f t="shared" si="4"/>
        <v>0</v>
      </c>
      <c r="O16" s="58"/>
      <c r="P16" s="67">
        <f t="shared" si="44"/>
        <v>0</v>
      </c>
      <c r="Q16" s="58"/>
      <c r="R16" s="67">
        <f t="shared" si="5"/>
        <v>0</v>
      </c>
      <c r="S16" s="58"/>
      <c r="T16" s="67">
        <f t="shared" si="6"/>
        <v>0</v>
      </c>
      <c r="U16" s="58"/>
      <c r="V16" s="67">
        <f t="shared" si="7"/>
        <v>0</v>
      </c>
      <c r="W16" s="58"/>
      <c r="X16" s="65">
        <f t="shared" si="8"/>
        <v>0</v>
      </c>
      <c r="Y16" s="58"/>
      <c r="Z16" s="65">
        <f t="shared" si="9"/>
        <v>0</v>
      </c>
      <c r="AA16" s="58"/>
      <c r="AB16" s="65">
        <f t="shared" si="10"/>
        <v>0</v>
      </c>
      <c r="AC16" s="58"/>
      <c r="AD16" s="65">
        <f t="shared" si="11"/>
        <v>0</v>
      </c>
      <c r="AE16" s="58"/>
      <c r="AF16" s="65">
        <f t="shared" si="12"/>
        <v>0</v>
      </c>
      <c r="AG16" s="58"/>
      <c r="AH16" s="67">
        <f t="shared" si="13"/>
        <v>0</v>
      </c>
      <c r="AI16" s="58"/>
      <c r="AJ16" s="65">
        <f t="shared" si="14"/>
        <v>0</v>
      </c>
      <c r="AK16" s="58"/>
      <c r="AL16" s="65">
        <f t="shared" si="14"/>
        <v>0</v>
      </c>
      <c r="AM16" s="58"/>
      <c r="AN16" s="65">
        <f t="shared" si="14"/>
        <v>0</v>
      </c>
      <c r="AO16" s="58"/>
      <c r="AP16" s="65">
        <f t="shared" si="14"/>
        <v>0</v>
      </c>
      <c r="AQ16" s="58"/>
      <c r="AR16" s="65">
        <f t="shared" si="15"/>
        <v>0</v>
      </c>
      <c r="AS16" s="58"/>
      <c r="AT16" s="65">
        <f t="shared" si="16"/>
        <v>0</v>
      </c>
      <c r="AU16" s="58"/>
      <c r="AV16" s="65">
        <f t="shared" si="17"/>
        <v>0</v>
      </c>
      <c r="AW16" s="58"/>
      <c r="AX16" s="65">
        <f t="shared" si="18"/>
        <v>0</v>
      </c>
      <c r="AY16" s="58"/>
      <c r="AZ16" s="65">
        <f t="shared" si="19"/>
        <v>0</v>
      </c>
      <c r="BA16" s="58"/>
      <c r="BB16" s="65">
        <f t="shared" si="20"/>
        <v>0</v>
      </c>
      <c r="BC16" s="58"/>
      <c r="BD16" s="65">
        <f t="shared" si="21"/>
        <v>0</v>
      </c>
      <c r="BE16" s="59"/>
      <c r="BF16" s="67">
        <f t="shared" si="39"/>
        <v>0</v>
      </c>
      <c r="BG16" s="60"/>
      <c r="BH16" s="65">
        <f t="shared" si="22"/>
        <v>0</v>
      </c>
      <c r="BI16" s="60"/>
      <c r="BJ16" s="65">
        <f t="shared" si="40"/>
        <v>0</v>
      </c>
      <c r="BK16" s="60"/>
      <c r="BL16" s="65">
        <f t="shared" si="23"/>
        <v>0</v>
      </c>
      <c r="BM16" s="60"/>
      <c r="BN16" s="65">
        <f t="shared" si="24"/>
        <v>0</v>
      </c>
      <c r="BO16" s="60"/>
      <c r="BP16" s="65">
        <f t="shared" si="25"/>
        <v>0</v>
      </c>
      <c r="BQ16" s="60"/>
      <c r="BR16" s="65">
        <f t="shared" si="26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7"/>
        <v>0</v>
      </c>
      <c r="CR16" s="68"/>
      <c r="CS16" s="67">
        <f t="shared" si="37"/>
        <v>0</v>
      </c>
      <c r="CT16" s="75"/>
      <c r="CU16" s="67">
        <f t="shared" si="37"/>
        <v>0</v>
      </c>
      <c r="CV16" s="68"/>
      <c r="CW16" s="67">
        <f t="shared" si="37"/>
        <v>0</v>
      </c>
    </row>
    <row r="17" spans="1:101" ht="25.5" customHeight="1" thickBot="1" x14ac:dyDescent="0.45">
      <c r="A17" s="63">
        <v>44210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8"/>
        <v>0</v>
      </c>
      <c r="M17" s="58"/>
      <c r="N17" s="64">
        <f t="shared" si="4"/>
        <v>0</v>
      </c>
      <c r="O17" s="58"/>
      <c r="P17" s="67">
        <f t="shared" si="44"/>
        <v>0</v>
      </c>
      <c r="Q17" s="58"/>
      <c r="R17" s="67">
        <f t="shared" si="5"/>
        <v>0</v>
      </c>
      <c r="S17" s="58"/>
      <c r="T17" s="67">
        <f t="shared" si="6"/>
        <v>0</v>
      </c>
      <c r="U17" s="58"/>
      <c r="V17" s="67">
        <f t="shared" si="7"/>
        <v>0</v>
      </c>
      <c r="W17" s="58"/>
      <c r="X17" s="65">
        <f t="shared" si="8"/>
        <v>0</v>
      </c>
      <c r="Y17" s="58"/>
      <c r="Z17" s="65">
        <f t="shared" si="9"/>
        <v>0</v>
      </c>
      <c r="AA17" s="58"/>
      <c r="AB17" s="65">
        <f t="shared" si="10"/>
        <v>0</v>
      </c>
      <c r="AC17" s="58"/>
      <c r="AD17" s="65">
        <f t="shared" si="11"/>
        <v>0</v>
      </c>
      <c r="AE17" s="58"/>
      <c r="AF17" s="65">
        <f t="shared" si="12"/>
        <v>0</v>
      </c>
      <c r="AG17" s="58"/>
      <c r="AH17" s="67">
        <f t="shared" si="13"/>
        <v>0</v>
      </c>
      <c r="AI17" s="58"/>
      <c r="AJ17" s="65">
        <f t="shared" si="14"/>
        <v>0</v>
      </c>
      <c r="AK17" s="58"/>
      <c r="AL17" s="65">
        <f t="shared" si="14"/>
        <v>0</v>
      </c>
      <c r="AM17" s="58"/>
      <c r="AN17" s="65">
        <f t="shared" si="14"/>
        <v>0</v>
      </c>
      <c r="AO17" s="58"/>
      <c r="AP17" s="65">
        <f t="shared" si="14"/>
        <v>0</v>
      </c>
      <c r="AQ17" s="58"/>
      <c r="AR17" s="65">
        <f t="shared" si="15"/>
        <v>0</v>
      </c>
      <c r="AS17" s="58"/>
      <c r="AT17" s="65">
        <f t="shared" si="16"/>
        <v>0</v>
      </c>
      <c r="AU17" s="58"/>
      <c r="AV17" s="65">
        <f t="shared" si="17"/>
        <v>0</v>
      </c>
      <c r="AW17" s="58"/>
      <c r="AX17" s="65">
        <f t="shared" si="18"/>
        <v>0</v>
      </c>
      <c r="AY17" s="58"/>
      <c r="AZ17" s="65">
        <f t="shared" si="19"/>
        <v>0</v>
      </c>
      <c r="BA17" s="58"/>
      <c r="BB17" s="65">
        <f t="shared" si="20"/>
        <v>0</v>
      </c>
      <c r="BC17" s="58"/>
      <c r="BD17" s="65">
        <f t="shared" si="21"/>
        <v>0</v>
      </c>
      <c r="BE17" s="59"/>
      <c r="BF17" s="67">
        <f t="shared" si="39"/>
        <v>0</v>
      </c>
      <c r="BG17" s="60"/>
      <c r="BH17" s="65">
        <f t="shared" si="22"/>
        <v>0</v>
      </c>
      <c r="BI17" s="60"/>
      <c r="BJ17" s="65">
        <f t="shared" si="40"/>
        <v>0</v>
      </c>
      <c r="BK17" s="60"/>
      <c r="BL17" s="65">
        <f t="shared" si="23"/>
        <v>0</v>
      </c>
      <c r="BM17" s="60"/>
      <c r="BN17" s="65">
        <f t="shared" si="24"/>
        <v>0</v>
      </c>
      <c r="BO17" s="60"/>
      <c r="BP17" s="65">
        <f t="shared" si="25"/>
        <v>0</v>
      </c>
      <c r="BQ17" s="60"/>
      <c r="BR17" s="65">
        <f t="shared" si="26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1" ht="25.5" customHeight="1" thickBot="1" x14ac:dyDescent="0.45">
      <c r="A18" s="63">
        <v>44211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8"/>
        <v>0</v>
      </c>
      <c r="M18" s="58"/>
      <c r="N18" s="64">
        <f t="shared" si="4"/>
        <v>0</v>
      </c>
      <c r="O18" s="58"/>
      <c r="P18" s="67">
        <f t="shared" si="44"/>
        <v>0</v>
      </c>
      <c r="Q18" s="58"/>
      <c r="R18" s="67">
        <f t="shared" si="5"/>
        <v>0</v>
      </c>
      <c r="S18" s="58"/>
      <c r="T18" s="67">
        <f t="shared" si="6"/>
        <v>0</v>
      </c>
      <c r="U18" s="58"/>
      <c r="V18" s="67">
        <f t="shared" si="7"/>
        <v>0</v>
      </c>
      <c r="W18" s="58"/>
      <c r="X18" s="65">
        <f t="shared" si="8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1" ht="25.5" customHeight="1" thickBot="1" x14ac:dyDescent="0.45">
      <c r="A19" s="63">
        <v>44212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8"/>
        <v>0</v>
      </c>
      <c r="M19" s="58"/>
      <c r="N19" s="64">
        <f t="shared" si="4"/>
        <v>0</v>
      </c>
      <c r="O19" s="58"/>
      <c r="P19" s="67">
        <f t="shared" si="44"/>
        <v>0</v>
      </c>
      <c r="Q19" s="58"/>
      <c r="R19" s="67">
        <f t="shared" si="5"/>
        <v>0</v>
      </c>
      <c r="S19" s="58"/>
      <c r="T19" s="67">
        <f t="shared" si="6"/>
        <v>0</v>
      </c>
      <c r="U19" s="58"/>
      <c r="V19" s="67">
        <f t="shared" si="7"/>
        <v>0</v>
      </c>
      <c r="W19" s="58"/>
      <c r="X19" s="65">
        <f t="shared" si="8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1" ht="25.5" customHeight="1" thickBot="1" x14ac:dyDescent="0.45">
      <c r="A20" s="63">
        <v>44213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8"/>
        <v>0</v>
      </c>
      <c r="M20" s="58"/>
      <c r="N20" s="64">
        <f t="shared" si="4"/>
        <v>0</v>
      </c>
      <c r="O20" s="58"/>
      <c r="P20" s="67">
        <f t="shared" si="44"/>
        <v>0</v>
      </c>
      <c r="Q20" s="58"/>
      <c r="R20" s="67">
        <f t="shared" si="5"/>
        <v>0</v>
      </c>
      <c r="S20" s="58"/>
      <c r="T20" s="67">
        <f t="shared" si="6"/>
        <v>0</v>
      </c>
      <c r="U20" s="58"/>
      <c r="V20" s="67">
        <f t="shared" si="7"/>
        <v>0</v>
      </c>
      <c r="W20" s="58"/>
      <c r="X20" s="65">
        <f t="shared" si="8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1" ht="25.5" customHeight="1" thickBot="1" x14ac:dyDescent="0.45">
      <c r="A21" s="63">
        <v>44214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8"/>
        <v>0</v>
      </c>
      <c r="M21" s="58"/>
      <c r="N21" s="64">
        <f t="shared" si="4"/>
        <v>0</v>
      </c>
      <c r="O21" s="58"/>
      <c r="P21" s="67">
        <f t="shared" si="44"/>
        <v>0</v>
      </c>
      <c r="Q21" s="58"/>
      <c r="R21" s="67">
        <f t="shared" si="5"/>
        <v>0</v>
      </c>
      <c r="S21" s="58"/>
      <c r="T21" s="67">
        <f t="shared" si="6"/>
        <v>0</v>
      </c>
      <c r="U21" s="58"/>
      <c r="V21" s="67">
        <f t="shared" si="7"/>
        <v>0</v>
      </c>
      <c r="W21" s="58"/>
      <c r="X21" s="65">
        <f t="shared" si="8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1" ht="25.5" customHeight="1" thickBot="1" x14ac:dyDescent="0.45">
      <c r="A22" s="63">
        <v>44215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8"/>
        <v>0</v>
      </c>
      <c r="M22" s="58"/>
      <c r="N22" s="64">
        <f t="shared" si="4"/>
        <v>0</v>
      </c>
      <c r="O22" s="58"/>
      <c r="P22" s="67">
        <f t="shared" si="44"/>
        <v>0</v>
      </c>
      <c r="Q22" s="58"/>
      <c r="R22" s="67">
        <f t="shared" si="5"/>
        <v>0</v>
      </c>
      <c r="S22" s="58"/>
      <c r="T22" s="67">
        <f t="shared" si="6"/>
        <v>0</v>
      </c>
      <c r="U22" s="58"/>
      <c r="V22" s="67">
        <f t="shared" si="7"/>
        <v>0</v>
      </c>
      <c r="W22" s="58"/>
      <c r="X22" s="65">
        <f t="shared" si="8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O23" sqref="O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-196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2021-01-03T10:51:02Z</dcterms:modified>
</cp:coreProperties>
</file>