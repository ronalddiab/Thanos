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C:\Users\varechalub\Desktop\ODEČTY\"/>
    </mc:Choice>
  </mc:AlternateContent>
  <xr:revisionPtr revIDLastSave="0" documentId="13_ncr:1_{0BD52FE1-09DB-42B5-90C1-C4B15AA19FC6}" xr6:coauthVersionLast="47" xr6:coauthVersionMax="47" xr10:uidLastSave="{00000000-0000-0000-0000-000000000000}"/>
  <bookViews>
    <workbookView xWindow="14160" yWindow="1530" windowWidth="18900" windowHeight="11055" xr2:uid="{00000000-000D-0000-FFFF-FFFF00000000}"/>
  </bookViews>
  <sheets>
    <sheet name="January" sheetId="17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36" i="17" l="1"/>
  <c r="C36" i="17"/>
  <c r="B36" i="17"/>
  <c r="L35" i="17"/>
  <c r="K35" i="17"/>
  <c r="H35" i="17"/>
  <c r="G35" i="17"/>
  <c r="F35" i="17"/>
  <c r="D35" i="17"/>
  <c r="C35" i="17"/>
  <c r="B35" i="17"/>
  <c r="B38" i="17" l="1"/>
  <c r="D38" i="17"/>
  <c r="C38" i="17"/>
</calcChain>
</file>

<file path=xl/sharedStrings.xml><?xml version="1.0" encoding="utf-8"?>
<sst xmlns="http://schemas.openxmlformats.org/spreadsheetml/2006/main" count="25" uniqueCount="23">
  <si>
    <t xml:space="preserve"> </t>
  </si>
  <si>
    <t>DATE</t>
  </si>
  <si>
    <t xml:space="preserve">Electricity </t>
  </si>
  <si>
    <t>Gas</t>
  </si>
  <si>
    <t>Water</t>
  </si>
  <si>
    <t>Guests</t>
  </si>
  <si>
    <t>MTG</t>
  </si>
  <si>
    <t>[kWh]</t>
  </si>
  <si>
    <t>[m3]</t>
  </si>
  <si>
    <t>in house</t>
  </si>
  <si>
    <t>rooms</t>
  </si>
  <si>
    <t xml:space="preserve">TOTAL </t>
  </si>
  <si>
    <t>AVG</t>
  </si>
  <si>
    <t>Average consumption per guest</t>
  </si>
  <si>
    <t>Stefano Ricci</t>
  </si>
  <si>
    <t>Room Night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</si>
  <si>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</t>
  </si>
  <si>
    <t>min. ČR</t>
  </si>
  <si>
    <t>max. ČR</t>
  </si>
  <si>
    <t>FSHP-max</t>
  </si>
  <si>
    <t>Temperature °C</t>
  </si>
  <si>
    <t>Kremosyn</t>
  </si>
  <si>
    <t>Four Seasons Hotel Prague - Utilities Daily Consumption - January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</si>
</sst>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#,##0.0"/>
  </numFmts>
  <fonts count="9" x14ac:knownFonts="1">
    <font>
      <sz val="11"/>
      <color theme="1"/>
      <name val="Calibri"/>
      <family val="2"/>
      <scheme val="minor"/>
    </font>
    <font>
      <b/>
      <sz val="8"/>
      <name val="Arial"/>
      <family val="2"/>
    </font>
    <font>
      <sz val="8"/>
      <name val="Arial"/>
      <family val="2"/>
      <charset val="238"/>
    </font>
    <font>
      <sz val="8"/>
      <name val="Arial CE"/>
      <family val="2"/>
      <charset val="238"/>
    </font>
    <font>
      <sz val="8"/>
      <name val="Arial"/>
      <family val="2"/>
    </font>
    <font>
      <b/>
      <sz val="12"/>
      <name val="Arial"/>
      <family val="2"/>
      <charset val="238"/>
    </font>
    <font>
      <sz val="12"/>
      <name val="Arial"/>
      <family val="2"/>
      <charset val="238"/>
    </font>
    <font>
      <b/>
      <sz val="8"/>
      <name val="Arial"/>
      <family val="2"/>
      <charset val="238"/>
    </font>
    <font>
      <sz val="8"/>
      <color theme="1"/>
      <name val="Arial"/>
      <family val="2"/>
      <charset val="238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6699"/>
        <bgColor indexed="64"/>
      </patternFill>
    </fill>
  </fills>
  <borders count="30">
    <border>
      <left/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2" fillId="0" borderId="0" xfId="0" applyFont="1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2" fillId="2" borderId="6" xfId="0" applyFont="1" applyFill="1" applyBorder="1" applyAlignment="1" applyProtection="1">
      <alignment horizontal="center"/>
      <protection locked="0"/>
    </xf>
    <xf numFmtId="0" fontId="2" fillId="0" borderId="6" xfId="0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3" fontId="3" fillId="2" borderId="5" xfId="0" applyNumberFormat="1" applyFont="1" applyFill="1" applyBorder="1" applyAlignment="1" applyProtection="1">
      <alignment horizontal="center"/>
    </xf>
    <xf numFmtId="0" fontId="2" fillId="2" borderId="6" xfId="0" applyFont="1" applyFill="1" applyBorder="1" applyAlignment="1">
      <alignment horizontal="center"/>
    </xf>
    <xf numFmtId="0" fontId="2" fillId="0" borderId="7" xfId="0" applyFont="1" applyBorder="1" applyAlignment="1">
      <alignment horizontal="center"/>
    </xf>
    <xf numFmtId="164" fontId="2" fillId="0" borderId="0" xfId="0" applyNumberFormat="1" applyFont="1" applyBorder="1" applyAlignment="1">
      <alignment horizontal="center"/>
    </xf>
    <xf numFmtId="0" fontId="1" fillId="0" borderId="0" xfId="0" applyFont="1" applyBorder="1" applyAlignment="1">
      <alignment horizontal="centerContinuous"/>
    </xf>
    <xf numFmtId="0" fontId="2" fillId="0" borderId="0" xfId="0" applyFont="1" applyBorder="1"/>
    <xf numFmtId="0" fontId="1" fillId="0" borderId="0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4" fillId="0" borderId="11" xfId="0" applyFont="1" applyBorder="1" applyAlignment="1">
      <alignment horizontal="center"/>
    </xf>
    <xf numFmtId="0" fontId="4" fillId="0" borderId="12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3" fontId="2" fillId="0" borderId="2" xfId="0" applyNumberFormat="1" applyFont="1" applyBorder="1" applyAlignment="1">
      <alignment horizontal="center"/>
    </xf>
    <xf numFmtId="3" fontId="2" fillId="0" borderId="3" xfId="0" applyNumberFormat="1" applyFont="1" applyBorder="1" applyAlignment="1">
      <alignment horizontal="center"/>
    </xf>
    <xf numFmtId="3" fontId="2" fillId="0" borderId="6" xfId="0" applyNumberFormat="1" applyFont="1" applyBorder="1" applyAlignment="1">
      <alignment horizontal="center"/>
    </xf>
    <xf numFmtId="3" fontId="2" fillId="0" borderId="5" xfId="0" applyNumberFormat="1" applyFont="1" applyBorder="1" applyAlignment="1">
      <alignment horizontal="center"/>
    </xf>
    <xf numFmtId="0" fontId="2" fillId="2" borderId="0" xfId="0" applyFont="1" applyFill="1" applyBorder="1" applyAlignment="1" applyProtection="1">
      <alignment horizontal="center"/>
      <protection locked="0"/>
    </xf>
    <xf numFmtId="0" fontId="2" fillId="2" borderId="0" xfId="0" applyFont="1" applyFill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3" fontId="2" fillId="0" borderId="12" xfId="0" applyNumberFormat="1" applyFont="1" applyBorder="1" applyAlignment="1">
      <alignment horizontal="center"/>
    </xf>
    <xf numFmtId="3" fontId="3" fillId="2" borderId="11" xfId="0" applyNumberFormat="1" applyFont="1" applyFill="1" applyBorder="1" applyAlignment="1" applyProtection="1">
      <alignment horizontal="center"/>
    </xf>
    <xf numFmtId="0" fontId="2" fillId="0" borderId="12" xfId="0" applyFont="1" applyBorder="1" applyAlignment="1">
      <alignment horizontal="center"/>
    </xf>
    <xf numFmtId="4" fontId="1" fillId="3" borderId="15" xfId="0" applyNumberFormat="1" applyFont="1" applyFill="1" applyBorder="1" applyAlignment="1">
      <alignment horizontal="center"/>
    </xf>
    <xf numFmtId="4" fontId="1" fillId="3" borderId="16" xfId="0" applyNumberFormat="1" applyFont="1" applyFill="1" applyBorder="1" applyAlignment="1">
      <alignment horizontal="center"/>
    </xf>
    <xf numFmtId="4" fontId="1" fillId="3" borderId="17" xfId="0" applyNumberFormat="1" applyFont="1" applyFill="1" applyBorder="1" applyAlignment="1">
      <alignment horizontal="center"/>
    </xf>
    <xf numFmtId="4" fontId="2" fillId="0" borderId="0" xfId="0" applyNumberFormat="1" applyFont="1" applyFill="1" applyBorder="1" applyAlignment="1">
      <alignment horizontal="center"/>
    </xf>
    <xf numFmtId="0" fontId="2" fillId="3" borderId="7" xfId="0" applyFont="1" applyFill="1" applyBorder="1" applyAlignment="1">
      <alignment horizontal="center"/>
    </xf>
    <xf numFmtId="0" fontId="2" fillId="3" borderId="13" xfId="0" applyFont="1" applyFill="1" applyBorder="1" applyAlignment="1">
      <alignment horizontal="center"/>
    </xf>
    <xf numFmtId="4" fontId="2" fillId="0" borderId="18" xfId="0" applyNumberFormat="1" applyFont="1" applyBorder="1" applyAlignment="1">
      <alignment horizontal="center"/>
    </xf>
    <xf numFmtId="4" fontId="2" fillId="0" borderId="19" xfId="0" applyNumberFormat="1" applyFont="1" applyBorder="1" applyAlignment="1">
      <alignment horizontal="center"/>
    </xf>
    <xf numFmtId="4" fontId="2" fillId="0" borderId="20" xfId="0" applyNumberFormat="1" applyFont="1" applyBorder="1" applyAlignment="1">
      <alignment horizontal="center"/>
    </xf>
    <xf numFmtId="4" fontId="2" fillId="0" borderId="0" xfId="0" applyNumberFormat="1" applyFont="1" applyBorder="1" applyAlignment="1">
      <alignment horizontal="center"/>
    </xf>
    <xf numFmtId="1" fontId="4" fillId="0" borderId="0" xfId="0" applyNumberFormat="1" applyFont="1" applyBorder="1" applyAlignment="1">
      <alignment horizontal="center"/>
    </xf>
    <xf numFmtId="0" fontId="5" fillId="0" borderId="21" xfId="0" applyFont="1" applyBorder="1" applyAlignment="1">
      <alignment horizontal="right"/>
    </xf>
    <xf numFmtId="3" fontId="6" fillId="0" borderId="21" xfId="0" applyNumberFormat="1" applyFont="1" applyBorder="1" applyAlignment="1">
      <alignment horizontal="center"/>
    </xf>
    <xf numFmtId="0" fontId="4" fillId="0" borderId="22" xfId="0" applyFont="1" applyBorder="1" applyAlignment="1">
      <alignment horizontal="center"/>
    </xf>
    <xf numFmtId="0" fontId="2" fillId="0" borderId="0" xfId="0" applyFont="1" applyFill="1" applyBorder="1" applyAlignment="1">
      <alignment horizontal="center"/>
    </xf>
    <xf numFmtId="4" fontId="1" fillId="3" borderId="0" xfId="0" applyNumberFormat="1" applyFont="1" applyFill="1" applyBorder="1" applyAlignment="1">
      <alignment horizontal="center"/>
    </xf>
    <xf numFmtId="0" fontId="2" fillId="2" borderId="24" xfId="0" applyFont="1" applyFill="1" applyBorder="1" applyAlignment="1" applyProtection="1">
      <alignment horizontal="center"/>
      <protection locked="0"/>
    </xf>
    <xf numFmtId="0" fontId="2" fillId="0" borderId="24" xfId="0" applyFont="1" applyBorder="1" applyAlignment="1">
      <alignment horizontal="center"/>
    </xf>
    <xf numFmtId="0" fontId="2" fillId="2" borderId="24" xfId="0" applyFont="1" applyFill="1" applyBorder="1" applyAlignment="1">
      <alignment horizontal="center"/>
    </xf>
    <xf numFmtId="0" fontId="2" fillId="0" borderId="25" xfId="0" applyFont="1" applyBorder="1" applyAlignment="1">
      <alignment horizontal="center"/>
    </xf>
    <xf numFmtId="0" fontId="2" fillId="0" borderId="26" xfId="0" applyFont="1" applyBorder="1" applyAlignment="1">
      <alignment horizontal="center"/>
    </xf>
    <xf numFmtId="0" fontId="7" fillId="0" borderId="13" xfId="0" applyFont="1" applyBorder="1" applyAlignment="1">
      <alignment horizontal="center"/>
    </xf>
    <xf numFmtId="0" fontId="2" fillId="0" borderId="23" xfId="0" applyFont="1" applyBorder="1" applyAlignment="1">
      <alignment horizontal="center"/>
    </xf>
    <xf numFmtId="0" fontId="2" fillId="2" borderId="28" xfId="0" applyFont="1" applyFill="1" applyBorder="1" applyAlignment="1" applyProtection="1">
      <alignment horizontal="center"/>
      <protection locked="0"/>
    </xf>
    <xf numFmtId="0" fontId="2" fillId="0" borderId="29" xfId="0" applyFont="1" applyBorder="1" applyAlignment="1">
      <alignment horizontal="center"/>
    </xf>
    <xf numFmtId="165" fontId="1" fillId="3" borderId="7" xfId="0" applyNumberFormat="1" applyFont="1" applyFill="1" applyBorder="1" applyAlignment="1">
      <alignment horizontal="center"/>
    </xf>
    <xf numFmtId="165" fontId="1" fillId="3" borderId="13" xfId="0" applyNumberFormat="1" applyFont="1" applyFill="1" applyBorder="1" applyAlignment="1">
      <alignment horizontal="center"/>
    </xf>
    <xf numFmtId="165" fontId="1" fillId="3" borderId="27" xfId="0" applyNumberFormat="1" applyFont="1" applyFill="1" applyBorder="1" applyAlignment="1">
      <alignment horizontal="center"/>
    </xf>
    <xf numFmtId="3" fontId="3" fillId="2" borderId="6" xfId="0" applyNumberFormat="1" applyFont="1" applyFill="1" applyBorder="1" applyAlignment="1" applyProtection="1">
      <alignment horizontal="center"/>
    </xf>
    <xf numFmtId="0" fontId="8" fillId="0" borderId="5" xfId="0" applyNumberFormat="1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7" fillId="0" borderId="8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A87B1D-C12B-45BC-A5E8-795433DAA72F}">
  <dimension ref="A1:O42"/>
  <sheetViews>
    <sheetView tabSelected="1" topLeftCell="A10" workbookViewId="0">
      <selection activeCell="G39" sqref="G39"/>
    </sheetView>
  </sheetViews>
  <sheetFormatPr defaultRowHeight="15" x14ac:dyDescent="0.25"/>
  <cols>
    <col min="1" max="1" width="15.85546875" bestFit="1" customWidth="1"/>
    <col min="5" max="5" width="2.28515625" customWidth="1"/>
    <col min="6" max="6" width="6.85546875" customWidth="1"/>
    <col min="7" max="7" width="7.5703125" customWidth="1"/>
    <col min="8" max="8" width="8.28515625" customWidth="1"/>
    <col min="9" max="9" width="2" customWidth="1"/>
    <col min="10" max="10" width="7.42578125" customWidth="1"/>
    <col min="11" max="11" width="10.140625" customWidth="1"/>
    <col min="12" max="12" width="7.140625" customWidth="1"/>
  </cols>
  <sheetData>
    <row r="1" spans="1:15" ht="15.75" thickBot="1" x14ac:dyDescent="0.3">
      <c r="A1" s="63" t="s">
        <v>22</v>
      </c>
      <c r="B1" s="64"/>
      <c r="C1" s="64"/>
      <c r="D1" s="64"/>
      <c r="E1" s="64"/>
      <c r="F1" s="64"/>
      <c r="G1" s="64"/>
      <c r="H1" s="64"/>
      <c r="I1" s="64"/>
      <c r="J1" s="64"/>
      <c r="K1" s="64"/>
      <c r="L1" s="65"/>
    </row>
    <row r="2" spans="1:15" ht="15.75" thickBot="1" x14ac:dyDescent="0.3">
      <c r="A2" s="4" t="s">
        <v>1</v>
      </c>
      <c r="B2" s="3" t="s">
        <v>2</v>
      </c>
      <c r="C2" s="3" t="s">
        <v>3</v>
      </c>
      <c r="D2" s="3" t="s">
        <v>4</v>
      </c>
      <c r="E2" s="17"/>
      <c r="F2" s="66" t="s">
        <v>20</v>
      </c>
      <c r="G2" s="67"/>
      <c r="H2" s="68"/>
      <c r="I2" s="17"/>
      <c r="J2" s="4" t="s">
        <v>5</v>
      </c>
      <c r="K2" s="3" t="s">
        <v>15</v>
      </c>
      <c r="L2" s="3" t="s">
        <v>6</v>
      </c>
    </row>
    <row r="3" spans="1:15" ht="15.75" thickBot="1" x14ac:dyDescent="0.3">
      <c r="A3" s="19"/>
      <c r="B3" s="20" t="s">
        <v>7</v>
      </c>
      <c r="C3" s="20" t="s">
        <v>8</v>
      </c>
      <c r="D3" s="46" t="s">
        <v>8</v>
      </c>
      <c r="E3" s="21"/>
      <c r="F3" s="54" t="s">
        <v>17</v>
      </c>
      <c r="G3" s="54" t="s">
        <v>18</v>
      </c>
      <c r="H3" s="54" t="s">
        <v>19</v>
      </c>
      <c r="I3" s="21"/>
      <c r="J3" s="19" t="s">
        <v>9</v>
      </c>
      <c r="K3" s="20" t="s">
        <v>10</v>
      </c>
      <c r="L3" s="20" t="s">
        <v>10</v>
      </c>
    </row>
    <row r="4" spans="1:15" x14ac:dyDescent="0.25">
      <c r="A4" s="2">
        <v>1</v>
      </c>
      <c r="B4" s="22">
        <v>12040</v>
      </c>
      <c r="C4" s="23">
        <v>1231</v>
      </c>
      <c r="D4" s="6">
        <v>56</v>
      </c>
      <c r="E4" s="10"/>
      <c r="F4" s="6">
        <v>6</v>
      </c>
      <c r="G4" s="55">
        <v>13</v>
      </c>
      <c r="H4" s="6">
        <v>13</v>
      </c>
      <c r="I4" s="10"/>
      <c r="J4" s="6">
        <v>106</v>
      </c>
      <c r="K4" s="6">
        <v>46</v>
      </c>
      <c r="L4" s="6">
        <v>0</v>
      </c>
    </row>
    <row r="5" spans="1:15" x14ac:dyDescent="0.25">
      <c r="A5" s="7">
        <v>2</v>
      </c>
      <c r="B5" s="24">
        <v>11541</v>
      </c>
      <c r="C5" s="25">
        <v>1255</v>
      </c>
      <c r="D5" s="8">
        <v>48</v>
      </c>
      <c r="E5" s="26"/>
      <c r="F5" s="8">
        <v>4</v>
      </c>
      <c r="G5" s="56">
        <v>11</v>
      </c>
      <c r="H5" s="8">
        <v>10</v>
      </c>
      <c r="I5" s="26"/>
      <c r="J5" s="9">
        <v>79</v>
      </c>
      <c r="K5" s="9">
        <v>43</v>
      </c>
      <c r="L5" s="9">
        <v>0</v>
      </c>
    </row>
    <row r="6" spans="1:15" x14ac:dyDescent="0.25">
      <c r="A6" s="7">
        <v>3</v>
      </c>
      <c r="B6" s="24">
        <v>11804</v>
      </c>
      <c r="C6" s="25">
        <v>1240</v>
      </c>
      <c r="D6" s="8">
        <v>58</v>
      </c>
      <c r="E6" s="26"/>
      <c r="F6" s="8">
        <v>7</v>
      </c>
      <c r="G6" s="49">
        <v>11</v>
      </c>
      <c r="H6" s="8">
        <v>11</v>
      </c>
      <c r="I6" s="26"/>
      <c r="J6" s="9">
        <v>77</v>
      </c>
      <c r="K6" s="9">
        <v>36</v>
      </c>
      <c r="L6" s="9">
        <v>0</v>
      </c>
    </row>
    <row r="7" spans="1:15" x14ac:dyDescent="0.25">
      <c r="A7" s="7">
        <v>4</v>
      </c>
      <c r="B7" s="24">
        <v>11828</v>
      </c>
      <c r="C7" s="25">
        <v>1268</v>
      </c>
      <c r="D7" s="8">
        <v>43</v>
      </c>
      <c r="E7" s="26"/>
      <c r="F7" s="57">
        <v>5</v>
      </c>
      <c r="G7" s="49">
        <v>11</v>
      </c>
      <c r="H7" s="8">
        <v>11</v>
      </c>
      <c r="I7" s="26"/>
      <c r="J7" s="9">
        <v>72</v>
      </c>
      <c r="K7" s="9">
        <v>36</v>
      </c>
      <c r="L7" s="9">
        <v>0</v>
      </c>
    </row>
    <row r="8" spans="1:15" x14ac:dyDescent="0.25">
      <c r="A8" s="7">
        <v>5</v>
      </c>
      <c r="B8" s="24">
        <v>11561</v>
      </c>
      <c r="C8" s="25">
        <v>1496</v>
      </c>
      <c r="D8" s="8">
        <v>44</v>
      </c>
      <c r="E8" s="26"/>
      <c r="F8" s="8">
        <v>2</v>
      </c>
      <c r="G8" s="49">
        <v>5</v>
      </c>
      <c r="H8" s="8">
        <v>7</v>
      </c>
      <c r="I8" s="26"/>
      <c r="J8" s="9">
        <v>71</v>
      </c>
      <c r="K8" s="9">
        <v>33</v>
      </c>
      <c r="L8" s="9">
        <v>0</v>
      </c>
    </row>
    <row r="9" spans="1:15" x14ac:dyDescent="0.25">
      <c r="A9" s="7">
        <v>6</v>
      </c>
      <c r="B9" s="24">
        <v>11804</v>
      </c>
      <c r="C9" s="25">
        <v>1713</v>
      </c>
      <c r="D9" s="8">
        <v>44</v>
      </c>
      <c r="E9" s="26"/>
      <c r="F9" s="8">
        <v>-4</v>
      </c>
      <c r="G9" s="49">
        <v>2</v>
      </c>
      <c r="H9" s="8">
        <v>3</v>
      </c>
      <c r="I9" s="26"/>
      <c r="J9" s="9">
        <v>87</v>
      </c>
      <c r="K9" s="9">
        <v>30</v>
      </c>
      <c r="L9" s="9">
        <v>1</v>
      </c>
    </row>
    <row r="10" spans="1:15" x14ac:dyDescent="0.25">
      <c r="A10" s="7">
        <v>7</v>
      </c>
      <c r="B10" s="24">
        <v>11998</v>
      </c>
      <c r="C10" s="25">
        <v>1813</v>
      </c>
      <c r="D10" s="8">
        <v>50</v>
      </c>
      <c r="E10" s="26"/>
      <c r="F10" s="8">
        <v>-5</v>
      </c>
      <c r="G10" s="49">
        <v>1</v>
      </c>
      <c r="H10" s="8">
        <v>3</v>
      </c>
      <c r="I10" s="26"/>
      <c r="J10" s="9">
        <v>63</v>
      </c>
      <c r="K10" s="9">
        <v>44</v>
      </c>
      <c r="L10" s="9">
        <v>0</v>
      </c>
    </row>
    <row r="11" spans="1:15" x14ac:dyDescent="0.25">
      <c r="A11" s="7">
        <v>8</v>
      </c>
      <c r="B11" s="24">
        <v>11755</v>
      </c>
      <c r="C11" s="25">
        <v>1703</v>
      </c>
      <c r="D11" s="8">
        <v>43</v>
      </c>
      <c r="E11" s="26"/>
      <c r="F11" s="8">
        <v>-2</v>
      </c>
      <c r="G11" s="49">
        <v>3</v>
      </c>
      <c r="H11" s="8">
        <v>3</v>
      </c>
      <c r="I11" s="26"/>
      <c r="J11" s="9">
        <v>56</v>
      </c>
      <c r="K11" s="9">
        <v>41</v>
      </c>
      <c r="L11" s="9">
        <v>0</v>
      </c>
    </row>
    <row r="12" spans="1:15" x14ac:dyDescent="0.25">
      <c r="A12" s="7">
        <v>9</v>
      </c>
      <c r="B12" s="24">
        <v>11137</v>
      </c>
      <c r="C12" s="25">
        <v>1642</v>
      </c>
      <c r="D12" s="8">
        <v>38</v>
      </c>
      <c r="E12" s="26"/>
      <c r="F12" s="8">
        <v>-3</v>
      </c>
      <c r="G12" s="49">
        <v>4</v>
      </c>
      <c r="H12" s="8">
        <v>4</v>
      </c>
      <c r="I12" s="26"/>
      <c r="J12" s="9">
        <v>54</v>
      </c>
      <c r="K12" s="9">
        <v>31</v>
      </c>
      <c r="L12" s="9">
        <v>0</v>
      </c>
    </row>
    <row r="13" spans="1:15" x14ac:dyDescent="0.25">
      <c r="A13" s="7">
        <v>10</v>
      </c>
      <c r="B13" s="24">
        <v>11472</v>
      </c>
      <c r="C13" s="25">
        <v>1614</v>
      </c>
      <c r="D13" s="8">
        <v>47</v>
      </c>
      <c r="E13" s="26"/>
      <c r="F13" s="8">
        <v>1</v>
      </c>
      <c r="G13" s="49">
        <v>3</v>
      </c>
      <c r="H13" s="8">
        <v>4</v>
      </c>
      <c r="I13" s="26"/>
      <c r="J13" s="9">
        <v>40</v>
      </c>
      <c r="K13" s="9">
        <v>24</v>
      </c>
      <c r="L13" s="9">
        <v>1</v>
      </c>
      <c r="O13" t="s">
        <v>0</v>
      </c>
    </row>
    <row r="14" spans="1:15" x14ac:dyDescent="0.25">
      <c r="A14" s="7">
        <v>11</v>
      </c>
      <c r="B14" s="24">
        <v>11035</v>
      </c>
      <c r="C14" s="25">
        <v>1757</v>
      </c>
      <c r="D14" s="8">
        <v>42</v>
      </c>
      <c r="E14" s="26"/>
      <c r="F14" s="8">
        <v>-5</v>
      </c>
      <c r="G14" s="49">
        <v>1</v>
      </c>
      <c r="H14" s="8">
        <v>2</v>
      </c>
      <c r="I14" s="26"/>
      <c r="J14" s="9">
        <v>47</v>
      </c>
      <c r="K14" s="9">
        <v>30</v>
      </c>
      <c r="L14" s="9">
        <v>0</v>
      </c>
    </row>
    <row r="15" spans="1:15" x14ac:dyDescent="0.25">
      <c r="A15" s="7">
        <v>12</v>
      </c>
      <c r="B15" s="24">
        <v>11072</v>
      </c>
      <c r="C15" s="25">
        <v>1587</v>
      </c>
      <c r="D15" s="8">
        <v>39</v>
      </c>
      <c r="E15" s="26"/>
      <c r="F15" s="8">
        <v>-5</v>
      </c>
      <c r="G15" s="49">
        <v>0</v>
      </c>
      <c r="H15" s="8">
        <v>1</v>
      </c>
      <c r="I15" s="26"/>
      <c r="J15" s="9">
        <v>50</v>
      </c>
      <c r="K15" s="9">
        <v>32</v>
      </c>
      <c r="L15" s="9">
        <v>0</v>
      </c>
    </row>
    <row r="16" spans="1:15" x14ac:dyDescent="0.25">
      <c r="A16" s="7">
        <v>13</v>
      </c>
      <c r="B16" s="24">
        <v>11234</v>
      </c>
      <c r="C16" s="25">
        <v>1673</v>
      </c>
      <c r="D16" s="8">
        <v>41</v>
      </c>
      <c r="E16" s="26"/>
      <c r="F16" s="8">
        <v>-2</v>
      </c>
      <c r="G16" s="49">
        <v>3</v>
      </c>
      <c r="H16" s="8">
        <v>4</v>
      </c>
      <c r="I16" s="26"/>
      <c r="J16" s="9">
        <v>59</v>
      </c>
      <c r="K16" s="9">
        <v>36</v>
      </c>
      <c r="L16" s="9">
        <v>1</v>
      </c>
    </row>
    <row r="17" spans="1:15" x14ac:dyDescent="0.25">
      <c r="A17" s="7">
        <v>14</v>
      </c>
      <c r="B17" s="24">
        <v>11048</v>
      </c>
      <c r="C17" s="24">
        <v>1487</v>
      </c>
      <c r="D17" s="8">
        <v>41</v>
      </c>
      <c r="E17" s="26"/>
      <c r="F17" s="8">
        <v>0</v>
      </c>
      <c r="G17" s="49">
        <v>7</v>
      </c>
      <c r="H17" s="8">
        <v>7</v>
      </c>
      <c r="I17" s="26"/>
      <c r="J17" s="9">
        <v>44</v>
      </c>
      <c r="K17" s="9">
        <v>26</v>
      </c>
      <c r="L17" s="9">
        <v>0</v>
      </c>
    </row>
    <row r="18" spans="1:15" x14ac:dyDescent="0.25">
      <c r="A18" s="7">
        <v>15</v>
      </c>
      <c r="B18" s="24">
        <v>10898</v>
      </c>
      <c r="C18" s="24">
        <v>1592</v>
      </c>
      <c r="D18" s="8">
        <v>40</v>
      </c>
      <c r="E18" s="26"/>
      <c r="F18" s="8">
        <v>-3</v>
      </c>
      <c r="G18" s="49">
        <v>5</v>
      </c>
      <c r="H18" s="8">
        <v>5</v>
      </c>
      <c r="I18" s="26"/>
      <c r="J18" s="9">
        <v>59</v>
      </c>
      <c r="K18" s="9">
        <v>39</v>
      </c>
      <c r="L18" s="9">
        <v>0</v>
      </c>
    </row>
    <row r="19" spans="1:15" x14ac:dyDescent="0.25">
      <c r="A19" s="7">
        <v>16</v>
      </c>
      <c r="B19" s="24">
        <v>10698</v>
      </c>
      <c r="C19" s="25">
        <v>1673</v>
      </c>
      <c r="D19" s="8">
        <v>39</v>
      </c>
      <c r="E19" s="26"/>
      <c r="F19" s="8">
        <v>-5</v>
      </c>
      <c r="G19" s="49">
        <v>2</v>
      </c>
      <c r="H19" s="8">
        <v>2</v>
      </c>
      <c r="I19" s="26"/>
      <c r="J19" s="9">
        <v>50</v>
      </c>
      <c r="K19" s="9">
        <v>30</v>
      </c>
      <c r="L19" s="9">
        <v>0</v>
      </c>
    </row>
    <row r="20" spans="1:15" x14ac:dyDescent="0.25">
      <c r="A20" s="7">
        <v>17</v>
      </c>
      <c r="B20" s="24">
        <v>11507</v>
      </c>
      <c r="C20" s="25">
        <v>1620</v>
      </c>
      <c r="D20" s="8">
        <v>41</v>
      </c>
      <c r="E20" s="26"/>
      <c r="F20" s="8">
        <v>-1</v>
      </c>
      <c r="G20" s="49">
        <v>5</v>
      </c>
      <c r="H20" s="8">
        <v>5</v>
      </c>
      <c r="I20" s="26"/>
      <c r="J20" s="9">
        <v>64</v>
      </c>
      <c r="K20" s="9">
        <v>44</v>
      </c>
      <c r="L20" s="9">
        <v>0</v>
      </c>
    </row>
    <row r="21" spans="1:15" x14ac:dyDescent="0.25">
      <c r="A21" s="7">
        <v>18</v>
      </c>
      <c r="B21" s="24">
        <v>11191</v>
      </c>
      <c r="C21" s="25">
        <v>1651</v>
      </c>
      <c r="D21" s="8">
        <v>45</v>
      </c>
      <c r="E21" s="26"/>
      <c r="F21" s="8">
        <v>-3</v>
      </c>
      <c r="G21" s="49">
        <v>3</v>
      </c>
      <c r="H21" s="8">
        <v>4</v>
      </c>
      <c r="I21" s="26"/>
      <c r="J21" s="9">
        <v>78</v>
      </c>
      <c r="K21" s="9">
        <v>54</v>
      </c>
      <c r="L21" s="9">
        <v>2</v>
      </c>
      <c r="O21" s="47"/>
    </row>
    <row r="22" spans="1:15" x14ac:dyDescent="0.25">
      <c r="A22" s="7">
        <v>19</v>
      </c>
      <c r="B22" s="24">
        <v>11056</v>
      </c>
      <c r="C22" s="25">
        <v>1606</v>
      </c>
      <c r="D22" s="8">
        <v>47</v>
      </c>
      <c r="E22" s="26"/>
      <c r="F22" s="8">
        <v>-1</v>
      </c>
      <c r="G22" s="49">
        <v>3</v>
      </c>
      <c r="H22" s="8">
        <v>4</v>
      </c>
      <c r="I22" s="26"/>
      <c r="J22" s="9">
        <v>61</v>
      </c>
      <c r="K22" s="9">
        <v>37</v>
      </c>
      <c r="L22" s="9">
        <v>1</v>
      </c>
    </row>
    <row r="23" spans="1:15" x14ac:dyDescent="0.25">
      <c r="A23" s="7">
        <v>20</v>
      </c>
      <c r="B23" s="24">
        <v>10801</v>
      </c>
      <c r="C23" s="25">
        <v>1780</v>
      </c>
      <c r="D23" s="8">
        <v>60</v>
      </c>
      <c r="E23" s="26"/>
      <c r="F23" s="8">
        <v>-3</v>
      </c>
      <c r="G23" s="49">
        <v>3</v>
      </c>
      <c r="H23" s="8">
        <v>4</v>
      </c>
      <c r="I23" s="26"/>
      <c r="J23" s="9">
        <v>58</v>
      </c>
      <c r="K23" s="9">
        <v>33</v>
      </c>
      <c r="L23" s="9">
        <v>1</v>
      </c>
    </row>
    <row r="24" spans="1:15" x14ac:dyDescent="0.25">
      <c r="A24" s="7">
        <v>21</v>
      </c>
      <c r="B24" s="24">
        <v>10934</v>
      </c>
      <c r="C24" s="25">
        <v>1754</v>
      </c>
      <c r="D24" s="9">
        <v>43</v>
      </c>
      <c r="E24" s="10"/>
      <c r="F24" s="9">
        <v>-4</v>
      </c>
      <c r="G24" s="50">
        <v>1</v>
      </c>
      <c r="H24" s="9">
        <v>0</v>
      </c>
      <c r="I24" s="10"/>
      <c r="J24" s="9">
        <v>62</v>
      </c>
      <c r="K24" s="9">
        <v>35</v>
      </c>
      <c r="L24" s="9">
        <v>0</v>
      </c>
    </row>
    <row r="25" spans="1:15" x14ac:dyDescent="0.25">
      <c r="A25" s="7">
        <v>22</v>
      </c>
      <c r="B25" s="24">
        <v>10760</v>
      </c>
      <c r="C25" s="11">
        <v>1623</v>
      </c>
      <c r="D25" s="9">
        <v>48</v>
      </c>
      <c r="E25" s="10"/>
      <c r="F25" s="9">
        <v>-1</v>
      </c>
      <c r="G25" s="50">
        <v>3</v>
      </c>
      <c r="H25" s="9">
        <v>3</v>
      </c>
      <c r="I25" s="10"/>
      <c r="J25" s="9">
        <v>66</v>
      </c>
      <c r="K25" s="9">
        <v>38</v>
      </c>
      <c r="L25" s="9">
        <v>1</v>
      </c>
    </row>
    <row r="26" spans="1:15" x14ac:dyDescent="0.25">
      <c r="A26" s="7">
        <v>23</v>
      </c>
      <c r="B26" s="62">
        <v>10817</v>
      </c>
      <c r="C26" s="61">
        <v>1550</v>
      </c>
      <c r="D26" s="9">
        <v>50</v>
      </c>
      <c r="E26" s="10"/>
      <c r="F26" s="9">
        <v>0</v>
      </c>
      <c r="G26" s="50">
        <v>5</v>
      </c>
      <c r="H26" s="9">
        <v>5</v>
      </c>
      <c r="I26" s="10"/>
      <c r="J26" s="9">
        <v>59</v>
      </c>
      <c r="K26" s="9">
        <v>37</v>
      </c>
      <c r="L26" s="9">
        <v>1</v>
      </c>
    </row>
    <row r="27" spans="1:15" x14ac:dyDescent="0.25">
      <c r="A27" s="7">
        <v>24</v>
      </c>
      <c r="B27" s="24">
        <v>10527</v>
      </c>
      <c r="C27" s="11">
        <v>1458</v>
      </c>
      <c r="D27" s="9">
        <v>37</v>
      </c>
      <c r="E27" s="10"/>
      <c r="F27" s="9">
        <v>2</v>
      </c>
      <c r="G27" s="50">
        <v>4</v>
      </c>
      <c r="H27" s="9">
        <v>5</v>
      </c>
      <c r="I27" s="10"/>
      <c r="J27" s="9">
        <v>37</v>
      </c>
      <c r="K27" s="9">
        <v>27</v>
      </c>
      <c r="L27" s="9">
        <v>1</v>
      </c>
    </row>
    <row r="28" spans="1:15" x14ac:dyDescent="0.25">
      <c r="A28" s="7">
        <v>25</v>
      </c>
      <c r="B28" s="24">
        <v>10600</v>
      </c>
      <c r="C28" s="11">
        <v>1529</v>
      </c>
      <c r="D28" s="12">
        <v>36</v>
      </c>
      <c r="E28" s="27"/>
      <c r="F28" s="12">
        <v>1</v>
      </c>
      <c r="G28" s="51">
        <v>3</v>
      </c>
      <c r="H28" s="12">
        <v>5</v>
      </c>
      <c r="I28" s="27"/>
      <c r="J28" s="9">
        <v>43</v>
      </c>
      <c r="K28" s="9">
        <v>31</v>
      </c>
      <c r="L28" s="9">
        <v>0</v>
      </c>
    </row>
    <row r="29" spans="1:15" x14ac:dyDescent="0.25">
      <c r="A29" s="7">
        <v>26</v>
      </c>
      <c r="B29" s="24">
        <v>10273</v>
      </c>
      <c r="C29" s="11">
        <v>1609</v>
      </c>
      <c r="D29" s="9">
        <v>63</v>
      </c>
      <c r="E29" s="10"/>
      <c r="F29" s="9">
        <v>1</v>
      </c>
      <c r="G29" s="50">
        <v>2</v>
      </c>
      <c r="H29" s="9">
        <v>3</v>
      </c>
      <c r="I29" s="10"/>
      <c r="J29" s="9">
        <v>79</v>
      </c>
      <c r="K29" s="9">
        <v>44</v>
      </c>
      <c r="L29" s="9">
        <v>0</v>
      </c>
    </row>
    <row r="30" spans="1:15" x14ac:dyDescent="0.25">
      <c r="A30" s="5">
        <v>27</v>
      </c>
      <c r="B30" s="24">
        <v>10273</v>
      </c>
      <c r="C30" s="11">
        <v>1609</v>
      </c>
      <c r="D30" s="9">
        <v>63</v>
      </c>
      <c r="E30" s="10"/>
      <c r="F30" s="9">
        <v>0</v>
      </c>
      <c r="G30" s="50">
        <v>3</v>
      </c>
      <c r="H30" s="9">
        <v>3</v>
      </c>
      <c r="I30" s="10"/>
      <c r="J30" s="9">
        <v>67</v>
      </c>
      <c r="K30" s="9">
        <v>52</v>
      </c>
      <c r="L30" s="9">
        <v>0</v>
      </c>
    </row>
    <row r="31" spans="1:15" x14ac:dyDescent="0.25">
      <c r="A31" s="28">
        <v>28</v>
      </c>
      <c r="B31" s="24">
        <v>10153</v>
      </c>
      <c r="C31" s="11">
        <v>1476</v>
      </c>
      <c r="D31" s="9">
        <v>64</v>
      </c>
      <c r="E31" s="10"/>
      <c r="F31" s="9">
        <v>1</v>
      </c>
      <c r="G31" s="50">
        <v>4</v>
      </c>
      <c r="H31" s="9">
        <v>4</v>
      </c>
      <c r="I31" s="10"/>
      <c r="J31" s="9">
        <v>92</v>
      </c>
      <c r="K31" s="9">
        <v>50</v>
      </c>
      <c r="L31" s="9">
        <v>0</v>
      </c>
    </row>
    <row r="32" spans="1:15" x14ac:dyDescent="0.25">
      <c r="A32" s="28">
        <v>29</v>
      </c>
      <c r="B32" s="24">
        <v>11176</v>
      </c>
      <c r="C32" s="11">
        <v>1553</v>
      </c>
      <c r="D32" s="9">
        <v>67</v>
      </c>
      <c r="E32" s="10"/>
      <c r="F32" s="9">
        <v>1</v>
      </c>
      <c r="G32" s="50">
        <v>7</v>
      </c>
      <c r="H32" s="9">
        <v>7</v>
      </c>
      <c r="I32" s="10"/>
      <c r="J32" s="9">
        <v>84</v>
      </c>
      <c r="K32" s="9">
        <v>31</v>
      </c>
      <c r="L32" s="9">
        <v>0</v>
      </c>
    </row>
    <row r="33" spans="1:15" x14ac:dyDescent="0.25">
      <c r="A33" s="28">
        <v>30</v>
      </c>
      <c r="B33" s="24">
        <v>10743</v>
      </c>
      <c r="C33" s="11">
        <v>1590</v>
      </c>
      <c r="D33" s="9">
        <v>75</v>
      </c>
      <c r="E33" s="10"/>
      <c r="F33" s="9">
        <v>3</v>
      </c>
      <c r="G33" s="50">
        <v>7</v>
      </c>
      <c r="H33" s="9">
        <v>7</v>
      </c>
      <c r="I33" s="10"/>
      <c r="J33" s="9">
        <v>44</v>
      </c>
      <c r="K33" s="9">
        <v>38</v>
      </c>
      <c r="L33" s="9">
        <v>0</v>
      </c>
    </row>
    <row r="34" spans="1:15" ht="15.75" thickBot="1" x14ac:dyDescent="0.3">
      <c r="A34" s="29"/>
      <c r="B34" s="30">
        <v>11037</v>
      </c>
      <c r="C34" s="31">
        <v>1724</v>
      </c>
      <c r="D34" s="32">
        <v>89</v>
      </c>
      <c r="E34" s="10"/>
      <c r="F34" s="32"/>
      <c r="G34" s="53"/>
      <c r="H34" s="52">
        <v>4</v>
      </c>
      <c r="I34" s="10"/>
      <c r="J34" s="32">
        <v>62</v>
      </c>
      <c r="K34" s="32">
        <v>39</v>
      </c>
      <c r="L34" s="32">
        <v>1</v>
      </c>
      <c r="O34" t="s">
        <v>16</v>
      </c>
    </row>
    <row r="35" spans="1:15" ht="15.75" thickBot="1" x14ac:dyDescent="0.3">
      <c r="A35" s="18" t="s">
        <v>11</v>
      </c>
      <c r="B35" s="33">
        <f>SUM(B4:B34)</f>
        <v>344773</v>
      </c>
      <c r="C35" s="34">
        <f>SUM(C4:C34)</f>
        <v>48876</v>
      </c>
      <c r="D35" s="35">
        <f>SUM(D4:D34)</f>
        <v>1541</v>
      </c>
      <c r="E35" s="48"/>
      <c r="F35" s="58">
        <f>AVERAGE(F4:F34)</f>
        <v>-0.43333333333333335</v>
      </c>
      <c r="G35" s="59">
        <f>AVERAGE(G4:G34)</f>
        <v>4.5</v>
      </c>
      <c r="H35" s="60">
        <f>AVERAGE(H4:H34)</f>
        <v>4.935483870967742</v>
      </c>
      <c r="I35" s="36"/>
      <c r="J35" s="37">
        <v>63</v>
      </c>
      <c r="K35" s="37">
        <f>SUM(K4:K34)</f>
        <v>1147</v>
      </c>
      <c r="L35" s="38">
        <f>SUM(L4:L34)</f>
        <v>11</v>
      </c>
    </row>
    <row r="36" spans="1:15" ht="15.75" thickBot="1" x14ac:dyDescent="0.3">
      <c r="A36" s="13" t="s">
        <v>12</v>
      </c>
      <c r="B36" s="39">
        <f>AVERAGE(B4:B34)</f>
        <v>11121.709677419354</v>
      </c>
      <c r="C36" s="40">
        <f>AVERAGE(C4:C34)</f>
        <v>1576.6451612903227</v>
      </c>
      <c r="D36" s="41">
        <f>AVERAGE(D4:D34)</f>
        <v>49.70967741935484</v>
      </c>
      <c r="E36" s="42"/>
      <c r="F36" s="42"/>
      <c r="G36" s="42"/>
      <c r="H36" s="42"/>
      <c r="I36" s="42"/>
      <c r="J36" s="14"/>
      <c r="K36" s="1"/>
      <c r="L36" s="1"/>
    </row>
    <row r="37" spans="1:15" ht="15.75" thickBot="1" x14ac:dyDescent="0.3">
      <c r="A37" s="1"/>
      <c r="B37" s="15" t="s">
        <v>13</v>
      </c>
      <c r="C37" s="15"/>
      <c r="D37" s="15"/>
      <c r="E37" s="15"/>
      <c r="F37" s="15"/>
      <c r="G37" s="15"/>
      <c r="H37" s="15"/>
      <c r="I37" s="15"/>
      <c r="J37" s="15"/>
      <c r="K37" s="1"/>
      <c r="L37" s="1"/>
    </row>
    <row r="38" spans="1:15" ht="15.75" thickBot="1" x14ac:dyDescent="0.3">
      <c r="A38" s="16"/>
      <c r="B38" s="39">
        <f>B35/J35</f>
        <v>5472.5873015873012</v>
      </c>
      <c r="C38" s="40">
        <f>C35/J35</f>
        <v>775.80952380952385</v>
      </c>
      <c r="D38" s="41">
        <f>D35/J35</f>
        <v>24.460317460317459</v>
      </c>
      <c r="E38" s="42"/>
      <c r="F38" s="42"/>
      <c r="G38" s="42"/>
      <c r="H38" s="42"/>
      <c r="I38" s="42"/>
      <c r="J38" s="16"/>
      <c r="K38" s="1"/>
      <c r="L38" s="1"/>
    </row>
    <row r="39" spans="1:15" x14ac:dyDescent="0.25">
      <c r="A39" s="17"/>
      <c r="B39" s="15"/>
      <c r="C39" s="15"/>
      <c r="D39" s="15"/>
      <c r="E39" s="15"/>
      <c r="F39" s="15"/>
      <c r="G39" s="15"/>
      <c r="H39" s="15"/>
      <c r="I39" s="15"/>
      <c r="J39" s="17"/>
      <c r="K39" s="1"/>
      <c r="L39" s="1"/>
    </row>
    <row r="40" spans="1:15" x14ac:dyDescent="0.25">
      <c r="A40" s="17"/>
      <c r="B40" s="43"/>
      <c r="C40" s="43"/>
      <c r="D40" s="43"/>
      <c r="E40" s="43"/>
      <c r="F40" s="43"/>
      <c r="G40" s="43"/>
      <c r="H40" s="43"/>
      <c r="I40" s="43"/>
      <c r="J40" s="17"/>
      <c r="K40" s="1"/>
      <c r="L40" s="1"/>
    </row>
    <row r="41" spans="1:15" ht="15.75" x14ac:dyDescent="0.25">
      <c r="A41" s="44" t="s">
        <v>21</v>
      </c>
      <c r="B41" s="45">
        <v>73704</v>
      </c>
      <c r="C41" s="1"/>
      <c r="D41" s="1"/>
      <c r="E41" s="1"/>
      <c r="F41" s="1"/>
      <c r="G41" s="1"/>
      <c r="H41" s="1"/>
      <c r="I41" s="1"/>
      <c r="J41" s="1"/>
      <c r="K41" s="1"/>
      <c r="L41" s="1"/>
    </row>
    <row r="42" spans="1:15" ht="15.75" x14ac:dyDescent="0.25">
      <c r="A42" s="44" t="s">
        <v>14</v>
      </c>
      <c r="B42" s="45">
        <v>84801</v>
      </c>
      <c r="C42" s="1"/>
      <c r="D42" s="1"/>
      <c r="E42" s="1"/>
      <c r="F42" s="1"/>
      <c r="G42" s="1"/>
      <c r="H42" s="1"/>
      <c r="I42" s="1"/>
      <c r="J42" s="1"/>
      <c r="K42" s="1"/>
      <c r="L42" s="1"/>
    </row>
  </sheetData>
  <mergeCells count="2">
    <mergeCell ref="A1:L1"/>
    <mergeCell ref="F2:H2"/>
  </mergeCells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January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Ronald Diab</dc:creator>
  <cp:keywords/>
  <dc:description/>
  <cp:lastModifiedBy>Lubomir Varecha</cp:lastModifiedBy>
  <cp:revision/>
  <dcterms:created xsi:type="dcterms:W3CDTF">2017-05-03T09:23:30Z</dcterms:created>
  <dcterms:modified xsi:type="dcterms:W3CDTF">2022-02-01T13:42:56Z</dcterms:modified>
  <cp:category/>
  <cp:contentStatus/>
</cp:coreProperties>
</file>