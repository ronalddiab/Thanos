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JBFP1\Shared Drive\Engineering\New Engineering File Structure\Engineering Coordinator\HEP\HEP\2023\"/>
    </mc:Choice>
  </mc:AlternateContent>
  <xr:revisionPtr revIDLastSave="0" documentId="8_{F1A6F58A-DE8C-45D7-9CE1-E1E05AD76CD7}" xr6:coauthVersionLast="47" xr6:coauthVersionMax="47" xr10:uidLastSave="{00000000-0000-0000-0000-000000000000}"/>
  <bookViews>
    <workbookView xWindow="15810" yWindow="0" windowWidth="28800" windowHeight="12435" firstSheet="1" activeTab="1" xr2:uid="{00000000-000D-0000-FFFF-FFFF00000000}"/>
  </bookViews>
  <sheets>
    <sheet name="TOTAL" sheetId="1" r:id="rId1"/>
    <sheet name="Submetering" sheetId="3" r:id="rId2"/>
    <sheet name="DJB Daily Readings" sheetId="4" r:id="rId3"/>
  </sheets>
  <externalReferences>
    <externalReference r:id="rId4"/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14" i="3" l="1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R48" i="4"/>
  <c r="R49" i="4" s="1"/>
  <c r="O48" i="4"/>
  <c r="O49" i="4" s="1"/>
  <c r="O45" i="4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F46" i="4" s="1"/>
  <c r="BF48" i="4"/>
  <c r="BF49" i="4" s="1"/>
  <c r="BC45" i="4"/>
  <c r="BC48" i="4"/>
  <c r="BC49" i="4" s="1"/>
  <c r="BC44" i="4"/>
  <c r="AZ48" i="4"/>
  <c r="AZ45" i="4"/>
  <c r="AZ44" i="4"/>
  <c r="AA51" i="4" l="1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Z49" i="4"/>
  <c r="BC51" i="4"/>
  <c r="AV5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Kriselda De Grano</author>
    <author>Naushad Kasu</author>
  </authors>
  <commentList>
    <comment ref="AZ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<sst xmlns="http://schemas.openxmlformats.org/spreadsheetml/2006/main" count="413" uniqueCount="202">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</sst>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New%20Engineering%20File%20Structure\Engineering%20Coordinator\Daily%20utility%20reading%20Consumption\Resort%20Daily%20Utility%20Read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DJB_Engineering_O365-EngineeringCoordinator/Shared%20Documents/Engineering%20Coordinator/Daily%20utility%20reading%20Consumption/Resort%20Daily%20Utility%20Reading%202023.xlsx" TargetMode="External"/><Relationship Id="rId1" Type="http://schemas.openxmlformats.org/officeDocument/2006/relationships/externalLinkPath" Target="/teams/DJB_Engineering_O365-EngineeringCoordinator/Shared%20Documents/Engineering%20Coordinator/Daily%20utility%20reading%20Consumption/Resort%20Daily%20Utility%20Reading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LyiKJYPgU2mls9sFKejW9qthh69RTxGuZ---cTgx7gJ0YUYLgG2QqndNkyPCcp_" itemId="01S3Y7LAJFNQCJRDRLRRI2AUZNBTPHLVHV">
      <xxl21:absoluteUrl r:id="rId2"/>
    </xxl21:alternateUrls>
    <sheetNames>
      <sheetName val="January - 2023"/>
      <sheetName val="February - 2023"/>
      <sheetName val="March - 2023"/>
      <sheetName val="April - 2023"/>
      <sheetName val="May - 2023"/>
      <sheetName val="June - 2022"/>
    </sheetNames>
    <sheetDataSet>
      <sheetData sheetId="0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BZ10"/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0.82</v>
          </cell>
          <cell r="E22">
            <v>232934</v>
          </cell>
          <cell r="F22">
            <v>639</v>
          </cell>
          <cell r="G22">
            <v>722</v>
          </cell>
          <cell r="H22">
            <v>257856</v>
          </cell>
          <cell r="I22">
            <v>642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15888566.4</v>
          </cell>
          <cell r="AL22">
            <v>0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384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48.719999998807907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/>
          <cell r="E24"/>
          <cell r="F24">
            <v>-233644</v>
          </cell>
          <cell r="G24">
            <v>809</v>
          </cell>
          <cell r="H24"/>
          <cell r="I24">
            <v>-258240</v>
          </cell>
          <cell r="J24">
            <v>510</v>
          </cell>
          <cell r="K24"/>
          <cell r="L24">
            <v>-12824</v>
          </cell>
          <cell r="N24"/>
          <cell r="O24">
            <v>-927080</v>
          </cell>
          <cell r="Q24"/>
          <cell r="R24">
            <v>-245457</v>
          </cell>
          <cell r="U24"/>
          <cell r="V24">
            <v>-119240</v>
          </cell>
          <cell r="W24">
            <v>75.660000000003492</v>
          </cell>
          <cell r="X24"/>
          <cell r="Y24">
            <v>-6621</v>
          </cell>
          <cell r="AE24"/>
          <cell r="AF24">
            <v>-8238210.959999999</v>
          </cell>
          <cell r="AH24"/>
          <cell r="AI24">
            <v>-15641897.039999999</v>
          </cell>
          <cell r="AK24"/>
          <cell r="AL24">
            <v>-15888566.4</v>
          </cell>
          <cell r="AN24"/>
          <cell r="AO24">
            <v>-18988035.359999999</v>
          </cell>
          <cell r="AQ24"/>
          <cell r="AR24">
            <v>-19276798.800000001</v>
          </cell>
          <cell r="AT24"/>
          <cell r="AU24">
            <v>-17769548.16</v>
          </cell>
          <cell r="AW24"/>
          <cell r="AX24">
            <v>-14942326.559999999</v>
          </cell>
          <cell r="AZ24"/>
          <cell r="BA24">
            <v>-14478317.280000001</v>
          </cell>
          <cell r="BC24"/>
          <cell r="BD24">
            <v>-11290957.439999999</v>
          </cell>
          <cell r="BF24"/>
          <cell r="BG24">
            <v>-17910933.599999998</v>
          </cell>
          <cell r="BM24"/>
          <cell r="BN24">
            <v>-78496200</v>
          </cell>
          <cell r="BP24"/>
          <cell r="BQ24">
            <v>-81245600</v>
          </cell>
          <cell r="BS24"/>
          <cell r="BT24">
            <v>-75325600</v>
          </cell>
          <cell r="BV24"/>
          <cell r="BW24">
            <v>-10481810</v>
          </cell>
          <cell r="BY24"/>
          <cell r="BZ24">
            <v>0.71</v>
          </cell>
          <cell r="CB24"/>
          <cell r="CC24">
            <v>-65053</v>
          </cell>
          <cell r="CD24"/>
          <cell r="CE24">
            <v>-56121</v>
          </cell>
          <cell r="CF24"/>
          <cell r="CG24">
            <v>-18989</v>
          </cell>
          <cell r="CH24"/>
          <cell r="CI24">
            <v>-25961</v>
          </cell>
          <cell r="CJ24"/>
          <cell r="CK24">
            <v>-29010</v>
          </cell>
          <cell r="CL24"/>
          <cell r="CM24">
            <v>-63770</v>
          </cell>
          <cell r="CN24"/>
          <cell r="CO24">
            <v>-270729</v>
          </cell>
          <cell r="CQ24"/>
          <cell r="CR24">
            <v>-219180</v>
          </cell>
          <cell r="CT24"/>
          <cell r="CU24">
            <v>-364604</v>
          </cell>
          <cell r="CW24"/>
          <cell r="CX24">
            <v>-701048</v>
          </cell>
          <cell r="CZ24"/>
          <cell r="DA24">
            <v>-9189</v>
          </cell>
          <cell r="DB24"/>
          <cell r="DC24">
            <v>-6233</v>
          </cell>
          <cell r="DD24"/>
          <cell r="DE24">
            <v>-32731</v>
          </cell>
          <cell r="DF24"/>
          <cell r="DG24">
            <v>-32896</v>
          </cell>
          <cell r="DH24"/>
          <cell r="DI24">
            <v>-22256</v>
          </cell>
          <cell r="DJ24"/>
          <cell r="DK24">
            <v>-24277</v>
          </cell>
          <cell r="DL24"/>
          <cell r="DM24">
            <v>-7503</v>
          </cell>
          <cell r="DN24"/>
          <cell r="DO24">
            <v>-10064</v>
          </cell>
          <cell r="DP24"/>
          <cell r="DQ24">
            <v>-3425</v>
          </cell>
          <cell r="DR24"/>
          <cell r="DS24">
            <v>-6769</v>
          </cell>
          <cell r="DT24"/>
          <cell r="DU24">
            <v>-30438</v>
          </cell>
          <cell r="DW24"/>
          <cell r="DX24">
            <v>-6730</v>
          </cell>
          <cell r="DY24"/>
          <cell r="DZ24">
            <v>-11571.9</v>
          </cell>
          <cell r="EA24"/>
          <cell r="EB24">
            <v>-5042.3999999999996</v>
          </cell>
          <cell r="EC24"/>
          <cell r="ED24">
            <v>-5624.5</v>
          </cell>
          <cell r="EE24"/>
          <cell r="EF24">
            <v>-1147579</v>
          </cell>
          <cell r="EI24"/>
          <cell r="EJ24">
            <v>-236594</v>
          </cell>
          <cell r="EL24"/>
          <cell r="EM24">
            <v>-12251400</v>
          </cell>
          <cell r="EN24"/>
          <cell r="EO24">
            <v>-942400</v>
          </cell>
          <cell r="EP24"/>
          <cell r="EQ24">
            <v>-7279000</v>
          </cell>
          <cell r="ER24"/>
          <cell r="ES24">
            <v>-2507600</v>
          </cell>
          <cell r="ET24"/>
          <cell r="EU24">
            <v>-1299030</v>
          </cell>
          <cell r="EV24"/>
          <cell r="EW24">
            <v>-16713700</v>
          </cell>
          <cell r="EY24"/>
          <cell r="EZ24">
            <v>-42701</v>
          </cell>
          <cell r="FA24"/>
          <cell r="FB24">
            <v>-37283</v>
          </cell>
          <cell r="FC24"/>
          <cell r="FD24">
            <v>-7897</v>
          </cell>
          <cell r="FE24"/>
          <cell r="FF24">
            <v>-59810</v>
          </cell>
          <cell r="FG24"/>
          <cell r="FH24">
            <v>-50780</v>
          </cell>
        </row>
        <row r="25">
          <cell r="B25"/>
          <cell r="E25"/>
          <cell r="F25">
            <v>0</v>
          </cell>
          <cell r="G25">
            <v>648</v>
          </cell>
          <cell r="H25"/>
          <cell r="I25">
            <v>0</v>
          </cell>
          <cell r="J25">
            <v>434</v>
          </cell>
          <cell r="K25"/>
          <cell r="L25">
            <v>0</v>
          </cell>
          <cell r="N25"/>
          <cell r="O25">
            <v>0</v>
          </cell>
          <cell r="Q25"/>
          <cell r="R25">
            <v>0</v>
          </cell>
          <cell r="U25"/>
          <cell r="V25">
            <v>0</v>
          </cell>
          <cell r="W25">
            <v>73.970000000001164</v>
          </cell>
          <cell r="X25"/>
          <cell r="Y25">
            <v>0</v>
          </cell>
          <cell r="AE25"/>
          <cell r="AF25">
            <v>0</v>
          </cell>
          <cell r="AH25"/>
          <cell r="AI25">
            <v>0</v>
          </cell>
          <cell r="AK25"/>
          <cell r="AL25">
            <v>0</v>
          </cell>
          <cell r="AN25"/>
          <cell r="AO25">
            <v>0</v>
          </cell>
          <cell r="AQ25"/>
          <cell r="AR25">
            <v>0</v>
          </cell>
          <cell r="AT25"/>
          <cell r="AU25">
            <v>0</v>
          </cell>
          <cell r="AW25"/>
          <cell r="AX25">
            <v>0</v>
          </cell>
          <cell r="AZ25"/>
          <cell r="BA25">
            <v>0</v>
          </cell>
          <cell r="BC25"/>
          <cell r="BD25">
            <v>0</v>
          </cell>
          <cell r="BF25"/>
          <cell r="BG25">
            <v>0</v>
          </cell>
          <cell r="BM25"/>
          <cell r="BN25">
            <v>0</v>
          </cell>
          <cell r="BP25"/>
          <cell r="BQ25">
            <v>0</v>
          </cell>
          <cell r="BS25"/>
          <cell r="BT25">
            <v>0</v>
          </cell>
          <cell r="BV25"/>
          <cell r="BW25">
            <v>0</v>
          </cell>
          <cell r="BY25"/>
          <cell r="BZ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0</v>
          </cell>
          <cell r="CN25"/>
          <cell r="CO25">
            <v>0</v>
          </cell>
          <cell r="CQ25"/>
          <cell r="CR25">
            <v>0</v>
          </cell>
          <cell r="CT25"/>
          <cell r="CU25">
            <v>0</v>
          </cell>
          <cell r="CW25"/>
          <cell r="CX25">
            <v>0</v>
          </cell>
          <cell r="CZ25"/>
          <cell r="DA25">
            <v>0</v>
          </cell>
          <cell r="DB25"/>
          <cell r="DC25">
            <v>0</v>
          </cell>
          <cell r="DD25"/>
          <cell r="DE25">
            <v>0</v>
          </cell>
          <cell r="DF25"/>
          <cell r="DG25">
            <v>0</v>
          </cell>
          <cell r="DH25"/>
          <cell r="DI25">
            <v>0</v>
          </cell>
          <cell r="DJ25"/>
          <cell r="DK25">
            <v>0</v>
          </cell>
          <cell r="DL25"/>
          <cell r="DM25">
            <v>0</v>
          </cell>
          <cell r="DN25"/>
          <cell r="DO25">
            <v>0</v>
          </cell>
          <cell r="DP25"/>
          <cell r="DQ25">
            <v>0</v>
          </cell>
          <cell r="DR25"/>
          <cell r="DS25">
            <v>0</v>
          </cell>
          <cell r="DT25"/>
          <cell r="DU25">
            <v>0</v>
          </cell>
          <cell r="DW25"/>
          <cell r="DX25">
            <v>0</v>
          </cell>
          <cell r="DY25"/>
          <cell r="DZ25">
            <v>0</v>
          </cell>
          <cell r="EA25"/>
          <cell r="EB25">
            <v>0</v>
          </cell>
          <cell r="EC25"/>
          <cell r="ED25">
            <v>0</v>
          </cell>
          <cell r="EE25"/>
          <cell r="EF25">
            <v>0</v>
          </cell>
          <cell r="EI25"/>
          <cell r="EJ25">
            <v>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V25"/>
          <cell r="EW25">
            <v>0</v>
          </cell>
          <cell r="EY25"/>
          <cell r="EZ25">
            <v>0</v>
          </cell>
          <cell r="FA25"/>
          <cell r="FB25">
            <v>0</v>
          </cell>
          <cell r="FC25"/>
          <cell r="FD25">
            <v>0</v>
          </cell>
          <cell r="FE25"/>
          <cell r="FF25">
            <v>0</v>
          </cell>
          <cell r="FG25"/>
          <cell r="FH25">
            <v>0</v>
          </cell>
        </row>
        <row r="26">
          <cell r="B26"/>
          <cell r="E26"/>
          <cell r="F26">
            <v>0</v>
          </cell>
          <cell r="G26">
            <v>582</v>
          </cell>
          <cell r="H26"/>
          <cell r="I26">
            <v>0</v>
          </cell>
          <cell r="J26">
            <v>444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U26"/>
          <cell r="V26">
            <v>0</v>
          </cell>
          <cell r="W26">
            <v>84.299999999995634</v>
          </cell>
          <cell r="X26"/>
          <cell r="Y26">
            <v>0</v>
          </cell>
          <cell r="AE26"/>
          <cell r="AF26">
            <v>0</v>
          </cell>
          <cell r="AH26"/>
          <cell r="AI26">
            <v>0</v>
          </cell>
          <cell r="AK26"/>
          <cell r="AL26">
            <v>0</v>
          </cell>
          <cell r="AN26"/>
          <cell r="AO26">
            <v>0</v>
          </cell>
          <cell r="AQ26"/>
          <cell r="AR26">
            <v>0</v>
          </cell>
          <cell r="AT26"/>
          <cell r="AU26">
            <v>0</v>
          </cell>
          <cell r="AW26"/>
          <cell r="AX26">
            <v>0</v>
          </cell>
          <cell r="AZ26"/>
          <cell r="BA26">
            <v>0</v>
          </cell>
          <cell r="BC26"/>
          <cell r="BD26">
            <v>0</v>
          </cell>
          <cell r="BF26"/>
          <cell r="BG26">
            <v>0</v>
          </cell>
          <cell r="BM26"/>
          <cell r="BN26">
            <v>0</v>
          </cell>
          <cell r="BP26"/>
          <cell r="BQ26">
            <v>0</v>
          </cell>
          <cell r="BS26"/>
          <cell r="BT26">
            <v>0</v>
          </cell>
          <cell r="BV26"/>
          <cell r="BW26">
            <v>0</v>
          </cell>
          <cell r="BY26"/>
          <cell r="BZ26">
            <v>0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N26"/>
          <cell r="CO26">
            <v>0</v>
          </cell>
          <cell r="CQ26"/>
          <cell r="CR26">
            <v>0</v>
          </cell>
          <cell r="CT26"/>
          <cell r="CU26">
            <v>0</v>
          </cell>
          <cell r="CW26"/>
          <cell r="CX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/>
          <cell r="DK26">
            <v>0</v>
          </cell>
          <cell r="DL26"/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T26"/>
          <cell r="DU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E26"/>
          <cell r="EF26">
            <v>0</v>
          </cell>
          <cell r="EI26"/>
          <cell r="EJ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V26"/>
          <cell r="EW26">
            <v>0</v>
          </cell>
          <cell r="EY26"/>
          <cell r="EZ26">
            <v>0</v>
          </cell>
          <cell r="FA26"/>
          <cell r="FB26">
            <v>0</v>
          </cell>
          <cell r="FC26"/>
          <cell r="FD26">
            <v>0</v>
          </cell>
          <cell r="FE26"/>
          <cell r="FF26">
            <v>0</v>
          </cell>
          <cell r="FG26"/>
          <cell r="FH26">
            <v>0</v>
          </cell>
        </row>
        <row r="27">
          <cell r="B27"/>
          <cell r="E27"/>
          <cell r="F27">
            <v>0</v>
          </cell>
          <cell r="G27">
            <v>556</v>
          </cell>
          <cell r="H27"/>
          <cell r="I27">
            <v>0</v>
          </cell>
          <cell r="J27">
            <v>400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U27"/>
          <cell r="V27">
            <v>0</v>
          </cell>
          <cell r="W27">
            <v>93.340000000003783</v>
          </cell>
          <cell r="X27"/>
          <cell r="Y27">
            <v>0</v>
          </cell>
          <cell r="AE27"/>
          <cell r="AF27">
            <v>0</v>
          </cell>
          <cell r="AH27"/>
          <cell r="AI27">
            <v>0</v>
          </cell>
          <cell r="AK27"/>
          <cell r="AL27">
            <v>0</v>
          </cell>
          <cell r="AN27"/>
          <cell r="AO27">
            <v>0</v>
          </cell>
          <cell r="AQ27"/>
          <cell r="AR27">
            <v>0</v>
          </cell>
          <cell r="AT27"/>
          <cell r="AU27">
            <v>0</v>
          </cell>
          <cell r="AW27"/>
          <cell r="AX27">
            <v>0</v>
          </cell>
          <cell r="AZ27"/>
          <cell r="BA27">
            <v>0</v>
          </cell>
          <cell r="BC27"/>
          <cell r="BD27">
            <v>0</v>
          </cell>
          <cell r="BF27"/>
          <cell r="BG27">
            <v>0</v>
          </cell>
          <cell r="BM27"/>
          <cell r="BN27">
            <v>0</v>
          </cell>
          <cell r="BP27"/>
          <cell r="BQ27">
            <v>0</v>
          </cell>
          <cell r="BS27"/>
          <cell r="BT27">
            <v>0</v>
          </cell>
          <cell r="BV27"/>
          <cell r="BW27">
            <v>0</v>
          </cell>
          <cell r="BY27"/>
          <cell r="BZ27">
            <v>0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N27"/>
          <cell r="CO27">
            <v>0</v>
          </cell>
          <cell r="CQ27"/>
          <cell r="CR27">
            <v>0</v>
          </cell>
          <cell r="CT27"/>
          <cell r="CU27">
            <v>0</v>
          </cell>
          <cell r="CW27"/>
          <cell r="CX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/>
          <cell r="DK27">
            <v>0</v>
          </cell>
          <cell r="DL27"/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T27"/>
          <cell r="DU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E27"/>
          <cell r="EF27">
            <v>0</v>
          </cell>
          <cell r="EI27"/>
          <cell r="EJ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V27"/>
          <cell r="EW27">
            <v>0</v>
          </cell>
          <cell r="EY27"/>
          <cell r="EZ27">
            <v>0</v>
          </cell>
          <cell r="FA27"/>
          <cell r="FB27">
            <v>0</v>
          </cell>
          <cell r="FC27"/>
          <cell r="FD27">
            <v>0</v>
          </cell>
          <cell r="FE27"/>
          <cell r="FF27">
            <v>0</v>
          </cell>
          <cell r="FG27"/>
          <cell r="FH27">
            <v>0</v>
          </cell>
        </row>
        <row r="28">
          <cell r="B28"/>
          <cell r="E28"/>
          <cell r="F28">
            <v>0</v>
          </cell>
          <cell r="G28">
            <v>454</v>
          </cell>
          <cell r="H28"/>
          <cell r="I28">
            <v>0</v>
          </cell>
          <cell r="J28">
            <v>355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U28"/>
          <cell r="V28">
            <v>0</v>
          </cell>
          <cell r="W28">
            <v>75.049999999995634</v>
          </cell>
          <cell r="X28"/>
          <cell r="Y28">
            <v>0</v>
          </cell>
          <cell r="AE28"/>
          <cell r="AF28">
            <v>0</v>
          </cell>
          <cell r="AH28"/>
          <cell r="AI28">
            <v>0</v>
          </cell>
          <cell r="AK28"/>
          <cell r="AL28">
            <v>0</v>
          </cell>
          <cell r="AN28"/>
          <cell r="AO28">
            <v>0</v>
          </cell>
          <cell r="AQ28"/>
          <cell r="AR28">
            <v>0</v>
          </cell>
          <cell r="AT28"/>
          <cell r="AU28">
            <v>0</v>
          </cell>
          <cell r="AW28"/>
          <cell r="AX28">
            <v>0</v>
          </cell>
          <cell r="AZ28"/>
          <cell r="BA28">
            <v>0</v>
          </cell>
          <cell r="BC28"/>
          <cell r="BD28">
            <v>0</v>
          </cell>
          <cell r="BF28"/>
          <cell r="BG28">
            <v>0</v>
          </cell>
          <cell r="BM28"/>
          <cell r="BN28">
            <v>0</v>
          </cell>
          <cell r="BP28"/>
          <cell r="BQ28">
            <v>0</v>
          </cell>
          <cell r="BS28"/>
          <cell r="BT28">
            <v>0</v>
          </cell>
          <cell r="BV28"/>
          <cell r="BW28">
            <v>0</v>
          </cell>
          <cell r="BY28"/>
          <cell r="BZ28">
            <v>0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N28"/>
          <cell r="CO28">
            <v>0</v>
          </cell>
          <cell r="CQ28"/>
          <cell r="CR28">
            <v>0</v>
          </cell>
          <cell r="CT28"/>
          <cell r="CU28">
            <v>0</v>
          </cell>
          <cell r="CW28"/>
          <cell r="CX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/>
          <cell r="DK28">
            <v>0</v>
          </cell>
          <cell r="DL28"/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T28"/>
          <cell r="DU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E28"/>
          <cell r="EF28">
            <v>0</v>
          </cell>
          <cell r="EI28"/>
          <cell r="EJ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V28"/>
          <cell r="EW28">
            <v>0</v>
          </cell>
          <cell r="EY28"/>
          <cell r="EZ28">
            <v>0</v>
          </cell>
          <cell r="FA28"/>
          <cell r="FB28">
            <v>0</v>
          </cell>
          <cell r="FC28"/>
          <cell r="FD28">
            <v>0</v>
          </cell>
          <cell r="FE28"/>
          <cell r="FF28">
            <v>0</v>
          </cell>
          <cell r="FG28"/>
          <cell r="FH28">
            <v>0</v>
          </cell>
        </row>
        <row r="29">
          <cell r="B29"/>
          <cell r="E29"/>
          <cell r="F29">
            <v>0</v>
          </cell>
          <cell r="G29">
            <v>496</v>
          </cell>
          <cell r="H29"/>
          <cell r="I29">
            <v>0</v>
          </cell>
          <cell r="J29">
            <v>371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U29"/>
          <cell r="V29">
            <v>0</v>
          </cell>
          <cell r="W29">
            <v>75.75</v>
          </cell>
          <cell r="X29"/>
          <cell r="Y29">
            <v>0</v>
          </cell>
          <cell r="AE29"/>
          <cell r="AF29">
            <v>0</v>
          </cell>
          <cell r="AH29"/>
          <cell r="AI29">
            <v>0</v>
          </cell>
          <cell r="AK29"/>
          <cell r="AL29">
            <v>0</v>
          </cell>
          <cell r="AN29"/>
          <cell r="AO29">
            <v>0</v>
          </cell>
          <cell r="AQ29"/>
          <cell r="AR29">
            <v>0</v>
          </cell>
          <cell r="AT29"/>
          <cell r="AU29">
            <v>0</v>
          </cell>
          <cell r="AW29"/>
          <cell r="AX29">
            <v>0</v>
          </cell>
          <cell r="AZ29"/>
          <cell r="BA29">
            <v>0</v>
          </cell>
          <cell r="BC29"/>
          <cell r="BD29">
            <v>0</v>
          </cell>
          <cell r="BF29"/>
          <cell r="BG29">
            <v>0</v>
          </cell>
          <cell r="BM29"/>
          <cell r="BN29">
            <v>0</v>
          </cell>
          <cell r="BP29"/>
          <cell r="BQ29">
            <v>0</v>
          </cell>
          <cell r="BS29"/>
          <cell r="BT29">
            <v>0</v>
          </cell>
          <cell r="BV29"/>
          <cell r="BW29">
            <v>0</v>
          </cell>
          <cell r="BY29"/>
          <cell r="BZ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N29"/>
          <cell r="CO29">
            <v>0</v>
          </cell>
          <cell r="CQ29"/>
          <cell r="CR29">
            <v>0</v>
          </cell>
          <cell r="CT29"/>
          <cell r="CU29">
            <v>0</v>
          </cell>
          <cell r="CW29"/>
          <cell r="CX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/>
          <cell r="DK29">
            <v>0</v>
          </cell>
          <cell r="DL29"/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T29"/>
          <cell r="DU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E29"/>
          <cell r="EF29">
            <v>0</v>
          </cell>
          <cell r="EI29"/>
          <cell r="EJ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V29"/>
          <cell r="EW29">
            <v>0</v>
          </cell>
          <cell r="EY29"/>
          <cell r="EZ29">
            <v>0</v>
          </cell>
          <cell r="FA29"/>
          <cell r="FB29">
            <v>0</v>
          </cell>
          <cell r="FC29"/>
          <cell r="FD29">
            <v>0</v>
          </cell>
          <cell r="FE29"/>
          <cell r="FF29">
            <v>0</v>
          </cell>
          <cell r="FG29"/>
          <cell r="FH29">
            <v>0</v>
          </cell>
        </row>
        <row r="30">
          <cell r="B30"/>
          <cell r="E30"/>
          <cell r="F30">
            <v>0</v>
          </cell>
          <cell r="G30">
            <v>525</v>
          </cell>
          <cell r="H30"/>
          <cell r="I30">
            <v>0</v>
          </cell>
          <cell r="J30">
            <v>419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U30"/>
          <cell r="V30">
            <v>0</v>
          </cell>
          <cell r="W30">
            <v>56.980000000003201</v>
          </cell>
          <cell r="X30"/>
          <cell r="Y30">
            <v>0</v>
          </cell>
          <cell r="AE30"/>
          <cell r="AF30">
            <v>0</v>
          </cell>
          <cell r="AH30"/>
          <cell r="AI30">
            <v>0</v>
          </cell>
          <cell r="AK30"/>
          <cell r="AL30">
            <v>0</v>
          </cell>
          <cell r="AN30"/>
          <cell r="AO30">
            <v>0</v>
          </cell>
          <cell r="AQ30"/>
          <cell r="AR30">
            <v>0</v>
          </cell>
          <cell r="AT30"/>
          <cell r="AU30">
            <v>0</v>
          </cell>
          <cell r="AW30"/>
          <cell r="AX30">
            <v>0</v>
          </cell>
          <cell r="AZ30"/>
          <cell r="BA30">
            <v>0</v>
          </cell>
          <cell r="BC30"/>
          <cell r="BD30">
            <v>0</v>
          </cell>
          <cell r="BF30"/>
          <cell r="BG30">
            <v>0</v>
          </cell>
          <cell r="BM30"/>
          <cell r="BN30">
            <v>0</v>
          </cell>
          <cell r="BP30"/>
          <cell r="BQ30">
            <v>0</v>
          </cell>
          <cell r="BS30"/>
          <cell r="BT30">
            <v>0</v>
          </cell>
          <cell r="BV30"/>
          <cell r="BW30">
            <v>0</v>
          </cell>
          <cell r="BY30"/>
          <cell r="BZ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N30"/>
          <cell r="CO30">
            <v>0</v>
          </cell>
          <cell r="CQ30"/>
          <cell r="CR30">
            <v>0</v>
          </cell>
          <cell r="CT30"/>
          <cell r="CU30">
            <v>0</v>
          </cell>
          <cell r="CW30"/>
          <cell r="CX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/>
          <cell r="DK30">
            <v>0</v>
          </cell>
          <cell r="DL30"/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T30"/>
          <cell r="DU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E30"/>
          <cell r="EF30">
            <v>0</v>
          </cell>
          <cell r="EI30"/>
          <cell r="EJ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V30"/>
          <cell r="EW30">
            <v>0</v>
          </cell>
          <cell r="EY30"/>
          <cell r="EZ30">
            <v>0</v>
          </cell>
          <cell r="FA30"/>
          <cell r="FB30">
            <v>0</v>
          </cell>
          <cell r="FC30"/>
          <cell r="FD30">
            <v>0</v>
          </cell>
          <cell r="FE30"/>
          <cell r="FF30">
            <v>0</v>
          </cell>
          <cell r="FG30"/>
          <cell r="FH30">
            <v>0</v>
          </cell>
        </row>
        <row r="31">
          <cell r="B31"/>
          <cell r="E31"/>
          <cell r="F31">
            <v>0</v>
          </cell>
          <cell r="G31">
            <v>687</v>
          </cell>
          <cell r="H31"/>
          <cell r="I31">
            <v>0</v>
          </cell>
          <cell r="J31">
            <v>470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U31"/>
          <cell r="V31">
            <v>0</v>
          </cell>
          <cell r="W31">
            <v>52.430000000000291</v>
          </cell>
          <cell r="X31"/>
          <cell r="Y31">
            <v>0</v>
          </cell>
          <cell r="AE31"/>
          <cell r="AF31">
            <v>0</v>
          </cell>
          <cell r="AH31"/>
          <cell r="AI31">
            <v>0</v>
          </cell>
          <cell r="AK31"/>
          <cell r="AL31">
            <v>0</v>
          </cell>
          <cell r="AN31"/>
          <cell r="AO31">
            <v>0</v>
          </cell>
          <cell r="AQ31"/>
          <cell r="AR31">
            <v>0</v>
          </cell>
          <cell r="AT31"/>
          <cell r="AU31">
            <v>0</v>
          </cell>
          <cell r="AW31"/>
          <cell r="AX31">
            <v>0</v>
          </cell>
          <cell r="AZ31"/>
          <cell r="BA31">
            <v>0</v>
          </cell>
          <cell r="BC31"/>
          <cell r="BD31">
            <v>0</v>
          </cell>
          <cell r="BF31"/>
          <cell r="BG31">
            <v>0</v>
          </cell>
          <cell r="BM31"/>
          <cell r="BN31">
            <v>0</v>
          </cell>
          <cell r="BP31"/>
          <cell r="BQ31">
            <v>0</v>
          </cell>
          <cell r="BS31"/>
          <cell r="BT31">
            <v>0</v>
          </cell>
          <cell r="BV31"/>
          <cell r="BW31">
            <v>0</v>
          </cell>
          <cell r="BY31"/>
          <cell r="BZ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N31"/>
          <cell r="CO31">
            <v>0</v>
          </cell>
          <cell r="CQ31"/>
          <cell r="CR31">
            <v>0</v>
          </cell>
          <cell r="CT31"/>
          <cell r="CU31">
            <v>0</v>
          </cell>
          <cell r="CW31"/>
          <cell r="CX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/>
          <cell r="DK31">
            <v>0</v>
          </cell>
          <cell r="DL31"/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T31"/>
          <cell r="DU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E31"/>
          <cell r="EF31">
            <v>0</v>
          </cell>
          <cell r="EI31"/>
          <cell r="EJ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V31"/>
          <cell r="EW31">
            <v>0</v>
          </cell>
          <cell r="EY31"/>
          <cell r="EZ31">
            <v>0</v>
          </cell>
          <cell r="FA31"/>
          <cell r="FB31">
            <v>0</v>
          </cell>
          <cell r="FC31"/>
          <cell r="FD31">
            <v>0</v>
          </cell>
          <cell r="FE31"/>
          <cell r="FF31">
            <v>0</v>
          </cell>
          <cell r="FG31"/>
          <cell r="FH31">
            <v>0</v>
          </cell>
        </row>
        <row r="32">
          <cell r="B32"/>
          <cell r="E32"/>
          <cell r="F32">
            <v>0</v>
          </cell>
          <cell r="G32">
            <v>443</v>
          </cell>
          <cell r="H32"/>
          <cell r="I32">
            <v>0</v>
          </cell>
          <cell r="J32">
            <v>318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U32"/>
          <cell r="V32">
            <v>0</v>
          </cell>
          <cell r="W32">
            <v>58.549999999995634</v>
          </cell>
          <cell r="X32"/>
          <cell r="Y32">
            <v>0</v>
          </cell>
          <cell r="AE32"/>
          <cell r="AF32">
            <v>0</v>
          </cell>
          <cell r="AH32"/>
          <cell r="AI32">
            <v>0</v>
          </cell>
          <cell r="AK32"/>
          <cell r="AL32">
            <v>0</v>
          </cell>
          <cell r="AN32"/>
          <cell r="AO32">
            <v>0</v>
          </cell>
          <cell r="AQ32"/>
          <cell r="AR32">
            <v>0</v>
          </cell>
          <cell r="AT32"/>
          <cell r="AU32">
            <v>0</v>
          </cell>
          <cell r="AW32"/>
          <cell r="AX32">
            <v>0</v>
          </cell>
          <cell r="AZ32"/>
          <cell r="BA32">
            <v>0</v>
          </cell>
          <cell r="BC32"/>
          <cell r="BD32">
            <v>0</v>
          </cell>
          <cell r="BF32"/>
          <cell r="BG32">
            <v>0</v>
          </cell>
          <cell r="BM32"/>
          <cell r="BN32">
            <v>0</v>
          </cell>
          <cell r="BP32"/>
          <cell r="BQ32">
            <v>0</v>
          </cell>
          <cell r="BS32"/>
          <cell r="BT32">
            <v>0</v>
          </cell>
          <cell r="BV32"/>
          <cell r="BW32">
            <v>0</v>
          </cell>
          <cell r="BY32"/>
          <cell r="BZ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N32"/>
          <cell r="CO32">
            <v>0</v>
          </cell>
          <cell r="CQ32"/>
          <cell r="CR32">
            <v>0</v>
          </cell>
          <cell r="CT32"/>
          <cell r="CU32">
            <v>0</v>
          </cell>
          <cell r="CW32"/>
          <cell r="CX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/>
          <cell r="DK32">
            <v>0</v>
          </cell>
          <cell r="DL32"/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T32"/>
          <cell r="DU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E32"/>
          <cell r="EF32">
            <v>0</v>
          </cell>
          <cell r="EI32"/>
          <cell r="EJ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V32"/>
          <cell r="EW32">
            <v>0</v>
          </cell>
          <cell r="EY32"/>
          <cell r="EZ32">
            <v>0</v>
          </cell>
          <cell r="FA32"/>
          <cell r="FB32">
            <v>0</v>
          </cell>
          <cell r="FC32"/>
          <cell r="FD32">
            <v>0</v>
          </cell>
          <cell r="FE32"/>
          <cell r="FF32">
            <v>0</v>
          </cell>
          <cell r="FG32"/>
          <cell r="FH32">
            <v>0</v>
          </cell>
        </row>
        <row r="33">
          <cell r="B33"/>
          <cell r="E33"/>
          <cell r="F33">
            <v>0</v>
          </cell>
          <cell r="G33">
            <v>662</v>
          </cell>
          <cell r="H33"/>
          <cell r="I33">
            <v>0</v>
          </cell>
          <cell r="J33">
            <v>349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U33"/>
          <cell r="V33">
            <v>0</v>
          </cell>
          <cell r="W33">
            <v>53.270000000004075</v>
          </cell>
          <cell r="X33"/>
          <cell r="Y33">
            <v>0</v>
          </cell>
          <cell r="AE33"/>
          <cell r="AF33">
            <v>0</v>
          </cell>
          <cell r="AH33"/>
          <cell r="AI33">
            <v>0</v>
          </cell>
          <cell r="AK33"/>
          <cell r="AL33">
            <v>0</v>
          </cell>
          <cell r="AN33"/>
          <cell r="AO33">
            <v>0</v>
          </cell>
          <cell r="AQ33"/>
          <cell r="AR33">
            <v>0</v>
          </cell>
          <cell r="AT33"/>
          <cell r="AU33">
            <v>0</v>
          </cell>
          <cell r="AW33"/>
          <cell r="AX33">
            <v>0</v>
          </cell>
          <cell r="AZ33"/>
          <cell r="BA33">
            <v>0</v>
          </cell>
          <cell r="BC33"/>
          <cell r="BD33">
            <v>0</v>
          </cell>
          <cell r="BF33"/>
          <cell r="BG33">
            <v>0</v>
          </cell>
          <cell r="BM33"/>
          <cell r="BN33">
            <v>0</v>
          </cell>
          <cell r="BP33"/>
          <cell r="BQ33">
            <v>0</v>
          </cell>
          <cell r="BS33"/>
          <cell r="BT33">
            <v>0</v>
          </cell>
          <cell r="BV33"/>
          <cell r="BW33">
            <v>0</v>
          </cell>
          <cell r="BY33"/>
          <cell r="BZ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N33"/>
          <cell r="CO33">
            <v>0</v>
          </cell>
          <cell r="CQ33"/>
          <cell r="CR33">
            <v>0</v>
          </cell>
          <cell r="CT33"/>
          <cell r="CU33">
            <v>0</v>
          </cell>
          <cell r="CW33"/>
          <cell r="CX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T33"/>
          <cell r="DU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E33"/>
          <cell r="EF33">
            <v>0</v>
          </cell>
          <cell r="EI33"/>
          <cell r="EJ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V33"/>
          <cell r="EW33">
            <v>0</v>
          </cell>
          <cell r="EY33"/>
          <cell r="EZ33">
            <v>0</v>
          </cell>
          <cell r="FA33"/>
          <cell r="FB33">
            <v>0</v>
          </cell>
          <cell r="FC33"/>
          <cell r="FD33">
            <v>0</v>
          </cell>
          <cell r="FE33"/>
          <cell r="FF33">
            <v>0</v>
          </cell>
          <cell r="FG33"/>
          <cell r="FH33">
            <v>0</v>
          </cell>
        </row>
        <row r="34">
          <cell r="B34"/>
          <cell r="E34"/>
          <cell r="F34">
            <v>0</v>
          </cell>
          <cell r="G34">
            <v>482</v>
          </cell>
          <cell r="H34"/>
          <cell r="I34">
            <v>0</v>
          </cell>
          <cell r="J34">
            <v>385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U34"/>
          <cell r="V34">
            <v>0</v>
          </cell>
          <cell r="W34">
            <v>51.790000000000873</v>
          </cell>
          <cell r="X34"/>
          <cell r="Y34">
            <v>0</v>
          </cell>
          <cell r="AE34"/>
          <cell r="AF34">
            <v>0</v>
          </cell>
          <cell r="AH34"/>
          <cell r="AI34">
            <v>0</v>
          </cell>
          <cell r="AK34"/>
          <cell r="AL34">
            <v>0</v>
          </cell>
          <cell r="AN34"/>
          <cell r="AO34">
            <v>0</v>
          </cell>
          <cell r="AQ34"/>
          <cell r="AR34">
            <v>0</v>
          </cell>
          <cell r="AT34"/>
          <cell r="AU34">
            <v>0</v>
          </cell>
          <cell r="AW34"/>
          <cell r="AX34">
            <v>0</v>
          </cell>
          <cell r="AZ34"/>
          <cell r="BA34">
            <v>0</v>
          </cell>
          <cell r="BC34"/>
          <cell r="BD34">
            <v>0</v>
          </cell>
          <cell r="BF34"/>
          <cell r="BG34">
            <v>0</v>
          </cell>
          <cell r="BM34"/>
          <cell r="BN34">
            <v>0</v>
          </cell>
          <cell r="BP34"/>
          <cell r="BQ34">
            <v>0</v>
          </cell>
          <cell r="BS34"/>
          <cell r="BT34">
            <v>0</v>
          </cell>
          <cell r="BV34"/>
          <cell r="BW34">
            <v>0</v>
          </cell>
          <cell r="BY34"/>
          <cell r="BZ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N34"/>
          <cell r="CO34">
            <v>0</v>
          </cell>
          <cell r="CQ34"/>
          <cell r="CR34">
            <v>0</v>
          </cell>
          <cell r="CT34"/>
          <cell r="CU34">
            <v>0</v>
          </cell>
          <cell r="CW34"/>
          <cell r="CX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T34"/>
          <cell r="DU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E34"/>
          <cell r="EF34">
            <v>0</v>
          </cell>
          <cell r="EI34"/>
          <cell r="EJ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V34"/>
          <cell r="EW34">
            <v>0</v>
          </cell>
          <cell r="EY34"/>
          <cell r="EZ34">
            <v>0</v>
          </cell>
          <cell r="FA34"/>
          <cell r="FB34">
            <v>0</v>
          </cell>
          <cell r="FC34"/>
          <cell r="FD34">
            <v>0</v>
          </cell>
          <cell r="FE34"/>
          <cell r="FF34">
            <v>0</v>
          </cell>
          <cell r="FG34"/>
          <cell r="FH34">
            <v>0</v>
          </cell>
        </row>
        <row r="35">
          <cell r="B35"/>
          <cell r="E35"/>
          <cell r="F35">
            <v>0</v>
          </cell>
          <cell r="G35">
            <v>676</v>
          </cell>
          <cell r="H35"/>
          <cell r="I35">
            <v>0</v>
          </cell>
          <cell r="J35">
            <v>367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U35"/>
          <cell r="V35">
            <v>0</v>
          </cell>
          <cell r="W35">
            <v>61.709999999999127</v>
          </cell>
          <cell r="X35"/>
          <cell r="Y35">
            <v>0</v>
          </cell>
          <cell r="AE35"/>
          <cell r="AF35">
            <v>0</v>
          </cell>
          <cell r="AH35"/>
          <cell r="AI35">
            <v>0</v>
          </cell>
          <cell r="AK35"/>
          <cell r="AL35">
            <v>0</v>
          </cell>
          <cell r="AN35"/>
          <cell r="AO35">
            <v>0</v>
          </cell>
          <cell r="AQ35"/>
          <cell r="AR35">
            <v>0</v>
          </cell>
          <cell r="AT35"/>
          <cell r="AU35">
            <v>0</v>
          </cell>
          <cell r="AW35"/>
          <cell r="AX35">
            <v>0</v>
          </cell>
          <cell r="AZ35"/>
          <cell r="BA35">
            <v>0</v>
          </cell>
          <cell r="BC35"/>
          <cell r="BD35">
            <v>0</v>
          </cell>
          <cell r="BF35"/>
          <cell r="BG35">
            <v>0</v>
          </cell>
          <cell r="BM35"/>
          <cell r="BN35">
            <v>0</v>
          </cell>
          <cell r="BP35"/>
          <cell r="BQ35">
            <v>0</v>
          </cell>
          <cell r="BS35"/>
          <cell r="BT35">
            <v>0</v>
          </cell>
          <cell r="BV35"/>
          <cell r="BW35">
            <v>0</v>
          </cell>
          <cell r="BY35"/>
          <cell r="BZ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N35"/>
          <cell r="CO35">
            <v>0</v>
          </cell>
          <cell r="CQ35"/>
          <cell r="CR35">
            <v>0</v>
          </cell>
          <cell r="CT35"/>
          <cell r="CU35">
            <v>0</v>
          </cell>
          <cell r="CW35"/>
          <cell r="CX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T35"/>
          <cell r="DU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E35"/>
          <cell r="EF35">
            <v>0</v>
          </cell>
          <cell r="EI35"/>
          <cell r="EJ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V35"/>
          <cell r="EW35">
            <v>0</v>
          </cell>
          <cell r="EY35"/>
          <cell r="EZ35">
            <v>0</v>
          </cell>
          <cell r="FA35"/>
          <cell r="FB35">
            <v>0</v>
          </cell>
          <cell r="FC35"/>
          <cell r="FD35">
            <v>0</v>
          </cell>
          <cell r="FE35"/>
          <cell r="FF35">
            <v>0</v>
          </cell>
          <cell r="FG35"/>
          <cell r="FH35">
            <v>0</v>
          </cell>
        </row>
        <row r="36">
          <cell r="B36"/>
          <cell r="E36"/>
          <cell r="F36">
            <v>0</v>
          </cell>
          <cell r="G36">
            <v>493</v>
          </cell>
          <cell r="H36"/>
          <cell r="I36">
            <v>0</v>
          </cell>
          <cell r="J36">
            <v>389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U36"/>
          <cell r="V36">
            <v>0</v>
          </cell>
          <cell r="W36">
            <v>68.809999999997672</v>
          </cell>
          <cell r="X36"/>
          <cell r="Y36">
            <v>0</v>
          </cell>
          <cell r="AE36"/>
          <cell r="AF36">
            <v>0</v>
          </cell>
          <cell r="AH36"/>
          <cell r="AI36">
            <v>0</v>
          </cell>
          <cell r="AK36"/>
          <cell r="AL36">
            <v>0</v>
          </cell>
          <cell r="AN36"/>
          <cell r="AO36">
            <v>0</v>
          </cell>
          <cell r="AQ36"/>
          <cell r="AR36">
            <v>0</v>
          </cell>
          <cell r="AT36"/>
          <cell r="AU36">
            <v>0</v>
          </cell>
          <cell r="AW36"/>
          <cell r="AX36">
            <v>0</v>
          </cell>
          <cell r="AZ36"/>
          <cell r="BA36">
            <v>0</v>
          </cell>
          <cell r="BC36"/>
          <cell r="BD36">
            <v>0</v>
          </cell>
          <cell r="BF36"/>
          <cell r="BG36">
            <v>0</v>
          </cell>
          <cell r="BM36"/>
          <cell r="BN36">
            <v>0</v>
          </cell>
          <cell r="BP36"/>
          <cell r="BQ36">
            <v>0</v>
          </cell>
          <cell r="BS36"/>
          <cell r="BT36">
            <v>0</v>
          </cell>
          <cell r="BV36"/>
          <cell r="BW36">
            <v>0</v>
          </cell>
          <cell r="BY36"/>
          <cell r="BZ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N36"/>
          <cell r="CO36">
            <v>0</v>
          </cell>
          <cell r="CQ36"/>
          <cell r="CR36">
            <v>0</v>
          </cell>
          <cell r="CT36"/>
          <cell r="CU36">
            <v>0</v>
          </cell>
          <cell r="CW36"/>
          <cell r="CX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T36"/>
          <cell r="DU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E36"/>
          <cell r="EF36">
            <v>0</v>
          </cell>
          <cell r="EI36"/>
          <cell r="EJ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V36"/>
          <cell r="EW36">
            <v>0</v>
          </cell>
          <cell r="EY36"/>
          <cell r="EZ36">
            <v>0</v>
          </cell>
          <cell r="FA36"/>
          <cell r="FB36">
            <v>0</v>
          </cell>
          <cell r="FC36"/>
          <cell r="FD36">
            <v>0</v>
          </cell>
          <cell r="FE36"/>
          <cell r="FF36">
            <v>0</v>
          </cell>
          <cell r="FG36"/>
          <cell r="FH36">
            <v>0</v>
          </cell>
        </row>
        <row r="37">
          <cell r="B37"/>
          <cell r="E37"/>
          <cell r="F37">
            <v>0</v>
          </cell>
          <cell r="G37">
            <v>534</v>
          </cell>
          <cell r="H37"/>
          <cell r="I37">
            <v>0</v>
          </cell>
          <cell r="J37">
            <v>400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U37"/>
          <cell r="V37">
            <v>0</v>
          </cell>
          <cell r="W37">
            <v>65.5</v>
          </cell>
          <cell r="X37"/>
          <cell r="Y37">
            <v>0</v>
          </cell>
          <cell r="AE37"/>
          <cell r="AF37">
            <v>0</v>
          </cell>
          <cell r="AH37"/>
          <cell r="AI37">
            <v>0</v>
          </cell>
          <cell r="AK37"/>
          <cell r="AL37">
            <v>0</v>
          </cell>
          <cell r="AN37"/>
          <cell r="AO37">
            <v>0</v>
          </cell>
          <cell r="AQ37"/>
          <cell r="AR37">
            <v>0</v>
          </cell>
          <cell r="AT37"/>
          <cell r="AU37">
            <v>0</v>
          </cell>
          <cell r="AW37"/>
          <cell r="AX37">
            <v>0</v>
          </cell>
          <cell r="AZ37"/>
          <cell r="BA37">
            <v>0</v>
          </cell>
          <cell r="BC37"/>
          <cell r="BD37">
            <v>0</v>
          </cell>
          <cell r="BF37"/>
          <cell r="BG37">
            <v>0</v>
          </cell>
          <cell r="BM37"/>
          <cell r="BN37">
            <v>0</v>
          </cell>
          <cell r="BP37"/>
          <cell r="BQ37">
            <v>0</v>
          </cell>
          <cell r="BS37"/>
          <cell r="BT37">
            <v>0</v>
          </cell>
          <cell r="BV37"/>
          <cell r="BW37">
            <v>0</v>
          </cell>
          <cell r="BY37"/>
          <cell r="BZ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N37"/>
          <cell r="CO37">
            <v>0</v>
          </cell>
          <cell r="CQ37"/>
          <cell r="CR37">
            <v>0</v>
          </cell>
          <cell r="CT37"/>
          <cell r="CU37">
            <v>0</v>
          </cell>
          <cell r="CW37"/>
          <cell r="CX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T37"/>
          <cell r="DU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E37"/>
          <cell r="EF37">
            <v>0</v>
          </cell>
          <cell r="EI37"/>
          <cell r="EJ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V37"/>
          <cell r="EW37">
            <v>0</v>
          </cell>
          <cell r="EY37"/>
          <cell r="EZ37">
            <v>0</v>
          </cell>
          <cell r="FA37"/>
          <cell r="FB37">
            <v>0</v>
          </cell>
          <cell r="FC37"/>
          <cell r="FD37">
            <v>0</v>
          </cell>
          <cell r="FE37"/>
          <cell r="FF37">
            <v>0</v>
          </cell>
          <cell r="FG37"/>
          <cell r="FH37">
            <v>0</v>
          </cell>
        </row>
        <row r="38">
          <cell r="B38"/>
          <cell r="E38"/>
          <cell r="F38">
            <v>0</v>
          </cell>
          <cell r="G38">
            <v>565</v>
          </cell>
          <cell r="H38"/>
          <cell r="I38">
            <v>0</v>
          </cell>
          <cell r="J38">
            <v>429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U38"/>
          <cell r="V38">
            <v>0</v>
          </cell>
          <cell r="W38">
            <v>71.5</v>
          </cell>
          <cell r="X38"/>
          <cell r="Y38">
            <v>0</v>
          </cell>
          <cell r="AE38"/>
          <cell r="AF38">
            <v>0</v>
          </cell>
          <cell r="AH38"/>
          <cell r="AI38">
            <v>0</v>
          </cell>
          <cell r="AK38"/>
          <cell r="AL38">
            <v>0</v>
          </cell>
          <cell r="AN38"/>
          <cell r="AO38">
            <v>0</v>
          </cell>
          <cell r="AQ38"/>
          <cell r="AR38">
            <v>0</v>
          </cell>
          <cell r="AT38"/>
          <cell r="AU38">
            <v>0</v>
          </cell>
          <cell r="AW38"/>
          <cell r="AX38">
            <v>0</v>
          </cell>
          <cell r="AZ38"/>
          <cell r="BA38">
            <v>0</v>
          </cell>
          <cell r="BC38"/>
          <cell r="BD38">
            <v>0</v>
          </cell>
          <cell r="BF38"/>
          <cell r="BG38">
            <v>0</v>
          </cell>
          <cell r="BM38"/>
          <cell r="BN38">
            <v>0</v>
          </cell>
          <cell r="BP38"/>
          <cell r="BQ38">
            <v>0</v>
          </cell>
          <cell r="BS38"/>
          <cell r="BT38">
            <v>0</v>
          </cell>
          <cell r="BV38"/>
          <cell r="BW38">
            <v>0</v>
          </cell>
          <cell r="BY38"/>
          <cell r="BZ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N38"/>
          <cell r="CO38">
            <v>0</v>
          </cell>
          <cell r="CQ38"/>
          <cell r="CR38">
            <v>0</v>
          </cell>
          <cell r="CT38"/>
          <cell r="CU38">
            <v>0</v>
          </cell>
          <cell r="CW38"/>
          <cell r="CX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T38"/>
          <cell r="DU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E38"/>
          <cell r="EF38">
            <v>0</v>
          </cell>
          <cell r="EI38"/>
          <cell r="EJ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V38"/>
          <cell r="EW38">
            <v>0</v>
          </cell>
          <cell r="EY38"/>
          <cell r="EZ38">
            <v>0</v>
          </cell>
          <cell r="FA38"/>
          <cell r="FB38">
            <v>0</v>
          </cell>
          <cell r="FC38"/>
          <cell r="FD38">
            <v>0</v>
          </cell>
          <cell r="FE38"/>
          <cell r="FF38">
            <v>0</v>
          </cell>
          <cell r="FG38"/>
          <cell r="FH38">
            <v>0</v>
          </cell>
        </row>
        <row r="39">
          <cell r="B39"/>
          <cell r="E39"/>
          <cell r="F39">
            <v>0</v>
          </cell>
          <cell r="G39">
            <v>511</v>
          </cell>
          <cell r="H39"/>
          <cell r="I39">
            <v>0</v>
          </cell>
          <cell r="J39">
            <v>394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U39"/>
          <cell r="V39">
            <v>0</v>
          </cell>
          <cell r="W39">
            <v>65.340000000003783</v>
          </cell>
          <cell r="X39"/>
          <cell r="Y39">
            <v>0</v>
          </cell>
          <cell r="AE39"/>
          <cell r="AF39">
            <v>0</v>
          </cell>
          <cell r="AH39"/>
          <cell r="AI39">
            <v>0</v>
          </cell>
          <cell r="AK39"/>
          <cell r="AL39">
            <v>0</v>
          </cell>
          <cell r="AN39"/>
          <cell r="AO39">
            <v>0</v>
          </cell>
          <cell r="AQ39"/>
          <cell r="AR39">
            <v>0</v>
          </cell>
          <cell r="AT39"/>
          <cell r="AU39">
            <v>0</v>
          </cell>
          <cell r="AW39"/>
          <cell r="AX39">
            <v>0</v>
          </cell>
          <cell r="AZ39"/>
          <cell r="BA39">
            <v>0</v>
          </cell>
          <cell r="BC39"/>
          <cell r="BD39">
            <v>0</v>
          </cell>
          <cell r="BF39"/>
          <cell r="BG39">
            <v>0</v>
          </cell>
          <cell r="BM39"/>
          <cell r="BN39">
            <v>0</v>
          </cell>
          <cell r="BP39"/>
          <cell r="BQ39">
            <v>0</v>
          </cell>
          <cell r="BS39"/>
          <cell r="BT39">
            <v>0</v>
          </cell>
          <cell r="BV39"/>
          <cell r="BW39">
            <v>0</v>
          </cell>
          <cell r="BY39"/>
          <cell r="BZ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N39"/>
          <cell r="CO39">
            <v>0</v>
          </cell>
          <cell r="CQ39"/>
          <cell r="CR39">
            <v>0</v>
          </cell>
          <cell r="CT39"/>
          <cell r="CU39">
            <v>0</v>
          </cell>
          <cell r="CW39"/>
          <cell r="CX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T39"/>
          <cell r="DU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E39"/>
          <cell r="EF39">
            <v>0</v>
          </cell>
          <cell r="EI39"/>
          <cell r="EJ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V39"/>
          <cell r="EW39">
            <v>0</v>
          </cell>
          <cell r="EY39"/>
          <cell r="EZ39">
            <v>0</v>
          </cell>
          <cell r="FA39"/>
          <cell r="FB39">
            <v>0</v>
          </cell>
          <cell r="FC39"/>
          <cell r="FD39">
            <v>0</v>
          </cell>
          <cell r="FE39"/>
          <cell r="FF39">
            <v>0</v>
          </cell>
          <cell r="FG39"/>
          <cell r="FH39">
            <v>0</v>
          </cell>
        </row>
        <row r="40">
          <cell r="B40"/>
          <cell r="E40"/>
          <cell r="F40">
            <v>0</v>
          </cell>
          <cell r="G40">
            <v>499</v>
          </cell>
          <cell r="H40"/>
          <cell r="I40">
            <v>0</v>
          </cell>
          <cell r="J40">
            <v>367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U40"/>
          <cell r="V40">
            <v>0</v>
          </cell>
          <cell r="W40">
            <v>75.129999999997381</v>
          </cell>
          <cell r="X40"/>
          <cell r="Y40">
            <v>0</v>
          </cell>
          <cell r="AE40"/>
          <cell r="AF40">
            <v>0</v>
          </cell>
          <cell r="AH40"/>
          <cell r="AI40">
            <v>0</v>
          </cell>
          <cell r="AK40"/>
          <cell r="AL40">
            <v>0</v>
          </cell>
          <cell r="AN40"/>
          <cell r="AO40">
            <v>0</v>
          </cell>
          <cell r="AQ40"/>
          <cell r="AR40">
            <v>0</v>
          </cell>
          <cell r="AT40"/>
          <cell r="AU40">
            <v>0</v>
          </cell>
          <cell r="AW40"/>
          <cell r="AX40">
            <v>0</v>
          </cell>
          <cell r="AZ40"/>
          <cell r="BA40">
            <v>0</v>
          </cell>
          <cell r="BC40"/>
          <cell r="BD40">
            <v>0</v>
          </cell>
          <cell r="BF40"/>
          <cell r="BG40">
            <v>0</v>
          </cell>
          <cell r="BM40"/>
          <cell r="BN40">
            <v>0</v>
          </cell>
          <cell r="BP40"/>
          <cell r="BQ40">
            <v>0</v>
          </cell>
          <cell r="BS40"/>
          <cell r="BT40">
            <v>0</v>
          </cell>
          <cell r="BV40"/>
          <cell r="BW40">
            <v>0</v>
          </cell>
          <cell r="BY40"/>
          <cell r="BZ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N40"/>
          <cell r="CO40">
            <v>0</v>
          </cell>
          <cell r="CQ40"/>
          <cell r="CR40">
            <v>0</v>
          </cell>
          <cell r="CT40"/>
          <cell r="CU40">
            <v>0</v>
          </cell>
          <cell r="CW40"/>
          <cell r="CX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/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T40"/>
          <cell r="DU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E40"/>
          <cell r="EF40">
            <v>0</v>
          </cell>
          <cell r="EI40"/>
          <cell r="EJ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V40"/>
          <cell r="EW40">
            <v>0</v>
          </cell>
          <cell r="EY40"/>
          <cell r="EZ40">
            <v>0</v>
          </cell>
          <cell r="FA40"/>
          <cell r="FB40">
            <v>0</v>
          </cell>
          <cell r="FC40"/>
          <cell r="FD40">
            <v>0</v>
          </cell>
          <cell r="FE40"/>
          <cell r="FF40">
            <v>0</v>
          </cell>
          <cell r="FG40"/>
          <cell r="FH4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>
      <selection activeCell="G15" sqref="G15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3.3076923076923075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3.3076923076923075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39219.600000006147</v>
      </c>
      <c r="F14">
        <v>0.44447999999999999</v>
      </c>
      <c r="G14" s="3">
        <f>Submetering!Z14+Submetering!AA14+Submetering!AB14</f>
        <v>941.22</v>
      </c>
      <c r="H14" s="217">
        <f t="shared" si="0"/>
        <v>3.3076923076923075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37563.119999990799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3.3076923076923075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346</v>
      </c>
    </row>
    <row r="16" spans="1:14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17">
        <f t="shared" si="0"/>
        <v>3.3076923076923075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17">
        <f>Submetering!E16</f>
        <v>0</v>
      </c>
      <c r="N16">
        <f>Submetering!F16</f>
        <v>0</v>
      </c>
    </row>
    <row r="17" spans="1:14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17">
        <f t="shared" si="0"/>
        <v>3.3076923076923075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17">
        <f>Submetering!E17</f>
        <v>0</v>
      </c>
      <c r="N17">
        <f>Submetering!F17</f>
        <v>0</v>
      </c>
    </row>
    <row r="18" spans="1:14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17">
        <f t="shared" si="0"/>
        <v>3.3076923076923075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17">
        <f>Submetering!E18</f>
        <v>0</v>
      </c>
      <c r="N18">
        <f>Submetering!F18</f>
        <v>0</v>
      </c>
    </row>
    <row r="19" spans="1:14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17">
        <f t="shared" si="0"/>
        <v>3.3076923076923075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17">
        <f>Submetering!E19</f>
        <v>0</v>
      </c>
      <c r="N19">
        <f>Submetering!F19</f>
        <v>0</v>
      </c>
    </row>
    <row r="20" spans="1:14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17">
        <f t="shared" si="0"/>
        <v>3.3076923076923075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17">
        <f>Submetering!E20</f>
        <v>0</v>
      </c>
      <c r="N20">
        <f>Submetering!F20</f>
        <v>0</v>
      </c>
    </row>
    <row r="21" spans="1:14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7">
        <f t="shared" si="0"/>
        <v>3.3076923076923075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7">
        <f>Submetering!E21</f>
        <v>0</v>
      </c>
      <c r="N21">
        <f>Submetering!F21</f>
        <v>0</v>
      </c>
    </row>
    <row r="22" spans="1:14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7">
        <f t="shared" si="0"/>
        <v>3.3076923076923075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7">
        <f>Submetering!E22</f>
        <v>0</v>
      </c>
      <c r="N22">
        <f>Submetering!F22</f>
        <v>0</v>
      </c>
    </row>
    <row r="23" spans="1:14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7">
        <f t="shared" si="0"/>
        <v>3.3076923076923075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7">
        <f>Submetering!E23</f>
        <v>0</v>
      </c>
      <c r="N23">
        <f>Submetering!F23</f>
        <v>0</v>
      </c>
    </row>
    <row r="24" spans="1:14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7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0</v>
      </c>
    </row>
    <row r="25" spans="1:14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7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7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7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7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7">
        <f>Submetering!E29</f>
        <v>0</v>
      </c>
      <c r="N28">
        <f>Submetering!F28</f>
        <v>0</v>
      </c>
    </row>
    <row r="29" spans="1:14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7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7">
        <f>Submetering!E30</f>
        <v>0</v>
      </c>
      <c r="N29">
        <f>Submetering!F29</f>
        <v>0</v>
      </c>
    </row>
    <row r="30" spans="1:14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17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17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17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32"/>
  <sheetViews>
    <sheetView tabSelected="1" zoomScaleNormal="100" workbookViewId="0">
      <pane xSplit="2" ySplit="1" topLeftCell="C2" activePane="bottomRight" state="frozen"/>
      <selection pane="bottomRight" activeCell="E16" sqref="E16"/>
      <selection pane="bottomLeft" activeCell="A2" sqref="A2"/>
      <selection pane="topRight" activeCell="C1" sqref="C1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642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0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309+37</f>
        <v>346</v>
      </c>
      <c r="G15" s="3">
        <f>'DJB Daily Readings'!C23-'DJB Daily Readings'!C22</f>
        <v>710</v>
      </c>
      <c r="H15" s="3">
        <f>'DJB Daily Readings'!F23-'DJB Daily Readings'!F22</f>
        <v>384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48.719999998807907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>
      <c r="A16" t="s">
        <v>14</v>
      </c>
      <c r="B16">
        <f t="shared" si="0"/>
        <v>15</v>
      </c>
      <c r="C16">
        <v>1</v>
      </c>
      <c r="D16">
        <v>2023</v>
      </c>
      <c r="E16" s="74"/>
      <c r="AJ16" s="77"/>
      <c r="AK16" s="77"/>
      <c r="BL16" s="78"/>
    </row>
    <row r="17" spans="1:64">
      <c r="A17" t="s">
        <v>14</v>
      </c>
      <c r="B17">
        <f t="shared" si="0"/>
        <v>16</v>
      </c>
      <c r="C17">
        <v>1</v>
      </c>
      <c r="D17">
        <v>2023</v>
      </c>
      <c r="E17" s="74"/>
      <c r="AJ17" s="77"/>
      <c r="AK17" s="77"/>
      <c r="BL17" s="78"/>
    </row>
    <row r="18" spans="1:64">
      <c r="A18" t="s">
        <v>14</v>
      </c>
      <c r="B18">
        <f t="shared" si="0"/>
        <v>17</v>
      </c>
      <c r="C18">
        <v>1</v>
      </c>
      <c r="D18">
        <v>2023</v>
      </c>
      <c r="E18" s="74"/>
      <c r="AJ18" s="77"/>
      <c r="AK18" s="77"/>
      <c r="BL18" s="78"/>
    </row>
    <row r="19" spans="1:64">
      <c r="A19" t="s">
        <v>14</v>
      </c>
      <c r="B19">
        <f t="shared" si="0"/>
        <v>18</v>
      </c>
      <c r="C19">
        <v>1</v>
      </c>
      <c r="D19">
        <v>2023</v>
      </c>
      <c r="E19" s="74"/>
      <c r="AJ19" s="77"/>
      <c r="AK19" s="77"/>
      <c r="BL19" s="78"/>
    </row>
    <row r="20" spans="1:64">
      <c r="A20" t="s">
        <v>14</v>
      </c>
      <c r="B20">
        <f t="shared" si="0"/>
        <v>19</v>
      </c>
      <c r="C20">
        <v>1</v>
      </c>
      <c r="D20">
        <v>2023</v>
      </c>
      <c r="E20" s="74"/>
      <c r="AJ20" s="77"/>
      <c r="AK20" s="77"/>
      <c r="BL20" s="78"/>
    </row>
    <row r="21" spans="1:64">
      <c r="A21" t="s">
        <v>14</v>
      </c>
      <c r="B21">
        <f t="shared" si="0"/>
        <v>20</v>
      </c>
      <c r="C21">
        <v>1</v>
      </c>
      <c r="D21">
        <v>2023</v>
      </c>
      <c r="E21" s="74"/>
      <c r="AJ21" s="77"/>
      <c r="AK21" s="77"/>
      <c r="BL21" s="78"/>
    </row>
    <row r="22" spans="1:64">
      <c r="A22" t="s">
        <v>14</v>
      </c>
      <c r="B22">
        <f t="shared" si="0"/>
        <v>21</v>
      </c>
      <c r="C22">
        <v>1</v>
      </c>
      <c r="D22">
        <v>2023</v>
      </c>
      <c r="E22" s="74"/>
      <c r="AJ22" s="77"/>
      <c r="AK22" s="77"/>
      <c r="BL22" s="78"/>
    </row>
    <row r="23" spans="1:64">
      <c r="A23" t="s">
        <v>14</v>
      </c>
      <c r="B23">
        <f t="shared" si="0"/>
        <v>22</v>
      </c>
      <c r="C23">
        <v>1</v>
      </c>
      <c r="D23">
        <v>2023</v>
      </c>
      <c r="E23" s="74"/>
      <c r="AJ23" s="77"/>
      <c r="AK23" s="77"/>
      <c r="BL23" s="78"/>
    </row>
    <row r="24" spans="1:64">
      <c r="A24" t="s">
        <v>14</v>
      </c>
      <c r="B24">
        <f t="shared" si="0"/>
        <v>23</v>
      </c>
      <c r="C24">
        <v>1</v>
      </c>
      <c r="D24">
        <v>2023</v>
      </c>
      <c r="E24" s="74"/>
      <c r="AJ24" s="77"/>
      <c r="AK24" s="77"/>
      <c r="BL24" s="78"/>
    </row>
    <row r="25" spans="1:64">
      <c r="A25" t="s">
        <v>14</v>
      </c>
      <c r="B25">
        <f t="shared" si="0"/>
        <v>24</v>
      </c>
      <c r="C25">
        <v>1</v>
      </c>
      <c r="D25">
        <v>2023</v>
      </c>
      <c r="E25" s="74"/>
      <c r="AJ25" s="77"/>
      <c r="AK25" s="77"/>
      <c r="BL25" s="78"/>
    </row>
    <row r="26" spans="1:64">
      <c r="A26" t="s">
        <v>14</v>
      </c>
      <c r="B26">
        <f>B25+1</f>
        <v>25</v>
      </c>
      <c r="C26">
        <v>1</v>
      </c>
      <c r="D26">
        <v>2023</v>
      </c>
      <c r="E26" s="74"/>
      <c r="AJ26" s="77"/>
      <c r="AK26" s="77"/>
      <c r="BL26" s="78"/>
    </row>
    <row r="27" spans="1:64">
      <c r="A27" t="s">
        <v>14</v>
      </c>
      <c r="B27">
        <f t="shared" si="0"/>
        <v>26</v>
      </c>
      <c r="C27">
        <v>1</v>
      </c>
      <c r="D27">
        <v>2023</v>
      </c>
      <c r="E27" s="74"/>
      <c r="AJ27" s="77"/>
      <c r="AK27" s="77"/>
      <c r="BL27" s="78"/>
    </row>
    <row r="28" spans="1:64">
      <c r="A28" t="s">
        <v>14</v>
      </c>
      <c r="B28">
        <f t="shared" si="0"/>
        <v>27</v>
      </c>
      <c r="C28">
        <v>1</v>
      </c>
      <c r="D28">
        <v>2023</v>
      </c>
      <c r="E28" s="74"/>
      <c r="AJ28" s="77"/>
      <c r="AK28" s="77"/>
      <c r="BL28" s="78"/>
    </row>
    <row r="29" spans="1:64">
      <c r="A29" t="s">
        <v>14</v>
      </c>
      <c r="B29">
        <f t="shared" si="0"/>
        <v>28</v>
      </c>
      <c r="C29">
        <v>1</v>
      </c>
      <c r="D29">
        <v>2023</v>
      </c>
      <c r="E29" s="74"/>
      <c r="AJ29" s="77"/>
      <c r="AK29" s="77"/>
      <c r="BL29" s="78"/>
    </row>
    <row r="30" spans="1:64">
      <c r="A30" t="s">
        <v>14</v>
      </c>
      <c r="B30">
        <f t="shared" si="0"/>
        <v>29</v>
      </c>
      <c r="C30">
        <v>1</v>
      </c>
      <c r="D30">
        <v>2023</v>
      </c>
      <c r="E30" s="74"/>
      <c r="AJ30" s="77"/>
      <c r="AK30" s="77"/>
      <c r="BL30" s="78"/>
    </row>
    <row r="31" spans="1:64">
      <c r="A31" t="s">
        <v>14</v>
      </c>
      <c r="B31">
        <f t="shared" si="0"/>
        <v>30</v>
      </c>
      <c r="C31">
        <v>1</v>
      </c>
      <c r="D31">
        <v>2023</v>
      </c>
      <c r="E31" s="74"/>
      <c r="AJ31" s="77"/>
      <c r="AK31" s="77"/>
      <c r="BL31" s="78"/>
    </row>
    <row r="32" spans="1:64">
      <c r="A32" t="s">
        <v>14</v>
      </c>
      <c r="B32">
        <f t="shared" si="0"/>
        <v>31</v>
      </c>
      <c r="C32">
        <v>1</v>
      </c>
      <c r="D32">
        <v>2023</v>
      </c>
      <c r="E32" s="74"/>
      <c r="AJ32" s="77"/>
      <c r="AK32" s="77"/>
      <c r="BL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FD94"/>
  <sheetViews>
    <sheetView zoomScale="85" zoomScaleNormal="85" workbookViewId="0">
      <pane xSplit="1" ySplit="8" topLeftCell="B17" activePane="bottomRight" state="frozen"/>
      <selection pane="bottomRight" activeCell="K27" sqref="K27"/>
      <selection pane="bottomLeft" activeCell="A9" sqref="A9"/>
      <selection pane="topRight" activeCell="B1" sqref="B1"/>
    </sheetView>
  </sheetViews>
  <sheetFormatPr defaultRowHeight="16.5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>
      <c r="A1" s="414" t="s">
        <v>73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  <c r="AM1" s="414"/>
      <c r="AN1" s="414"/>
      <c r="AO1" s="414"/>
      <c r="AP1" s="414"/>
      <c r="AQ1" s="414"/>
      <c r="AR1" s="414"/>
      <c r="AS1" s="414"/>
      <c r="AT1" s="414"/>
      <c r="AU1" s="414"/>
      <c r="AV1" s="414"/>
      <c r="AW1" s="414"/>
      <c r="AX1" s="414"/>
      <c r="AY1" s="414"/>
      <c r="AZ1" s="414"/>
      <c r="BA1" s="414"/>
      <c r="BB1" s="414"/>
      <c r="BC1" s="414"/>
      <c r="BD1" s="414"/>
      <c r="BE1" s="414"/>
      <c r="BF1" s="414"/>
      <c r="BG1" s="414"/>
      <c r="BH1" s="414"/>
      <c r="BI1" s="414"/>
      <c r="BJ1" s="414"/>
      <c r="BK1" s="414"/>
      <c r="BL1" s="414"/>
      <c r="BM1" s="414"/>
      <c r="BN1" s="414"/>
      <c r="BO1" s="414"/>
      <c r="BP1" s="414"/>
      <c r="BQ1" s="414"/>
      <c r="BR1" s="414"/>
      <c r="BS1" s="414"/>
      <c r="BT1" s="414"/>
      <c r="BU1" s="414"/>
      <c r="BV1" s="414"/>
      <c r="BW1" s="414"/>
      <c r="BX1" s="414"/>
      <c r="BY1" s="414"/>
      <c r="BZ1" s="414"/>
      <c r="CA1" s="414"/>
      <c r="CB1" s="414"/>
      <c r="CC1" s="414"/>
      <c r="CD1" s="414"/>
      <c r="CE1" s="414"/>
      <c r="CF1" s="414"/>
      <c r="CG1" s="414"/>
      <c r="CH1" s="414"/>
      <c r="CI1" s="414"/>
      <c r="CJ1" s="414"/>
      <c r="CK1" s="414"/>
      <c r="CL1" s="414"/>
      <c r="CM1" s="414"/>
      <c r="CN1" s="414"/>
      <c r="CO1" s="414"/>
      <c r="CP1" s="414"/>
      <c r="CQ1" s="414"/>
      <c r="CR1" s="414"/>
      <c r="CS1" s="414"/>
      <c r="CT1" s="414"/>
      <c r="CU1" s="414"/>
      <c r="CV1" s="414"/>
      <c r="CW1" s="414"/>
      <c r="CX1" s="414"/>
      <c r="CY1" s="414"/>
      <c r="CZ1" s="414"/>
      <c r="DA1" s="414"/>
      <c r="DB1" s="414"/>
      <c r="DC1" s="414"/>
      <c r="DD1" s="414"/>
      <c r="DE1" s="414"/>
      <c r="DF1" s="414"/>
      <c r="DG1" s="414"/>
      <c r="DH1" s="414"/>
      <c r="DI1" s="414"/>
      <c r="DJ1" s="414"/>
      <c r="DK1" s="414"/>
      <c r="DL1" s="414"/>
      <c r="DM1" s="414"/>
      <c r="DN1" s="414"/>
      <c r="DO1" s="414"/>
      <c r="DP1" s="414"/>
      <c r="DQ1" s="414"/>
      <c r="DR1" s="414"/>
      <c r="DS1" s="414"/>
      <c r="DT1" s="414"/>
      <c r="DU1" s="414"/>
      <c r="DV1" s="414"/>
      <c r="DW1" s="414"/>
      <c r="DX1" s="414"/>
      <c r="DY1" s="414"/>
      <c r="DZ1" s="414"/>
      <c r="EA1" s="414"/>
      <c r="EB1" s="414"/>
      <c r="EC1" s="414"/>
      <c r="ED1" s="414"/>
      <c r="EE1" s="414"/>
      <c r="EF1" s="414"/>
      <c r="EG1" s="414"/>
      <c r="EH1" s="414"/>
      <c r="EI1" s="414"/>
      <c r="EJ1" s="414"/>
      <c r="EK1" s="414"/>
      <c r="EL1" s="414"/>
      <c r="EM1" s="414"/>
      <c r="EN1" s="414"/>
      <c r="EO1" s="414"/>
      <c r="EP1" s="414"/>
      <c r="EQ1" s="414"/>
      <c r="ER1" s="414"/>
      <c r="ES1" s="414"/>
      <c r="ET1" s="414"/>
      <c r="EU1" s="414"/>
      <c r="EV1" s="414"/>
      <c r="EW1" s="414"/>
      <c r="EX1" s="414"/>
      <c r="EY1" s="414"/>
      <c r="EZ1" s="414"/>
      <c r="FA1" s="414"/>
      <c r="FB1" s="414"/>
      <c r="FC1" s="414"/>
    </row>
    <row r="2" spans="1:159" ht="16.5" customHeight="1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  <c r="AS2" s="414"/>
      <c r="AT2" s="414"/>
      <c r="AU2" s="414"/>
      <c r="AV2" s="414"/>
      <c r="AW2" s="414"/>
      <c r="AX2" s="414"/>
      <c r="AY2" s="414"/>
      <c r="AZ2" s="414"/>
      <c r="BA2" s="414"/>
      <c r="BB2" s="414"/>
      <c r="BC2" s="414"/>
      <c r="BD2" s="414"/>
      <c r="BE2" s="414"/>
      <c r="BF2" s="414"/>
      <c r="BG2" s="414"/>
      <c r="BH2" s="414"/>
      <c r="BI2" s="414"/>
      <c r="BJ2" s="414"/>
      <c r="BK2" s="414"/>
      <c r="BL2" s="414"/>
      <c r="BM2" s="414"/>
      <c r="BN2" s="414"/>
      <c r="BO2" s="414"/>
      <c r="BP2" s="414"/>
      <c r="BQ2" s="414"/>
      <c r="BR2" s="414"/>
      <c r="BS2" s="414"/>
      <c r="BT2" s="414"/>
      <c r="BU2" s="414"/>
      <c r="BV2" s="414"/>
      <c r="BW2" s="414"/>
      <c r="BX2" s="414"/>
      <c r="BY2" s="414"/>
      <c r="BZ2" s="414"/>
      <c r="CA2" s="414"/>
      <c r="CB2" s="414"/>
      <c r="CC2" s="414"/>
      <c r="CD2" s="414"/>
      <c r="CE2" s="414"/>
      <c r="CF2" s="414"/>
      <c r="CG2" s="414"/>
      <c r="CH2" s="414"/>
      <c r="CI2" s="414"/>
      <c r="CJ2" s="414"/>
      <c r="CK2" s="414"/>
      <c r="CL2" s="414"/>
      <c r="CM2" s="414"/>
      <c r="CN2" s="414"/>
      <c r="CO2" s="414"/>
      <c r="CP2" s="414"/>
      <c r="CQ2" s="414"/>
      <c r="CR2" s="414"/>
      <c r="CS2" s="414"/>
      <c r="CT2" s="414"/>
      <c r="CU2" s="414"/>
      <c r="CV2" s="414"/>
      <c r="CW2" s="414"/>
      <c r="CX2" s="414"/>
      <c r="CY2" s="414"/>
      <c r="CZ2" s="414"/>
      <c r="DA2" s="414"/>
      <c r="DB2" s="414"/>
      <c r="DC2" s="414"/>
      <c r="DD2" s="414"/>
      <c r="DE2" s="414"/>
      <c r="DF2" s="414"/>
      <c r="DG2" s="414"/>
      <c r="DH2" s="414"/>
      <c r="DI2" s="414"/>
      <c r="DJ2" s="414"/>
      <c r="DK2" s="414"/>
      <c r="DL2" s="414"/>
      <c r="DM2" s="414"/>
      <c r="DN2" s="414"/>
      <c r="DO2" s="414"/>
      <c r="DP2" s="414"/>
      <c r="DQ2" s="414"/>
      <c r="DR2" s="414"/>
      <c r="DS2" s="414"/>
      <c r="DT2" s="414"/>
      <c r="DU2" s="414"/>
      <c r="DV2" s="414"/>
      <c r="DW2" s="414"/>
      <c r="DX2" s="414"/>
      <c r="DY2" s="414"/>
      <c r="DZ2" s="414"/>
      <c r="EA2" s="414"/>
      <c r="EB2" s="414"/>
      <c r="EC2" s="414"/>
      <c r="ED2" s="414"/>
      <c r="EE2" s="414"/>
      <c r="EF2" s="414"/>
      <c r="EG2" s="414"/>
      <c r="EH2" s="414"/>
      <c r="EI2" s="414"/>
      <c r="EJ2" s="414"/>
      <c r="EK2" s="414"/>
      <c r="EL2" s="414"/>
      <c r="EM2" s="414"/>
      <c r="EN2" s="414"/>
      <c r="EO2" s="414"/>
      <c r="EP2" s="414"/>
      <c r="EQ2" s="414"/>
      <c r="ER2" s="414"/>
      <c r="ES2" s="414"/>
      <c r="ET2" s="414"/>
      <c r="EU2" s="414"/>
      <c r="EV2" s="414"/>
      <c r="EW2" s="414"/>
      <c r="EX2" s="414"/>
      <c r="EY2" s="414"/>
      <c r="EZ2" s="414"/>
      <c r="FA2" s="414"/>
      <c r="FB2" s="414"/>
      <c r="FC2" s="414"/>
    </row>
    <row r="3" spans="1:159" ht="45" customHeight="1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 s="414"/>
      <c r="AG3" s="414"/>
      <c r="AH3" s="414"/>
      <c r="AI3" s="414"/>
      <c r="AJ3" s="414"/>
      <c r="AK3" s="414"/>
      <c r="AL3" s="414"/>
      <c r="AM3" s="414"/>
      <c r="AN3" s="414"/>
      <c r="AO3" s="414"/>
      <c r="AP3" s="414"/>
      <c r="AQ3" s="414"/>
      <c r="AR3" s="414"/>
      <c r="AS3" s="414"/>
      <c r="AT3" s="414"/>
      <c r="AU3" s="414"/>
      <c r="AV3" s="414"/>
      <c r="AW3" s="414"/>
      <c r="AX3" s="414"/>
      <c r="AY3" s="414"/>
      <c r="AZ3" s="414"/>
      <c r="BA3" s="414"/>
      <c r="BB3" s="414"/>
      <c r="BC3" s="414"/>
      <c r="BD3" s="414"/>
      <c r="BE3" s="414"/>
      <c r="BF3" s="414"/>
      <c r="BG3" s="414"/>
      <c r="BH3" s="414"/>
      <c r="BI3" s="414"/>
      <c r="BJ3" s="414"/>
      <c r="BK3" s="414"/>
      <c r="BL3" s="414"/>
      <c r="BM3" s="414"/>
      <c r="BN3" s="414"/>
      <c r="BO3" s="414"/>
      <c r="BP3" s="414"/>
      <c r="BQ3" s="414"/>
      <c r="BR3" s="414"/>
      <c r="BS3" s="414"/>
      <c r="BT3" s="414"/>
      <c r="BU3" s="414"/>
      <c r="BV3" s="414"/>
      <c r="BW3" s="414"/>
      <c r="BX3" s="414"/>
      <c r="BY3" s="414"/>
      <c r="BZ3" s="414"/>
      <c r="CA3" s="414"/>
      <c r="CB3" s="414"/>
      <c r="CC3" s="414"/>
      <c r="CD3" s="414"/>
      <c r="CE3" s="414"/>
      <c r="CF3" s="414"/>
      <c r="CG3" s="414"/>
      <c r="CH3" s="414"/>
      <c r="CI3" s="414"/>
      <c r="CJ3" s="414"/>
      <c r="CK3" s="414"/>
      <c r="CL3" s="414"/>
      <c r="CM3" s="414"/>
      <c r="CN3" s="414"/>
      <c r="CO3" s="414"/>
      <c r="CP3" s="414"/>
      <c r="CQ3" s="414"/>
      <c r="CR3" s="414"/>
      <c r="CS3" s="414"/>
      <c r="CT3" s="414"/>
      <c r="CU3" s="414"/>
      <c r="CV3" s="414"/>
      <c r="CW3" s="414"/>
      <c r="CX3" s="414"/>
      <c r="CY3" s="414"/>
      <c r="CZ3" s="414"/>
      <c r="DA3" s="414"/>
      <c r="DB3" s="414"/>
      <c r="DC3" s="414"/>
      <c r="DD3" s="414"/>
      <c r="DE3" s="414"/>
      <c r="DF3" s="414"/>
      <c r="DG3" s="414"/>
      <c r="DH3" s="414"/>
      <c r="DI3" s="414"/>
      <c r="DJ3" s="414"/>
      <c r="DK3" s="414"/>
      <c r="DL3" s="414"/>
      <c r="DM3" s="414"/>
      <c r="DN3" s="414"/>
      <c r="DO3" s="414"/>
      <c r="DP3" s="414"/>
      <c r="DQ3" s="414"/>
      <c r="DR3" s="414"/>
      <c r="DS3" s="414"/>
      <c r="DT3" s="414"/>
      <c r="DU3" s="414"/>
      <c r="DV3" s="414"/>
      <c r="DW3" s="414"/>
      <c r="DX3" s="414"/>
      <c r="DY3" s="414"/>
      <c r="DZ3" s="414"/>
      <c r="EA3" s="414"/>
      <c r="EB3" s="414"/>
      <c r="EC3" s="414"/>
      <c r="ED3" s="414"/>
      <c r="EE3" s="414"/>
      <c r="EF3" s="414"/>
      <c r="EG3" s="414"/>
      <c r="EH3" s="414"/>
      <c r="EI3" s="414"/>
      <c r="EJ3" s="414"/>
      <c r="EK3" s="414"/>
      <c r="EL3" s="414"/>
      <c r="EM3" s="414"/>
      <c r="EN3" s="414"/>
      <c r="EO3" s="414"/>
      <c r="EP3" s="414"/>
      <c r="EQ3" s="414"/>
      <c r="ER3" s="414"/>
      <c r="ES3" s="414"/>
      <c r="ET3" s="414"/>
      <c r="EU3" s="414"/>
      <c r="EV3" s="414"/>
      <c r="EW3" s="414"/>
      <c r="EX3" s="414"/>
      <c r="EY3" s="414"/>
      <c r="EZ3" s="414"/>
      <c r="FA3" s="414"/>
      <c r="FB3" s="414"/>
      <c r="FC3" s="414"/>
    </row>
    <row r="4" spans="1:159" ht="16.5" customHeight="1">
      <c r="A4" s="414"/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414"/>
      <c r="AF4" s="414"/>
      <c r="AG4" s="414"/>
      <c r="AH4" s="414"/>
      <c r="AI4" s="414"/>
      <c r="AJ4" s="414"/>
      <c r="AK4" s="414"/>
      <c r="AL4" s="414"/>
      <c r="AM4" s="414"/>
      <c r="AN4" s="414"/>
      <c r="AO4" s="414"/>
      <c r="AP4" s="414"/>
      <c r="AQ4" s="414"/>
      <c r="AR4" s="414"/>
      <c r="AS4" s="414"/>
      <c r="AT4" s="414"/>
      <c r="AU4" s="414"/>
      <c r="AV4" s="414"/>
      <c r="AW4" s="414"/>
      <c r="AX4" s="414"/>
      <c r="AY4" s="414"/>
      <c r="AZ4" s="414"/>
      <c r="BA4" s="414"/>
      <c r="BB4" s="414"/>
      <c r="BC4" s="414"/>
      <c r="BD4" s="414"/>
      <c r="BE4" s="414"/>
      <c r="BF4" s="414"/>
      <c r="BG4" s="414"/>
      <c r="BH4" s="414"/>
      <c r="BI4" s="414"/>
      <c r="BJ4" s="414"/>
      <c r="BK4" s="414"/>
      <c r="BL4" s="414"/>
      <c r="BM4" s="414"/>
      <c r="BN4" s="414"/>
      <c r="BO4" s="414"/>
      <c r="BP4" s="414"/>
      <c r="BQ4" s="414"/>
      <c r="BR4" s="414"/>
      <c r="BS4" s="414"/>
      <c r="BT4" s="414"/>
      <c r="BU4" s="414"/>
      <c r="BV4" s="414"/>
      <c r="BW4" s="414"/>
      <c r="BX4" s="414"/>
      <c r="BY4" s="414"/>
      <c r="BZ4" s="414"/>
      <c r="CA4" s="414"/>
      <c r="CB4" s="414"/>
      <c r="CC4" s="414"/>
      <c r="CD4" s="414"/>
      <c r="CE4" s="414"/>
      <c r="CF4" s="414"/>
      <c r="CG4" s="414"/>
      <c r="CH4" s="414"/>
      <c r="CI4" s="414"/>
      <c r="CJ4" s="414"/>
      <c r="CK4" s="414"/>
      <c r="CL4" s="414"/>
      <c r="CM4" s="414"/>
      <c r="CN4" s="414"/>
      <c r="CO4" s="414"/>
      <c r="CP4" s="414"/>
      <c r="CQ4" s="414"/>
      <c r="CR4" s="414"/>
      <c r="CS4" s="414"/>
      <c r="CT4" s="414"/>
      <c r="CU4" s="414"/>
      <c r="CV4" s="414"/>
      <c r="CW4" s="414"/>
      <c r="CX4" s="414"/>
      <c r="CY4" s="414"/>
      <c r="CZ4" s="414"/>
      <c r="DA4" s="414"/>
      <c r="DB4" s="414"/>
      <c r="DC4" s="414"/>
      <c r="DD4" s="414"/>
      <c r="DE4" s="414"/>
      <c r="DF4" s="414"/>
      <c r="DG4" s="414"/>
      <c r="DH4" s="414"/>
      <c r="DI4" s="414"/>
      <c r="DJ4" s="414"/>
      <c r="DK4" s="414"/>
      <c r="DL4" s="414"/>
      <c r="DM4" s="414"/>
      <c r="DN4" s="414"/>
      <c r="DO4" s="414"/>
      <c r="DP4" s="414"/>
      <c r="DQ4" s="414"/>
      <c r="DR4" s="414"/>
      <c r="DS4" s="414"/>
      <c r="DT4" s="414"/>
      <c r="DU4" s="414"/>
      <c r="DV4" s="414"/>
      <c r="DW4" s="414"/>
      <c r="DX4" s="414"/>
      <c r="DY4" s="414"/>
      <c r="DZ4" s="414"/>
      <c r="EA4" s="414"/>
      <c r="EB4" s="414"/>
      <c r="EC4" s="414"/>
      <c r="ED4" s="414"/>
      <c r="EE4" s="414"/>
      <c r="EF4" s="414"/>
      <c r="EG4" s="414"/>
      <c r="EH4" s="414"/>
      <c r="EI4" s="414"/>
      <c r="EJ4" s="414"/>
      <c r="EK4" s="414"/>
      <c r="EL4" s="414"/>
      <c r="EM4" s="414"/>
      <c r="EN4" s="414"/>
      <c r="EO4" s="414"/>
      <c r="EP4" s="414"/>
      <c r="EQ4" s="414"/>
      <c r="ER4" s="414"/>
      <c r="ES4" s="414"/>
      <c r="ET4" s="414"/>
      <c r="EU4" s="414"/>
      <c r="EV4" s="414"/>
      <c r="EW4" s="414"/>
      <c r="EX4" s="414"/>
      <c r="EY4" s="414"/>
      <c r="EZ4" s="414"/>
      <c r="FA4" s="414"/>
      <c r="FB4" s="414"/>
      <c r="FC4" s="414"/>
    </row>
    <row r="5" spans="1:159" ht="10.5" customHeight="1" thickBot="1">
      <c r="A5" s="415"/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4"/>
      <c r="U5" s="415"/>
      <c r="V5" s="415"/>
      <c r="W5" s="415"/>
      <c r="X5" s="415"/>
      <c r="Y5" s="415"/>
      <c r="Z5" s="415"/>
      <c r="AA5" s="415"/>
      <c r="AB5" s="415"/>
      <c r="AC5" s="415"/>
      <c r="AD5" s="415"/>
      <c r="AE5" s="415"/>
      <c r="AF5" s="415"/>
      <c r="AG5" s="415"/>
      <c r="AH5" s="415"/>
      <c r="AI5" s="415"/>
      <c r="AJ5" s="415"/>
      <c r="AK5" s="415"/>
      <c r="AL5" s="415"/>
      <c r="AM5" s="415"/>
      <c r="AN5" s="415"/>
      <c r="AO5" s="415"/>
      <c r="AP5" s="415"/>
      <c r="AQ5" s="415"/>
      <c r="AR5" s="415"/>
      <c r="AS5" s="415"/>
      <c r="AT5" s="415"/>
      <c r="AU5" s="415"/>
      <c r="AV5" s="415"/>
      <c r="AW5" s="415"/>
      <c r="AX5" s="415"/>
      <c r="AY5" s="414"/>
      <c r="AZ5" s="415"/>
      <c r="BA5" s="415"/>
      <c r="BB5" s="415"/>
      <c r="BC5" s="415"/>
      <c r="BD5" s="415"/>
      <c r="BE5" s="415"/>
      <c r="BF5" s="415"/>
      <c r="BG5" s="415"/>
      <c r="BH5" s="415"/>
      <c r="BI5" s="415"/>
      <c r="BJ5" s="415"/>
      <c r="BK5" s="415"/>
      <c r="BL5" s="415"/>
      <c r="BM5" s="415"/>
      <c r="BN5" s="415"/>
      <c r="BO5" s="415"/>
      <c r="BP5" s="415"/>
      <c r="BQ5" s="415"/>
      <c r="BR5" s="415"/>
      <c r="BS5" s="415"/>
      <c r="BT5" s="415"/>
      <c r="BU5" s="414"/>
      <c r="BV5" s="415"/>
      <c r="BW5" s="415"/>
      <c r="BX5" s="415"/>
      <c r="BY5" s="415"/>
      <c r="BZ5" s="415"/>
      <c r="CA5" s="415"/>
      <c r="CB5" s="415"/>
      <c r="CC5" s="415"/>
      <c r="CD5" s="415"/>
      <c r="CE5" s="415"/>
      <c r="CF5" s="415"/>
      <c r="CG5" s="415"/>
      <c r="CH5" s="415"/>
      <c r="CI5" s="415"/>
      <c r="CJ5" s="415"/>
      <c r="CK5" s="415"/>
      <c r="CL5" s="415"/>
      <c r="CM5" s="415"/>
      <c r="CN5" s="415"/>
      <c r="CO5" s="415"/>
      <c r="CP5" s="415"/>
      <c r="CQ5" s="415"/>
      <c r="CR5" s="415"/>
      <c r="CS5" s="415"/>
      <c r="CT5" s="415"/>
      <c r="CU5" s="415"/>
      <c r="CV5" s="415"/>
      <c r="CW5" s="415"/>
      <c r="CX5" s="415"/>
      <c r="CY5" s="415"/>
      <c r="CZ5" s="415"/>
      <c r="DA5" s="415"/>
      <c r="DB5" s="415"/>
      <c r="DC5" s="415"/>
      <c r="DD5" s="415"/>
      <c r="DE5" s="415"/>
      <c r="DF5" s="415"/>
      <c r="DG5" s="415"/>
      <c r="DH5" s="415"/>
      <c r="DI5" s="415"/>
      <c r="DJ5" s="415"/>
      <c r="DK5" s="415"/>
      <c r="DL5" s="415"/>
      <c r="DM5" s="415"/>
      <c r="DN5" s="415"/>
      <c r="DO5" s="415"/>
      <c r="DP5" s="415"/>
      <c r="DQ5" s="415"/>
      <c r="DR5" s="415"/>
      <c r="DS5" s="414"/>
      <c r="DT5" s="415"/>
      <c r="DU5" s="415"/>
      <c r="DV5" s="415"/>
      <c r="DW5" s="415"/>
      <c r="DX5" s="415"/>
      <c r="DY5" s="415"/>
      <c r="DZ5" s="415"/>
      <c r="EA5" s="415"/>
      <c r="EB5" s="415"/>
      <c r="EC5" s="415"/>
      <c r="ED5" s="415"/>
      <c r="EE5" s="415"/>
      <c r="EF5" s="414"/>
      <c r="EG5" s="415"/>
      <c r="EH5" s="415"/>
      <c r="EI5" s="415"/>
      <c r="EJ5" s="415"/>
      <c r="EK5" s="415"/>
      <c r="EL5" s="415"/>
      <c r="EM5" s="415"/>
      <c r="EN5" s="415"/>
      <c r="EO5" s="415"/>
      <c r="EP5" s="415"/>
      <c r="EQ5" s="415"/>
      <c r="ER5" s="415"/>
      <c r="ES5" s="414"/>
      <c r="ET5" s="415"/>
      <c r="EU5" s="415"/>
      <c r="EV5" s="415"/>
      <c r="EW5" s="415"/>
      <c r="EX5" s="415"/>
      <c r="EY5" s="415"/>
      <c r="EZ5" s="415"/>
      <c r="FA5" s="415"/>
      <c r="FB5" s="415"/>
      <c r="FC5" s="415"/>
    </row>
    <row r="6" spans="1:159" ht="24.75" customHeight="1" thickBot="1">
      <c r="A6" s="416" t="s">
        <v>74</v>
      </c>
      <c r="B6" s="417"/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  <c r="R6" s="417"/>
      <c r="S6" s="418"/>
      <c r="T6" s="445"/>
      <c r="U6" s="419" t="s">
        <v>75</v>
      </c>
      <c r="V6" s="420"/>
      <c r="W6" s="420"/>
      <c r="X6" s="420"/>
      <c r="Y6" s="420"/>
      <c r="Z6" s="420"/>
      <c r="AA6" s="420"/>
      <c r="AB6" s="420"/>
      <c r="AC6" s="420"/>
      <c r="AD6" s="420"/>
      <c r="AE6" s="420"/>
      <c r="AF6" s="420"/>
      <c r="AG6" s="420"/>
      <c r="AH6" s="420"/>
      <c r="AI6" s="420"/>
      <c r="AJ6" s="420"/>
      <c r="AK6" s="420"/>
      <c r="AL6" s="420"/>
      <c r="AM6" s="420"/>
      <c r="AN6" s="420"/>
      <c r="AO6" s="420"/>
      <c r="AP6" s="420"/>
      <c r="AQ6" s="420"/>
      <c r="AR6" s="420"/>
      <c r="AS6" s="420"/>
      <c r="AT6" s="420"/>
      <c r="AU6" s="420"/>
      <c r="AV6" s="420"/>
      <c r="AW6" s="420"/>
      <c r="AX6" s="421"/>
      <c r="AY6" s="462"/>
      <c r="AZ6" s="419" t="s">
        <v>76</v>
      </c>
      <c r="BA6" s="420"/>
      <c r="BB6" s="420"/>
      <c r="BC6" s="420"/>
      <c r="BD6" s="420"/>
      <c r="BE6" s="420"/>
      <c r="BF6" s="420"/>
      <c r="BG6" s="420"/>
      <c r="BH6" s="420"/>
      <c r="BI6" s="420"/>
      <c r="BJ6" s="420"/>
      <c r="BK6" s="420"/>
      <c r="BL6" s="420"/>
      <c r="BM6" s="420"/>
      <c r="BN6" s="420"/>
      <c r="BO6" s="420"/>
      <c r="BP6" s="420"/>
      <c r="BQ6" s="420"/>
      <c r="BR6" s="420"/>
      <c r="BS6" s="420"/>
      <c r="BT6" s="421"/>
      <c r="BU6" s="558"/>
      <c r="BV6" s="422" t="s">
        <v>77</v>
      </c>
      <c r="BW6" s="423"/>
      <c r="BX6" s="423"/>
      <c r="BY6" s="423"/>
      <c r="BZ6" s="423"/>
      <c r="CA6" s="423"/>
      <c r="CB6" s="423"/>
      <c r="CC6" s="423"/>
      <c r="CD6" s="423"/>
      <c r="CE6" s="423"/>
      <c r="CF6" s="423"/>
      <c r="CG6" s="423"/>
      <c r="CH6" s="423"/>
      <c r="CI6" s="423"/>
      <c r="CJ6" s="423"/>
      <c r="CK6" s="423"/>
      <c r="CL6" s="423"/>
      <c r="CM6" s="423"/>
      <c r="CN6" s="423"/>
      <c r="CO6" s="423"/>
      <c r="CP6" s="423"/>
      <c r="CQ6" s="423"/>
      <c r="CR6" s="423"/>
      <c r="CS6" s="423"/>
      <c r="CT6" s="423"/>
      <c r="CU6" s="424"/>
      <c r="CV6" s="486"/>
      <c r="CW6" s="435" t="s">
        <v>78</v>
      </c>
      <c r="CX6" s="435"/>
      <c r="CY6" s="435"/>
      <c r="CZ6" s="435"/>
      <c r="DA6" s="435"/>
      <c r="DB6" s="435"/>
      <c r="DC6" s="435"/>
      <c r="DD6" s="435"/>
      <c r="DE6" s="435"/>
      <c r="DF6" s="435"/>
      <c r="DG6" s="435"/>
      <c r="DH6" s="435"/>
      <c r="DI6" s="435"/>
      <c r="DJ6" s="435"/>
      <c r="DK6" s="435"/>
      <c r="DL6" s="435"/>
      <c r="DM6" s="435"/>
      <c r="DN6" s="435"/>
      <c r="DO6" s="435"/>
      <c r="DP6" s="435"/>
      <c r="DQ6" s="435"/>
      <c r="DR6" s="436"/>
      <c r="DS6" s="502"/>
      <c r="DT6" s="510" t="s">
        <v>79</v>
      </c>
      <c r="DU6" s="511"/>
      <c r="DV6" s="511"/>
      <c r="DW6" s="511"/>
      <c r="DX6" s="511"/>
      <c r="DY6" s="511"/>
      <c r="DZ6" s="511"/>
      <c r="EA6" s="511"/>
      <c r="EB6" s="511"/>
      <c r="EC6" s="511"/>
      <c r="ED6" s="511"/>
      <c r="EE6" s="512"/>
      <c r="EF6" s="549"/>
      <c r="EG6" s="510" t="s">
        <v>80</v>
      </c>
      <c r="EH6" s="511"/>
      <c r="EI6" s="511"/>
      <c r="EJ6" s="511"/>
      <c r="EK6" s="511"/>
      <c r="EL6" s="511"/>
      <c r="EM6" s="511"/>
      <c r="EN6" s="511"/>
      <c r="EO6" s="511"/>
      <c r="EP6" s="511"/>
      <c r="EQ6" s="511"/>
      <c r="ER6" s="512"/>
      <c r="ES6" s="525"/>
      <c r="ET6" s="522" t="s">
        <v>81</v>
      </c>
      <c r="EU6" s="523"/>
      <c r="EV6" s="523"/>
      <c r="EW6" s="523"/>
      <c r="EX6" s="523"/>
      <c r="EY6" s="523"/>
      <c r="EZ6" s="523"/>
      <c r="FA6" s="523"/>
      <c r="FB6" s="523"/>
      <c r="FC6" s="524"/>
    </row>
    <row r="7" spans="1:159" ht="45" customHeight="1" thickBot="1">
      <c r="A7" s="425" t="s">
        <v>82</v>
      </c>
      <c r="B7" s="427" t="s">
        <v>83</v>
      </c>
      <c r="C7" s="429" t="s">
        <v>84</v>
      </c>
      <c r="D7" s="430"/>
      <c r="E7" s="431"/>
      <c r="F7" s="432" t="s">
        <v>85</v>
      </c>
      <c r="G7" s="433"/>
      <c r="H7" s="434"/>
      <c r="I7" s="437" t="s">
        <v>86</v>
      </c>
      <c r="J7" s="437"/>
      <c r="K7" s="438" t="s">
        <v>87</v>
      </c>
      <c r="L7" s="439"/>
      <c r="M7" s="440" t="s">
        <v>88</v>
      </c>
      <c r="N7" s="434"/>
      <c r="O7" s="440" t="s">
        <v>89</v>
      </c>
      <c r="P7" s="433"/>
      <c r="Q7" s="434"/>
      <c r="R7" s="438" t="s">
        <v>90</v>
      </c>
      <c r="S7" s="441"/>
      <c r="T7" s="445"/>
      <c r="U7" s="442" t="s">
        <v>91</v>
      </c>
      <c r="V7" s="443"/>
      <c r="W7" s="444"/>
      <c r="X7" s="452" t="s">
        <v>92</v>
      </c>
      <c r="Y7" s="443"/>
      <c r="Z7" s="444"/>
      <c r="AA7" s="452" t="s">
        <v>93</v>
      </c>
      <c r="AB7" s="443"/>
      <c r="AC7" s="444"/>
      <c r="AD7" s="452" t="s">
        <v>94</v>
      </c>
      <c r="AE7" s="443"/>
      <c r="AF7" s="444"/>
      <c r="AG7" s="452" t="s">
        <v>95</v>
      </c>
      <c r="AH7" s="443"/>
      <c r="AI7" s="444"/>
      <c r="AJ7" s="453" t="s">
        <v>96</v>
      </c>
      <c r="AK7" s="454"/>
      <c r="AL7" s="455"/>
      <c r="AM7" s="453" t="s">
        <v>97</v>
      </c>
      <c r="AN7" s="454"/>
      <c r="AO7" s="455"/>
      <c r="AP7" s="452" t="s">
        <v>98</v>
      </c>
      <c r="AQ7" s="443"/>
      <c r="AR7" s="444"/>
      <c r="AS7" s="453" t="s">
        <v>99</v>
      </c>
      <c r="AT7" s="454"/>
      <c r="AU7" s="455"/>
      <c r="AV7" s="456" t="s">
        <v>100</v>
      </c>
      <c r="AW7" s="457"/>
      <c r="AX7" s="458"/>
      <c r="AY7" s="462"/>
      <c r="AZ7" s="459" t="s">
        <v>101</v>
      </c>
      <c r="BA7" s="457"/>
      <c r="BB7" s="460"/>
      <c r="BC7" s="461" t="s">
        <v>102</v>
      </c>
      <c r="BD7" s="461"/>
      <c r="BE7" s="461"/>
      <c r="BF7" s="461" t="s">
        <v>103</v>
      </c>
      <c r="BG7" s="461"/>
      <c r="BH7" s="461"/>
      <c r="BI7" s="474" t="s">
        <v>104</v>
      </c>
      <c r="BJ7" s="474"/>
      <c r="BK7" s="474" t="s">
        <v>105</v>
      </c>
      <c r="BL7" s="474"/>
      <c r="BM7" s="474" t="s">
        <v>106</v>
      </c>
      <c r="BN7" s="474"/>
      <c r="BO7" s="474" t="s">
        <v>107</v>
      </c>
      <c r="BP7" s="474"/>
      <c r="BQ7" s="475" t="s">
        <v>108</v>
      </c>
      <c r="BR7" s="476"/>
      <c r="BS7" s="477" t="s">
        <v>109</v>
      </c>
      <c r="BT7" s="478"/>
      <c r="BU7" s="559"/>
      <c r="BV7" s="561" t="s">
        <v>110</v>
      </c>
      <c r="BW7" s="480"/>
      <c r="BX7" s="481"/>
      <c r="BY7" s="562" t="s">
        <v>111</v>
      </c>
      <c r="BZ7" s="562"/>
      <c r="CA7" s="472" t="s">
        <v>112</v>
      </c>
      <c r="CB7" s="473"/>
      <c r="CC7" s="472" t="s">
        <v>113</v>
      </c>
      <c r="CD7" s="473"/>
      <c r="CE7" s="472" t="s">
        <v>114</v>
      </c>
      <c r="CF7" s="473"/>
      <c r="CG7" s="472" t="s">
        <v>115</v>
      </c>
      <c r="CH7" s="473"/>
      <c r="CI7" s="472" t="s">
        <v>116</v>
      </c>
      <c r="CJ7" s="473"/>
      <c r="CK7" s="479" t="s">
        <v>117</v>
      </c>
      <c r="CL7" s="480"/>
      <c r="CM7" s="481"/>
      <c r="CN7" s="479" t="s">
        <v>118</v>
      </c>
      <c r="CO7" s="480"/>
      <c r="CP7" s="481"/>
      <c r="CQ7" s="479" t="s">
        <v>119</v>
      </c>
      <c r="CR7" s="480"/>
      <c r="CS7" s="481"/>
      <c r="CT7" s="482" t="s">
        <v>120</v>
      </c>
      <c r="CU7" s="483"/>
      <c r="CV7" s="487"/>
      <c r="CW7" s="484" t="s">
        <v>121</v>
      </c>
      <c r="CX7" s="485"/>
      <c r="CY7" s="485"/>
      <c r="CZ7" s="485"/>
      <c r="DA7" s="491" t="s">
        <v>122</v>
      </c>
      <c r="DB7" s="430"/>
      <c r="DC7" s="430"/>
      <c r="DD7" s="492"/>
      <c r="DE7" s="491" t="s">
        <v>123</v>
      </c>
      <c r="DF7" s="430"/>
      <c r="DG7" s="430"/>
      <c r="DH7" s="430"/>
      <c r="DI7" s="484" t="s">
        <v>124</v>
      </c>
      <c r="DJ7" s="491"/>
      <c r="DK7" s="491"/>
      <c r="DL7" s="493"/>
      <c r="DM7" s="429" t="s">
        <v>125</v>
      </c>
      <c r="DN7" s="430"/>
      <c r="DO7" s="430"/>
      <c r="DP7" s="431"/>
      <c r="DQ7" s="429" t="s">
        <v>126</v>
      </c>
      <c r="DR7" s="431"/>
      <c r="DS7" s="503"/>
      <c r="DT7" s="500" t="s">
        <v>127</v>
      </c>
      <c r="DU7" s="501"/>
      <c r="DV7" s="508" t="s">
        <v>128</v>
      </c>
      <c r="DW7" s="501"/>
      <c r="DX7" s="509" t="s">
        <v>129</v>
      </c>
      <c r="DY7" s="508"/>
      <c r="DZ7" s="508" t="s">
        <v>130</v>
      </c>
      <c r="EA7" s="501"/>
      <c r="EB7" s="508" t="s">
        <v>131</v>
      </c>
      <c r="EC7" s="501"/>
      <c r="ED7" s="508" t="s">
        <v>132</v>
      </c>
      <c r="EE7" s="513"/>
      <c r="EF7" s="550"/>
      <c r="EG7" s="520" t="s">
        <v>133</v>
      </c>
      <c r="EH7" s="509"/>
      <c r="EI7" s="509" t="s">
        <v>134</v>
      </c>
      <c r="EJ7" s="509"/>
      <c r="EK7" s="509" t="s">
        <v>135</v>
      </c>
      <c r="EL7" s="509"/>
      <c r="EM7" s="509" t="s">
        <v>136</v>
      </c>
      <c r="EN7" s="509"/>
      <c r="EO7" s="509" t="s">
        <v>137</v>
      </c>
      <c r="EP7" s="509"/>
      <c r="EQ7" s="509" t="s">
        <v>138</v>
      </c>
      <c r="ER7" s="521"/>
      <c r="ES7" s="525"/>
      <c r="ET7" s="484" t="s">
        <v>139</v>
      </c>
      <c r="EU7" s="485"/>
      <c r="EV7" s="485" t="s">
        <v>140</v>
      </c>
      <c r="EW7" s="485"/>
      <c r="EX7" s="485" t="s">
        <v>141</v>
      </c>
      <c r="EY7" s="485"/>
      <c r="EZ7" s="485" t="s">
        <v>142</v>
      </c>
      <c r="FA7" s="485"/>
      <c r="FB7" s="485" t="s">
        <v>143</v>
      </c>
      <c r="FC7" s="493"/>
    </row>
    <row r="8" spans="1:159" s="4" customFormat="1" ht="44.25" customHeight="1" thickBot="1">
      <c r="A8" s="426"/>
      <c r="B8" s="428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45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462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559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87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503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550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462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>
      <c r="A9" s="187">
        <v>44926</v>
      </c>
      <c r="B9" s="266">
        <f>'[2]January - 2023'!$B$9</f>
        <v>0.92</v>
      </c>
      <c r="C9" s="241">
        <f>'[2]January - 2023'!E9</f>
        <v>225226</v>
      </c>
      <c r="D9" s="536">
        <f>C10-C9</f>
        <v>686</v>
      </c>
      <c r="E9" s="450">
        <f>'[2]January - 2023'!G9</f>
        <v>627</v>
      </c>
      <c r="F9" s="150">
        <f>'[2]January - 2023'!H9</f>
        <v>251689</v>
      </c>
      <c r="G9" s="448">
        <f>F10-F9</f>
        <v>550</v>
      </c>
      <c r="H9" s="450">
        <f>'[2]January - 2023'!J9</f>
        <v>493.56999999999243</v>
      </c>
      <c r="I9" s="242">
        <f>'[2]January - 2023'!K9</f>
        <v>10233</v>
      </c>
      <c r="J9" s="448">
        <f>I10-I9</f>
        <v>157</v>
      </c>
      <c r="K9" s="242">
        <f>'[2]January - 2023'!N9</f>
        <v>924513</v>
      </c>
      <c r="L9" s="447">
        <f>K10-K9</f>
        <v>319</v>
      </c>
      <c r="M9" s="242">
        <f>'[2]January - 2023'!Q9</f>
        <v>245382</v>
      </c>
      <c r="N9" s="447">
        <f>M10-M9</f>
        <v>0</v>
      </c>
      <c r="O9" s="242">
        <f>'[2]January - 2023'!U9</f>
        <v>118193</v>
      </c>
      <c r="P9" s="448">
        <f>O10-O9</f>
        <v>86</v>
      </c>
      <c r="Q9" s="450">
        <f>'[2]January - 2023'!W9</f>
        <v>73.419999999998254</v>
      </c>
      <c r="R9" s="242">
        <f>'[2]January - 2023'!X9</f>
        <v>6524</v>
      </c>
      <c r="S9" s="538">
        <f>R10-R9</f>
        <v>15</v>
      </c>
      <c r="T9" s="446"/>
      <c r="U9" s="247">
        <f>'[2]January - 2023'!AE9</f>
        <v>8204545.4400000004</v>
      </c>
      <c r="V9" s="540">
        <f>U10-U9</f>
        <v>3312.9599999990314</v>
      </c>
      <c r="W9" s="466">
        <f>'[2]January - 2023'!AF9</f>
        <v>3312.9599999990314</v>
      </c>
      <c r="X9" s="233">
        <f>'[2]January - 2023'!AH9</f>
        <v>15578561.039999999</v>
      </c>
      <c r="Y9" s="448">
        <f>X10-X9</f>
        <v>4579.679999999702</v>
      </c>
      <c r="Z9" s="466">
        <f>'[2]January - 2023'!AI9</f>
        <v>4579.679999999702</v>
      </c>
      <c r="AA9" s="233">
        <f>'[2]January - 2023'!AK9</f>
        <v>15837020.640000001</v>
      </c>
      <c r="AB9" s="448">
        <f>AA10-AA9</f>
        <v>8720.8799999989569</v>
      </c>
      <c r="AC9" s="466">
        <f>'[2]January - 2023'!AL9</f>
        <v>8720.8799999989569</v>
      </c>
      <c r="AD9" s="233">
        <f>'[2]January - 2023'!AN9</f>
        <v>18967085.760000002</v>
      </c>
      <c r="AE9" s="448">
        <f>AD10-AD9</f>
        <v>97.439999997615814</v>
      </c>
      <c r="AF9" s="466">
        <f>'[2]January - 2023'!AO9</f>
        <v>97.439999997615814</v>
      </c>
      <c r="AG9" s="233">
        <f>'[2]January - 2023'!AQ9</f>
        <v>19227689.039999999</v>
      </c>
      <c r="AH9" s="448">
        <f>AG10-AG9</f>
        <v>146.16000000014901</v>
      </c>
      <c r="AI9" s="466">
        <f>'[2]January - 2023'!AR9</f>
        <v>146.16000000014901</v>
      </c>
      <c r="AJ9" s="233">
        <f>'[2]January - 2023'!AT9</f>
        <v>17693496.239999998</v>
      </c>
      <c r="AK9" s="448">
        <f>AJ10-AJ9</f>
        <v>5602.8000000007451</v>
      </c>
      <c r="AL9" s="466">
        <f>'[2]January - 2023'!AU9</f>
        <v>5602.8000000007451</v>
      </c>
      <c r="AM9" s="233">
        <f>'[2]January - 2023'!AW9</f>
        <v>14884008.719999999</v>
      </c>
      <c r="AN9" s="448">
        <f>AM10-AM9</f>
        <v>3946.320000000298</v>
      </c>
      <c r="AO9" s="466">
        <f>'[2]January - 2023'!AX9</f>
        <v>3946.320000000298</v>
      </c>
      <c r="AP9" s="233">
        <f>'[2]January - 2023'!AZ9</f>
        <v>14414542.799999999</v>
      </c>
      <c r="AQ9" s="448">
        <f>AP10-AP9</f>
        <v>4579.6800000015646</v>
      </c>
      <c r="AR9" s="466">
        <f>'[2]January - 2023'!BA9</f>
        <v>4579.6800000015646</v>
      </c>
      <c r="AS9" s="233">
        <f>'[2]January - 2023'!BC9</f>
        <v>11250130.08</v>
      </c>
      <c r="AT9" s="448">
        <f>AS10-AS9</f>
        <v>2728.320000000298</v>
      </c>
      <c r="AU9" s="466">
        <f>'[2]January - 2023'!BD9</f>
        <v>2728.320000000298</v>
      </c>
      <c r="AV9" s="233">
        <f>'[2]January - 2023'!BF9</f>
        <v>17832591.84</v>
      </c>
      <c r="AW9" s="448">
        <f>AV10-AV9</f>
        <v>6041.2799999974668</v>
      </c>
      <c r="AX9" s="468">
        <f>'[2]January - 2023'!BG9</f>
        <v>6041.2799999974668</v>
      </c>
      <c r="AY9" s="463"/>
      <c r="AZ9" s="250">
        <f>'[2]January - 2023'!BM9</f>
        <v>78229800</v>
      </c>
      <c r="BA9" s="470">
        <f>AZ10-AZ9</f>
        <v>45400</v>
      </c>
      <c r="BB9" s="464">
        <f>'[2]January - 2023'!BN9</f>
        <v>45400</v>
      </c>
      <c r="BC9" s="250">
        <f>'[2]January - 2023'!BP9</f>
        <v>81187800</v>
      </c>
      <c r="BD9" s="470">
        <f>BC10-BC9</f>
        <v>0</v>
      </c>
      <c r="BE9" s="464">
        <f>'[2]January - 2023'!BQ9</f>
        <v>0</v>
      </c>
      <c r="BF9" s="250">
        <f>'[2]January - 2023'!BS9</f>
        <v>75092800</v>
      </c>
      <c r="BG9" s="470">
        <f>BF10-BF9</f>
        <v>0</v>
      </c>
      <c r="BH9" s="464">
        <f>'[2]January - 2023'!BT9</f>
        <v>0</v>
      </c>
      <c r="BI9" s="26"/>
      <c r="BJ9" s="447"/>
      <c r="BK9" s="26"/>
      <c r="BL9" s="26"/>
      <c r="BM9" s="26"/>
      <c r="BN9" s="26"/>
      <c r="BO9" s="26"/>
      <c r="BP9" s="26"/>
      <c r="BQ9" s="26"/>
      <c r="BR9" s="26"/>
      <c r="BS9" s="251">
        <f>'[2]January - 2023'!BV9</f>
        <v>10384850</v>
      </c>
      <c r="BT9" s="543">
        <f>BS10-BS9</f>
        <v>7250</v>
      </c>
      <c r="BU9" s="559"/>
      <c r="BV9" s="84">
        <f>'[2]January - 2023'!BY9</f>
        <v>0.6</v>
      </c>
      <c r="BW9" s="554">
        <f>BV10-BV9</f>
        <v>3.0000000000000027E-2</v>
      </c>
      <c r="BX9" s="556">
        <f>'[2]January - 2023'!$BZ$9:$BZ$10</f>
        <v>-3.0000000000000027E-2</v>
      </c>
      <c r="BY9" s="85">
        <f>'[2]January - 2023'!CB9</f>
        <v>64774</v>
      </c>
      <c r="BZ9" s="542">
        <f>BY10-BY9</f>
        <v>26</v>
      </c>
      <c r="CA9" s="85">
        <f>'[2]January - 2023'!CD9</f>
        <v>55850</v>
      </c>
      <c r="CB9" s="542">
        <f>CA10-CA9</f>
        <v>22</v>
      </c>
      <c r="CC9" s="85">
        <f>'[2]January - 2023'!CF9</f>
        <v>18895</v>
      </c>
      <c r="CD9" s="542">
        <f>CC10-CC9</f>
        <v>7</v>
      </c>
      <c r="CE9" s="85">
        <f>'[2]January - 2023'!CH9</f>
        <v>25836</v>
      </c>
      <c r="CF9" s="542">
        <f>CE10-CE9</f>
        <v>10</v>
      </c>
      <c r="CG9" s="85">
        <f>'[2]January - 2023'!CJ9</f>
        <v>28807</v>
      </c>
      <c r="CH9" s="542">
        <f>CG10-CG9</f>
        <v>11</v>
      </c>
      <c r="CI9" s="85">
        <f>'[2]January - 2023'!CL9</f>
        <v>63265</v>
      </c>
      <c r="CJ9" s="542">
        <f>CI10-CI9</f>
        <v>39</v>
      </c>
      <c r="CK9" s="85">
        <f>'[2]January - 2023'!CN9</f>
        <v>269697</v>
      </c>
      <c r="CL9" s="542">
        <f>CK10-CK9</f>
        <v>74</v>
      </c>
      <c r="CM9" s="494">
        <f>'[2]January - 2023'!CO9</f>
        <v>74</v>
      </c>
      <c r="CN9" s="85">
        <f>'[2]January - 2023'!CQ9</f>
        <v>217553</v>
      </c>
      <c r="CO9" s="542">
        <f>CN10-CN9</f>
        <v>130</v>
      </c>
      <c r="CP9" s="494">
        <f>'[2]January - 2023'!CR9</f>
        <v>130</v>
      </c>
      <c r="CQ9" s="85">
        <f>'[2]January - 2023'!CT9</f>
        <v>360873</v>
      </c>
      <c r="CR9" s="542">
        <f>CQ10-CQ9</f>
        <v>267</v>
      </c>
      <c r="CS9" s="494">
        <f>'[2]January - 2023'!CU9</f>
        <v>267</v>
      </c>
      <c r="CT9" s="85">
        <f>'[2]January - 2023'!CW9</f>
        <v>698665</v>
      </c>
      <c r="CU9" s="496">
        <f>CT10-CT9</f>
        <v>178</v>
      </c>
      <c r="CV9" s="487"/>
      <c r="CW9" s="267">
        <f>'[2]January - 2023'!CZ9</f>
        <v>9063</v>
      </c>
      <c r="CX9" s="498">
        <f>CW10-CW9</f>
        <v>10</v>
      </c>
      <c r="CY9" s="268">
        <f>'[2]January - 2023'!DB9</f>
        <v>6152</v>
      </c>
      <c r="CZ9" s="498">
        <f>CY10-CY9</f>
        <v>7</v>
      </c>
      <c r="DA9" s="268">
        <f>'[2]January - 2023'!DD9</f>
        <v>32506</v>
      </c>
      <c r="DB9" s="498">
        <f>DA10-DA9</f>
        <v>20</v>
      </c>
      <c r="DC9" s="268">
        <f>'[2]January - 2023'!DF9</f>
        <v>32683</v>
      </c>
      <c r="DD9" s="498">
        <f>DC10-DC9</f>
        <v>16</v>
      </c>
      <c r="DE9" s="268">
        <f>'[2]January - 2023'!DH9</f>
        <v>22093</v>
      </c>
      <c r="DF9" s="498">
        <f>DE10-DE9</f>
        <v>14</v>
      </c>
      <c r="DG9" s="268">
        <f>'[2]January - 2023'!DJ9</f>
        <v>24185</v>
      </c>
      <c r="DH9" s="498">
        <f>DG10-DG9</f>
        <v>8</v>
      </c>
      <c r="DI9" s="268">
        <f>'[2]January - 2023'!DL9</f>
        <v>7343</v>
      </c>
      <c r="DJ9" s="498">
        <f>DI10-DI9</f>
        <v>15</v>
      </c>
      <c r="DK9" s="268">
        <f>'[2]January - 2023'!DN9</f>
        <v>9948</v>
      </c>
      <c r="DL9" s="498">
        <f>DK10-DK9</f>
        <v>11</v>
      </c>
      <c r="DM9" s="268">
        <f>'[2]January - 2023'!DP9</f>
        <v>3360</v>
      </c>
      <c r="DN9" s="498">
        <f>DM10-DM9</f>
        <v>6</v>
      </c>
      <c r="DO9" s="268">
        <f>'[2]January - 2023'!DR9</f>
        <v>6638</v>
      </c>
      <c r="DP9" s="498">
        <f>DO10-DO9</f>
        <v>12</v>
      </c>
      <c r="DQ9" s="268">
        <f>'[2]January - 2023'!DT9</f>
        <v>30380</v>
      </c>
      <c r="DR9" s="552">
        <f>DQ10-DQ9</f>
        <v>7</v>
      </c>
      <c r="DS9" s="503"/>
      <c r="DT9" s="190">
        <f>'[2]January - 2023'!DW9</f>
        <v>6580.2</v>
      </c>
      <c r="DU9" s="516">
        <f>DT10-DT9</f>
        <v>10.800000000000182</v>
      </c>
      <c r="DV9" s="87">
        <f>'[2]January - 2023'!DY9</f>
        <v>11466.6</v>
      </c>
      <c r="DW9" s="514">
        <f>DV10-DV9</f>
        <v>8.1000000000003638</v>
      </c>
      <c r="DX9" s="87">
        <f>'[2]January - 2023'!EA9</f>
        <v>4951.1000000000004</v>
      </c>
      <c r="DY9" s="516">
        <f>DX10-DX9</f>
        <v>6.8999999999996362</v>
      </c>
      <c r="DZ9" s="87">
        <f>'[2]January - 2023'!EC9</f>
        <v>5530.6</v>
      </c>
      <c r="EA9" s="516">
        <f>DZ10-DZ9</f>
        <v>7.7999999999992724</v>
      </c>
      <c r="EB9" s="87">
        <f>'[2]January - 2023'!EE9</f>
        <v>1139808</v>
      </c>
      <c r="EC9" s="516">
        <f>EB10-EB9</f>
        <v>585</v>
      </c>
      <c r="ED9" s="87">
        <f>'[2]January - 2023'!EI9</f>
        <v>234781.9</v>
      </c>
      <c r="EE9" s="518">
        <f>ED10-ED9</f>
        <v>132.89999999999418</v>
      </c>
      <c r="EF9" s="550"/>
      <c r="EG9" s="214">
        <f>'[2]January - 2023'!EL9</f>
        <v>12217800</v>
      </c>
      <c r="EH9" s="527">
        <f>EG10-EG9</f>
        <v>3100</v>
      </c>
      <c r="EI9" s="86">
        <f>'[2]January - 2023'!EN9</f>
        <v>939210</v>
      </c>
      <c r="EJ9" s="527">
        <f>EI10-EI9</f>
        <v>210</v>
      </c>
      <c r="EK9" s="86">
        <f>'[2]January - 2023'!EP9</f>
        <v>7261800</v>
      </c>
      <c r="EL9" s="527">
        <f>EK10-EK9</f>
        <v>1500</v>
      </c>
      <c r="EM9" s="86">
        <f>'[2]January - 2023'!ER9</f>
        <v>2504400</v>
      </c>
      <c r="EN9" s="527">
        <f>EM10-EM9</f>
        <v>200</v>
      </c>
      <c r="EO9" s="86">
        <f>'[2]January - 2023'!ET9</f>
        <v>1291970</v>
      </c>
      <c r="EP9" s="527">
        <f>EO10-EO9</f>
        <v>470</v>
      </c>
      <c r="EQ9" s="86">
        <f>'[2]January - 2023'!EV9</f>
        <v>16681600</v>
      </c>
      <c r="ER9" s="534">
        <f>EQ10-EQ9</f>
        <v>2900</v>
      </c>
      <c r="ES9" s="525"/>
      <c r="ET9" s="256">
        <f>'[2]January - 2023'!EY9</f>
        <v>42480</v>
      </c>
      <c r="EU9" s="499">
        <f>ET10-ET9</f>
        <v>16</v>
      </c>
      <c r="EV9" s="257">
        <f>'[2]January - 2023'!FA9</f>
        <v>37086</v>
      </c>
      <c r="EW9" s="499">
        <f>EV10-EV9</f>
        <v>18</v>
      </c>
      <c r="EX9" s="257">
        <f>'[2]January - 2023'!FC9</f>
        <v>7748</v>
      </c>
      <c r="EY9" s="499">
        <v>0</v>
      </c>
      <c r="EZ9" s="257">
        <f>'[2]January - 2023'!FE9</f>
        <v>59602</v>
      </c>
      <c r="FA9" s="499">
        <f>EZ10-EZ9</f>
        <v>17</v>
      </c>
      <c r="FB9" s="257">
        <f>'[2]January - 2023'!FG9</f>
        <v>50302</v>
      </c>
      <c r="FC9" s="530">
        <f>FB10-FB9</f>
        <v>35</v>
      </c>
    </row>
    <row r="10" spans="1:159" ht="30" customHeight="1">
      <c r="A10" s="187">
        <v>44927</v>
      </c>
      <c r="B10" s="189">
        <f>'[2]January - 2023'!B10</f>
        <v>0.92</v>
      </c>
      <c r="C10" s="229">
        <f>'[2]January - 2023'!E10</f>
        <v>225912</v>
      </c>
      <c r="D10" s="537"/>
      <c r="E10" s="451"/>
      <c r="F10" s="150">
        <f>'[2]January - 2023'!H10</f>
        <v>252239</v>
      </c>
      <c r="G10" s="449"/>
      <c r="H10" s="451"/>
      <c r="I10" s="150">
        <f>'[2]January - 2023'!K10</f>
        <v>10390</v>
      </c>
      <c r="J10" s="449"/>
      <c r="K10" s="150">
        <f>'[2]January - 2023'!N10</f>
        <v>924832</v>
      </c>
      <c r="L10" s="448"/>
      <c r="M10" s="150">
        <f>'[2]January - 2023'!Q10</f>
        <v>245382</v>
      </c>
      <c r="N10" s="448"/>
      <c r="O10" s="150">
        <f>'[2]January - 2023'!U10</f>
        <v>118279</v>
      </c>
      <c r="P10" s="449"/>
      <c r="Q10" s="451"/>
      <c r="R10" s="150">
        <f>'[2]January - 2023'!X10</f>
        <v>6539</v>
      </c>
      <c r="S10" s="539"/>
      <c r="T10" s="446"/>
      <c r="U10" s="247">
        <f>'[2]January - 2023'!AE10</f>
        <v>8207858.3999999994</v>
      </c>
      <c r="V10" s="541"/>
      <c r="W10" s="467"/>
      <c r="X10" s="233">
        <f>'[2]January - 2023'!AH10</f>
        <v>15583140.719999999</v>
      </c>
      <c r="Y10" s="449"/>
      <c r="Z10" s="467"/>
      <c r="AA10" s="233">
        <f>'[2]January - 2023'!AK10</f>
        <v>15845741.52</v>
      </c>
      <c r="AB10" s="449"/>
      <c r="AC10" s="467"/>
      <c r="AD10" s="233">
        <f>'[2]January - 2023'!AN10</f>
        <v>18967183.199999999</v>
      </c>
      <c r="AE10" s="449"/>
      <c r="AF10" s="467"/>
      <c r="AG10" s="233">
        <f>'[2]January - 2023'!AQ10</f>
        <v>19227835.199999999</v>
      </c>
      <c r="AH10" s="449"/>
      <c r="AI10" s="467"/>
      <c r="AJ10" s="233">
        <f>'[2]January - 2023'!AT10</f>
        <v>17699099.039999999</v>
      </c>
      <c r="AK10" s="449"/>
      <c r="AL10" s="467"/>
      <c r="AM10" s="233">
        <f>'[2]January - 2023'!AW10</f>
        <v>14887955.039999999</v>
      </c>
      <c r="AN10" s="449"/>
      <c r="AO10" s="467"/>
      <c r="AP10" s="233">
        <f>'[2]January - 2023'!AZ10</f>
        <v>14419122.48</v>
      </c>
      <c r="AQ10" s="449"/>
      <c r="AR10" s="467"/>
      <c r="AS10" s="233">
        <f>'[2]January - 2023'!BC10</f>
        <v>11252858.4</v>
      </c>
      <c r="AT10" s="449"/>
      <c r="AU10" s="467"/>
      <c r="AV10" s="233">
        <f>'[2]January - 2023'!BF10</f>
        <v>17838633.119999997</v>
      </c>
      <c r="AW10" s="449"/>
      <c r="AX10" s="469"/>
      <c r="AY10" s="463"/>
      <c r="AZ10" s="250">
        <f>'[2]January - 2023'!BM10</f>
        <v>78275200</v>
      </c>
      <c r="BA10" s="471"/>
      <c r="BB10" s="465"/>
      <c r="BC10" s="250">
        <f>'[2]January - 2023'!BP10</f>
        <v>81187800</v>
      </c>
      <c r="BD10" s="471"/>
      <c r="BE10" s="465"/>
      <c r="BF10" s="250">
        <f>'[2]January - 2023'!BS10</f>
        <v>75092800</v>
      </c>
      <c r="BG10" s="471"/>
      <c r="BH10" s="465"/>
      <c r="BI10" s="25"/>
      <c r="BJ10" s="448"/>
      <c r="BK10" s="25"/>
      <c r="BL10" s="25"/>
      <c r="BM10" s="25"/>
      <c r="BN10" s="25"/>
      <c r="BO10" s="25"/>
      <c r="BP10" s="25"/>
      <c r="BQ10" s="25"/>
      <c r="BR10" s="25"/>
      <c r="BS10" s="251">
        <f>'[2]January - 2023'!BV10</f>
        <v>10392100</v>
      </c>
      <c r="BT10" s="553"/>
      <c r="BU10" s="559"/>
      <c r="BV10" s="84">
        <f>'[2]January - 2023'!BY10</f>
        <v>0.63</v>
      </c>
      <c r="BW10" s="555"/>
      <c r="BX10" s="557"/>
      <c r="BY10" s="85">
        <f>'[2]January - 2023'!CB10</f>
        <v>64800</v>
      </c>
      <c r="BZ10" s="543"/>
      <c r="CA10" s="85">
        <f>'[2]January - 2023'!CD10</f>
        <v>55872</v>
      </c>
      <c r="CB10" s="543"/>
      <c r="CC10" s="85">
        <f>'[2]January - 2023'!CF10</f>
        <v>18902</v>
      </c>
      <c r="CD10" s="543"/>
      <c r="CE10" s="85">
        <f>'[2]January - 2023'!CH10</f>
        <v>25846</v>
      </c>
      <c r="CF10" s="543"/>
      <c r="CG10" s="85">
        <f>'[2]January - 2023'!CJ10</f>
        <v>28818</v>
      </c>
      <c r="CH10" s="543"/>
      <c r="CI10" s="85">
        <f>'[2]January - 2023'!CL10</f>
        <v>63304</v>
      </c>
      <c r="CJ10" s="543"/>
      <c r="CK10" s="85">
        <f>'[2]January - 2023'!CN10</f>
        <v>269771</v>
      </c>
      <c r="CL10" s="543"/>
      <c r="CM10" s="495"/>
      <c r="CN10" s="85">
        <f>'[2]January - 2023'!CQ10</f>
        <v>217683</v>
      </c>
      <c r="CO10" s="543"/>
      <c r="CP10" s="495"/>
      <c r="CQ10" s="85">
        <f>'[2]January - 2023'!CT10</f>
        <v>361140</v>
      </c>
      <c r="CR10" s="543"/>
      <c r="CS10" s="495"/>
      <c r="CT10" s="85">
        <f>'[2]January - 2023'!CW10</f>
        <v>698843</v>
      </c>
      <c r="CU10" s="497"/>
      <c r="CV10" s="487"/>
      <c r="CW10" s="234">
        <f>'[2]January - 2023'!CZ10</f>
        <v>9073</v>
      </c>
      <c r="CX10" s="499"/>
      <c r="CY10" s="235">
        <f>'[2]January - 2023'!DB10</f>
        <v>6159</v>
      </c>
      <c r="CZ10" s="499"/>
      <c r="DA10" s="235">
        <f>'[2]January - 2023'!DD10</f>
        <v>32526</v>
      </c>
      <c r="DB10" s="499"/>
      <c r="DC10" s="235">
        <f>'[2]January - 2023'!DF10</f>
        <v>32699</v>
      </c>
      <c r="DD10" s="499"/>
      <c r="DE10" s="235">
        <f>'[2]January - 2023'!DH10</f>
        <v>22107</v>
      </c>
      <c r="DF10" s="499"/>
      <c r="DG10" s="235">
        <f>'[2]January - 2023'!DJ10</f>
        <v>24193</v>
      </c>
      <c r="DH10" s="499"/>
      <c r="DI10" s="235">
        <f>'[2]January - 2023'!DL10</f>
        <v>7358</v>
      </c>
      <c r="DJ10" s="499"/>
      <c r="DK10" s="235">
        <f>'[2]January - 2023'!DN10</f>
        <v>9959</v>
      </c>
      <c r="DL10" s="499"/>
      <c r="DM10" s="235">
        <f>'[2]January - 2023'!DP10</f>
        <v>3366</v>
      </c>
      <c r="DN10" s="499"/>
      <c r="DO10" s="235">
        <f>'[2]January - 2023'!DR10</f>
        <v>6650</v>
      </c>
      <c r="DP10" s="499"/>
      <c r="DQ10" s="268">
        <f>'[2]January - 2023'!DT10</f>
        <v>30387</v>
      </c>
      <c r="DR10" s="530"/>
      <c r="DS10" s="503"/>
      <c r="DT10" s="190">
        <f>'[2]January - 2023'!DW10</f>
        <v>6591</v>
      </c>
      <c r="DU10" s="517"/>
      <c r="DV10" s="87">
        <f>'[2]January - 2023'!DY10</f>
        <v>11474.7</v>
      </c>
      <c r="DW10" s="515"/>
      <c r="DX10" s="87">
        <f>'[2]January - 2023'!EA10</f>
        <v>4958</v>
      </c>
      <c r="DY10" s="517"/>
      <c r="DZ10" s="87">
        <f>'[2]January - 2023'!EC10</f>
        <v>5538.4</v>
      </c>
      <c r="EA10" s="517"/>
      <c r="EB10" s="87">
        <f>'[2]January - 2023'!EE10</f>
        <v>1140393</v>
      </c>
      <c r="EC10" s="517"/>
      <c r="ED10" s="87">
        <f>'[2]January - 2023'!EI10</f>
        <v>234914.8</v>
      </c>
      <c r="EE10" s="519"/>
      <c r="EF10" s="550"/>
      <c r="EG10" s="214">
        <f>'[2]January - 2023'!EL10</f>
        <v>12220900</v>
      </c>
      <c r="EH10" s="528"/>
      <c r="EI10" s="86">
        <f>'[2]January - 2023'!EN10</f>
        <v>939420</v>
      </c>
      <c r="EJ10" s="528"/>
      <c r="EK10" s="86">
        <f>'[2]January - 2023'!EP10</f>
        <v>7263300</v>
      </c>
      <c r="EL10" s="528"/>
      <c r="EM10" s="86">
        <f>'[2]January - 2023'!ER10</f>
        <v>2504600</v>
      </c>
      <c r="EN10" s="528"/>
      <c r="EO10" s="86">
        <f>'[2]January - 2023'!ET10</f>
        <v>1292440</v>
      </c>
      <c r="EP10" s="528"/>
      <c r="EQ10" s="86">
        <f>'[2]January - 2023'!EV10</f>
        <v>16684500</v>
      </c>
      <c r="ER10" s="535"/>
      <c r="ES10" s="525"/>
      <c r="ET10" s="256">
        <f>'[2]January - 2023'!EY10</f>
        <v>42496</v>
      </c>
      <c r="EU10" s="529"/>
      <c r="EV10" s="257">
        <f>'[2]January - 2023'!FA10</f>
        <v>37104</v>
      </c>
      <c r="EW10" s="529"/>
      <c r="EX10" s="257">
        <f>'[2]January - 2023'!FC10</f>
        <v>7761</v>
      </c>
      <c r="EY10" s="529"/>
      <c r="EZ10" s="257">
        <f>'[2]January - 2023'!FE10</f>
        <v>59619</v>
      </c>
      <c r="FA10" s="529"/>
      <c r="FB10" s="257">
        <f>'[2]January - 2023'!FG10</f>
        <v>50337</v>
      </c>
      <c r="FC10" s="531"/>
    </row>
    <row r="11" spans="1:159" ht="30" customHeight="1">
      <c r="A11" s="187">
        <v>44928</v>
      </c>
      <c r="B11" s="189">
        <f>'[2]January - 2023'!B11</f>
        <v>0.82</v>
      </c>
      <c r="C11" s="229">
        <f>'[2]January - 2023'!E11</f>
        <v>226541</v>
      </c>
      <c r="D11" s="152">
        <f>'[2]January - 2023'!F11</f>
        <v>629</v>
      </c>
      <c r="E11" s="150">
        <f>'[2]January - 2023'!G11</f>
        <v>633</v>
      </c>
      <c r="F11" s="150">
        <f>'[2]January - 2023'!H11</f>
        <v>252724</v>
      </c>
      <c r="G11" s="152">
        <f>'[2]January - 2023'!I11</f>
        <v>485</v>
      </c>
      <c r="H11" s="150">
        <f>'[2]January - 2023'!J11</f>
        <v>495.59000000001106</v>
      </c>
      <c r="I11" s="150">
        <f>'[2]January - 2023'!K11</f>
        <v>10571</v>
      </c>
      <c r="J11" s="152">
        <f>'[2]January - 2023'!L11</f>
        <v>181</v>
      </c>
      <c r="K11" s="150">
        <f>'[2]January - 2023'!N11</f>
        <v>925064</v>
      </c>
      <c r="L11" s="152">
        <f>'[2]January - 2023'!O11</f>
        <v>232</v>
      </c>
      <c r="M11" s="150">
        <f>'[2]January - 2023'!Q11</f>
        <v>245382</v>
      </c>
      <c r="N11" s="152">
        <f>'[2]January - 2023'!R11</f>
        <v>0</v>
      </c>
      <c r="O11" s="150">
        <f>'[2]January - 2023'!U11</f>
        <v>118362</v>
      </c>
      <c r="P11" s="152">
        <f>'[2]January - 2023'!V11</f>
        <v>83</v>
      </c>
      <c r="Q11" s="150">
        <f>'[2]January - 2023'!W11</f>
        <v>86.830000000001746</v>
      </c>
      <c r="R11" s="150">
        <f>'[2]January - 2023'!X11</f>
        <v>6547</v>
      </c>
      <c r="S11" s="188">
        <f>'[2]January - 2023'!Y11</f>
        <v>8</v>
      </c>
      <c r="T11" s="446"/>
      <c r="U11" s="247">
        <f>'[2]January - 2023'!AE11</f>
        <v>8211073.919999999</v>
      </c>
      <c r="V11" s="218">
        <f>'[2]January - 2023'!AF11</f>
        <v>3215.519999999553</v>
      </c>
      <c r="W11" s="88">
        <f>'[2]January - 2023'!AF11</f>
        <v>3215.519999999553</v>
      </c>
      <c r="X11" s="233">
        <f>'[2]January - 2023'!AH11</f>
        <v>15587671.68</v>
      </c>
      <c r="Y11" s="218">
        <f>'[2]January - 2023'!AI11</f>
        <v>4530.9600000008941</v>
      </c>
      <c r="Z11" s="88">
        <f>'[2]January - 2023'!AI11</f>
        <v>4530.9600000008941</v>
      </c>
      <c r="AA11" s="233">
        <f>'[2]January - 2023'!AK11</f>
        <v>15853926.48</v>
      </c>
      <c r="AB11" s="218">
        <f>'[2]January - 2023'!AL11</f>
        <v>8184.9600000008941</v>
      </c>
      <c r="AC11" s="88">
        <f>'[2]January - 2023'!AL11</f>
        <v>8184.9600000008941</v>
      </c>
      <c r="AD11" s="233">
        <f>'[2]January - 2023'!AN11</f>
        <v>18967231.919999998</v>
      </c>
      <c r="AE11" s="218">
        <f>'[2]January - 2023'!AO11</f>
        <v>48.719999998807907</v>
      </c>
      <c r="AF11" s="88">
        <f>'[2]January - 2023'!AO11</f>
        <v>48.719999998807907</v>
      </c>
      <c r="AG11" s="233">
        <f>'[2]January - 2023'!AQ11</f>
        <v>19227883.919999998</v>
      </c>
      <c r="AH11" s="218">
        <f>'[2]January - 2023'!AR11</f>
        <v>48.719999998807907</v>
      </c>
      <c r="AI11" s="88">
        <f>'[2]January - 2023'!AR11</f>
        <v>48.719999998807907</v>
      </c>
      <c r="AJ11" s="233">
        <f>'[2]January - 2023'!AT11</f>
        <v>17704458.239999998</v>
      </c>
      <c r="AK11" s="218">
        <f>'[2]January - 2023'!AU11</f>
        <v>5359.1999999992549</v>
      </c>
      <c r="AL11" s="88">
        <f>'[2]January - 2023'!AU11</f>
        <v>5359.1999999992549</v>
      </c>
      <c r="AM11" s="233">
        <f>'[2]January - 2023'!AW11</f>
        <v>14892096.24</v>
      </c>
      <c r="AN11" s="218">
        <f>'[2]January - 2023'!AX11</f>
        <v>4141.2000000011176</v>
      </c>
      <c r="AO11" s="88">
        <f>'[2]January - 2023'!AX11</f>
        <v>4141.2000000011176</v>
      </c>
      <c r="AP11" s="233">
        <f>'[2]January - 2023'!AZ11</f>
        <v>14423653.439999999</v>
      </c>
      <c r="AQ11" s="218">
        <f>'[2]January - 2023'!BA11</f>
        <v>4530.9599999990314</v>
      </c>
      <c r="AR11" s="88">
        <f>'[2]January - 2023'!BA11</f>
        <v>4530.9599999990314</v>
      </c>
      <c r="AS11" s="233">
        <f>'[2]January - 2023'!BC11</f>
        <v>11255684.16</v>
      </c>
      <c r="AT11" s="218">
        <f>'[2]January - 2023'!BD11</f>
        <v>2825.7599999997765</v>
      </c>
      <c r="AU11" s="88">
        <f>'[2]January - 2023'!BD11</f>
        <v>2825.7599999997765</v>
      </c>
      <c r="AV11" s="233">
        <f>'[2]January - 2023'!BF11</f>
        <v>17844333.359999999</v>
      </c>
      <c r="AW11" s="230">
        <f>'[2]January - 2023'!BG11</f>
        <v>5700.2400000020862</v>
      </c>
      <c r="AX11" s="231">
        <f>'[2]January - 2023'!BG11</f>
        <v>5700.2400000020862</v>
      </c>
      <c r="AY11" s="463"/>
      <c r="AZ11" s="250">
        <f>'[2]January - 2023'!BM11</f>
        <v>78319300</v>
      </c>
      <c r="BA11" s="161">
        <f>'[2]January - 2023'!BN11</f>
        <v>44100</v>
      </c>
      <c r="BB11" s="89">
        <f>'[2]January - 2023'!BN11</f>
        <v>44100</v>
      </c>
      <c r="BC11" s="250">
        <f>'[2]January - 2023'!BP11</f>
        <v>81187800</v>
      </c>
      <c r="BD11" s="224">
        <f>'[2]January - 2023'!BQ11</f>
        <v>0</v>
      </c>
      <c r="BE11" s="89">
        <f>'[2]January - 2023'!BQ11</f>
        <v>0</v>
      </c>
      <c r="BF11" s="250">
        <f>'[2]January - 2023'!BS11</f>
        <v>75092800</v>
      </c>
      <c r="BG11" s="224">
        <f>'[2]January - 2023'!BT11</f>
        <v>0</v>
      </c>
      <c r="BH11" s="89">
        <f>'[2]January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'[2]January - 2023'!BV11</f>
        <v>10399350</v>
      </c>
      <c r="BT11" s="166">
        <f>'[2]January - 2023'!BW11</f>
        <v>7250</v>
      </c>
      <c r="BU11" s="559"/>
      <c r="BV11" s="84">
        <f>'[2]January - 2023'!BY11</f>
        <v>0.57999999999999996</v>
      </c>
      <c r="BW11" s="220">
        <f>'[2]January - 2023'!BZ11</f>
        <v>5.0000000000000044E-2</v>
      </c>
      <c r="BX11" s="84">
        <f>'[2]January - 2023'!BZ11</f>
        <v>5.0000000000000044E-2</v>
      </c>
      <c r="BY11" s="85">
        <f>'[2]January - 2023'!CB11</f>
        <v>64821</v>
      </c>
      <c r="BZ11" s="172">
        <f>'[2]January - 2023'!CC11</f>
        <v>21</v>
      </c>
      <c r="CA11" s="85">
        <f>'[2]January - 2023'!CD11</f>
        <v>55891</v>
      </c>
      <c r="CB11" s="172">
        <f>'[2]January - 2023'!CE11</f>
        <v>19</v>
      </c>
      <c r="CC11" s="85">
        <f>'[2]January - 2023'!CF11</f>
        <v>18909</v>
      </c>
      <c r="CD11" s="172">
        <f>'[2]January - 2023'!CG11</f>
        <v>7</v>
      </c>
      <c r="CE11" s="85">
        <f>'[2]January - 2023'!CH11</f>
        <v>25855</v>
      </c>
      <c r="CF11" s="172">
        <f>'[2]January - 2023'!CI11</f>
        <v>9</v>
      </c>
      <c r="CG11" s="85">
        <f>'[2]January - 2023'!CJ11</f>
        <v>28833</v>
      </c>
      <c r="CH11" s="172">
        <f>'[2]January - 2023'!CK11</f>
        <v>15</v>
      </c>
      <c r="CI11" s="85">
        <f>'[2]January - 2023'!CL11</f>
        <v>63341</v>
      </c>
      <c r="CJ11" s="172">
        <f>'[2]January - 2023'!CM11</f>
        <v>37</v>
      </c>
      <c r="CK11" s="85">
        <f>'[2]January - 2023'!CN11</f>
        <v>269843</v>
      </c>
      <c r="CL11" s="225">
        <f>'[2]January - 2023'!CO11</f>
        <v>72</v>
      </c>
      <c r="CM11" s="85">
        <f>'[2]January - 2023'!CO11</f>
        <v>72</v>
      </c>
      <c r="CN11" s="85">
        <f>'[2]January - 2023'!CQ11</f>
        <v>217804</v>
      </c>
      <c r="CO11" s="225">
        <f>'[2]January - 2023'!CR11</f>
        <v>121</v>
      </c>
      <c r="CP11" s="85">
        <f>'[2]January - 2023'!CR11</f>
        <v>121</v>
      </c>
      <c r="CQ11" s="85">
        <f>'[2]January - 2023'!CT11</f>
        <v>361376</v>
      </c>
      <c r="CR11" s="225">
        <f>'[2]January - 2023'!CU11</f>
        <v>236</v>
      </c>
      <c r="CS11" s="85">
        <f>'[2]January - 2023'!CU11</f>
        <v>236</v>
      </c>
      <c r="CT11" s="85">
        <f>'[2]January - 2023'!CW11</f>
        <v>699015</v>
      </c>
      <c r="CU11" s="172">
        <f>'[2]January - 2023'!CX11</f>
        <v>172</v>
      </c>
      <c r="CV11" s="487"/>
      <c r="CW11" s="234">
        <f>'[2]January - 2023'!CZ11</f>
        <v>9083</v>
      </c>
      <c r="CX11" s="179">
        <f>'[2]January - 2023'!DA11</f>
        <v>10</v>
      </c>
      <c r="CY11" s="235">
        <f>'[2]January - 2023'!DB11</f>
        <v>6166</v>
      </c>
      <c r="CZ11" s="179">
        <f>'[2]January - 2023'!DC11</f>
        <v>7</v>
      </c>
      <c r="DA11" s="235">
        <f>'[2]January - 2023'!DD11</f>
        <v>32543</v>
      </c>
      <c r="DB11" s="179">
        <f>'[2]January - 2023'!DE11</f>
        <v>17</v>
      </c>
      <c r="DC11" s="235">
        <f>'[2]January - 2023'!DF11</f>
        <v>32713</v>
      </c>
      <c r="DD11" s="179">
        <f>'[2]January - 2023'!DG11</f>
        <v>14</v>
      </c>
      <c r="DE11" s="235">
        <f>'[2]January - 2023'!DH11</f>
        <v>22120</v>
      </c>
      <c r="DF11" s="179">
        <f>'[2]January - 2023'!DI11</f>
        <v>13</v>
      </c>
      <c r="DG11" s="235">
        <f>'[2]January - 2023'!DJ11</f>
        <v>24202</v>
      </c>
      <c r="DH11" s="179">
        <f>'[2]January - 2023'!DK11</f>
        <v>9</v>
      </c>
      <c r="DI11" s="235">
        <f>'[2]January - 2023'!DL11</f>
        <v>7369</v>
      </c>
      <c r="DJ11" s="179">
        <f>'[2]January - 2023'!DM11</f>
        <v>11</v>
      </c>
      <c r="DK11" s="235">
        <f>'[2]January - 2023'!DN11</f>
        <v>9966</v>
      </c>
      <c r="DL11" s="179">
        <f>'[2]January - 2023'!DO11</f>
        <v>7</v>
      </c>
      <c r="DM11" s="235">
        <f>'[2]January - 2023'!DP11</f>
        <v>3370</v>
      </c>
      <c r="DN11" s="179">
        <f>'[2]January - 2023'!DQ11</f>
        <v>4</v>
      </c>
      <c r="DO11" s="235">
        <f>'[2]January - 2023'!DR11</f>
        <v>6661</v>
      </c>
      <c r="DP11" s="179">
        <f>'[2]January - 2023'!DS11</f>
        <v>11</v>
      </c>
      <c r="DQ11" s="235">
        <f>'[2]January - 2023'!DT11</f>
        <v>30391</v>
      </c>
      <c r="DR11" s="186">
        <f>'[2]January - 2023'!DU11</f>
        <v>4</v>
      </c>
      <c r="DS11" s="503"/>
      <c r="DT11" s="190">
        <f>'[2]January - 2023'!DW11</f>
        <v>6601.4</v>
      </c>
      <c r="DU11" s="201">
        <f>'[2]January - 2023'!DX11</f>
        <v>10.399999999999636</v>
      </c>
      <c r="DV11" s="87">
        <f>'[2]January - 2023'!DY11</f>
        <v>11482.5</v>
      </c>
      <c r="DW11" s="195">
        <f>'[2]January - 2023'!DZ11</f>
        <v>7.7999999999992724</v>
      </c>
      <c r="DX11" s="87">
        <f>'[2]January - 2023'!EA11</f>
        <v>4964.8999999999996</v>
      </c>
      <c r="DY11" s="195">
        <f>'[2]January - 2023'!EB11</f>
        <v>6.8999999999996362</v>
      </c>
      <c r="DZ11" s="87">
        <f>'[2]January - 2023'!EC11</f>
        <v>5545</v>
      </c>
      <c r="EA11" s="195">
        <f>'[2]January - 2023'!ED11</f>
        <v>6.6000000000003638</v>
      </c>
      <c r="EB11" s="87">
        <f>'[2]January - 2023'!EE11</f>
        <v>1140922</v>
      </c>
      <c r="EC11" s="195">
        <f>'[2]January - 2023'!EF11</f>
        <v>529</v>
      </c>
      <c r="ED11" s="87">
        <f>'[2]January - 2023'!EI11</f>
        <v>235042.4</v>
      </c>
      <c r="EE11" s="208">
        <f>'[2]January - 2023'!EJ11</f>
        <v>127.60000000000582</v>
      </c>
      <c r="EF11" s="550"/>
      <c r="EG11" s="214">
        <f>'[2]January - 2023'!EL11</f>
        <v>12224000</v>
      </c>
      <c r="EH11" s="209">
        <f>'[2]January - 2023'!EM11</f>
        <v>3100</v>
      </c>
      <c r="EI11" s="86">
        <f>'[2]January - 2023'!EN11</f>
        <v>939650</v>
      </c>
      <c r="EJ11" s="209">
        <f>'[2]January - 2023'!EO11</f>
        <v>230</v>
      </c>
      <c r="EK11" s="86">
        <f>'[2]January - 2023'!EP11</f>
        <v>7264900</v>
      </c>
      <c r="EL11" s="209">
        <f>'[2]January - 2023'!EQ11</f>
        <v>1600</v>
      </c>
      <c r="EM11" s="86">
        <f>'[2]January - 2023'!ER11</f>
        <v>2504800</v>
      </c>
      <c r="EN11" s="209">
        <f>'[2]January - 2023'!ES11</f>
        <v>200</v>
      </c>
      <c r="EO11" s="86">
        <f>'[2]January - 2023'!ET11</f>
        <v>1292990</v>
      </c>
      <c r="EP11" s="209">
        <f>'[2]January - 2023'!EU11</f>
        <v>550</v>
      </c>
      <c r="EQ11" s="86">
        <f>'[2]January - 2023'!EV11</f>
        <v>16687000</v>
      </c>
      <c r="ER11" s="209">
        <f>'[2]January - 2023'!EW11</f>
        <v>2500</v>
      </c>
      <c r="ES11" s="525"/>
      <c r="ET11" s="256">
        <f>'[2]January - 2023'!EY11</f>
        <v>42513</v>
      </c>
      <c r="EU11" s="253">
        <f>'[2]January - 2023'!EZ11</f>
        <v>17</v>
      </c>
      <c r="EV11" s="257">
        <f>'[2]January - 2023'!FA11</f>
        <v>37120</v>
      </c>
      <c r="EW11" s="253">
        <f>'[2]January - 2023'!FB11</f>
        <v>16</v>
      </c>
      <c r="EX11" s="257">
        <f>'[2]January - 2023'!FC11</f>
        <v>7770</v>
      </c>
      <c r="EY11" s="253">
        <f>'[2]January - 2023'!FD11</f>
        <v>9</v>
      </c>
      <c r="EZ11" s="257">
        <f>'[2]January - 2023'!FE11</f>
        <v>59634</v>
      </c>
      <c r="FA11" s="253">
        <f>'[2]January - 2023'!FF11</f>
        <v>15</v>
      </c>
      <c r="FB11" s="257">
        <f>'[2]January - 2023'!FG11</f>
        <v>50369</v>
      </c>
      <c r="FC11" s="254">
        <f>'[2]January - 2023'!FH11</f>
        <v>32</v>
      </c>
    </row>
    <row r="12" spans="1:159" ht="30" customHeight="1">
      <c r="A12" s="187">
        <v>44929</v>
      </c>
      <c r="B12" s="189">
        <f>'[2]January - 2023'!B12</f>
        <v>0.77</v>
      </c>
      <c r="C12" s="229">
        <f>'[2]January - 2023'!E12</f>
        <v>227173</v>
      </c>
      <c r="D12" s="152">
        <f>'[2]January - 2023'!F12</f>
        <v>632</v>
      </c>
      <c r="E12" s="150">
        <f>'[2]January - 2023'!G12</f>
        <v>685</v>
      </c>
      <c r="F12" s="150">
        <f>'[2]January - 2023'!H12</f>
        <v>253224</v>
      </c>
      <c r="G12" s="152">
        <f>'[2]January - 2023'!I12</f>
        <v>500</v>
      </c>
      <c r="H12" s="150">
        <f>'[2]January - 2023'!J12</f>
        <v>513.58000000000175</v>
      </c>
      <c r="I12" s="150">
        <f>'[2]January - 2023'!K12</f>
        <v>10774</v>
      </c>
      <c r="J12" s="152">
        <f>'[2]January - 2023'!L12</f>
        <v>203</v>
      </c>
      <c r="K12" s="150">
        <f>'[2]January - 2023'!N12</f>
        <v>925084</v>
      </c>
      <c r="L12" s="152">
        <f>'[2]January - 2023'!O12</f>
        <v>20</v>
      </c>
      <c r="M12" s="150">
        <f>'[2]January - 2023'!Q12</f>
        <v>245382</v>
      </c>
      <c r="N12" s="152">
        <f>'[2]January - 2023'!R12</f>
        <v>0</v>
      </c>
      <c r="O12" s="150">
        <f>'[2]January - 2023'!U12</f>
        <v>118433</v>
      </c>
      <c r="P12" s="152">
        <f>'[2]January - 2023'!V12</f>
        <v>71</v>
      </c>
      <c r="Q12" s="150">
        <f>'[2]January - 2023'!W12</f>
        <v>93.870000000002619</v>
      </c>
      <c r="R12" s="150">
        <f>'[2]January - 2023'!X12</f>
        <v>6549</v>
      </c>
      <c r="S12" s="188">
        <f>'[2]January - 2023'!Y12</f>
        <v>2</v>
      </c>
      <c r="T12" s="446"/>
      <c r="U12" s="247">
        <f>'[2]January - 2023'!AE12</f>
        <v>8214192</v>
      </c>
      <c r="V12" s="218">
        <f>'[2]January - 2023'!AF12</f>
        <v>3118.0800000010058</v>
      </c>
      <c r="W12" s="88">
        <f>'[2]January - 2023'!AF12</f>
        <v>3118.0800000010058</v>
      </c>
      <c r="X12" s="233">
        <f>'[2]January - 2023'!AH12</f>
        <v>15592105.199999999</v>
      </c>
      <c r="Y12" s="218">
        <f>'[2]January - 2023'!AI12</f>
        <v>4433.519999999553</v>
      </c>
      <c r="Z12" s="88">
        <f>'[2]January - 2023'!AI12</f>
        <v>4433.519999999553</v>
      </c>
      <c r="AA12" s="233">
        <f>'[2]January - 2023'!AK12</f>
        <v>15861867.84</v>
      </c>
      <c r="AB12" s="218">
        <f>'[2]January - 2023'!AL12</f>
        <v>7941.359999999404</v>
      </c>
      <c r="AC12" s="88">
        <f>'[2]January - 2023'!AL12</f>
        <v>7941.359999999404</v>
      </c>
      <c r="AD12" s="233">
        <f>'[2]January - 2023'!AN12</f>
        <v>18967280.639999997</v>
      </c>
      <c r="AE12" s="218">
        <f>'[2]January - 2023'!AO12</f>
        <v>48.719999998807907</v>
      </c>
      <c r="AF12" s="88">
        <f>'[2]January - 2023'!AO12</f>
        <v>48.719999998807907</v>
      </c>
      <c r="AG12" s="233">
        <f>'[2]January - 2023'!AQ12</f>
        <v>19227932.639999997</v>
      </c>
      <c r="AH12" s="218">
        <f>'[2]January - 2023'!AR12</f>
        <v>48.719999998807907</v>
      </c>
      <c r="AI12" s="88">
        <f>'[2]January - 2023'!AR12</f>
        <v>48.719999998807907</v>
      </c>
      <c r="AJ12" s="233">
        <f>'[2]January - 2023'!AT12</f>
        <v>17709963.599999998</v>
      </c>
      <c r="AK12" s="218">
        <f>'[2]January - 2023'!AU12</f>
        <v>5505.359999999404</v>
      </c>
      <c r="AL12" s="88">
        <f>'[2]January - 2023'!AU12</f>
        <v>5505.359999999404</v>
      </c>
      <c r="AM12" s="233">
        <f>'[2]January - 2023'!AW12</f>
        <v>14896188.719999999</v>
      </c>
      <c r="AN12" s="218">
        <f>'[2]January - 2023'!AX12</f>
        <v>4092.4799999985844</v>
      </c>
      <c r="AO12" s="88">
        <f>'[2]January - 2023'!AX12</f>
        <v>4092.4799999985844</v>
      </c>
      <c r="AP12" s="233">
        <f>'[2]January - 2023'!AZ12</f>
        <v>14428476.719999999</v>
      </c>
      <c r="AQ12" s="218">
        <f>'[2]January - 2023'!BA12</f>
        <v>4823.2799999993294</v>
      </c>
      <c r="AR12" s="88">
        <f>'[2]January - 2023'!BA12</f>
        <v>4823.2799999993294</v>
      </c>
      <c r="AS12" s="233">
        <f>'[2]January - 2023'!BC12</f>
        <v>11258509.92</v>
      </c>
      <c r="AT12" s="218">
        <f>'[2]January - 2023'!BD12</f>
        <v>2825.7599999997765</v>
      </c>
      <c r="AU12" s="88">
        <f>'[2]January - 2023'!BD12</f>
        <v>2825.7599999997765</v>
      </c>
      <c r="AV12" s="233">
        <f>'[2]January - 2023'!BF12</f>
        <v>17850033.599999998</v>
      </c>
      <c r="AW12" s="230">
        <f>'[2]January - 2023'!BG12</f>
        <v>5700.2399999983609</v>
      </c>
      <c r="AX12" s="231">
        <f>'[2]January - 2023'!BG12</f>
        <v>5700.2399999983609</v>
      </c>
      <c r="AY12" s="463"/>
      <c r="AZ12" s="250">
        <f>'[2]January - 2023'!BM12</f>
        <v>78361500</v>
      </c>
      <c r="BA12" s="161">
        <f>'[2]January - 2023'!BN12</f>
        <v>42200</v>
      </c>
      <c r="BB12" s="89">
        <f>'[2]January - 2023'!BN12</f>
        <v>42200</v>
      </c>
      <c r="BC12" s="250">
        <f>'[2]January - 2023'!BP12</f>
        <v>81187800</v>
      </c>
      <c r="BD12" s="224">
        <f>'[2]January - 2023'!BQ12</f>
        <v>0</v>
      </c>
      <c r="BE12" s="89">
        <f>'[2]January - 2023'!BQ12</f>
        <v>0</v>
      </c>
      <c r="BF12" s="250">
        <f>'[2]January - 2023'!BS12</f>
        <v>75092800</v>
      </c>
      <c r="BG12" s="224">
        <f>'[2]January - 2023'!BT12</f>
        <v>0</v>
      </c>
      <c r="BH12" s="89">
        <f>'[2]January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'[2]January - 2023'!BV12</f>
        <v>10406810</v>
      </c>
      <c r="BT12" s="166">
        <f>'[2]January - 2023'!BW12</f>
        <v>7460</v>
      </c>
      <c r="BU12" s="559"/>
      <c r="BV12" s="84">
        <f>'[2]January - 2023'!BY12</f>
        <v>0.64</v>
      </c>
      <c r="BW12" s="220">
        <f>'[2]January - 2023'!BZ12</f>
        <v>-6.0000000000000053E-2</v>
      </c>
      <c r="BX12" s="84">
        <f>'[2]January - 2023'!BZ12</f>
        <v>-6.0000000000000053E-2</v>
      </c>
      <c r="BY12" s="85">
        <f>'[2]January - 2023'!CB12</f>
        <v>64841</v>
      </c>
      <c r="BZ12" s="172">
        <f>'[2]January - 2023'!CC12</f>
        <v>20</v>
      </c>
      <c r="CA12" s="85">
        <f>'[2]January - 2023'!CD12</f>
        <v>55909</v>
      </c>
      <c r="CB12" s="172">
        <f>'[2]January - 2023'!CE12</f>
        <v>18</v>
      </c>
      <c r="CC12" s="85">
        <f>'[2]January - 2023'!CF12</f>
        <v>18917</v>
      </c>
      <c r="CD12" s="172">
        <f>'[2]January - 2023'!CG12</f>
        <v>8</v>
      </c>
      <c r="CE12" s="85">
        <f>'[2]January - 2023'!CH12</f>
        <v>25862</v>
      </c>
      <c r="CF12" s="172">
        <f>'[2]January - 2023'!CI12</f>
        <v>7</v>
      </c>
      <c r="CG12" s="85">
        <f>'[2]January - 2023'!CJ12</f>
        <v>28847</v>
      </c>
      <c r="CH12" s="172">
        <f>'[2]January - 2023'!CK12</f>
        <v>14</v>
      </c>
      <c r="CI12" s="85">
        <f>'[2]January - 2023'!CL12</f>
        <v>63378</v>
      </c>
      <c r="CJ12" s="172">
        <f>'[2]January - 2023'!CM12</f>
        <v>37</v>
      </c>
      <c r="CK12" s="85">
        <f>'[2]January - 2023'!CN12</f>
        <v>269916</v>
      </c>
      <c r="CL12" s="225">
        <f>'[2]January - 2023'!CO12</f>
        <v>73</v>
      </c>
      <c r="CM12" s="85">
        <f>'[2]January - 2023'!CO12</f>
        <v>73</v>
      </c>
      <c r="CN12" s="85">
        <f>'[2]January - 2023'!CQ12</f>
        <v>217925</v>
      </c>
      <c r="CO12" s="225">
        <f>'[2]January - 2023'!CR12</f>
        <v>121</v>
      </c>
      <c r="CP12" s="85">
        <f>'[2]January - 2023'!CR12</f>
        <v>121</v>
      </c>
      <c r="CQ12" s="85">
        <f>'[2]January - 2023'!CT12</f>
        <v>361604</v>
      </c>
      <c r="CR12" s="225">
        <f>'[2]January - 2023'!CU12</f>
        <v>228</v>
      </c>
      <c r="CS12" s="85">
        <f>'[2]January - 2023'!CU12</f>
        <v>228</v>
      </c>
      <c r="CT12" s="85">
        <f>'[2]January - 2023'!CW12</f>
        <v>699191</v>
      </c>
      <c r="CU12" s="172">
        <f>'[2]January - 2023'!CX12</f>
        <v>176</v>
      </c>
      <c r="CV12" s="487"/>
      <c r="CW12" s="234">
        <f>'[2]January - 2023'!CZ12</f>
        <v>9091</v>
      </c>
      <c r="CX12" s="179">
        <f>'[2]January - 2023'!DA12</f>
        <v>8</v>
      </c>
      <c r="CY12" s="235">
        <f>'[2]January - 2023'!DB12</f>
        <v>6172</v>
      </c>
      <c r="CZ12" s="179">
        <f>'[2]January - 2023'!DC12</f>
        <v>6</v>
      </c>
      <c r="DA12" s="235">
        <f>'[2]January - 2023'!DD12</f>
        <v>32559</v>
      </c>
      <c r="DB12" s="179">
        <f>'[2]January - 2023'!DE12</f>
        <v>16</v>
      </c>
      <c r="DC12" s="235">
        <f>'[2]January - 2023'!DF12</f>
        <v>32727</v>
      </c>
      <c r="DD12" s="179">
        <f>'[2]January - 2023'!DG12</f>
        <v>14</v>
      </c>
      <c r="DE12" s="235">
        <f>'[2]January - 2023'!DH12</f>
        <v>22133</v>
      </c>
      <c r="DF12" s="179">
        <f>'[2]January - 2023'!DI12</f>
        <v>13</v>
      </c>
      <c r="DG12" s="235">
        <f>'[2]January - 2023'!DJ12</f>
        <v>24210</v>
      </c>
      <c r="DH12" s="179">
        <f>'[2]January - 2023'!DK12</f>
        <v>8</v>
      </c>
      <c r="DI12" s="235">
        <f>'[2]January - 2023'!DL12</f>
        <v>7380</v>
      </c>
      <c r="DJ12" s="179">
        <f>'[2]January - 2023'!DM12</f>
        <v>11</v>
      </c>
      <c r="DK12" s="235">
        <f>'[2]January - 2023'!DN12</f>
        <v>9974</v>
      </c>
      <c r="DL12" s="179">
        <f>'[2]January - 2023'!DO12</f>
        <v>8</v>
      </c>
      <c r="DM12" s="235">
        <f>'[2]January - 2023'!DP12</f>
        <v>3375</v>
      </c>
      <c r="DN12" s="179">
        <f>'[2]January - 2023'!DQ12</f>
        <v>5</v>
      </c>
      <c r="DO12" s="235">
        <f>'[2]January - 2023'!DR12</f>
        <v>6669</v>
      </c>
      <c r="DP12" s="179">
        <f>'[2]January - 2023'!DS12</f>
        <v>8</v>
      </c>
      <c r="DQ12" s="235">
        <f>'[2]January - 2023'!DT12</f>
        <v>30393</v>
      </c>
      <c r="DR12" s="186">
        <f>'[2]January - 2023'!DU12</f>
        <v>2</v>
      </c>
      <c r="DS12" s="503"/>
      <c r="DT12" s="190">
        <f>'[2]January - 2023'!DW12</f>
        <v>6611.9</v>
      </c>
      <c r="DU12" s="201">
        <f>'[2]January - 2023'!DX12</f>
        <v>10.5</v>
      </c>
      <c r="DV12" s="87">
        <f>'[2]January - 2023'!DY12</f>
        <v>11490.1</v>
      </c>
      <c r="DW12" s="195">
        <f>'[2]January - 2023'!DZ12</f>
        <v>7.6000000000003638</v>
      </c>
      <c r="DX12" s="87">
        <f>'[2]January - 2023'!EA12</f>
        <v>4971.8</v>
      </c>
      <c r="DY12" s="195">
        <f>'[2]January - 2023'!EB12</f>
        <v>6.9000000000005457</v>
      </c>
      <c r="DZ12" s="87">
        <f>'[2]January - 2023'!EC12</f>
        <v>5551.7</v>
      </c>
      <c r="EA12" s="195">
        <f>'[2]January - 2023'!ED12</f>
        <v>6.6999999999998181</v>
      </c>
      <c r="EB12" s="87">
        <f>'[2]January - 2023'!EE12</f>
        <v>1141504</v>
      </c>
      <c r="EC12" s="195">
        <f>'[2]January - 2023'!EF12</f>
        <v>582</v>
      </c>
      <c r="ED12" s="87">
        <f>'[2]January - 2023'!EI12</f>
        <v>235172</v>
      </c>
      <c r="EE12" s="208">
        <f>'[2]January - 2023'!EJ12</f>
        <v>129.60000000000582</v>
      </c>
      <c r="EF12" s="550"/>
      <c r="EG12" s="214">
        <f>'[2]January - 2023'!EL12</f>
        <v>12226700</v>
      </c>
      <c r="EH12" s="209">
        <f>'[2]January - 2023'!EM12</f>
        <v>2700</v>
      </c>
      <c r="EI12" s="86">
        <f>'[2]January - 2023'!EN12</f>
        <v>939870</v>
      </c>
      <c r="EJ12" s="209">
        <f>'[2]January - 2023'!EO12</f>
        <v>220</v>
      </c>
      <c r="EK12" s="86">
        <f>'[2]January - 2023'!EP12</f>
        <v>7266500</v>
      </c>
      <c r="EL12" s="209">
        <f>'[2]January - 2023'!EQ12</f>
        <v>1600</v>
      </c>
      <c r="EM12" s="86">
        <f>'[2]January - 2023'!ER12</f>
        <v>2505000</v>
      </c>
      <c r="EN12" s="209">
        <f>'[2]January - 2023'!ES12</f>
        <v>200</v>
      </c>
      <c r="EO12" s="86">
        <f>'[2]January - 2023'!ET12</f>
        <v>1293560</v>
      </c>
      <c r="EP12" s="209">
        <f>'[2]January - 2023'!EU12</f>
        <v>570</v>
      </c>
      <c r="EQ12" s="86">
        <f>'[2]January - 2023'!EV12</f>
        <v>16689000</v>
      </c>
      <c r="ER12" s="209">
        <f>'[2]January - 2023'!EW12</f>
        <v>2000</v>
      </c>
      <c r="ES12" s="525"/>
      <c r="ET12" s="256">
        <f>'[2]January - 2023'!EY12</f>
        <v>42529</v>
      </c>
      <c r="EU12" s="253">
        <f>'[2]January - 2023'!EZ12</f>
        <v>16</v>
      </c>
      <c r="EV12" s="257">
        <f>'[2]January - 2023'!FA12</f>
        <v>37136</v>
      </c>
      <c r="EW12" s="253">
        <f>'[2]January - 2023'!FB12</f>
        <v>16</v>
      </c>
      <c r="EX12" s="257">
        <f>'[2]January - 2023'!FC12</f>
        <v>7779</v>
      </c>
      <c r="EY12" s="253">
        <f>'[2]January - 2023'!FD12</f>
        <v>9</v>
      </c>
      <c r="EZ12" s="257">
        <f>'[2]January - 2023'!FE12</f>
        <v>59647</v>
      </c>
      <c r="FA12" s="253">
        <f>'[2]January - 2023'!FF12</f>
        <v>13</v>
      </c>
      <c r="FB12" s="257">
        <f>'[2]January - 2023'!FG12</f>
        <v>50404</v>
      </c>
      <c r="FC12" s="254">
        <f>'[2]January - 2023'!FH12</f>
        <v>35</v>
      </c>
    </row>
    <row r="13" spans="1:159" ht="30" customHeight="1">
      <c r="A13" s="187">
        <v>44930</v>
      </c>
      <c r="B13" s="189">
        <f>'[2]January - 2023'!B13</f>
        <v>0.72</v>
      </c>
      <c r="C13" s="229">
        <f>'[2]January - 2023'!E13</f>
        <v>227809</v>
      </c>
      <c r="D13" s="152">
        <f>'[2]January - 2023'!F13</f>
        <v>636</v>
      </c>
      <c r="E13" s="150">
        <f>'[2]January - 2023'!G13</f>
        <v>899</v>
      </c>
      <c r="F13" s="150">
        <f>'[2]January - 2023'!H13</f>
        <v>253810</v>
      </c>
      <c r="G13" s="152">
        <f>'[2]January - 2023'!I13</f>
        <v>586</v>
      </c>
      <c r="H13" s="150">
        <f>'[2]January - 2023'!J13</f>
        <v>542.96999999998661</v>
      </c>
      <c r="I13" s="150">
        <f>'[2]January - 2023'!K13</f>
        <v>10981</v>
      </c>
      <c r="J13" s="152">
        <f>'[2]January - 2023'!L13</f>
        <v>207</v>
      </c>
      <c r="K13" s="150">
        <f>'[2]January - 2023'!N13</f>
        <v>925216</v>
      </c>
      <c r="L13" s="152">
        <f>'[2]January - 2023'!O13</f>
        <v>132</v>
      </c>
      <c r="M13" s="150">
        <f>'[2]January - 2023'!Q13</f>
        <v>245382</v>
      </c>
      <c r="N13" s="152">
        <f>'[2]January - 2023'!R13</f>
        <v>0</v>
      </c>
      <c r="O13" s="150">
        <f>'[2]January - 2023'!U13</f>
        <v>118520</v>
      </c>
      <c r="P13" s="152">
        <f>'[2]January - 2023'!V13</f>
        <v>87</v>
      </c>
      <c r="Q13" s="150">
        <f>'[2]January - 2023'!W13</f>
        <v>69.819999999999709</v>
      </c>
      <c r="R13" s="150">
        <f>'[2]January - 2023'!X13</f>
        <v>6560</v>
      </c>
      <c r="S13" s="188">
        <f>'[2]January - 2023'!Y13</f>
        <v>11</v>
      </c>
      <c r="T13" s="446"/>
      <c r="U13" s="247">
        <f>'[2]January - 2023'!AE13</f>
        <v>8217261.3599999994</v>
      </c>
      <c r="V13" s="218">
        <f>'[2]January - 2023'!AF13</f>
        <v>3069.359999999404</v>
      </c>
      <c r="W13" s="88">
        <f>'[2]January - 2023'!AF13</f>
        <v>3069.359999999404</v>
      </c>
      <c r="X13" s="233">
        <f>'[2]January - 2023'!AH13</f>
        <v>15596684.880000001</v>
      </c>
      <c r="Y13" s="218">
        <f>'[2]January - 2023'!AI13</f>
        <v>4579.6800000015646</v>
      </c>
      <c r="Z13" s="88">
        <f>'[2]January - 2023'!AI13</f>
        <v>4579.6800000015646</v>
      </c>
      <c r="AA13" s="233">
        <f>'[2]January - 2023'!AK13</f>
        <v>15869565.6</v>
      </c>
      <c r="AB13" s="218">
        <f>'[2]January - 2023'!AL13</f>
        <v>7697.7599999997765</v>
      </c>
      <c r="AC13" s="88">
        <f>'[2]January - 2023'!AL13</f>
        <v>7697.7599999997765</v>
      </c>
      <c r="AD13" s="233">
        <f>'[2]January - 2023'!AN13</f>
        <v>18967426.800000001</v>
      </c>
      <c r="AE13" s="218">
        <f>'[2]January - 2023'!AO13</f>
        <v>146.1600000038743</v>
      </c>
      <c r="AF13" s="88">
        <f>'[2]January - 2023'!AO13</f>
        <v>146.1600000038743</v>
      </c>
      <c r="AG13" s="233">
        <f>'[2]January - 2023'!AQ13</f>
        <v>19227932.639999997</v>
      </c>
      <c r="AH13" s="218">
        <f>'[2]January - 2023'!AR13</f>
        <v>0</v>
      </c>
      <c r="AI13" s="88">
        <f>'[2]January - 2023'!AR13</f>
        <v>0</v>
      </c>
      <c r="AJ13" s="233">
        <f>'[2]January - 2023'!AT13</f>
        <v>17715225.359999999</v>
      </c>
      <c r="AK13" s="218">
        <f>'[2]January - 2023'!AU13</f>
        <v>5261.7600000016391</v>
      </c>
      <c r="AL13" s="88">
        <f>'[2]January - 2023'!AU13</f>
        <v>5261.7600000016391</v>
      </c>
      <c r="AM13" s="233">
        <f>'[2]January - 2023'!AW13</f>
        <v>14900329.919999998</v>
      </c>
      <c r="AN13" s="218">
        <f>'[2]January - 2023'!AX13</f>
        <v>4141.1999999992549</v>
      </c>
      <c r="AO13" s="88">
        <f>'[2]January - 2023'!AX13</f>
        <v>4141.1999999992549</v>
      </c>
      <c r="AP13" s="233">
        <f>'[2]January - 2023'!AZ13</f>
        <v>14433153.84</v>
      </c>
      <c r="AQ13" s="218">
        <f>'[2]January - 2023'!BA13</f>
        <v>4677.1200000010431</v>
      </c>
      <c r="AR13" s="88">
        <f>'[2]January - 2023'!BA13</f>
        <v>4677.1200000010431</v>
      </c>
      <c r="AS13" s="233">
        <f>'[2]January - 2023'!BC13</f>
        <v>11261286.959999999</v>
      </c>
      <c r="AT13" s="218">
        <f>'[2]January - 2023'!BD13</f>
        <v>2777.0399999991059</v>
      </c>
      <c r="AU13" s="88">
        <f>'[2]January - 2023'!BD13</f>
        <v>2777.0399999991059</v>
      </c>
      <c r="AV13" s="233">
        <f>'[2]January - 2023'!BF13</f>
        <v>17855636.399999999</v>
      </c>
      <c r="AW13" s="230">
        <f>'[2]January - 2023'!BG13</f>
        <v>5602.8000000007451</v>
      </c>
      <c r="AX13" s="231">
        <f>'[2]January - 2023'!BG13</f>
        <v>5602.8000000007451</v>
      </c>
      <c r="AY13" s="463"/>
      <c r="AZ13" s="250">
        <f>'[2]January - 2023'!BM13</f>
        <v>78401800</v>
      </c>
      <c r="BA13" s="161">
        <f>'[2]January - 2023'!BN13</f>
        <v>40300</v>
      </c>
      <c r="BB13" s="89">
        <f>'[2]January - 2023'!BN13</f>
        <v>40300</v>
      </c>
      <c r="BC13" s="250">
        <f>'[2]January - 2023'!BP13</f>
        <v>81187800</v>
      </c>
      <c r="BD13" s="224">
        <f>'[2]January - 2023'!BQ13</f>
        <v>0</v>
      </c>
      <c r="BE13" s="89">
        <f>'[2]January - 2023'!BQ13</f>
        <v>0</v>
      </c>
      <c r="BF13" s="250">
        <f>'[2]January - 2023'!BS13</f>
        <v>75092800</v>
      </c>
      <c r="BG13" s="224">
        <f>'[2]January - 2023'!BT13</f>
        <v>0</v>
      </c>
      <c r="BH13" s="89">
        <f>'[2]January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'[2]January - 2023'!BV13</f>
        <v>10414050</v>
      </c>
      <c r="BT13" s="166">
        <f>'[2]January - 2023'!BW13</f>
        <v>7240</v>
      </c>
      <c r="BU13" s="559"/>
      <c r="BV13" s="84">
        <f>'[2]January - 2023'!BY13</f>
        <v>0.56000000000000005</v>
      </c>
      <c r="BW13" s="220">
        <f>'[2]January - 2023'!BZ13</f>
        <v>7.999999999999996E-2</v>
      </c>
      <c r="BX13" s="84">
        <f>'[2]January - 2023'!BZ13</f>
        <v>7.999999999999996E-2</v>
      </c>
      <c r="BY13" s="85">
        <f>'[2]January - 2023'!CB13</f>
        <v>64860</v>
      </c>
      <c r="BZ13" s="172">
        <f>'[2]January - 2023'!CC13</f>
        <v>19</v>
      </c>
      <c r="CA13" s="85">
        <f>'[2]January - 2023'!CD13</f>
        <v>55929</v>
      </c>
      <c r="CB13" s="172">
        <f>'[2]January - 2023'!CE13</f>
        <v>20</v>
      </c>
      <c r="CC13" s="85">
        <f>'[2]January - 2023'!CF13</f>
        <v>18925</v>
      </c>
      <c r="CD13" s="172">
        <f>'[2]January - 2023'!CG13</f>
        <v>8</v>
      </c>
      <c r="CE13" s="85">
        <f>'[2]January - 2023'!CH13</f>
        <v>25872</v>
      </c>
      <c r="CF13" s="172">
        <f>'[2]January - 2023'!CI13</f>
        <v>10</v>
      </c>
      <c r="CG13" s="85">
        <f>'[2]January - 2023'!CJ13</f>
        <v>28863</v>
      </c>
      <c r="CH13" s="172">
        <f>'[2]January - 2023'!CK13</f>
        <v>16</v>
      </c>
      <c r="CI13" s="85">
        <f>'[2]January - 2023'!CL13</f>
        <v>63416</v>
      </c>
      <c r="CJ13" s="172">
        <f>'[2]January - 2023'!CM13</f>
        <v>38</v>
      </c>
      <c r="CK13" s="85">
        <f>'[2]January - 2023'!CN13</f>
        <v>269989</v>
      </c>
      <c r="CL13" s="225">
        <f>'[2]January - 2023'!CO13</f>
        <v>73</v>
      </c>
      <c r="CM13" s="85">
        <f>'[2]January - 2023'!CO13</f>
        <v>73</v>
      </c>
      <c r="CN13" s="85">
        <f>'[2]January - 2023'!CQ13</f>
        <v>218045</v>
      </c>
      <c r="CO13" s="225">
        <f>'[2]January - 2023'!CR13</f>
        <v>120</v>
      </c>
      <c r="CP13" s="85">
        <f>'[2]January - 2023'!CR13</f>
        <v>120</v>
      </c>
      <c r="CQ13" s="85">
        <f>'[2]January - 2023'!CT13</f>
        <v>361881</v>
      </c>
      <c r="CR13" s="225">
        <f>'[2]January - 2023'!CU13</f>
        <v>277</v>
      </c>
      <c r="CS13" s="85">
        <f>'[2]January - 2023'!CU13</f>
        <v>277</v>
      </c>
      <c r="CT13" s="85">
        <f>'[2]January - 2023'!CW13</f>
        <v>699364</v>
      </c>
      <c r="CU13" s="172">
        <f>'[2]January - 2023'!CX13</f>
        <v>173</v>
      </c>
      <c r="CV13" s="487"/>
      <c r="CW13" s="234">
        <f>'[2]January - 2023'!CZ13</f>
        <v>9103</v>
      </c>
      <c r="CX13" s="179">
        <f>'[2]January - 2023'!DA13</f>
        <v>12</v>
      </c>
      <c r="CY13" s="235">
        <f>'[2]January - 2023'!DB13</f>
        <v>6181</v>
      </c>
      <c r="CZ13" s="179">
        <f>'[2]January - 2023'!DC13</f>
        <v>9</v>
      </c>
      <c r="DA13" s="235">
        <f>'[2]January - 2023'!DD13</f>
        <v>32575</v>
      </c>
      <c r="DB13" s="179">
        <f>'[2]January - 2023'!DE13</f>
        <v>16</v>
      </c>
      <c r="DC13" s="235">
        <f>'[2]January - 2023'!DF13</f>
        <v>32740</v>
      </c>
      <c r="DD13" s="179">
        <f>'[2]January - 2023'!DG13</f>
        <v>13</v>
      </c>
      <c r="DE13" s="235">
        <f>'[2]January - 2023'!DH13</f>
        <v>22144</v>
      </c>
      <c r="DF13" s="179">
        <f>'[2]January - 2023'!DI13</f>
        <v>11</v>
      </c>
      <c r="DG13" s="235">
        <f>'[2]January - 2023'!DJ13</f>
        <v>24217</v>
      </c>
      <c r="DH13" s="179">
        <f>'[2]January - 2023'!DK13</f>
        <v>7</v>
      </c>
      <c r="DI13" s="235">
        <f>'[2]January - 2023'!DL13</f>
        <v>7391</v>
      </c>
      <c r="DJ13" s="179">
        <f>'[2]January - 2023'!DM13</f>
        <v>11</v>
      </c>
      <c r="DK13" s="235">
        <f>'[2]January - 2023'!DN13</f>
        <v>9982</v>
      </c>
      <c r="DL13" s="179">
        <f>'[2]January - 2023'!DO13</f>
        <v>8</v>
      </c>
      <c r="DM13" s="235">
        <f>'[2]January - 2023'!DP13</f>
        <v>3380</v>
      </c>
      <c r="DN13" s="179">
        <f>'[2]January - 2023'!DQ13</f>
        <v>5</v>
      </c>
      <c r="DO13" s="235">
        <f>'[2]January - 2023'!DR13</f>
        <v>6678</v>
      </c>
      <c r="DP13" s="179">
        <f>'[2]January - 2023'!DS13</f>
        <v>9</v>
      </c>
      <c r="DQ13" s="235">
        <f>'[2]January - 2023'!DT13</f>
        <v>30396</v>
      </c>
      <c r="DR13" s="186">
        <f>'[2]January - 2023'!DU13</f>
        <v>3</v>
      </c>
      <c r="DS13" s="503"/>
      <c r="DT13" s="190">
        <f>'[2]January - 2023'!DW13</f>
        <v>6622.4</v>
      </c>
      <c r="DU13" s="201">
        <f>'[2]January - 2023'!DX13</f>
        <v>10.5</v>
      </c>
      <c r="DV13" s="87">
        <f>'[2]January - 2023'!DY13</f>
        <v>11497.9</v>
      </c>
      <c r="DW13" s="195">
        <f>'[2]January - 2023'!DZ13</f>
        <v>7.7999999999992724</v>
      </c>
      <c r="DX13" s="87">
        <f>'[2]January - 2023'!EA13</f>
        <v>4978.8</v>
      </c>
      <c r="DY13" s="195">
        <f>'[2]January - 2023'!EB13</f>
        <v>7</v>
      </c>
      <c r="DZ13" s="87">
        <f>'[2]January - 2023'!EC13</f>
        <v>5558.3</v>
      </c>
      <c r="EA13" s="195">
        <f>'[2]January - 2023'!ED13</f>
        <v>6.6000000000003638</v>
      </c>
      <c r="EB13" s="87">
        <f>'[2]January - 2023'!EE13</f>
        <v>1142047</v>
      </c>
      <c r="EC13" s="195">
        <f>'[2]January - 2023'!EF13</f>
        <v>543</v>
      </c>
      <c r="ED13" s="87">
        <f>'[2]January - 2023'!EI13</f>
        <v>235303.6</v>
      </c>
      <c r="EE13" s="208">
        <f>'[2]January - 2023'!EJ13</f>
        <v>131.60000000000582</v>
      </c>
      <c r="EF13" s="550"/>
      <c r="EG13" s="214">
        <f>'[2]January - 2023'!EL13</f>
        <v>12229400</v>
      </c>
      <c r="EH13" s="209">
        <f>'[2]January - 2023'!EM13</f>
        <v>2700</v>
      </c>
      <c r="EI13" s="86">
        <f>'[2]January - 2023'!EN13</f>
        <v>940090</v>
      </c>
      <c r="EJ13" s="209">
        <f>'[2]January - 2023'!EO13</f>
        <v>220</v>
      </c>
      <c r="EK13" s="86">
        <f>'[2]January - 2023'!EP13</f>
        <v>7267800</v>
      </c>
      <c r="EL13" s="209">
        <f>'[2]January - 2023'!EQ13</f>
        <v>1300</v>
      </c>
      <c r="EM13" s="86">
        <f>'[2]January - 2023'!ER13</f>
        <v>2505200</v>
      </c>
      <c r="EN13" s="209">
        <f>'[2]January - 2023'!ES13</f>
        <v>200</v>
      </c>
      <c r="EO13" s="86">
        <f>'[2]January - 2023'!ET13</f>
        <v>1294160</v>
      </c>
      <c r="EP13" s="209">
        <f>'[2]January - 2023'!EU13</f>
        <v>600</v>
      </c>
      <c r="EQ13" s="86">
        <f>'[2]January - 2023'!EV13</f>
        <v>16691000</v>
      </c>
      <c r="ER13" s="209">
        <f>'[2]January - 2023'!EW13</f>
        <v>2000</v>
      </c>
      <c r="ES13" s="525"/>
      <c r="ET13" s="256">
        <f>'[2]January - 2023'!EY13</f>
        <v>42544</v>
      </c>
      <c r="EU13" s="253">
        <f>'[2]January - 2023'!EZ13</f>
        <v>15</v>
      </c>
      <c r="EV13" s="257">
        <f>'[2]January - 2023'!FA13</f>
        <v>37152</v>
      </c>
      <c r="EW13" s="253">
        <f>'[2]January - 2023'!FB13</f>
        <v>16</v>
      </c>
      <c r="EX13" s="257">
        <f>'[2]January - 2023'!FC13</f>
        <v>7789</v>
      </c>
      <c r="EY13" s="253">
        <f>'[2]January - 2023'!FD13</f>
        <v>10</v>
      </c>
      <c r="EZ13" s="257">
        <f>'[2]January - 2023'!FE13</f>
        <v>59666</v>
      </c>
      <c r="FA13" s="253">
        <f>'[2]January - 2023'!FF13</f>
        <v>19</v>
      </c>
      <c r="FB13" s="257">
        <f>'[2]January - 2023'!FG13</f>
        <v>50442</v>
      </c>
      <c r="FC13" s="254">
        <f>'[2]January - 2023'!FH13</f>
        <v>38</v>
      </c>
    </row>
    <row r="14" spans="1:159" ht="30" customHeight="1">
      <c r="A14" s="187">
        <v>44931</v>
      </c>
      <c r="B14" s="189">
        <f>'[2]January - 2023'!B14</f>
        <v>0.7</v>
      </c>
      <c r="C14" s="229">
        <f>'[2]January - 2023'!E14</f>
        <v>228464</v>
      </c>
      <c r="D14" s="152">
        <f>'[2]January - 2023'!F14</f>
        <v>655</v>
      </c>
      <c r="E14" s="150">
        <f>'[2]January - 2023'!G14</f>
        <v>860</v>
      </c>
      <c r="F14" s="150">
        <f>'[2]January - 2023'!H14</f>
        <v>254241</v>
      </c>
      <c r="G14" s="152">
        <f>'[2]January - 2023'!I14</f>
        <v>431</v>
      </c>
      <c r="H14" s="150">
        <f>'[2]January - 2023'!J14</f>
        <v>559.82000000000698</v>
      </c>
      <c r="I14" s="150">
        <f>'[2]January - 2023'!K14</f>
        <v>11185</v>
      </c>
      <c r="J14" s="152">
        <f>'[2]January - 2023'!L14</f>
        <v>204</v>
      </c>
      <c r="K14" s="150">
        <f>'[2]January - 2023'!N14</f>
        <v>925510</v>
      </c>
      <c r="L14" s="152">
        <f>'[2]January - 2023'!O14</f>
        <v>294</v>
      </c>
      <c r="M14" s="150">
        <f>'[2]January - 2023'!Q14</f>
        <v>245382</v>
      </c>
      <c r="N14" s="152">
        <f>'[2]January - 2023'!R14</f>
        <v>0</v>
      </c>
      <c r="O14" s="150">
        <f>'[2]January - 2023'!U14</f>
        <v>118613</v>
      </c>
      <c r="P14" s="152">
        <f>'[2]January - 2023'!V14</f>
        <v>93</v>
      </c>
      <c r="Q14" s="150">
        <f>'[2]January - 2023'!W14</f>
        <v>62.900000000001455</v>
      </c>
      <c r="R14" s="150">
        <f>'[2]January - 2023'!X14</f>
        <v>6568</v>
      </c>
      <c r="S14" s="188">
        <f>'[2]January - 2023'!Y14</f>
        <v>8</v>
      </c>
      <c r="T14" s="446"/>
      <c r="U14" s="247">
        <f>'[2]January - 2023'!AE14</f>
        <v>8219843.5199999996</v>
      </c>
      <c r="V14" s="218">
        <f>'[2]January - 2023'!AF14</f>
        <v>2582.160000000149</v>
      </c>
      <c r="W14" s="88">
        <f>'[2]January - 2023'!AF14</f>
        <v>2582.160000000149</v>
      </c>
      <c r="X14" s="233">
        <f>'[2]January - 2023'!AH14</f>
        <v>15601264.559999999</v>
      </c>
      <c r="Y14" s="218">
        <f>'[2]January - 2023'!AI14</f>
        <v>4579.6799999978393</v>
      </c>
      <c r="Z14" s="88">
        <f>'[2]January - 2023'!AI14</f>
        <v>4579.6799999978393</v>
      </c>
      <c r="AA14" s="233">
        <f>'[2]January - 2023'!AK14</f>
        <v>15878822.4</v>
      </c>
      <c r="AB14" s="218">
        <f>'[2]January - 2023'!AL14</f>
        <v>9256.8000000007451</v>
      </c>
      <c r="AC14" s="88">
        <f>'[2]January - 2023'!AL14</f>
        <v>9256.8000000007451</v>
      </c>
      <c r="AD14" s="233">
        <f>'[2]January - 2023'!AN14</f>
        <v>18967524.239999998</v>
      </c>
      <c r="AE14" s="218">
        <f>'[2]January - 2023'!AO14</f>
        <v>97.439999997615814</v>
      </c>
      <c r="AF14" s="88">
        <f>'[2]January - 2023'!AO14</f>
        <v>97.439999997615814</v>
      </c>
      <c r="AG14" s="233">
        <f>'[2]January - 2023'!AQ14</f>
        <v>19227981.359999999</v>
      </c>
      <c r="AH14" s="218">
        <f>'[2]January - 2023'!AR14</f>
        <v>48.720000002533197</v>
      </c>
      <c r="AI14" s="88">
        <f>'[2]January - 2023'!AR14</f>
        <v>48.720000002533197</v>
      </c>
      <c r="AJ14" s="233">
        <f>'[2]January - 2023'!AT14</f>
        <v>17720633.280000001</v>
      </c>
      <c r="AK14" s="218">
        <f>'[2]January - 2023'!AU14</f>
        <v>5407.9200000017881</v>
      </c>
      <c r="AL14" s="88">
        <f>'[2]January - 2023'!AU14</f>
        <v>5407.9200000017881</v>
      </c>
      <c r="AM14" s="233">
        <f>'[2]January - 2023'!AW14</f>
        <v>14904422.4</v>
      </c>
      <c r="AN14" s="218">
        <f>'[2]January - 2023'!AX14</f>
        <v>4092.4800000023097</v>
      </c>
      <c r="AO14" s="88">
        <f>'[2]January - 2023'!AX14</f>
        <v>4092.4800000023097</v>
      </c>
      <c r="AP14" s="233">
        <f>'[2]January - 2023'!AZ14</f>
        <v>14437733.52</v>
      </c>
      <c r="AQ14" s="218">
        <f>'[2]January - 2023'!BA14</f>
        <v>4579.679999999702</v>
      </c>
      <c r="AR14" s="88">
        <f>'[2]January - 2023'!BA14</f>
        <v>4579.679999999702</v>
      </c>
      <c r="AS14" s="233">
        <f>'[2]January - 2023'!BC14</f>
        <v>11264307.6</v>
      </c>
      <c r="AT14" s="218">
        <f>'[2]January - 2023'!BD14</f>
        <v>3020.640000000596</v>
      </c>
      <c r="AU14" s="88">
        <f>'[2]January - 2023'!BD14</f>
        <v>3020.640000000596</v>
      </c>
      <c r="AV14" s="233">
        <f>'[2]January - 2023'!BF14</f>
        <v>17861385.359999999</v>
      </c>
      <c r="AW14" s="230">
        <f>'[2]January - 2023'!BG14</f>
        <v>5748.9600000008941</v>
      </c>
      <c r="AX14" s="231">
        <f>'[2]January - 2023'!BG14</f>
        <v>5748.9600000008941</v>
      </c>
      <c r="AY14" s="463"/>
      <c r="AZ14" s="250">
        <f>'[2]January - 2023'!BM14</f>
        <v>78448600</v>
      </c>
      <c r="BA14" s="161">
        <f>'[2]January - 2023'!BN14</f>
        <v>46800</v>
      </c>
      <c r="BB14" s="89">
        <f>'[2]January - 2023'!BN14</f>
        <v>46800</v>
      </c>
      <c r="BC14" s="250">
        <f>'[2]January - 2023'!BP14</f>
        <v>81187800</v>
      </c>
      <c r="BD14" s="224">
        <f>'[2]January - 2023'!BQ14</f>
        <v>0</v>
      </c>
      <c r="BE14" s="89">
        <f>'[2]January - 2023'!BQ14</f>
        <v>0</v>
      </c>
      <c r="BF14" s="250">
        <f>'[2]January - 2023'!BS14</f>
        <v>75092800</v>
      </c>
      <c r="BG14" s="224">
        <f>'[2]January - 2023'!BT14</f>
        <v>0</v>
      </c>
      <c r="BH14" s="89">
        <f>'[2]January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'[2]January - 2023'!BV14</f>
        <v>10421470</v>
      </c>
      <c r="BT14" s="166">
        <f>'[2]January - 2023'!BW14</f>
        <v>7420</v>
      </c>
      <c r="BU14" s="559"/>
      <c r="BV14" s="84">
        <f>'[2]January - 2023'!BY14</f>
        <v>0.69</v>
      </c>
      <c r="BW14" s="220">
        <f>'[2]January - 2023'!BZ14</f>
        <v>-0.12999999999999989</v>
      </c>
      <c r="BX14" s="84">
        <f>'[2]January - 2023'!BZ14</f>
        <v>-0.12999999999999989</v>
      </c>
      <c r="BY14" s="85">
        <f>'[2]January - 2023'!CB14</f>
        <v>64879</v>
      </c>
      <c r="BZ14" s="172">
        <f>'[2]January - 2023'!CC14</f>
        <v>19</v>
      </c>
      <c r="CA14" s="85">
        <f>'[2]January - 2023'!CD14</f>
        <v>55948</v>
      </c>
      <c r="CB14" s="172">
        <f>'[2]January - 2023'!CE14</f>
        <v>19</v>
      </c>
      <c r="CC14" s="85">
        <f>'[2]January - 2023'!CF14</f>
        <v>18931</v>
      </c>
      <c r="CD14" s="172">
        <f>'[2]January - 2023'!CG14</f>
        <v>6</v>
      </c>
      <c r="CE14" s="85">
        <f>'[2]January - 2023'!CH14</f>
        <v>25880</v>
      </c>
      <c r="CF14" s="172">
        <f>'[2]January - 2023'!CI14</f>
        <v>8</v>
      </c>
      <c r="CG14" s="85">
        <f>'[2]January - 2023'!CJ14</f>
        <v>28876</v>
      </c>
      <c r="CH14" s="172">
        <f>'[2]January - 2023'!CK14</f>
        <v>13</v>
      </c>
      <c r="CI14" s="85">
        <f>'[2]January - 2023'!CL14</f>
        <v>63451</v>
      </c>
      <c r="CJ14" s="172">
        <f>'[2]January - 2023'!CM14</f>
        <v>35</v>
      </c>
      <c r="CK14" s="85">
        <f>'[2]January - 2023'!CN14</f>
        <v>270061</v>
      </c>
      <c r="CL14" s="225">
        <f>'[2]January - 2023'!CO14</f>
        <v>72</v>
      </c>
      <c r="CM14" s="85">
        <f>'[2]January - 2023'!CO14</f>
        <v>72</v>
      </c>
      <c r="CN14" s="85">
        <f>'[2]January - 2023'!CQ14</f>
        <v>218162</v>
      </c>
      <c r="CO14" s="225">
        <f>'[2]January - 2023'!CR14</f>
        <v>117</v>
      </c>
      <c r="CP14" s="85">
        <f>'[2]January - 2023'!CR14</f>
        <v>117</v>
      </c>
      <c r="CQ14" s="85">
        <f>'[2]January - 2023'!CT14</f>
        <v>362161</v>
      </c>
      <c r="CR14" s="225">
        <f>'[2]January - 2023'!CU14</f>
        <v>280</v>
      </c>
      <c r="CS14" s="85">
        <f>'[2]January - 2023'!CU14</f>
        <v>280</v>
      </c>
      <c r="CT14" s="85">
        <f>'[2]January - 2023'!CW14</f>
        <v>699536</v>
      </c>
      <c r="CU14" s="172">
        <f>'[2]January - 2023'!CX14</f>
        <v>172</v>
      </c>
      <c r="CV14" s="487"/>
      <c r="CW14" s="234">
        <f>'[2]January - 2023'!CZ14</f>
        <v>9113</v>
      </c>
      <c r="CX14" s="179">
        <f>'[2]January - 2023'!DA14</f>
        <v>10</v>
      </c>
      <c r="CY14" s="235">
        <f>'[2]January - 2023'!DB14</f>
        <v>6187</v>
      </c>
      <c r="CZ14" s="179">
        <f>'[2]January - 2023'!DC14</f>
        <v>6</v>
      </c>
      <c r="DA14" s="235">
        <f>'[2]January - 2023'!DD14</f>
        <v>32592</v>
      </c>
      <c r="DB14" s="179">
        <f>'[2]January - 2023'!DE14</f>
        <v>17</v>
      </c>
      <c r="DC14" s="235">
        <f>'[2]January - 2023'!DF14</f>
        <v>32755</v>
      </c>
      <c r="DD14" s="179">
        <f>'[2]January - 2023'!DG14</f>
        <v>15</v>
      </c>
      <c r="DE14" s="235">
        <f>'[2]January - 2023'!DH14</f>
        <v>22156</v>
      </c>
      <c r="DF14" s="179">
        <f>'[2]January - 2023'!DI14</f>
        <v>12</v>
      </c>
      <c r="DG14" s="235">
        <f>'[2]January - 2023'!DJ14</f>
        <v>24224</v>
      </c>
      <c r="DH14" s="179">
        <f>'[2]January - 2023'!DK14</f>
        <v>7</v>
      </c>
      <c r="DI14" s="235">
        <f>'[2]January - 2023'!DL14</f>
        <v>7400</v>
      </c>
      <c r="DJ14" s="179">
        <f>'[2]January - 2023'!DM14</f>
        <v>9</v>
      </c>
      <c r="DK14" s="235">
        <f>'[2]January - 2023'!DN14</f>
        <v>9991</v>
      </c>
      <c r="DL14" s="179">
        <f>'[2]January - 2023'!DO14</f>
        <v>9</v>
      </c>
      <c r="DM14" s="235">
        <f>'[2]January - 2023'!DP14</f>
        <v>3385</v>
      </c>
      <c r="DN14" s="179">
        <f>'[2]January - 2023'!DQ14</f>
        <v>5</v>
      </c>
      <c r="DO14" s="235">
        <f>'[2]January - 2023'!DR14</f>
        <v>6686</v>
      </c>
      <c r="DP14" s="179">
        <f>'[2]January - 2023'!DS14</f>
        <v>8</v>
      </c>
      <c r="DQ14" s="235">
        <f>'[2]January - 2023'!DT14</f>
        <v>30405</v>
      </c>
      <c r="DR14" s="186">
        <f>'[2]January - 2023'!DU14</f>
        <v>9</v>
      </c>
      <c r="DS14" s="503"/>
      <c r="DT14" s="190">
        <f>'[2]January - 2023'!DW14</f>
        <v>6633</v>
      </c>
      <c r="DU14" s="201">
        <f>'[2]January - 2023'!DX14</f>
        <v>10.600000000000364</v>
      </c>
      <c r="DV14" s="87">
        <f>'[2]January - 2023'!DY14</f>
        <v>11505.5</v>
      </c>
      <c r="DW14" s="195">
        <f>'[2]January - 2023'!DZ14</f>
        <v>7.6000000000003638</v>
      </c>
      <c r="DX14" s="87">
        <f>'[2]January - 2023'!EA14</f>
        <v>4985.8</v>
      </c>
      <c r="DY14" s="195">
        <f>'[2]January - 2023'!EB14</f>
        <v>7</v>
      </c>
      <c r="DZ14" s="87">
        <f>'[2]January - 2023'!EC14</f>
        <v>5564.9</v>
      </c>
      <c r="EA14" s="195">
        <f>'[2]January - 2023'!ED14</f>
        <v>6.5999999999994543</v>
      </c>
      <c r="EB14" s="87">
        <f>'[2]January - 2023'!EE14</f>
        <v>1142592</v>
      </c>
      <c r="EC14" s="195">
        <f>'[2]January - 2023'!EF14</f>
        <v>545</v>
      </c>
      <c r="ED14" s="87">
        <f>'[2]January - 2023'!EI14</f>
        <v>235433.8</v>
      </c>
      <c r="EE14" s="208">
        <f>'[2]January - 2023'!EJ14</f>
        <v>130.19999999998254</v>
      </c>
      <c r="EF14" s="550"/>
      <c r="EG14" s="214">
        <f>'[2]January - 2023'!EL14</f>
        <v>12232600</v>
      </c>
      <c r="EH14" s="209">
        <f>'[2]January - 2023'!EM14</f>
        <v>3200</v>
      </c>
      <c r="EI14" s="86">
        <f>'[2]January - 2023'!EN14</f>
        <v>940330</v>
      </c>
      <c r="EJ14" s="209">
        <f>'[2]January - 2023'!EO14</f>
        <v>240</v>
      </c>
      <c r="EK14" s="86">
        <f>'[2]January - 2023'!EP14</f>
        <v>7269300</v>
      </c>
      <c r="EL14" s="209">
        <f>'[2]January - 2023'!EQ14</f>
        <v>1500</v>
      </c>
      <c r="EM14" s="86">
        <f>'[2]January - 2023'!ER14</f>
        <v>2505400</v>
      </c>
      <c r="EN14" s="209">
        <f>'[2]January - 2023'!ES14</f>
        <v>200</v>
      </c>
      <c r="EO14" s="86">
        <f>'[2]January - 2023'!ET14</f>
        <v>1294520</v>
      </c>
      <c r="EP14" s="209">
        <f>'[2]January - 2023'!EU14</f>
        <v>360</v>
      </c>
      <c r="EQ14" s="86">
        <f>'[2]January - 2023'!EV14</f>
        <v>16694000</v>
      </c>
      <c r="ER14" s="209">
        <f>'[2]January - 2023'!EW14</f>
        <v>3000</v>
      </c>
      <c r="ES14" s="525"/>
      <c r="ET14" s="256">
        <f>'[2]January - 2023'!EY14</f>
        <v>42560</v>
      </c>
      <c r="EU14" s="253">
        <f>'[2]January - 2023'!EZ14</f>
        <v>16</v>
      </c>
      <c r="EV14" s="257">
        <f>'[2]January - 2023'!FA14</f>
        <v>37166</v>
      </c>
      <c r="EW14" s="253">
        <f>'[2]January - 2023'!FB14</f>
        <v>14</v>
      </c>
      <c r="EX14" s="257">
        <f>'[2]January - 2023'!FC14</f>
        <v>7797</v>
      </c>
      <c r="EY14" s="253">
        <f>'[2]January - 2023'!FD14</f>
        <v>8</v>
      </c>
      <c r="EZ14" s="257">
        <f>'[2]January - 2023'!FE14</f>
        <v>59681</v>
      </c>
      <c r="FA14" s="253">
        <f>'[2]January - 2023'!FF14</f>
        <v>15</v>
      </c>
      <c r="FB14" s="257">
        <f>'[2]January - 2023'!FG14</f>
        <v>50476</v>
      </c>
      <c r="FC14" s="254">
        <f>'[2]January - 2023'!FH14</f>
        <v>34</v>
      </c>
    </row>
    <row r="15" spans="1:159" ht="30" customHeight="1">
      <c r="A15" s="187">
        <v>44932</v>
      </c>
      <c r="B15" s="189">
        <f>'[2]January - 2023'!B15</f>
        <v>0.72</v>
      </c>
      <c r="C15" s="229">
        <f>'[2]January - 2023'!E15</f>
        <v>229066</v>
      </c>
      <c r="D15" s="152">
        <f>'[2]January - 2023'!F15</f>
        <v>602</v>
      </c>
      <c r="E15" s="150">
        <f>'[2]January - 2023'!G15</f>
        <v>683</v>
      </c>
      <c r="F15" s="150">
        <f>'[2]January - 2023'!H15</f>
        <v>254709</v>
      </c>
      <c r="G15" s="152">
        <f>'[2]January - 2023'!I15</f>
        <v>468</v>
      </c>
      <c r="H15" s="150">
        <f>'[2]January - 2023'!J15</f>
        <v>466</v>
      </c>
      <c r="I15" s="150">
        <f>'[2]January - 2023'!K15</f>
        <v>11387</v>
      </c>
      <c r="J15" s="152">
        <f>'[2]January - 2023'!L15</f>
        <v>202</v>
      </c>
      <c r="K15" s="150">
        <f>'[2]January - 2023'!N15</f>
        <v>925721</v>
      </c>
      <c r="L15" s="152">
        <f>'[2]January - 2023'!O15</f>
        <v>211</v>
      </c>
      <c r="M15" s="150">
        <f>'[2]January - 2023'!Q15</f>
        <v>245382</v>
      </c>
      <c r="N15" s="152">
        <f>'[2]January - 2023'!R15</f>
        <v>0</v>
      </c>
      <c r="O15" s="150">
        <f>'[2]January - 2023'!U15</f>
        <v>118695</v>
      </c>
      <c r="P15" s="152">
        <f>'[2]January - 2023'!V15</f>
        <v>82</v>
      </c>
      <c r="Q15" s="150">
        <f>'[2]January - 2023'!W15</f>
        <v>61.909999999996217</v>
      </c>
      <c r="R15" s="150">
        <f>'[2]January - 2023'!X15</f>
        <v>6580</v>
      </c>
      <c r="S15" s="188">
        <f>'[2]January - 2023'!Y15</f>
        <v>12</v>
      </c>
      <c r="T15" s="446"/>
      <c r="U15" s="247">
        <f>'[2]January - 2023'!AE15</f>
        <v>8222425.6800000006</v>
      </c>
      <c r="V15" s="218">
        <f>'[2]January - 2023'!AF15</f>
        <v>2582.1600000010803</v>
      </c>
      <c r="W15" s="88">
        <f>'[2]January - 2023'!AF15</f>
        <v>2582.1600000010803</v>
      </c>
      <c r="X15" s="233">
        <f>'[2]January - 2023'!AH15</f>
        <v>15605990.4</v>
      </c>
      <c r="Y15" s="218">
        <f>'[2]January - 2023'!AI15</f>
        <v>4725.8400000017136</v>
      </c>
      <c r="Z15" s="88">
        <f>'[2]January - 2023'!AI15</f>
        <v>4725.8400000017136</v>
      </c>
      <c r="AA15" s="233">
        <f>'[2]January - 2023'!AK15</f>
        <v>15887592</v>
      </c>
      <c r="AB15" s="218">
        <f>'[2]January - 2023'!AL15</f>
        <v>8769.5999999996275</v>
      </c>
      <c r="AC15" s="88">
        <f>'[2]January - 2023'!AL15</f>
        <v>8769.5999999996275</v>
      </c>
      <c r="AD15" s="233">
        <f>'[2]January - 2023'!AN15</f>
        <v>18967524.239999998</v>
      </c>
      <c r="AE15" s="218">
        <f>'[2]January - 2023'!AO15</f>
        <v>0</v>
      </c>
      <c r="AF15" s="88">
        <f>'[2]January - 2023'!AO15</f>
        <v>0</v>
      </c>
      <c r="AG15" s="233">
        <f>'[2]January - 2023'!AQ15</f>
        <v>19228127.52</v>
      </c>
      <c r="AH15" s="218">
        <f>'[2]January - 2023'!AR15</f>
        <v>146.16000000014901</v>
      </c>
      <c r="AI15" s="88">
        <f>'[2]January - 2023'!AR15</f>
        <v>146.16000000014901</v>
      </c>
      <c r="AJ15" s="233">
        <f>'[2]January - 2023'!AT15</f>
        <v>17726089.919999998</v>
      </c>
      <c r="AK15" s="218">
        <f>'[2]January - 2023'!AU15</f>
        <v>5456.6399999968708</v>
      </c>
      <c r="AL15" s="88">
        <f>'[2]January - 2023'!AU15</f>
        <v>5456.6399999968708</v>
      </c>
      <c r="AM15" s="233">
        <f>'[2]January - 2023'!AW15</f>
        <v>14908807.199999999</v>
      </c>
      <c r="AN15" s="218">
        <f>'[2]January - 2023'!AX15</f>
        <v>4384.7999999988824</v>
      </c>
      <c r="AO15" s="88">
        <f>'[2]January - 2023'!AX15</f>
        <v>4384.7999999988824</v>
      </c>
      <c r="AP15" s="233">
        <f>'[2]January - 2023'!AZ15</f>
        <v>14442508.08</v>
      </c>
      <c r="AQ15" s="218">
        <f>'[2]January - 2023'!BA15</f>
        <v>4774.5600000005215</v>
      </c>
      <c r="AR15" s="88">
        <f>'[2]January - 2023'!BA15</f>
        <v>4774.5600000005215</v>
      </c>
      <c r="AS15" s="233">
        <f>'[2]January - 2023'!BC15</f>
        <v>11267523.119999999</v>
      </c>
      <c r="AT15" s="218">
        <f>'[2]January - 2023'!BD15</f>
        <v>3215.519999999553</v>
      </c>
      <c r="AU15" s="88">
        <f>'[2]January - 2023'!BD15</f>
        <v>3215.519999999553</v>
      </c>
      <c r="AV15" s="233">
        <f>'[2]January - 2023'!BF15</f>
        <v>17867183.039999999</v>
      </c>
      <c r="AW15" s="230">
        <f>'[2]January - 2023'!BG15</f>
        <v>5797.679999999702</v>
      </c>
      <c r="AX15" s="231">
        <f>'[2]January - 2023'!BG15</f>
        <v>5797.679999999702</v>
      </c>
      <c r="AY15" s="463"/>
      <c r="AZ15" s="250">
        <f>'[2]January - 2023'!BM15</f>
        <v>78492800</v>
      </c>
      <c r="BA15" s="161">
        <f>'[2]January - 2023'!BN15</f>
        <v>44200</v>
      </c>
      <c r="BB15" s="89">
        <f>'[2]January - 2023'!BN15</f>
        <v>44200</v>
      </c>
      <c r="BC15" s="250">
        <f>'[2]January - 2023'!BP15</f>
        <v>81187800</v>
      </c>
      <c r="BD15" s="224">
        <f>'[2]January - 2023'!BQ15</f>
        <v>0</v>
      </c>
      <c r="BE15" s="89">
        <f>'[2]January - 2023'!BQ15</f>
        <v>0</v>
      </c>
      <c r="BF15" s="250">
        <f>'[2]January - 2023'!BS15</f>
        <v>75092800</v>
      </c>
      <c r="BG15" s="224">
        <f>'[2]January - 2023'!BT15</f>
        <v>0</v>
      </c>
      <c r="BH15" s="89">
        <f>'[2]January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'[2]January - 2023'!BV15</f>
        <v>10428580</v>
      </c>
      <c r="BT15" s="166">
        <f>'[2]January - 2023'!BW15</f>
        <v>7110</v>
      </c>
      <c r="BU15" s="559"/>
      <c r="BV15" s="84">
        <f>'[2]January - 2023'!BY15</f>
        <v>0.6</v>
      </c>
      <c r="BW15" s="220">
        <f>'[2]January - 2023'!BZ15</f>
        <v>8.9999999999999969E-2</v>
      </c>
      <c r="BX15" s="84">
        <f>'[2]January - 2023'!BZ15</f>
        <v>8.9999999999999969E-2</v>
      </c>
      <c r="BY15" s="85">
        <f>'[2]January - 2023'!CB15</f>
        <v>64900</v>
      </c>
      <c r="BZ15" s="172">
        <f>'[2]January - 2023'!CC15</f>
        <v>21</v>
      </c>
      <c r="CA15" s="85">
        <f>'[2]January - 2023'!CD15</f>
        <v>55968</v>
      </c>
      <c r="CB15" s="172">
        <f>'[2]January - 2023'!CE15</f>
        <v>20</v>
      </c>
      <c r="CC15" s="85">
        <f>'[2]January - 2023'!CF15</f>
        <v>18938</v>
      </c>
      <c r="CD15" s="172">
        <f>'[2]January - 2023'!CG15</f>
        <v>7</v>
      </c>
      <c r="CE15" s="85">
        <f>'[2]January - 2023'!CH15</f>
        <v>25889</v>
      </c>
      <c r="CF15" s="172">
        <f>'[2]January - 2023'!CI15</f>
        <v>9</v>
      </c>
      <c r="CG15" s="85">
        <f>'[2]January - 2023'!CJ15</f>
        <v>28890</v>
      </c>
      <c r="CH15" s="172">
        <f>'[2]January - 2023'!CK15</f>
        <v>14</v>
      </c>
      <c r="CI15" s="85">
        <f>'[2]January - 2023'!CL15</f>
        <v>63487</v>
      </c>
      <c r="CJ15" s="172">
        <f>'[2]January - 2023'!CM15</f>
        <v>36</v>
      </c>
      <c r="CK15" s="85">
        <f>'[2]January - 2023'!CN15</f>
        <v>270134</v>
      </c>
      <c r="CL15" s="225">
        <f>'[2]January - 2023'!CO15</f>
        <v>73</v>
      </c>
      <c r="CM15" s="85">
        <f>'[2]January - 2023'!CO15</f>
        <v>73</v>
      </c>
      <c r="CN15" s="85">
        <f>'[2]January - 2023'!CQ15</f>
        <v>218283</v>
      </c>
      <c r="CO15" s="225">
        <f>'[2]January - 2023'!CR15</f>
        <v>121</v>
      </c>
      <c r="CP15" s="85">
        <f>'[2]January - 2023'!CR15</f>
        <v>121</v>
      </c>
      <c r="CQ15" s="85">
        <f>'[2]January - 2023'!CT15</f>
        <v>362441</v>
      </c>
      <c r="CR15" s="225">
        <f>'[2]January - 2023'!CU15</f>
        <v>280</v>
      </c>
      <c r="CS15" s="85">
        <f>'[2]January - 2023'!CU15</f>
        <v>280</v>
      </c>
      <c r="CT15" s="85">
        <f>'[2]January - 2023'!CW15</f>
        <v>699712</v>
      </c>
      <c r="CU15" s="172">
        <f>'[2]January - 2023'!CX15</f>
        <v>176</v>
      </c>
      <c r="CV15" s="487"/>
      <c r="CW15" s="234">
        <f>'[2]January - 2023'!CZ15</f>
        <v>9123</v>
      </c>
      <c r="CX15" s="179">
        <f>'[2]January - 2023'!DA15</f>
        <v>10</v>
      </c>
      <c r="CY15" s="235">
        <f>'[2]January - 2023'!DB15</f>
        <v>6194</v>
      </c>
      <c r="CZ15" s="179">
        <f>'[2]January - 2023'!DC15</f>
        <v>7</v>
      </c>
      <c r="DA15" s="235">
        <f>'[2]January - 2023'!DD15</f>
        <v>32608</v>
      </c>
      <c r="DB15" s="179">
        <f>'[2]January - 2023'!DE15</f>
        <v>16</v>
      </c>
      <c r="DC15" s="235">
        <f>'[2]January - 2023'!DF15</f>
        <v>32770</v>
      </c>
      <c r="DD15" s="179">
        <f>'[2]January - 2023'!DG15</f>
        <v>15</v>
      </c>
      <c r="DE15" s="235">
        <f>'[2]January - 2023'!DH15</f>
        <v>22168</v>
      </c>
      <c r="DF15" s="179">
        <f>'[2]January - 2023'!DI15</f>
        <v>12</v>
      </c>
      <c r="DG15" s="235">
        <f>'[2]January - 2023'!DJ15</f>
        <v>24232</v>
      </c>
      <c r="DH15" s="179">
        <f>'[2]January - 2023'!DK15</f>
        <v>8</v>
      </c>
      <c r="DI15" s="235">
        <f>'[2]January - 2023'!DL15</f>
        <v>7410</v>
      </c>
      <c r="DJ15" s="179">
        <f>'[2]January - 2023'!DM15</f>
        <v>10</v>
      </c>
      <c r="DK15" s="235">
        <f>'[2]January - 2023'!DN15</f>
        <v>10001</v>
      </c>
      <c r="DL15" s="179">
        <f>'[2]January - 2023'!DO15</f>
        <v>10</v>
      </c>
      <c r="DM15" s="235">
        <f>'[2]January - 2023'!DP15</f>
        <v>3390</v>
      </c>
      <c r="DN15" s="179">
        <f>'[2]January - 2023'!DQ15</f>
        <v>5</v>
      </c>
      <c r="DO15" s="235">
        <f>'[2]January - 2023'!DR15</f>
        <v>6695</v>
      </c>
      <c r="DP15" s="179">
        <f>'[2]January - 2023'!DS15</f>
        <v>9</v>
      </c>
      <c r="DQ15" s="235">
        <f>'[2]January - 2023'!DT15</f>
        <v>30412</v>
      </c>
      <c r="DR15" s="186">
        <f>'[2]January - 2023'!DU15</f>
        <v>7</v>
      </c>
      <c r="DS15" s="503"/>
      <c r="DT15" s="190">
        <f>'[2]January - 2023'!DW15</f>
        <v>6643.8</v>
      </c>
      <c r="DU15" s="201">
        <f>'[2]January - 2023'!DX15</f>
        <v>10.800000000000182</v>
      </c>
      <c r="DV15" s="87">
        <f>'[2]January - 2023'!DY15</f>
        <v>11513.4</v>
      </c>
      <c r="DW15" s="195">
        <f>'[2]January - 2023'!DZ15</f>
        <v>7.8999999999996362</v>
      </c>
      <c r="DX15" s="87">
        <f>'[2]January - 2023'!EA15</f>
        <v>4992.8999999999996</v>
      </c>
      <c r="DY15" s="195">
        <f>'[2]January - 2023'!EB15</f>
        <v>7.0999999999994543</v>
      </c>
      <c r="DZ15" s="87">
        <f>'[2]January - 2023'!EC15</f>
        <v>5572.4</v>
      </c>
      <c r="EA15" s="195">
        <f>'[2]January - 2023'!ED15</f>
        <v>7.5</v>
      </c>
      <c r="EB15" s="87">
        <f>'[2]January - 2023'!EE15</f>
        <v>1143169</v>
      </c>
      <c r="EC15" s="195">
        <f>'[2]January - 2023'!EF15</f>
        <v>577</v>
      </c>
      <c r="ED15" s="87">
        <f>'[2]January - 2023'!EI15</f>
        <v>235568.8</v>
      </c>
      <c r="EE15" s="208">
        <f>'[2]January - 2023'!EJ15</f>
        <v>135</v>
      </c>
      <c r="EF15" s="550"/>
      <c r="EG15" s="214">
        <f>'[2]January - 2023'!EL15</f>
        <v>12235000</v>
      </c>
      <c r="EH15" s="209">
        <f>'[2]January - 2023'!EM15</f>
        <v>2400</v>
      </c>
      <c r="EI15" s="86">
        <f>'[2]January - 2023'!EN15</f>
        <v>940570</v>
      </c>
      <c r="EJ15" s="209">
        <f>'[2]January - 2023'!EO15</f>
        <v>240</v>
      </c>
      <c r="EK15" s="86">
        <f>'[2]January - 2023'!EP15</f>
        <v>7270600</v>
      </c>
      <c r="EL15" s="209">
        <f>'[2]January - 2023'!EQ15</f>
        <v>1300</v>
      </c>
      <c r="EM15" s="86">
        <f>'[2]January - 2023'!ER15</f>
        <v>2505600</v>
      </c>
      <c r="EN15" s="209">
        <f>'[2]January - 2023'!ES15</f>
        <v>200</v>
      </c>
      <c r="EO15" s="86">
        <f>'[2]January - 2023'!ET15</f>
        <v>1294920</v>
      </c>
      <c r="EP15" s="209">
        <f>'[2]January - 2023'!EU15</f>
        <v>400</v>
      </c>
      <c r="EQ15" s="86">
        <f>'[2]January - 2023'!EV15</f>
        <v>16697000</v>
      </c>
      <c r="ER15" s="209">
        <f>'[2]January - 2023'!EW15</f>
        <v>3000</v>
      </c>
      <c r="ES15" s="525"/>
      <c r="ET15" s="256">
        <f>'[2]January - 2023'!EY15</f>
        <v>42577</v>
      </c>
      <c r="EU15" s="253">
        <f>'[2]January - 2023'!EZ15</f>
        <v>17</v>
      </c>
      <c r="EV15" s="257">
        <f>'[2]January - 2023'!FA15</f>
        <v>37182</v>
      </c>
      <c r="EW15" s="253">
        <f>'[2]January - 2023'!FB15</f>
        <v>16</v>
      </c>
      <c r="EX15" s="257">
        <f>'[2]January - 2023'!FC15</f>
        <v>7809</v>
      </c>
      <c r="EY15" s="253">
        <f>'[2]January - 2023'!FD15</f>
        <v>12</v>
      </c>
      <c r="EZ15" s="257">
        <f>'[2]January - 2023'!FE15</f>
        <v>59696</v>
      </c>
      <c r="FA15" s="253">
        <f>'[2]January - 2023'!FF15</f>
        <v>15</v>
      </c>
      <c r="FB15" s="257">
        <f>'[2]January - 2023'!FG15</f>
        <v>50511</v>
      </c>
      <c r="FC15" s="254">
        <f>'[2]January - 2023'!FH15</f>
        <v>35</v>
      </c>
    </row>
    <row r="16" spans="1:159" ht="30" customHeight="1">
      <c r="A16" s="187">
        <v>44933</v>
      </c>
      <c r="B16" s="189">
        <f>'[2]January - 2023'!B16</f>
        <v>0.6</v>
      </c>
      <c r="C16" s="229">
        <f>'[2]January - 2023'!E16</f>
        <v>229650</v>
      </c>
      <c r="D16" s="152">
        <f>'[2]January - 2023'!F16</f>
        <v>584</v>
      </c>
      <c r="E16" s="150">
        <f>'[2]January - 2023'!G16</f>
        <v>879</v>
      </c>
      <c r="F16" s="150">
        <f>'[2]January - 2023'!H16</f>
        <v>255163</v>
      </c>
      <c r="G16" s="152">
        <f>'[2]January - 2023'!I16</f>
        <v>454</v>
      </c>
      <c r="H16" s="150">
        <f>'[2]January - 2023'!J16</f>
        <v>545</v>
      </c>
      <c r="I16" s="150">
        <f>'[2]January - 2023'!K16</f>
        <v>11603</v>
      </c>
      <c r="J16" s="152">
        <f>'[2]January - 2023'!L16</f>
        <v>216</v>
      </c>
      <c r="K16" s="150">
        <f>'[2]January - 2023'!N16</f>
        <v>925744</v>
      </c>
      <c r="L16" s="152">
        <f>'[2]January - 2023'!O16</f>
        <v>23</v>
      </c>
      <c r="M16" s="150">
        <f>'[2]January - 2023'!Q16</f>
        <v>245382</v>
      </c>
      <c r="N16" s="152">
        <f>'[2]January - 2023'!R16</f>
        <v>0</v>
      </c>
      <c r="O16" s="150">
        <f>'[2]January - 2023'!U16</f>
        <v>118762</v>
      </c>
      <c r="P16" s="152">
        <f>'[2]January - 2023'!V16</f>
        <v>67</v>
      </c>
      <c r="Q16" s="150">
        <f>'[2]January - 2023'!W16</f>
        <v>56.580000000001746</v>
      </c>
      <c r="R16" s="150">
        <f>'[2]January - 2023'!X16</f>
        <v>6583</v>
      </c>
      <c r="S16" s="188">
        <f>'[2]January - 2023'!Y16</f>
        <v>3</v>
      </c>
      <c r="T16" s="446"/>
      <c r="U16" s="247">
        <f>'[2]January - 2023'!AE16</f>
        <v>8224179.5999999996</v>
      </c>
      <c r="V16" s="218">
        <f>'[2]January - 2023'!AF16</f>
        <v>1753.9199999989942</v>
      </c>
      <c r="W16" s="88">
        <f>'[2]January - 2023'!AF16</f>
        <v>1753.9199999989942</v>
      </c>
      <c r="X16" s="233">
        <f>'[2]January - 2023'!AH16</f>
        <v>15610277.76</v>
      </c>
      <c r="Y16" s="218">
        <f>'[2]January - 2023'!AI16</f>
        <v>4287.359999999404</v>
      </c>
      <c r="Z16" s="88">
        <f>'[2]January - 2023'!AI16</f>
        <v>4287.359999999404</v>
      </c>
      <c r="AA16" s="233">
        <f>'[2]January - 2023'!AK16</f>
        <v>15887933.039999999</v>
      </c>
      <c r="AB16" s="218">
        <f>'[2]January - 2023'!AL16</f>
        <v>341.03999999910593</v>
      </c>
      <c r="AC16" s="88">
        <f>'[2]January - 2023'!AL16</f>
        <v>341.03999999910593</v>
      </c>
      <c r="AD16" s="233">
        <f>'[2]January - 2023'!AN16</f>
        <v>18968693.52</v>
      </c>
      <c r="AE16" s="218">
        <f>'[2]January - 2023'!AO16</f>
        <v>1169.2800000011921</v>
      </c>
      <c r="AF16" s="88">
        <f>'[2]January - 2023'!AO16</f>
        <v>1169.2800000011921</v>
      </c>
      <c r="AG16" s="233">
        <f>'[2]January - 2023'!AQ16</f>
        <v>19235679.119999997</v>
      </c>
      <c r="AH16" s="218">
        <f>'[2]January - 2023'!AR16</f>
        <v>7551.5999999977648</v>
      </c>
      <c r="AI16" s="88">
        <f>'[2]January - 2023'!AR16</f>
        <v>7551.5999999977648</v>
      </c>
      <c r="AJ16" s="233">
        <f>'[2]January - 2023'!AT16</f>
        <v>17731351.68</v>
      </c>
      <c r="AK16" s="218">
        <f>'[2]January - 2023'!AU16</f>
        <v>5261.7600000016391</v>
      </c>
      <c r="AL16" s="88">
        <f>'[2]January - 2023'!AU16</f>
        <v>5261.7600000016391</v>
      </c>
      <c r="AM16" s="233">
        <f>'[2]January - 2023'!AW16</f>
        <v>14912753.52</v>
      </c>
      <c r="AN16" s="218">
        <f>'[2]January - 2023'!AX16</f>
        <v>3946.320000000298</v>
      </c>
      <c r="AO16" s="88">
        <f>'[2]January - 2023'!AX16</f>
        <v>3946.320000000298</v>
      </c>
      <c r="AP16" s="233">
        <f>'[2]January - 2023'!AZ16</f>
        <v>14446892.880000001</v>
      </c>
      <c r="AQ16" s="218">
        <f>'[2]January - 2023'!BA16</f>
        <v>4384.8000000007451</v>
      </c>
      <c r="AR16" s="88">
        <f>'[2]January - 2023'!BA16</f>
        <v>4384.8000000007451</v>
      </c>
      <c r="AS16" s="233">
        <f>'[2]January - 2023'!BC16</f>
        <v>11270300.16</v>
      </c>
      <c r="AT16" s="218">
        <f>'[2]January - 2023'!BD16</f>
        <v>2777.0400000009686</v>
      </c>
      <c r="AU16" s="88">
        <f>'[2]January - 2023'!BD16</f>
        <v>2777.0400000009686</v>
      </c>
      <c r="AV16" s="233">
        <f>'[2]January - 2023'!BF16</f>
        <v>17872737.119999997</v>
      </c>
      <c r="AW16" s="230">
        <f>'[2]January - 2023'!BG16</f>
        <v>5554.0799999982119</v>
      </c>
      <c r="AX16" s="231">
        <f>'[2]January - 2023'!BG16</f>
        <v>5554.0799999982119</v>
      </c>
      <c r="AY16" s="463"/>
      <c r="AZ16" s="250">
        <f>'[2]January - 2023'!BM16</f>
        <v>78496200</v>
      </c>
      <c r="BA16" s="161">
        <f>'[2]January - 2023'!BN16</f>
        <v>3400</v>
      </c>
      <c r="BB16" s="89">
        <f>'[2]January - 2023'!BN16</f>
        <v>3400</v>
      </c>
      <c r="BC16" s="250">
        <f>'[2]January - 2023'!BP16</f>
        <v>81187800</v>
      </c>
      <c r="BD16" s="224">
        <f>'[2]January - 2023'!BQ16</f>
        <v>0</v>
      </c>
      <c r="BE16" s="89">
        <f>'[2]January - 2023'!BQ16</f>
        <v>0</v>
      </c>
      <c r="BF16" s="250">
        <f>'[2]January - 2023'!BS16</f>
        <v>75127200</v>
      </c>
      <c r="BG16" s="224">
        <f>'[2]January - 2023'!BT16</f>
        <v>34400</v>
      </c>
      <c r="BH16" s="89">
        <f>'[2]January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'[2]January - 2023'!BV16</f>
        <v>10435200</v>
      </c>
      <c r="BT16" s="166">
        <f>'[2]January - 2023'!BW16</f>
        <v>6620</v>
      </c>
      <c r="BU16" s="559"/>
      <c r="BV16" s="84">
        <f>'[2]January - 2023'!BY16</f>
        <v>0.69</v>
      </c>
      <c r="BW16" s="220">
        <f>'[2]January - 2023'!BZ16</f>
        <v>-8.9999999999999969E-2</v>
      </c>
      <c r="BX16" s="84">
        <f>'[2]January - 2023'!BZ16</f>
        <v>-8.9999999999999969E-2</v>
      </c>
      <c r="BY16" s="85">
        <f>'[2]January - 2023'!CB16</f>
        <v>64919</v>
      </c>
      <c r="BZ16" s="172">
        <f>'[2]January - 2023'!CC16</f>
        <v>19</v>
      </c>
      <c r="CA16" s="85">
        <f>'[2]January - 2023'!CD16</f>
        <v>55987</v>
      </c>
      <c r="CB16" s="172">
        <f>'[2]January - 2023'!CE16</f>
        <v>19</v>
      </c>
      <c r="CC16" s="85">
        <f>'[2]January - 2023'!CF16</f>
        <v>18945</v>
      </c>
      <c r="CD16" s="172">
        <f>'[2]January - 2023'!CG16</f>
        <v>7</v>
      </c>
      <c r="CE16" s="85">
        <f>'[2]January - 2023'!CH16</f>
        <v>25897</v>
      </c>
      <c r="CF16" s="172">
        <f>'[2]January - 2023'!CI16</f>
        <v>8</v>
      </c>
      <c r="CG16" s="85">
        <f>'[2]January - 2023'!CJ16</f>
        <v>28905</v>
      </c>
      <c r="CH16" s="172">
        <f>'[2]January - 2023'!CK16</f>
        <v>15</v>
      </c>
      <c r="CI16" s="85">
        <f>'[2]January - 2023'!CL16</f>
        <v>63520</v>
      </c>
      <c r="CJ16" s="172">
        <f>'[2]January - 2023'!CM16</f>
        <v>33</v>
      </c>
      <c r="CK16" s="85">
        <f>'[2]January - 2023'!CN16</f>
        <v>270204</v>
      </c>
      <c r="CL16" s="225">
        <f>'[2]January - 2023'!CO16</f>
        <v>70</v>
      </c>
      <c r="CM16" s="85">
        <f>'[2]January - 2023'!CO16</f>
        <v>70</v>
      </c>
      <c r="CN16" s="85">
        <f>'[2]January - 2023'!CQ16</f>
        <v>218407</v>
      </c>
      <c r="CO16" s="225">
        <f>'[2]January - 2023'!CR16</f>
        <v>124</v>
      </c>
      <c r="CP16" s="85">
        <f>'[2]January - 2023'!CR16</f>
        <v>124</v>
      </c>
      <c r="CQ16" s="85">
        <f>'[2]January - 2023'!CT16</f>
        <v>362711</v>
      </c>
      <c r="CR16" s="225">
        <f>'[2]January - 2023'!CU16</f>
        <v>270</v>
      </c>
      <c r="CS16" s="85">
        <f>'[2]January - 2023'!CU16</f>
        <v>270</v>
      </c>
      <c r="CT16" s="85">
        <f>'[2]January - 2023'!CW16</f>
        <v>699880</v>
      </c>
      <c r="CU16" s="172">
        <f>'[2]January - 2023'!CX16</f>
        <v>168</v>
      </c>
      <c r="CV16" s="487"/>
      <c r="CW16" s="234">
        <f>'[2]January - 2023'!CZ16</f>
        <v>9133</v>
      </c>
      <c r="CX16" s="179">
        <f>'[2]January - 2023'!DA16</f>
        <v>10</v>
      </c>
      <c r="CY16" s="235">
        <f>'[2]January - 2023'!DB16</f>
        <v>6201</v>
      </c>
      <c r="CZ16" s="179">
        <f>'[2]January - 2023'!DC16</f>
        <v>7</v>
      </c>
      <c r="DA16" s="235">
        <f>'[2]January - 2023'!DD16</f>
        <v>32625</v>
      </c>
      <c r="DB16" s="179">
        <f>'[2]January - 2023'!DE16</f>
        <v>17</v>
      </c>
      <c r="DC16" s="235">
        <f>'[2]January - 2023'!DF16</f>
        <v>32785</v>
      </c>
      <c r="DD16" s="179">
        <f>'[2]January - 2023'!DG16</f>
        <v>15</v>
      </c>
      <c r="DE16" s="235">
        <f>'[2]January - 2023'!DH16</f>
        <v>22180</v>
      </c>
      <c r="DF16" s="179">
        <f>'[2]January - 2023'!DI16</f>
        <v>12</v>
      </c>
      <c r="DG16" s="235">
        <f>'[2]January - 2023'!DJ16</f>
        <v>24239</v>
      </c>
      <c r="DH16" s="179">
        <f>'[2]January - 2023'!DK16</f>
        <v>7</v>
      </c>
      <c r="DI16" s="235">
        <f>'[2]January - 2023'!DL16</f>
        <v>7420</v>
      </c>
      <c r="DJ16" s="179">
        <f>'[2]January - 2023'!DM16</f>
        <v>10</v>
      </c>
      <c r="DK16" s="235">
        <f>'[2]January - 2023'!DN16</f>
        <v>10011</v>
      </c>
      <c r="DL16" s="179">
        <f>'[2]January - 2023'!DO16</f>
        <v>10</v>
      </c>
      <c r="DM16" s="235">
        <f>'[2]January - 2023'!DP16</f>
        <v>3395</v>
      </c>
      <c r="DN16" s="179">
        <f>'[2]January - 2023'!DQ16</f>
        <v>5</v>
      </c>
      <c r="DO16" s="235">
        <f>'[2]January - 2023'!DR16</f>
        <v>6704</v>
      </c>
      <c r="DP16" s="179">
        <f>'[2]January - 2023'!DS16</f>
        <v>9</v>
      </c>
      <c r="DQ16" s="235">
        <f>'[2]January - 2023'!DT16</f>
        <v>30412</v>
      </c>
      <c r="DR16" s="186">
        <f>'[2]January - 2023'!DU16</f>
        <v>0</v>
      </c>
      <c r="DS16" s="503"/>
      <c r="DT16" s="190">
        <f>'[2]January - 2023'!DW16</f>
        <v>6654.8</v>
      </c>
      <c r="DU16" s="201">
        <f>'[2]January - 2023'!DX16</f>
        <v>11</v>
      </c>
      <c r="DV16" s="87">
        <f>'[2]January - 2023'!DY16</f>
        <v>11520.9</v>
      </c>
      <c r="DW16" s="195">
        <f>'[2]January - 2023'!DZ16</f>
        <v>7.5</v>
      </c>
      <c r="DX16" s="87">
        <f>'[2]January - 2023'!EA16</f>
        <v>4999.3999999999996</v>
      </c>
      <c r="DY16" s="195">
        <f>'[2]January - 2023'!EB16</f>
        <v>6.5</v>
      </c>
      <c r="DZ16" s="87">
        <f>'[2]January - 2023'!EC16</f>
        <v>5579.6</v>
      </c>
      <c r="EA16" s="195">
        <f>'[2]January - 2023'!ED16</f>
        <v>7.2000000000007276</v>
      </c>
      <c r="EB16" s="87">
        <f>'[2]January - 2023'!EE16</f>
        <v>1143738</v>
      </c>
      <c r="EC16" s="195">
        <f>'[2]January - 2023'!EF16</f>
        <v>569</v>
      </c>
      <c r="ED16" s="87">
        <f>'[2]January - 2023'!EI16</f>
        <v>235684.2</v>
      </c>
      <c r="EE16" s="208">
        <f>'[2]January - 2023'!EJ16</f>
        <v>115.40000000002328</v>
      </c>
      <c r="EF16" s="550"/>
      <c r="EG16" s="214">
        <f>'[2]January - 2023'!EL16</f>
        <v>12237200</v>
      </c>
      <c r="EH16" s="209">
        <f>'[2]January - 2023'!EM16</f>
        <v>2200</v>
      </c>
      <c r="EI16" s="86">
        <f>'[2]January - 2023'!EN16</f>
        <v>940840</v>
      </c>
      <c r="EJ16" s="209">
        <f>'[2]January - 2023'!EO16</f>
        <v>270</v>
      </c>
      <c r="EK16" s="86">
        <f>'[2]January - 2023'!EP16</f>
        <v>7271900</v>
      </c>
      <c r="EL16" s="209">
        <f>'[2]January - 2023'!EQ16</f>
        <v>1300</v>
      </c>
      <c r="EM16" s="86">
        <f>'[2]January - 2023'!ER16</f>
        <v>2505800</v>
      </c>
      <c r="EN16" s="209">
        <f>'[2]January - 2023'!ES16</f>
        <v>200</v>
      </c>
      <c r="EO16" s="86">
        <f>'[2]January - 2023'!ET16</f>
        <v>1295310</v>
      </c>
      <c r="EP16" s="209">
        <f>'[2]January - 2023'!EU16</f>
        <v>390</v>
      </c>
      <c r="EQ16" s="86">
        <f>'[2]January - 2023'!EV16</f>
        <v>16700100</v>
      </c>
      <c r="ER16" s="209">
        <f>'[2]January - 2023'!EW16</f>
        <v>3100</v>
      </c>
      <c r="ES16" s="525"/>
      <c r="ET16" s="256">
        <f>'[2]January - 2023'!EY16</f>
        <v>42591</v>
      </c>
      <c r="EU16" s="253">
        <f>'[2]January - 2023'!EZ16</f>
        <v>14</v>
      </c>
      <c r="EV16" s="257">
        <f>'[2]January - 2023'!FA16</f>
        <v>37195</v>
      </c>
      <c r="EW16" s="253">
        <f>'[2]January - 2023'!FB16</f>
        <v>13</v>
      </c>
      <c r="EX16" s="257">
        <f>'[2]January - 2023'!FC16</f>
        <v>7823</v>
      </c>
      <c r="EY16" s="253">
        <f>'[2]January - 2023'!FD16</f>
        <v>14</v>
      </c>
      <c r="EZ16" s="257">
        <f>'[2]January - 2023'!FE16</f>
        <v>59713</v>
      </c>
      <c r="FA16" s="253">
        <f>'[2]January - 2023'!FF16</f>
        <v>17</v>
      </c>
      <c r="FB16" s="257">
        <f>'[2]January - 2023'!FG16</f>
        <v>50546</v>
      </c>
      <c r="FC16" s="254">
        <f>'[2]January - 2023'!FH16</f>
        <v>35</v>
      </c>
    </row>
    <row r="17" spans="1:159" ht="30" customHeight="1">
      <c r="A17" s="187">
        <v>44934</v>
      </c>
      <c r="B17" s="189">
        <f>'[2]January - 2023'!B17</f>
        <v>0.55000000000000004</v>
      </c>
      <c r="C17" s="229">
        <f>'[2]January - 2023'!E17</f>
        <v>230184</v>
      </c>
      <c r="D17" s="152">
        <f>'[2]January - 2023'!F17</f>
        <v>534</v>
      </c>
      <c r="E17" s="150">
        <f>'[2]January - 2023'!G17</f>
        <v>677</v>
      </c>
      <c r="F17" s="150">
        <f>'[2]January - 2023'!H17</f>
        <v>255588</v>
      </c>
      <c r="G17" s="152">
        <f>'[2]January - 2023'!I17</f>
        <v>425</v>
      </c>
      <c r="H17" s="150">
        <f>'[2]January - 2023'!J17</f>
        <v>517</v>
      </c>
      <c r="I17" s="150">
        <f>'[2]January - 2023'!K17</f>
        <v>11814</v>
      </c>
      <c r="J17" s="152">
        <f>'[2]January - 2023'!L17</f>
        <v>211</v>
      </c>
      <c r="K17" s="150">
        <f>'[2]January - 2023'!N17</f>
        <v>925829</v>
      </c>
      <c r="L17" s="152">
        <f>'[2]January - 2023'!O17</f>
        <v>85</v>
      </c>
      <c r="M17" s="150">
        <f>'[2]January - 2023'!Q17</f>
        <v>245382</v>
      </c>
      <c r="N17" s="152">
        <f>'[2]January - 2023'!R17</f>
        <v>0</v>
      </c>
      <c r="O17" s="150">
        <f>'[2]January - 2023'!U17</f>
        <v>118833</v>
      </c>
      <c r="P17" s="152">
        <f>'[2]January - 2023'!V17</f>
        <v>71</v>
      </c>
      <c r="Q17" s="150">
        <f>'[2]January - 2023'!W17</f>
        <v>61.129999999997381</v>
      </c>
      <c r="R17" s="150">
        <f>'[2]January - 2023'!X17</f>
        <v>6588</v>
      </c>
      <c r="S17" s="188">
        <f>'[2]January - 2023'!Y17</f>
        <v>5</v>
      </c>
      <c r="T17" s="446"/>
      <c r="U17" s="247">
        <f>'[2]January - 2023'!AE17</f>
        <v>8226079.6800000006</v>
      </c>
      <c r="V17" s="218">
        <f>'[2]January - 2023'!AF17</f>
        <v>1900.0800000010058</v>
      </c>
      <c r="W17" s="88">
        <f>'[2]January - 2023'!AF17</f>
        <v>1900.0800000010058</v>
      </c>
      <c r="X17" s="233">
        <f>'[2]January - 2023'!AH17</f>
        <v>15614711.280000001</v>
      </c>
      <c r="Y17" s="218">
        <f>'[2]January - 2023'!AI17</f>
        <v>4433.5200000014156</v>
      </c>
      <c r="Z17" s="88">
        <f>'[2]January - 2023'!AI17</f>
        <v>4433.5200000014156</v>
      </c>
      <c r="AA17" s="233">
        <f>'[2]January - 2023'!AK17</f>
        <v>15888079.199999999</v>
      </c>
      <c r="AB17" s="218">
        <f>'[2]January - 2023'!AL17</f>
        <v>146.16000000014901</v>
      </c>
      <c r="AC17" s="88">
        <f>'[2]January - 2023'!AL17</f>
        <v>146.16000000014901</v>
      </c>
      <c r="AD17" s="233">
        <f>'[2]January - 2023'!AN17</f>
        <v>18970106.399999999</v>
      </c>
      <c r="AE17" s="218">
        <f>'[2]January - 2023'!AO17</f>
        <v>1412.8799999989569</v>
      </c>
      <c r="AF17" s="88">
        <f>'[2]January - 2023'!AO17</f>
        <v>1412.8799999989569</v>
      </c>
      <c r="AG17" s="233">
        <f>'[2]January - 2023'!AQ17</f>
        <v>19243425.599999998</v>
      </c>
      <c r="AH17" s="218">
        <f>'[2]January - 2023'!AR17</f>
        <v>7746.480000000447</v>
      </c>
      <c r="AI17" s="88">
        <f>'[2]January - 2023'!AR17</f>
        <v>7746.480000000447</v>
      </c>
      <c r="AJ17" s="233">
        <f>'[2]January - 2023'!AT17</f>
        <v>17736710.879999999</v>
      </c>
      <c r="AK17" s="218">
        <f>'[2]January - 2023'!AU17</f>
        <v>5359.1999999992549</v>
      </c>
      <c r="AL17" s="88">
        <f>'[2]January - 2023'!AU17</f>
        <v>5359.1999999992549</v>
      </c>
      <c r="AM17" s="233">
        <f>'[2]January - 2023'!AW17</f>
        <v>14917187.039999999</v>
      </c>
      <c r="AN17" s="218">
        <f>'[2]January - 2023'!AX17</f>
        <v>4433.519999999553</v>
      </c>
      <c r="AO17" s="88">
        <f>'[2]January - 2023'!AX17</f>
        <v>4433.519999999553</v>
      </c>
      <c r="AP17" s="233">
        <f>'[2]January - 2023'!AZ17</f>
        <v>14451326.4</v>
      </c>
      <c r="AQ17" s="218">
        <f>'[2]January - 2023'!BA17</f>
        <v>4433.519999999553</v>
      </c>
      <c r="AR17" s="88">
        <f>'[2]January - 2023'!BA17</f>
        <v>4433.519999999553</v>
      </c>
      <c r="AS17" s="233">
        <f>'[2]January - 2023'!BC17</f>
        <v>11273369.52</v>
      </c>
      <c r="AT17" s="218">
        <f>'[2]January - 2023'!BD17</f>
        <v>3069.359999999404</v>
      </c>
      <c r="AU17" s="88">
        <f>'[2]January - 2023'!BD17</f>
        <v>3069.359999999404</v>
      </c>
      <c r="AV17" s="233">
        <f>'[2]January - 2023'!BF17</f>
        <v>17878242.48</v>
      </c>
      <c r="AW17" s="230">
        <f>'[2]January - 2023'!BG17</f>
        <v>5505.3600000031292</v>
      </c>
      <c r="AX17" s="231">
        <f>'[2]January - 2023'!BG17</f>
        <v>5505.3600000031292</v>
      </c>
      <c r="AY17" s="463"/>
      <c r="AZ17" s="250">
        <f>'[2]January - 2023'!BM17</f>
        <v>78496200</v>
      </c>
      <c r="BA17" s="161">
        <f>'[2]January - 2023'!BN17</f>
        <v>0</v>
      </c>
      <c r="BB17" s="89">
        <f>'[2]January - 2023'!BN17</f>
        <v>0</v>
      </c>
      <c r="BC17" s="250">
        <f>'[2]January - 2023'!BP17</f>
        <v>81187800</v>
      </c>
      <c r="BD17" s="224">
        <f>'[2]January - 2023'!BQ17</f>
        <v>0</v>
      </c>
      <c r="BE17" s="89">
        <f>'[2]January - 2023'!BQ17</f>
        <v>0</v>
      </c>
      <c r="BF17" s="250">
        <f>'[2]January - 2023'!BS17</f>
        <v>75165500</v>
      </c>
      <c r="BG17" s="224">
        <f>'[2]January - 2023'!BT17</f>
        <v>38300</v>
      </c>
      <c r="BH17" s="89">
        <f>'[2]January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'[2]January - 2023'!BV17</f>
        <v>10441690</v>
      </c>
      <c r="BT17" s="166">
        <f>'[2]January - 2023'!BW17</f>
        <v>6490</v>
      </c>
      <c r="BU17" s="559"/>
      <c r="BV17" s="84">
        <f>'[2]January - 2023'!BY17</f>
        <v>0.61</v>
      </c>
      <c r="BW17" s="220">
        <f>'[2]January - 2023'!BZ17</f>
        <v>7.999999999999996E-2</v>
      </c>
      <c r="BX17" s="84">
        <f>'[2]January - 2023'!BZ17</f>
        <v>7.999999999999996E-2</v>
      </c>
      <c r="BY17" s="85">
        <f>'[2]January - 2023'!CB17</f>
        <v>64938</v>
      </c>
      <c r="BZ17" s="172">
        <f>'[2]January - 2023'!CC17</f>
        <v>19</v>
      </c>
      <c r="CA17" s="85">
        <f>'[2]January - 2023'!CD17</f>
        <v>56007</v>
      </c>
      <c r="CB17" s="172">
        <f>'[2]January - 2023'!CE17</f>
        <v>20</v>
      </c>
      <c r="CC17" s="85">
        <f>'[2]January - 2023'!CF17</f>
        <v>18953</v>
      </c>
      <c r="CD17" s="172">
        <f>'[2]January - 2023'!CG17</f>
        <v>8</v>
      </c>
      <c r="CE17" s="85">
        <f>'[2]January - 2023'!CH17</f>
        <v>25905</v>
      </c>
      <c r="CF17" s="172">
        <f>'[2]January - 2023'!CI17</f>
        <v>8</v>
      </c>
      <c r="CG17" s="85">
        <f>'[2]January - 2023'!CJ17</f>
        <v>28920</v>
      </c>
      <c r="CH17" s="172">
        <f>'[2]January - 2023'!CK17</f>
        <v>15</v>
      </c>
      <c r="CI17" s="85">
        <f>'[2]January - 2023'!CL17</f>
        <v>63558</v>
      </c>
      <c r="CJ17" s="172">
        <f>'[2]January - 2023'!CM17</f>
        <v>38</v>
      </c>
      <c r="CK17" s="85">
        <f>'[2]January - 2023'!CN17</f>
        <v>270277</v>
      </c>
      <c r="CL17" s="225">
        <f>'[2]January - 2023'!CO17</f>
        <v>73</v>
      </c>
      <c r="CM17" s="85">
        <f>'[2]January - 2023'!CO17</f>
        <v>73</v>
      </c>
      <c r="CN17" s="85">
        <f>'[2]January - 2023'!CQ17</f>
        <v>218523</v>
      </c>
      <c r="CO17" s="225">
        <f>'[2]January - 2023'!CR17</f>
        <v>116</v>
      </c>
      <c r="CP17" s="85">
        <f>'[2]January - 2023'!CR17</f>
        <v>116</v>
      </c>
      <c r="CQ17" s="85">
        <f>'[2]January - 2023'!CT17</f>
        <v>362971</v>
      </c>
      <c r="CR17" s="225">
        <f>'[2]January - 2023'!CU17</f>
        <v>260</v>
      </c>
      <c r="CS17" s="85">
        <f>'[2]January - 2023'!CU17</f>
        <v>260</v>
      </c>
      <c r="CT17" s="85">
        <f>'[2]January - 2023'!CW17</f>
        <v>700055</v>
      </c>
      <c r="CU17" s="172">
        <f>'[2]January - 2023'!CX17</f>
        <v>175</v>
      </c>
      <c r="CV17" s="487"/>
      <c r="CW17" s="234">
        <f>'[2]January - 2023'!CZ17</f>
        <v>9142</v>
      </c>
      <c r="CX17" s="179">
        <f>'[2]January - 2023'!DA17</f>
        <v>9</v>
      </c>
      <c r="CY17" s="235">
        <f>'[2]January - 2023'!DB17</f>
        <v>6205</v>
      </c>
      <c r="CZ17" s="179">
        <f>'[2]January - 2023'!DC17</f>
        <v>4</v>
      </c>
      <c r="DA17" s="235">
        <f>'[2]January - 2023'!DD17</f>
        <v>32641</v>
      </c>
      <c r="DB17" s="179">
        <f>'[2]January - 2023'!DE17</f>
        <v>16</v>
      </c>
      <c r="DC17" s="235">
        <f>'[2]January - 2023'!DF17</f>
        <v>32800</v>
      </c>
      <c r="DD17" s="179">
        <f>'[2]January - 2023'!DG17</f>
        <v>15</v>
      </c>
      <c r="DE17" s="235">
        <f>'[2]January - 2023'!DH17</f>
        <v>22191</v>
      </c>
      <c r="DF17" s="179">
        <f>'[2]January - 2023'!DI17</f>
        <v>11</v>
      </c>
      <c r="DG17" s="235">
        <f>'[2]January - 2023'!DJ17</f>
        <v>24243</v>
      </c>
      <c r="DH17" s="179">
        <f>'[2]January - 2023'!DK17</f>
        <v>4</v>
      </c>
      <c r="DI17" s="235">
        <f>'[2]January - 2023'!DL17</f>
        <v>7439</v>
      </c>
      <c r="DJ17" s="179">
        <f>'[2]January - 2023'!DM17</f>
        <v>19</v>
      </c>
      <c r="DK17" s="235">
        <f>'[2]January - 2023'!DN17</f>
        <v>10021</v>
      </c>
      <c r="DL17" s="179">
        <f>'[2]January - 2023'!DO17</f>
        <v>10</v>
      </c>
      <c r="DM17" s="235">
        <f>'[2]January - 2023'!DP17</f>
        <v>3400</v>
      </c>
      <c r="DN17" s="179">
        <f>'[2]January - 2023'!DQ17</f>
        <v>5</v>
      </c>
      <c r="DO17" s="235">
        <f>'[2]January - 2023'!DR17</f>
        <v>6718</v>
      </c>
      <c r="DP17" s="179">
        <f>'[2]January - 2023'!DS17</f>
        <v>14</v>
      </c>
      <c r="DQ17" s="235">
        <f>'[2]January - 2023'!DT17</f>
        <v>30415</v>
      </c>
      <c r="DR17" s="186">
        <f>'[2]January - 2023'!DU17</f>
        <v>3</v>
      </c>
      <c r="DS17" s="503"/>
      <c r="DT17" s="190">
        <f>'[2]January - 2023'!DW17</f>
        <v>6664.3</v>
      </c>
      <c r="DU17" s="201">
        <f>'[2]January - 2023'!DX17</f>
        <v>9.5</v>
      </c>
      <c r="DV17" s="87">
        <f>'[2]January - 2023'!DY17</f>
        <v>11528.2</v>
      </c>
      <c r="DW17" s="195">
        <f>'[2]January - 2023'!DZ17</f>
        <v>7.3000000000010914</v>
      </c>
      <c r="DX17" s="87">
        <f>'[2]January - 2023'!EA17</f>
        <v>5005.6000000000004</v>
      </c>
      <c r="DY17" s="195">
        <f>'[2]January - 2023'!EB17</f>
        <v>6.2000000000007276</v>
      </c>
      <c r="DZ17" s="87">
        <f>'[2]January - 2023'!EC17</f>
        <v>5587</v>
      </c>
      <c r="EA17" s="195">
        <f>'[2]January - 2023'!ED17</f>
        <v>7.3999999999996362</v>
      </c>
      <c r="EB17" s="87">
        <f>'[2]January - 2023'!EE17</f>
        <v>1144260</v>
      </c>
      <c r="EC17" s="195">
        <f>'[2]January - 2023'!EF17</f>
        <v>522</v>
      </c>
      <c r="ED17" s="87">
        <f>'[2]January - 2023'!EI17</f>
        <v>235787.7</v>
      </c>
      <c r="EE17" s="208">
        <f>'[2]January - 2023'!EJ17</f>
        <v>103.5</v>
      </c>
      <c r="EF17" s="550"/>
      <c r="EG17" s="214">
        <f>'[2]January - 2023'!EL17</f>
        <v>12239100</v>
      </c>
      <c r="EH17" s="209">
        <f>'[2]January - 2023'!EM17</f>
        <v>1900</v>
      </c>
      <c r="EI17" s="86">
        <f>'[2]January - 2023'!EN17</f>
        <v>941060</v>
      </c>
      <c r="EJ17" s="209">
        <f>'[2]January - 2023'!EO17</f>
        <v>220</v>
      </c>
      <c r="EK17" s="86">
        <f>'[2]January - 2023'!EP17</f>
        <v>7273000</v>
      </c>
      <c r="EL17" s="209">
        <f>'[2]January - 2023'!EQ17</f>
        <v>1100</v>
      </c>
      <c r="EM17" s="86">
        <f>'[2]January - 2023'!ER17</f>
        <v>2506100</v>
      </c>
      <c r="EN17" s="209">
        <f>'[2]January - 2023'!ES17</f>
        <v>300</v>
      </c>
      <c r="EO17" s="86">
        <f>'[2]January - 2023'!ET17</f>
        <v>1295790</v>
      </c>
      <c r="EP17" s="209">
        <f>'[2]January - 2023'!EU17</f>
        <v>480</v>
      </c>
      <c r="EQ17" s="86">
        <f>'[2]January - 2023'!EV17</f>
        <v>16702500</v>
      </c>
      <c r="ER17" s="209">
        <f>'[2]January - 2023'!EW17</f>
        <v>2400</v>
      </c>
      <c r="ES17" s="525"/>
      <c r="ET17" s="256">
        <f>'[2]January - 2023'!EY17</f>
        <v>42605</v>
      </c>
      <c r="EU17" s="253">
        <f>'[2]January - 2023'!EZ17</f>
        <v>14</v>
      </c>
      <c r="EV17" s="257">
        <f>'[2]January - 2023'!FA17</f>
        <v>37208</v>
      </c>
      <c r="EW17" s="253">
        <f>'[2]January - 2023'!FB17</f>
        <v>13</v>
      </c>
      <c r="EX17" s="257">
        <f>'[2]January - 2023'!FC17</f>
        <v>7836</v>
      </c>
      <c r="EY17" s="253">
        <f>'[2]January - 2023'!FD17</f>
        <v>13</v>
      </c>
      <c r="EZ17" s="257">
        <f>'[2]January - 2023'!FE17</f>
        <v>59728</v>
      </c>
      <c r="FA17" s="253">
        <f>'[2]January - 2023'!FF17</f>
        <v>15</v>
      </c>
      <c r="FB17" s="257">
        <f>'[2]January - 2023'!FG17</f>
        <v>50578</v>
      </c>
      <c r="FC17" s="254">
        <f>'[2]January - 2023'!FH17</f>
        <v>32</v>
      </c>
    </row>
    <row r="18" spans="1:159" ht="30" customHeight="1">
      <c r="A18" s="187">
        <v>44935</v>
      </c>
      <c r="B18" s="189">
        <f>'[2]January - 2023'!B18</f>
        <v>0.69</v>
      </c>
      <c r="C18" s="229">
        <f>'[2]January - 2023'!E18</f>
        <v>230694</v>
      </c>
      <c r="D18" s="152">
        <f>'[2]January - 2023'!F18</f>
        <v>510</v>
      </c>
      <c r="E18" s="150">
        <f>'[2]January - 2023'!G18</f>
        <v>803</v>
      </c>
      <c r="F18" s="150">
        <f>'[2]January - 2023'!H18</f>
        <v>255985</v>
      </c>
      <c r="G18" s="152">
        <f>'[2]January - 2023'!I18</f>
        <v>397</v>
      </c>
      <c r="H18" s="150">
        <f>'[2]January - 2023'!J18</f>
        <v>525</v>
      </c>
      <c r="I18" s="150">
        <f>'[2]January - 2023'!K18</f>
        <v>11930</v>
      </c>
      <c r="J18" s="152">
        <f>'[2]January - 2023'!L18</f>
        <v>116</v>
      </c>
      <c r="K18" s="150">
        <f>'[2]January - 2023'!N18</f>
        <v>926015</v>
      </c>
      <c r="L18" s="152">
        <f>'[2]January - 2023'!O18</f>
        <v>186</v>
      </c>
      <c r="M18" s="150">
        <f>'[2]January - 2023'!Q18</f>
        <v>245382</v>
      </c>
      <c r="N18" s="152">
        <f>'[2]January - 2023'!R18</f>
        <v>0</v>
      </c>
      <c r="O18" s="150">
        <f>'[2]January - 2023'!U18</f>
        <v>118902</v>
      </c>
      <c r="P18" s="152">
        <f>'[2]January - 2023'!V18</f>
        <v>69</v>
      </c>
      <c r="Q18" s="150">
        <f>'[2]January - 2023'!W18</f>
        <v>63.80000000000291</v>
      </c>
      <c r="R18" s="150">
        <f>'[2]January - 2023'!X18</f>
        <v>6594</v>
      </c>
      <c r="S18" s="188">
        <f>'[2]January - 2023'!Y18</f>
        <v>6</v>
      </c>
      <c r="T18" s="446"/>
      <c r="U18" s="247">
        <f>'[2]January - 2023'!AE18</f>
        <v>8228515.6800000006</v>
      </c>
      <c r="V18" s="218">
        <f>'[2]January - 2023'!AF18</f>
        <v>2436</v>
      </c>
      <c r="W18" s="88">
        <f>'[2]January - 2023'!AF18</f>
        <v>2436</v>
      </c>
      <c r="X18" s="233">
        <f>'[2]January - 2023'!AH18</f>
        <v>15619534.559999999</v>
      </c>
      <c r="Y18" s="218">
        <f>'[2]January - 2023'!AI18</f>
        <v>4823.2799999974668</v>
      </c>
      <c r="Z18" s="88">
        <f>'[2]January - 2023'!AI18</f>
        <v>4823.2799999974668</v>
      </c>
      <c r="AA18" s="233">
        <f>'[2]January - 2023'!AK18</f>
        <v>15888225.359999999</v>
      </c>
      <c r="AB18" s="218">
        <f>'[2]January - 2023'!AL18</f>
        <v>146.16000000014901</v>
      </c>
      <c r="AC18" s="88">
        <f>'[2]January - 2023'!AL18</f>
        <v>146.16000000014901</v>
      </c>
      <c r="AD18" s="233">
        <f>'[2]January - 2023'!AN18</f>
        <v>18970983.359999999</v>
      </c>
      <c r="AE18" s="218">
        <f>'[2]January - 2023'!AO18</f>
        <v>876.96000000089407</v>
      </c>
      <c r="AF18" s="88">
        <f>'[2]January - 2023'!AO18</f>
        <v>876.96000000089407</v>
      </c>
      <c r="AG18" s="233">
        <f>'[2]January - 2023'!AQ18</f>
        <v>19251464.399999999</v>
      </c>
      <c r="AH18" s="218">
        <f>'[2]January - 2023'!AR18</f>
        <v>8038.8000000007451</v>
      </c>
      <c r="AI18" s="88">
        <f>'[2]January - 2023'!AR18</f>
        <v>8038.8000000007451</v>
      </c>
      <c r="AJ18" s="233">
        <f>'[2]January - 2023'!AT18</f>
        <v>17742362.399999999</v>
      </c>
      <c r="AK18" s="218">
        <f>'[2]January - 2023'!AU18</f>
        <v>5651.519999999553</v>
      </c>
      <c r="AL18" s="88">
        <f>'[2]January - 2023'!AU18</f>
        <v>5651.519999999553</v>
      </c>
      <c r="AM18" s="233">
        <f>'[2]January - 2023'!AW18</f>
        <v>14921620.559999999</v>
      </c>
      <c r="AN18" s="218">
        <f>'[2]January - 2023'!AX18</f>
        <v>4433.519999999553</v>
      </c>
      <c r="AO18" s="88">
        <f>'[2]January - 2023'!AX18</f>
        <v>4433.519999999553</v>
      </c>
      <c r="AP18" s="233">
        <f>'[2]January - 2023'!AZ18</f>
        <v>14456052.24</v>
      </c>
      <c r="AQ18" s="218">
        <f>'[2]January - 2023'!BA18</f>
        <v>4725.839999999851</v>
      </c>
      <c r="AR18" s="88">
        <f>'[2]January - 2023'!BA18</f>
        <v>4725.839999999851</v>
      </c>
      <c r="AS18" s="233">
        <f>'[2]January - 2023'!BC18</f>
        <v>11276292.719999999</v>
      </c>
      <c r="AT18" s="218">
        <f>'[2]January - 2023'!BD18</f>
        <v>2923.1999999992549</v>
      </c>
      <c r="AU18" s="88">
        <f>'[2]January - 2023'!BD18</f>
        <v>2923.1999999992549</v>
      </c>
      <c r="AV18" s="233">
        <f>'[2]January - 2023'!BF18</f>
        <v>17883991.439999998</v>
      </c>
      <c r="AW18" s="230">
        <f>'[2]January - 2023'!BG18</f>
        <v>5748.9599999971688</v>
      </c>
      <c r="AX18" s="231">
        <f>'[2]January - 2023'!BG18</f>
        <v>5748.9599999971688</v>
      </c>
      <c r="AY18" s="463"/>
      <c r="AZ18" s="250">
        <f>'[2]January - 2023'!BM18</f>
        <v>78496200</v>
      </c>
      <c r="BA18" s="161">
        <f>'[2]January - 2023'!BN18</f>
        <v>0</v>
      </c>
      <c r="BB18" s="89">
        <f>'[2]January - 2023'!BN18</f>
        <v>0</v>
      </c>
      <c r="BC18" s="250">
        <f>'[2]January - 2023'!BP18</f>
        <v>81187800</v>
      </c>
      <c r="BD18" s="224">
        <f>'[2]January - 2023'!BQ18</f>
        <v>0</v>
      </c>
      <c r="BE18" s="89">
        <f>'[2]January - 2023'!BQ18</f>
        <v>0</v>
      </c>
      <c r="BF18" s="250">
        <f>'[2]January - 2023'!BS18</f>
        <v>75202500</v>
      </c>
      <c r="BG18" s="224">
        <f>'[2]January - 2023'!BT18</f>
        <v>37000</v>
      </c>
      <c r="BH18" s="89">
        <f>'[2]January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'[2]January - 2023'!BV18</f>
        <v>10447780</v>
      </c>
      <c r="BT18" s="166">
        <f>'[2]January - 2023'!BW18</f>
        <v>6090</v>
      </c>
      <c r="BU18" s="559"/>
      <c r="BV18" s="84">
        <f>'[2]January - 2023'!BY18</f>
        <v>0.67</v>
      </c>
      <c r="BW18" s="220">
        <f>'[2]January - 2023'!BZ18</f>
        <v>-6.0000000000000053E-2</v>
      </c>
      <c r="BX18" s="84">
        <f>'[2]January - 2023'!BZ18</f>
        <v>-6.0000000000000053E-2</v>
      </c>
      <c r="BY18" s="85">
        <f>'[2]January - 2023'!CB18</f>
        <v>64957</v>
      </c>
      <c r="BZ18" s="172">
        <f>'[2]January - 2023'!CC18</f>
        <v>19</v>
      </c>
      <c r="CA18" s="85">
        <f>'[2]January - 2023'!CD18</f>
        <v>56027</v>
      </c>
      <c r="CB18" s="172">
        <f>'[2]January - 2023'!CE18</f>
        <v>20</v>
      </c>
      <c r="CC18" s="85">
        <f>'[2]January - 2023'!CF18</f>
        <v>18960</v>
      </c>
      <c r="CD18" s="172">
        <f>'[2]January - 2023'!CG18</f>
        <v>7</v>
      </c>
      <c r="CE18" s="85">
        <f>'[2]January - 2023'!CH18</f>
        <v>25914</v>
      </c>
      <c r="CF18" s="172">
        <f>'[2]January - 2023'!CI18</f>
        <v>9</v>
      </c>
      <c r="CG18" s="85">
        <f>'[2]January - 2023'!CJ18</f>
        <v>28935</v>
      </c>
      <c r="CH18" s="172">
        <f>'[2]January - 2023'!CK18</f>
        <v>15</v>
      </c>
      <c r="CI18" s="85">
        <f>'[2]January - 2023'!CL18</f>
        <v>63593</v>
      </c>
      <c r="CJ18" s="172">
        <f>'[2]January - 2023'!CM18</f>
        <v>35</v>
      </c>
      <c r="CK18" s="85">
        <f>'[2]January - 2023'!CN18</f>
        <v>270355</v>
      </c>
      <c r="CL18" s="225">
        <f>'[2]January - 2023'!CO18</f>
        <v>78</v>
      </c>
      <c r="CM18" s="85">
        <f>'[2]January - 2023'!CO18</f>
        <v>78</v>
      </c>
      <c r="CN18" s="85">
        <f>'[2]January - 2023'!CQ18</f>
        <v>218639</v>
      </c>
      <c r="CO18" s="225">
        <f>'[2]January - 2023'!CR18</f>
        <v>116</v>
      </c>
      <c r="CP18" s="85">
        <f>'[2]January - 2023'!CR18</f>
        <v>116</v>
      </c>
      <c r="CQ18" s="85">
        <f>'[2]January - 2023'!CT18</f>
        <v>363255</v>
      </c>
      <c r="CR18" s="225">
        <f>'[2]January - 2023'!CU18</f>
        <v>284</v>
      </c>
      <c r="CS18" s="85">
        <f>'[2]January - 2023'!CU18</f>
        <v>284</v>
      </c>
      <c r="CT18" s="85">
        <f>'[2]January - 2023'!CW18</f>
        <v>700242</v>
      </c>
      <c r="CU18" s="172">
        <f>'[2]January - 2023'!CX18</f>
        <v>187</v>
      </c>
      <c r="CV18" s="487"/>
      <c r="CW18" s="234">
        <f>'[2]January - 2023'!CZ18</f>
        <v>9147</v>
      </c>
      <c r="CX18" s="179">
        <f>'[2]January - 2023'!DA18</f>
        <v>5</v>
      </c>
      <c r="CY18" s="235">
        <f>'[2]January - 2023'!DB18</f>
        <v>6207</v>
      </c>
      <c r="CZ18" s="179">
        <f>'[2]January - 2023'!DC18</f>
        <v>2</v>
      </c>
      <c r="DA18" s="235">
        <f>'[2]January - 2023'!DD18</f>
        <v>32656</v>
      </c>
      <c r="DB18" s="179">
        <f>'[2]January - 2023'!DE18</f>
        <v>15</v>
      </c>
      <c r="DC18" s="235">
        <f>'[2]January - 2023'!DF18</f>
        <v>32814</v>
      </c>
      <c r="DD18" s="179">
        <f>'[2]January - 2023'!DG18</f>
        <v>14</v>
      </c>
      <c r="DE18" s="235">
        <f>'[2]January - 2023'!DH18</f>
        <v>22201</v>
      </c>
      <c r="DF18" s="179">
        <f>'[2]January - 2023'!DI18</f>
        <v>10</v>
      </c>
      <c r="DG18" s="235">
        <f>'[2]January - 2023'!DJ18</f>
        <v>24248</v>
      </c>
      <c r="DH18" s="179">
        <f>'[2]January - 2023'!DK18</f>
        <v>5</v>
      </c>
      <c r="DI18" s="235">
        <f>'[2]January - 2023'!DL18</f>
        <v>7448</v>
      </c>
      <c r="DJ18" s="179">
        <f>'[2]January - 2023'!DM18</f>
        <v>9</v>
      </c>
      <c r="DK18" s="235">
        <f>'[2]January - 2023'!DN18</f>
        <v>10028</v>
      </c>
      <c r="DL18" s="179">
        <f>'[2]January - 2023'!DO18</f>
        <v>7</v>
      </c>
      <c r="DM18" s="235">
        <f>'[2]January - 2023'!DP18</f>
        <v>3403</v>
      </c>
      <c r="DN18" s="179">
        <f>'[2]January - 2023'!DQ18</f>
        <v>3</v>
      </c>
      <c r="DO18" s="235">
        <f>'[2]January - 2023'!DR18</f>
        <v>6727</v>
      </c>
      <c r="DP18" s="179">
        <f>'[2]January - 2023'!DS18</f>
        <v>9</v>
      </c>
      <c r="DQ18" s="235">
        <f>'[2]January - 2023'!DT18</f>
        <v>30417</v>
      </c>
      <c r="DR18" s="186">
        <f>'[2]January - 2023'!DU18</f>
        <v>2</v>
      </c>
      <c r="DS18" s="503"/>
      <c r="DT18" s="190">
        <f>'[2]January - 2023'!DW18</f>
        <v>6675.6</v>
      </c>
      <c r="DU18" s="201">
        <f>'[2]January - 2023'!DX18</f>
        <v>11.300000000000182</v>
      </c>
      <c r="DV18" s="87">
        <f>'[2]January - 2023'!DY18</f>
        <v>11535.2</v>
      </c>
      <c r="DW18" s="195">
        <f>'[2]January - 2023'!DZ18</f>
        <v>7</v>
      </c>
      <c r="DX18" s="87">
        <f>'[2]January - 2023'!EA18</f>
        <v>5012.1000000000004</v>
      </c>
      <c r="DY18" s="195">
        <f>'[2]January - 2023'!EB18</f>
        <v>6.5</v>
      </c>
      <c r="DZ18" s="87">
        <f>'[2]January - 2023'!EC18</f>
        <v>5593.3</v>
      </c>
      <c r="EA18" s="195">
        <f>'[2]January - 2023'!ED18</f>
        <v>6.3000000000001819</v>
      </c>
      <c r="EB18" s="87">
        <f>'[2]January - 2023'!EE18</f>
        <v>1144782</v>
      </c>
      <c r="EC18" s="195">
        <f>'[2]January - 2023'!EF18</f>
        <v>522</v>
      </c>
      <c r="ED18" s="87">
        <f>'[2]January - 2023'!EI18</f>
        <v>235899.4</v>
      </c>
      <c r="EE18" s="208">
        <f>'[2]January - 2023'!EJ18</f>
        <v>111.69999999998254</v>
      </c>
      <c r="EF18" s="550"/>
      <c r="EG18" s="214">
        <f>'[2]January - 2023'!EL18</f>
        <v>12241100</v>
      </c>
      <c r="EH18" s="209">
        <f>'[2]January - 2023'!EM18</f>
        <v>2000</v>
      </c>
      <c r="EI18" s="86">
        <f>'[2]January - 2023'!EN18</f>
        <v>941290</v>
      </c>
      <c r="EJ18" s="209">
        <f>'[2]January - 2023'!EO18</f>
        <v>230</v>
      </c>
      <c r="EK18" s="86">
        <f>'[2]January - 2023'!EP18</f>
        <v>7274200</v>
      </c>
      <c r="EL18" s="209">
        <f>'[2]January - 2023'!EQ18</f>
        <v>1200</v>
      </c>
      <c r="EM18" s="86">
        <f>'[2]January - 2023'!ER18</f>
        <v>2506400</v>
      </c>
      <c r="EN18" s="209">
        <f>'[2]January - 2023'!ES18</f>
        <v>300</v>
      </c>
      <c r="EO18" s="86">
        <f>'[2]January - 2023'!ET18</f>
        <v>1296380</v>
      </c>
      <c r="EP18" s="209">
        <f>'[2]January - 2023'!EU18</f>
        <v>590</v>
      </c>
      <c r="EQ18" s="86">
        <f>'[2]January - 2023'!EV18</f>
        <v>16704300</v>
      </c>
      <c r="ER18" s="209">
        <f>'[2]January - 2023'!EW18</f>
        <v>1800</v>
      </c>
      <c r="ES18" s="525"/>
      <c r="ET18" s="256">
        <f>'[2]January - 2023'!EY18</f>
        <v>42623</v>
      </c>
      <c r="EU18" s="253">
        <f>'[2]January - 2023'!EZ18</f>
        <v>18</v>
      </c>
      <c r="EV18" s="257">
        <f>'[2]January - 2023'!FA18</f>
        <v>37221</v>
      </c>
      <c r="EW18" s="253">
        <f>'[2]January - 2023'!FB18</f>
        <v>13</v>
      </c>
      <c r="EX18" s="257">
        <f>'[2]January - 2023'!FC18</f>
        <v>7845</v>
      </c>
      <c r="EY18" s="253">
        <f>'[2]January - 2023'!FD18</f>
        <v>9</v>
      </c>
      <c r="EZ18" s="257">
        <f>'[2]January - 2023'!FE18</f>
        <v>59739</v>
      </c>
      <c r="FA18" s="253">
        <f>'[2]January - 2023'!FF18</f>
        <v>11</v>
      </c>
      <c r="FB18" s="257">
        <f>'[2]January - 2023'!FG18</f>
        <v>50611</v>
      </c>
      <c r="FC18" s="254">
        <f>'[2]January - 2023'!FH18</f>
        <v>33</v>
      </c>
    </row>
    <row r="19" spans="1:159" ht="30" customHeight="1">
      <c r="A19" s="187">
        <v>44936</v>
      </c>
      <c r="B19" s="189">
        <f>'[2]January - 2023'!B19</f>
        <v>0.66</v>
      </c>
      <c r="C19" s="229">
        <f>'[2]January - 2023'!E19</f>
        <v>231199</v>
      </c>
      <c r="D19" s="152">
        <f>'[2]January - 2023'!F19</f>
        <v>505</v>
      </c>
      <c r="E19" s="150">
        <f>'[2]January - 2023'!G19</f>
        <v>734</v>
      </c>
      <c r="F19" s="150">
        <f>'[2]January - 2023'!H19</f>
        <v>256373</v>
      </c>
      <c r="G19" s="152">
        <f>'[2]January - 2023'!I19</f>
        <v>388</v>
      </c>
      <c r="H19" s="150">
        <f>'[2]January - 2023'!J19</f>
        <v>466</v>
      </c>
      <c r="I19" s="150">
        <f>'[2]January - 2023'!K19</f>
        <v>12110</v>
      </c>
      <c r="J19" s="152">
        <f>'[2]January - 2023'!L19</f>
        <v>180</v>
      </c>
      <c r="K19" s="150">
        <f>'[2]January - 2023'!N19</f>
        <v>926225</v>
      </c>
      <c r="L19" s="152">
        <f>'[2]January - 2023'!O19</f>
        <v>210</v>
      </c>
      <c r="M19" s="150">
        <f>'[2]January - 2023'!Q19</f>
        <v>245382</v>
      </c>
      <c r="N19" s="152">
        <f>'[2]January - 2023'!R19</f>
        <v>0</v>
      </c>
      <c r="O19" s="150">
        <f>'[2]January - 2023'!U19</f>
        <v>118981</v>
      </c>
      <c r="P19" s="152">
        <f>'[2]January - 2023'!V19</f>
        <v>79</v>
      </c>
      <c r="Q19" s="150">
        <f>'[2]January - 2023'!W19</f>
        <v>57.19999999999709</v>
      </c>
      <c r="R19" s="150">
        <f>'[2]January - 2023'!X19</f>
        <v>6597</v>
      </c>
      <c r="S19" s="188">
        <f>'[2]January - 2023'!Y19</f>
        <v>3</v>
      </c>
      <c r="T19" s="446"/>
      <c r="U19" s="151">
        <f>'[2]January - 2023'!AE19</f>
        <v>8230220.8800000008</v>
      </c>
      <c r="V19" s="218">
        <f>'[2]January - 2023'!AF19</f>
        <v>1705.2000000001863</v>
      </c>
      <c r="W19" s="88">
        <f>'[2]January - 2023'!AF19</f>
        <v>1705.2000000001863</v>
      </c>
      <c r="X19" s="233">
        <f>'[2]January - 2023'!AH19</f>
        <v>15623578.319999998</v>
      </c>
      <c r="Y19" s="218">
        <f>'[2]January - 2023'!AI19</f>
        <v>4043.7599999997765</v>
      </c>
      <c r="Z19" s="88">
        <f>'[2]January - 2023'!AI19</f>
        <v>4043.7599999997765</v>
      </c>
      <c r="AA19" s="233">
        <f>'[2]January - 2023'!AK19</f>
        <v>15888420.24</v>
      </c>
      <c r="AB19" s="218">
        <f>'[2]January - 2023'!AL19</f>
        <v>194.88000000081956</v>
      </c>
      <c r="AC19" s="88">
        <f>'[2]January - 2023'!AL19</f>
        <v>194.88000000081956</v>
      </c>
      <c r="AD19" s="233">
        <f>'[2]January - 2023'!AN19</f>
        <v>18971811.599999998</v>
      </c>
      <c r="AE19" s="218">
        <f>'[2]January - 2023'!AO19</f>
        <v>828.23999999836087</v>
      </c>
      <c r="AF19" s="88">
        <f>'[2]January - 2023'!AO19</f>
        <v>828.23999999836087</v>
      </c>
      <c r="AG19" s="233">
        <f>'[2]January - 2023'!AQ19</f>
        <v>19259259.599999998</v>
      </c>
      <c r="AH19" s="218">
        <f>'[2]January - 2023'!AR19</f>
        <v>7795.1999999992549</v>
      </c>
      <c r="AI19" s="88">
        <f>'[2]January - 2023'!AR19</f>
        <v>7795.1999999992549</v>
      </c>
      <c r="AJ19" s="233">
        <f>'[2]January - 2023'!AT19</f>
        <v>17747283.119999997</v>
      </c>
      <c r="AK19" s="218">
        <f>'[2]January - 2023'!AU19</f>
        <v>4920.7199999988079</v>
      </c>
      <c r="AL19" s="88">
        <f>'[2]January - 2023'!AU19</f>
        <v>4920.7199999988079</v>
      </c>
      <c r="AM19" s="233">
        <f>'[2]January - 2023'!AW19</f>
        <v>14925177.119999999</v>
      </c>
      <c r="AN19" s="218">
        <f>'[2]January - 2023'!AX19</f>
        <v>3556.5600000005215</v>
      </c>
      <c r="AO19" s="88">
        <f>'[2]January - 2023'!AX19</f>
        <v>3556.5600000005215</v>
      </c>
      <c r="AP19" s="233">
        <f>'[2]January - 2023'!AZ19</f>
        <v>14459998.559999999</v>
      </c>
      <c r="AQ19" s="218">
        <f>'[2]January - 2023'!BA19</f>
        <v>3946.3199999984354</v>
      </c>
      <c r="AR19" s="88">
        <f>'[2]January - 2023'!BA19</f>
        <v>3946.3199999984354</v>
      </c>
      <c r="AS19" s="233">
        <f>'[2]January - 2023'!BC19</f>
        <v>11278680</v>
      </c>
      <c r="AT19" s="218">
        <f>'[2]January - 2023'!BD19</f>
        <v>2387.2800000011921</v>
      </c>
      <c r="AU19" s="88">
        <f>'[2]January - 2023'!BD19</f>
        <v>2387.2800000011921</v>
      </c>
      <c r="AV19" s="233">
        <f>'[2]January - 2023'!BF19</f>
        <v>17889058.32</v>
      </c>
      <c r="AW19" s="230">
        <f>'[2]January - 2023'!BG19</f>
        <v>5066.8800000026822</v>
      </c>
      <c r="AX19" s="231">
        <f>'[2]January - 2023'!BG19</f>
        <v>5066.8800000026822</v>
      </c>
      <c r="AY19" s="463"/>
      <c r="AZ19" s="250">
        <f>'[2]January - 2023'!BM19</f>
        <v>78496200</v>
      </c>
      <c r="BA19" s="161">
        <f>'[2]January - 2023'!BN19</f>
        <v>0</v>
      </c>
      <c r="BB19" s="89">
        <f>'[2]January - 2023'!BN19</f>
        <v>0</v>
      </c>
      <c r="BC19" s="250">
        <f>'[2]January - 2023'!BP19</f>
        <v>81187800</v>
      </c>
      <c r="BD19" s="224">
        <f>'[2]January - 2023'!BQ19</f>
        <v>0</v>
      </c>
      <c r="BE19" s="89">
        <f>'[2]January - 2023'!BQ19</f>
        <v>0</v>
      </c>
      <c r="BF19" s="250">
        <f>'[2]January - 2023'!BS19</f>
        <v>75244900</v>
      </c>
      <c r="BG19" s="224">
        <f>'[2]January - 2023'!BT19</f>
        <v>42400</v>
      </c>
      <c r="BH19" s="89">
        <f>'[2]January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'[2]January - 2023'!BV19</f>
        <v>10453820</v>
      </c>
      <c r="BT19" s="166">
        <f>'[2]January - 2023'!BW19</f>
        <v>6040</v>
      </c>
      <c r="BU19" s="559"/>
      <c r="BV19" s="84">
        <f>'[2]January - 2023'!BY19</f>
        <v>0.59</v>
      </c>
      <c r="BW19" s="220">
        <f>'[2]January - 2023'!BZ19</f>
        <v>8.0000000000000071E-2</v>
      </c>
      <c r="BX19" s="84">
        <f>'[2]January - 2023'!BZ19</f>
        <v>8.0000000000000071E-2</v>
      </c>
      <c r="BY19" s="85">
        <f>'[2]January - 2023'!CB19</f>
        <v>64978</v>
      </c>
      <c r="BZ19" s="172">
        <f>'[2]January - 2023'!CC19</f>
        <v>21</v>
      </c>
      <c r="CA19" s="85">
        <f>'[2]January - 2023'!CD19</f>
        <v>56045</v>
      </c>
      <c r="CB19" s="172">
        <f>'[2]January - 2023'!CE19</f>
        <v>18</v>
      </c>
      <c r="CC19" s="85">
        <f>'[2]January - 2023'!CF19</f>
        <v>18966</v>
      </c>
      <c r="CD19" s="172">
        <f>'[2]January - 2023'!CG19</f>
        <v>6</v>
      </c>
      <c r="CE19" s="85">
        <f>'[2]January - 2023'!CH19</f>
        <v>25923</v>
      </c>
      <c r="CF19" s="172">
        <f>'[2]January - 2023'!CI19</f>
        <v>9</v>
      </c>
      <c r="CG19" s="85">
        <f>'[2]January - 2023'!CJ19</f>
        <v>28950</v>
      </c>
      <c r="CH19" s="172">
        <f>'[2]January - 2023'!CK19</f>
        <v>15</v>
      </c>
      <c r="CI19" s="85">
        <f>'[2]January - 2023'!CL19</f>
        <v>63629</v>
      </c>
      <c r="CJ19" s="172">
        <f>'[2]January - 2023'!CM19</f>
        <v>36</v>
      </c>
      <c r="CK19" s="85">
        <f>'[2]January - 2023'!CN19</f>
        <v>270421</v>
      </c>
      <c r="CL19" s="225">
        <f>'[2]January - 2023'!CO19</f>
        <v>66</v>
      </c>
      <c r="CM19" s="85">
        <f>'[2]January - 2023'!CO19</f>
        <v>66</v>
      </c>
      <c r="CN19" s="85">
        <f>'[2]January - 2023'!CQ19</f>
        <v>218734</v>
      </c>
      <c r="CO19" s="225">
        <f>'[2]January - 2023'!CR19</f>
        <v>95</v>
      </c>
      <c r="CP19" s="85">
        <f>'[2]January - 2023'!CR19</f>
        <v>95</v>
      </c>
      <c r="CQ19" s="85">
        <f>'[2]January - 2023'!CT19</f>
        <v>363445</v>
      </c>
      <c r="CR19" s="225">
        <f>'[2]January - 2023'!CU19</f>
        <v>190</v>
      </c>
      <c r="CS19" s="85">
        <f>'[2]January - 2023'!CU19</f>
        <v>190</v>
      </c>
      <c r="CT19" s="85">
        <f>'[2]January - 2023'!CW19</f>
        <v>700400</v>
      </c>
      <c r="CU19" s="172">
        <f>'[2]January - 2023'!CX19</f>
        <v>158</v>
      </c>
      <c r="CV19" s="487"/>
      <c r="CW19" s="234">
        <f>'[2]January - 2023'!CZ19</f>
        <v>9152</v>
      </c>
      <c r="CX19" s="179">
        <f>'[2]January - 2023'!DA19</f>
        <v>5</v>
      </c>
      <c r="CY19" s="235">
        <f>'[2]January - 2023'!DB19</f>
        <v>6210</v>
      </c>
      <c r="CZ19" s="179">
        <f>'[2]January - 2023'!DC19</f>
        <v>3</v>
      </c>
      <c r="DA19" s="235">
        <f>'[2]January - 2023'!DD19</f>
        <v>32669</v>
      </c>
      <c r="DB19" s="179">
        <f>'[2]January - 2023'!DE19</f>
        <v>13</v>
      </c>
      <c r="DC19" s="235">
        <f>'[2]January - 2023'!DF19</f>
        <v>32827</v>
      </c>
      <c r="DD19" s="179">
        <f>'[2]January - 2023'!DG19</f>
        <v>13</v>
      </c>
      <c r="DE19" s="235">
        <f>'[2]January - 2023'!DH19</f>
        <v>22211</v>
      </c>
      <c r="DF19" s="179">
        <f>'[2]January - 2023'!DI19</f>
        <v>10</v>
      </c>
      <c r="DG19" s="235">
        <f>'[2]January - 2023'!DJ19</f>
        <v>24253</v>
      </c>
      <c r="DH19" s="179">
        <f>'[2]January - 2023'!DK19</f>
        <v>5</v>
      </c>
      <c r="DI19" s="235">
        <f>'[2]January - 2023'!DL19</f>
        <v>7456</v>
      </c>
      <c r="DJ19" s="179">
        <f>'[2]January - 2023'!DM19</f>
        <v>8</v>
      </c>
      <c r="DK19" s="235">
        <f>'[2]January - 2023'!DN19</f>
        <v>10034</v>
      </c>
      <c r="DL19" s="179">
        <f>'[2]January - 2023'!DO19</f>
        <v>6</v>
      </c>
      <c r="DM19" s="235">
        <f>'[2]January - 2023'!DP19</f>
        <v>3407</v>
      </c>
      <c r="DN19" s="179">
        <f>'[2]January - 2023'!DQ19</f>
        <v>4</v>
      </c>
      <c r="DO19" s="235">
        <f>'[2]January - 2023'!DR19</f>
        <v>6734</v>
      </c>
      <c r="DP19" s="179">
        <f>'[2]January - 2023'!DS19</f>
        <v>7</v>
      </c>
      <c r="DQ19" s="235">
        <f>'[2]January - 2023'!DT19</f>
        <v>30422</v>
      </c>
      <c r="DR19" s="186">
        <f>'[2]January - 2023'!DU19</f>
        <v>5</v>
      </c>
      <c r="DS19" s="503"/>
      <c r="DT19" s="190">
        <f>'[2]January - 2023'!DW19</f>
        <v>6686.1</v>
      </c>
      <c r="DU19" s="201">
        <f>'[2]January - 2023'!DX19</f>
        <v>10.5</v>
      </c>
      <c r="DV19" s="87">
        <f>'[2]January - 2023'!DY19</f>
        <v>11542.5</v>
      </c>
      <c r="DW19" s="195">
        <f>'[2]January - 2023'!DZ19</f>
        <v>7.2999999999992724</v>
      </c>
      <c r="DX19" s="87">
        <f>'[2]January - 2023'!EA19</f>
        <v>5017.6000000000004</v>
      </c>
      <c r="DY19" s="195">
        <f>'[2]January - 2023'!EB19</f>
        <v>5.5</v>
      </c>
      <c r="DZ19" s="87">
        <f>'[2]January - 2023'!EC19</f>
        <v>5599</v>
      </c>
      <c r="EA19" s="195">
        <f>'[2]January - 2023'!ED19</f>
        <v>5.6999999999998181</v>
      </c>
      <c r="EB19" s="87">
        <f>'[2]January - 2023'!EE19</f>
        <v>1145329</v>
      </c>
      <c r="EC19" s="195">
        <f>'[2]January - 2023'!EF19</f>
        <v>547</v>
      </c>
      <c r="ED19" s="87">
        <f>'[2]January - 2023'!EI19</f>
        <v>235996.2</v>
      </c>
      <c r="EE19" s="208">
        <f>'[2]January - 2023'!EJ19</f>
        <v>96.800000000017462</v>
      </c>
      <c r="EF19" s="550"/>
      <c r="EG19" s="214">
        <f>'[2]January - 2023'!EL19</f>
        <v>12243600</v>
      </c>
      <c r="EH19" s="209">
        <f>'[2]January - 2023'!EM19</f>
        <v>2500</v>
      </c>
      <c r="EI19" s="86">
        <f>'[2]January - 2023'!EN19</f>
        <v>941540</v>
      </c>
      <c r="EJ19" s="209">
        <f>'[2]January - 2023'!EO19</f>
        <v>250</v>
      </c>
      <c r="EK19" s="86">
        <f>'[2]January - 2023'!EP19</f>
        <v>7275600</v>
      </c>
      <c r="EL19" s="209">
        <f>'[2]January - 2023'!EQ19</f>
        <v>1400</v>
      </c>
      <c r="EM19" s="86">
        <f>'[2]January - 2023'!ER19</f>
        <v>2506700</v>
      </c>
      <c r="EN19" s="209">
        <f>'[2]January - 2023'!ES19</f>
        <v>300</v>
      </c>
      <c r="EO19" s="86">
        <f>'[2]January - 2023'!ET19</f>
        <v>1296950</v>
      </c>
      <c r="EP19" s="209">
        <f>'[2]January - 2023'!EU19</f>
        <v>570</v>
      </c>
      <c r="EQ19" s="86">
        <f>'[2]January - 2023'!EV19</f>
        <v>16708600</v>
      </c>
      <c r="ER19" s="209">
        <f>'[2]January - 2023'!EW19</f>
        <v>4300</v>
      </c>
      <c r="ES19" s="525"/>
      <c r="ET19" s="256">
        <f>'[2]January - 2023'!EY19</f>
        <v>42636</v>
      </c>
      <c r="EU19" s="253">
        <f>'[2]January - 2023'!EZ19</f>
        <v>13</v>
      </c>
      <c r="EV19" s="257">
        <f>'[2]January - 2023'!FA19</f>
        <v>37232</v>
      </c>
      <c r="EW19" s="253">
        <f>'[2]January - 2023'!FB19</f>
        <v>11</v>
      </c>
      <c r="EX19" s="257">
        <f>'[2]January - 2023'!FC19</f>
        <v>7854</v>
      </c>
      <c r="EY19" s="253">
        <f>'[2]January - 2023'!FD19</f>
        <v>9</v>
      </c>
      <c r="EZ19" s="257">
        <f>'[2]January - 2023'!FE19</f>
        <v>59751</v>
      </c>
      <c r="FA19" s="253">
        <f>'[2]January - 2023'!FF19</f>
        <v>12</v>
      </c>
      <c r="FB19" s="257">
        <f>'[2]January - 2023'!FG19</f>
        <v>50639</v>
      </c>
      <c r="FC19" s="254">
        <f>'[2]January - 2023'!FH19</f>
        <v>28</v>
      </c>
    </row>
    <row r="20" spans="1:159" ht="30" customHeight="1">
      <c r="A20" s="187">
        <v>44937</v>
      </c>
      <c r="B20" s="189">
        <f>'[2]January - 2023'!B20</f>
        <v>0.75</v>
      </c>
      <c r="C20" s="229">
        <f>'[2]January - 2023'!E20</f>
        <v>231743</v>
      </c>
      <c r="D20" s="152">
        <f>'[2]January - 2023'!F20</f>
        <v>544</v>
      </c>
      <c r="E20" s="150">
        <f>'[2]January - 2023'!G20</f>
        <v>706</v>
      </c>
      <c r="F20" s="150">
        <f>'[2]January - 2023'!H20</f>
        <v>256796</v>
      </c>
      <c r="G20" s="152">
        <f>'[2]January - 2023'!I20</f>
        <v>423</v>
      </c>
      <c r="H20" s="150">
        <f>'[2]January - 2023'!J20</f>
        <v>453</v>
      </c>
      <c r="I20" s="150">
        <f>'[2]January - 2023'!K20</f>
        <v>12288</v>
      </c>
      <c r="J20" s="152">
        <f>'[2]January - 2023'!L20</f>
        <v>178</v>
      </c>
      <c r="K20" s="150">
        <f>'[2]January - 2023'!N20</f>
        <v>926451</v>
      </c>
      <c r="L20" s="152">
        <f>'[2]January - 2023'!O20</f>
        <v>226</v>
      </c>
      <c r="M20" s="150">
        <f>'[2]January - 2023'!Q20</f>
        <v>245382</v>
      </c>
      <c r="N20" s="152">
        <f>'[2]January - 2023'!R20</f>
        <v>0</v>
      </c>
      <c r="O20" s="150">
        <f>'[2]January - 2023'!U20</f>
        <v>119046</v>
      </c>
      <c r="P20" s="152">
        <f>'[2]January - 2023'!V20</f>
        <v>65</v>
      </c>
      <c r="Q20" s="150">
        <f>'[2]January - 2023'!W20</f>
        <v>60.980000000003201</v>
      </c>
      <c r="R20" s="150">
        <f>'[2]January - 2023'!X20</f>
        <v>6606</v>
      </c>
      <c r="S20" s="188">
        <f>'[2]January - 2023'!Y20</f>
        <v>9</v>
      </c>
      <c r="T20" s="446"/>
      <c r="U20" s="151">
        <f>'[2]January - 2023'!AE20</f>
        <v>8232218.3999999994</v>
      </c>
      <c r="V20" s="218">
        <f>'[2]January - 2023'!AF20</f>
        <v>1997.5199999986216</v>
      </c>
      <c r="W20" s="88">
        <f>'[2]January - 2023'!AF20</f>
        <v>1997.5199999986216</v>
      </c>
      <c r="X20" s="233">
        <f>'[2]January - 2023'!AH20</f>
        <v>15628206.719999999</v>
      </c>
      <c r="Y20" s="218">
        <f>'[2]January - 2023'!AI20</f>
        <v>4628.4000000003725</v>
      </c>
      <c r="Z20" s="88">
        <f>'[2]January - 2023'!AI20</f>
        <v>4628.4000000003725</v>
      </c>
      <c r="AA20" s="233">
        <f>'[2]January - 2023'!AK20</f>
        <v>15888517.68</v>
      </c>
      <c r="AB20" s="218">
        <f>'[2]January - 2023'!AL20</f>
        <v>97.439999999478459</v>
      </c>
      <c r="AC20" s="88">
        <f>'[2]January - 2023'!AL20</f>
        <v>97.439999999478459</v>
      </c>
      <c r="AD20" s="233">
        <f>'[2]January - 2023'!AN20</f>
        <v>18973224.48</v>
      </c>
      <c r="AE20" s="218">
        <f>'[2]January - 2023'!AO20</f>
        <v>1412.8800000026822</v>
      </c>
      <c r="AF20" s="88">
        <f>'[2]January - 2023'!AO20</f>
        <v>1412.8800000026822</v>
      </c>
      <c r="AG20" s="233">
        <f>'[2]January - 2023'!AQ20</f>
        <v>19266616.32</v>
      </c>
      <c r="AH20" s="218">
        <f>'[2]January - 2023'!AR20</f>
        <v>7356.7200000025332</v>
      </c>
      <c r="AI20" s="88">
        <f>'[2]January - 2023'!AR20</f>
        <v>7356.7200000025332</v>
      </c>
      <c r="AJ20" s="233">
        <f>'[2]January - 2023'!AT20</f>
        <v>17752788.48</v>
      </c>
      <c r="AK20" s="218">
        <f>'[2]January - 2023'!AU20</f>
        <v>5505.3600000031292</v>
      </c>
      <c r="AL20" s="88">
        <f>'[2]January - 2023'!AU20</f>
        <v>5505.3600000031292</v>
      </c>
      <c r="AM20" s="233">
        <f>'[2]January - 2023'!AW20</f>
        <v>14929269.6</v>
      </c>
      <c r="AN20" s="218">
        <f>'[2]January - 2023'!AX20</f>
        <v>4092.480000000447</v>
      </c>
      <c r="AO20" s="88">
        <f>'[2]January - 2023'!AX20</f>
        <v>4092.480000000447</v>
      </c>
      <c r="AP20" s="233">
        <f>'[2]January - 2023'!AZ20</f>
        <v>14464529.52</v>
      </c>
      <c r="AQ20" s="218">
        <f>'[2]January - 2023'!BA20</f>
        <v>4530.9600000008941</v>
      </c>
      <c r="AR20" s="88">
        <f>'[2]January - 2023'!BA20</f>
        <v>4530.9600000008941</v>
      </c>
      <c r="AS20" s="233">
        <f>'[2]January - 2023'!BC20</f>
        <v>11281846.799999999</v>
      </c>
      <c r="AT20" s="218">
        <f>'[2]January - 2023'!BD20</f>
        <v>3166.7999999988824</v>
      </c>
      <c r="AU20" s="88">
        <f>'[2]January - 2023'!BD20</f>
        <v>3166.7999999988824</v>
      </c>
      <c r="AV20" s="233">
        <f>'[2]January - 2023'!BF20</f>
        <v>17894514.960000001</v>
      </c>
      <c r="AW20" s="230">
        <f>'[2]January - 2023'!BG20</f>
        <v>5456.640000000596</v>
      </c>
      <c r="AX20" s="231">
        <f>'[2]January - 2023'!BG20</f>
        <v>5456.640000000596</v>
      </c>
      <c r="AY20" s="463"/>
      <c r="AZ20" s="250">
        <f>'[2]January - 2023'!BM20</f>
        <v>78496200</v>
      </c>
      <c r="BA20" s="161">
        <f>'[2]January - 2023'!BN20</f>
        <v>0</v>
      </c>
      <c r="BB20" s="89">
        <f>'[2]January - 2023'!BN20</f>
        <v>0</v>
      </c>
      <c r="BC20" s="250">
        <f>'[2]January - 2023'!BP20</f>
        <v>81187800</v>
      </c>
      <c r="BD20" s="224">
        <f>'[2]January - 2023'!BQ20</f>
        <v>0</v>
      </c>
      <c r="BE20" s="89">
        <f>'[2]January - 2023'!BQ20</f>
        <v>0</v>
      </c>
      <c r="BF20" s="250">
        <f>'[2]January - 2023'!BS20</f>
        <v>75281300</v>
      </c>
      <c r="BG20" s="224">
        <f>'[2]January - 2023'!BT20</f>
        <v>36400</v>
      </c>
      <c r="BH20" s="89">
        <f>'[2]January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'[2]January - 2023'!BV20</f>
        <v>10460190</v>
      </c>
      <c r="BT20" s="166">
        <f>'[2]January - 2023'!BW20</f>
        <v>6370</v>
      </c>
      <c r="BU20" s="559"/>
      <c r="BV20" s="84">
        <f>'[2]January - 2023'!BY20</f>
        <v>0.69</v>
      </c>
      <c r="BW20" s="220">
        <f>'[2]January - 2023'!BZ20</f>
        <v>-9.9999999999999978E-2</v>
      </c>
      <c r="BX20" s="84">
        <f>'[2]January - 2023'!BZ20</f>
        <v>-9.9999999999999978E-2</v>
      </c>
      <c r="BY20" s="85">
        <f>'[2]January - 2023'!CB20</f>
        <v>64999</v>
      </c>
      <c r="BZ20" s="172">
        <f>'[2]January - 2023'!CC20</f>
        <v>21</v>
      </c>
      <c r="CA20" s="85">
        <f>'[2]January - 2023'!CD20</f>
        <v>56064</v>
      </c>
      <c r="CB20" s="172">
        <f>'[2]January - 2023'!CE20</f>
        <v>19</v>
      </c>
      <c r="CC20" s="85">
        <f>'[2]January - 2023'!CF20</f>
        <v>18972</v>
      </c>
      <c r="CD20" s="172">
        <f>'[2]January - 2023'!CG20</f>
        <v>6</v>
      </c>
      <c r="CE20" s="85">
        <f>'[2]January - 2023'!CH20</f>
        <v>25933</v>
      </c>
      <c r="CF20" s="172">
        <f>'[2]January - 2023'!CI20</f>
        <v>10</v>
      </c>
      <c r="CG20" s="85">
        <f>'[2]January - 2023'!CJ20</f>
        <v>28964</v>
      </c>
      <c r="CH20" s="172">
        <f>'[2]January - 2023'!CK20</f>
        <v>14</v>
      </c>
      <c r="CI20" s="85">
        <f>'[2]January - 2023'!CL20</f>
        <v>63661</v>
      </c>
      <c r="CJ20" s="172">
        <f>'[2]January - 2023'!CM20</f>
        <v>32</v>
      </c>
      <c r="CK20" s="85">
        <f>'[2]January - 2023'!CN20</f>
        <v>270493</v>
      </c>
      <c r="CL20" s="225">
        <f>'[2]January - 2023'!CO20</f>
        <v>72</v>
      </c>
      <c r="CM20" s="85">
        <f>'[2]January - 2023'!CO20</f>
        <v>72</v>
      </c>
      <c r="CN20" s="85">
        <f>'[2]January - 2023'!CQ20</f>
        <v>218844</v>
      </c>
      <c r="CO20" s="225">
        <f>'[2]January - 2023'!CR20</f>
        <v>110</v>
      </c>
      <c r="CP20" s="85">
        <f>'[2]January - 2023'!CR20</f>
        <v>110</v>
      </c>
      <c r="CQ20" s="85">
        <f>'[2]January - 2023'!CT20</f>
        <v>363739</v>
      </c>
      <c r="CR20" s="225">
        <f>'[2]January - 2023'!CU20</f>
        <v>294</v>
      </c>
      <c r="CS20" s="85">
        <f>'[2]January - 2023'!CU20</f>
        <v>294</v>
      </c>
      <c r="CT20" s="85">
        <f>'[2]January - 2023'!CW20</f>
        <v>700573</v>
      </c>
      <c r="CU20" s="172">
        <f>'[2]January - 2023'!CX20</f>
        <v>173</v>
      </c>
      <c r="CV20" s="487"/>
      <c r="CW20" s="234">
        <f>'[2]January - 2023'!CZ20</f>
        <v>9163</v>
      </c>
      <c r="CX20" s="179">
        <f>'[2]January - 2023'!DA20</f>
        <v>11</v>
      </c>
      <c r="CY20" s="235">
        <f>'[2]January - 2023'!DB20</f>
        <v>6216</v>
      </c>
      <c r="CZ20" s="179">
        <f>'[2]January - 2023'!DC20</f>
        <v>6</v>
      </c>
      <c r="DA20" s="235">
        <f>'[2]January - 2023'!DD20</f>
        <v>32683</v>
      </c>
      <c r="DB20" s="179">
        <f>'[2]January - 2023'!DE20</f>
        <v>14</v>
      </c>
      <c r="DC20" s="235">
        <f>'[2]January - 2023'!DF20</f>
        <v>32841</v>
      </c>
      <c r="DD20" s="179">
        <f>'[2]January - 2023'!DG20</f>
        <v>14</v>
      </c>
      <c r="DE20" s="235">
        <f>'[2]January - 2023'!DH20</f>
        <v>22221</v>
      </c>
      <c r="DF20" s="179">
        <f>'[2]January - 2023'!DI20</f>
        <v>10</v>
      </c>
      <c r="DG20" s="235">
        <f>'[2]January - 2023'!DJ20</f>
        <v>24259</v>
      </c>
      <c r="DH20" s="179">
        <f>'[2]January - 2023'!DK20</f>
        <v>6</v>
      </c>
      <c r="DI20" s="235">
        <f>'[2]January - 2023'!DL20</f>
        <v>7466</v>
      </c>
      <c r="DJ20" s="179">
        <f>'[2]January - 2023'!DM20</f>
        <v>10</v>
      </c>
      <c r="DK20" s="235">
        <f>'[2]January - 2023'!DN20</f>
        <v>10040</v>
      </c>
      <c r="DL20" s="179">
        <f>'[2]January - 2023'!DO20</f>
        <v>6</v>
      </c>
      <c r="DM20" s="235">
        <f>'[2]January - 2023'!DP20</f>
        <v>3411</v>
      </c>
      <c r="DN20" s="179">
        <f>'[2]January - 2023'!DQ20</f>
        <v>4</v>
      </c>
      <c r="DO20" s="235">
        <f>'[2]January - 2023'!DR20</f>
        <v>6742</v>
      </c>
      <c r="DP20" s="179">
        <f>'[2]January - 2023'!DS20</f>
        <v>8</v>
      </c>
      <c r="DQ20" s="235">
        <f>'[2]January - 2023'!DT20</f>
        <v>30429</v>
      </c>
      <c r="DR20" s="186">
        <f>'[2]January - 2023'!DU20</f>
        <v>7</v>
      </c>
      <c r="DS20" s="503"/>
      <c r="DT20" s="190">
        <f>'[2]January - 2023'!DW20</f>
        <v>6697.1</v>
      </c>
      <c r="DU20" s="201">
        <f>'[2]January - 2023'!DX20</f>
        <v>11</v>
      </c>
      <c r="DV20" s="87">
        <f>'[2]January - 2023'!DY20</f>
        <v>11550.6</v>
      </c>
      <c r="DW20" s="195">
        <f>'[2]January - 2023'!DZ20</f>
        <v>8.1000000000003638</v>
      </c>
      <c r="DX20" s="87">
        <f>'[2]January - 2023'!EA20</f>
        <v>5023.8</v>
      </c>
      <c r="DY20" s="195">
        <f>'[2]January - 2023'!EB20</f>
        <v>6.1999999999998181</v>
      </c>
      <c r="DZ20" s="87">
        <f>'[2]January - 2023'!EC20</f>
        <v>5604.8</v>
      </c>
      <c r="EA20" s="195">
        <f>'[2]January - 2023'!ED20</f>
        <v>5.8000000000001819</v>
      </c>
      <c r="EB20" s="87">
        <f>'[2]January - 2023'!EE20</f>
        <v>1145866</v>
      </c>
      <c r="EC20" s="195">
        <f>'[2]January - 2023'!EF20</f>
        <v>537</v>
      </c>
      <c r="ED20" s="87">
        <f>'[2]January - 2023'!EI20</f>
        <v>236125.3</v>
      </c>
      <c r="EE20" s="208">
        <f>'[2]January - 2023'!EJ20</f>
        <v>129.09999999997672</v>
      </c>
      <c r="EF20" s="550"/>
      <c r="EG20" s="214">
        <f>'[2]January - 2023'!EL20</f>
        <v>12245600</v>
      </c>
      <c r="EH20" s="209">
        <f>'[2]January - 2023'!EM20</f>
        <v>2000</v>
      </c>
      <c r="EI20" s="86">
        <f>'[2]January - 2023'!EN20</f>
        <v>941770</v>
      </c>
      <c r="EJ20" s="209">
        <f>'[2]January - 2023'!EO20</f>
        <v>230</v>
      </c>
      <c r="EK20" s="86">
        <f>'[2]January - 2023'!EP20</f>
        <v>7276600</v>
      </c>
      <c r="EL20" s="209">
        <f>'[2]January - 2023'!EQ20</f>
        <v>1000</v>
      </c>
      <c r="EM20" s="86">
        <f>'[2]January - 2023'!ER20</f>
        <v>2507000</v>
      </c>
      <c r="EN20" s="209">
        <f>'[2]January - 2023'!ES20</f>
        <v>300</v>
      </c>
      <c r="EO20" s="86">
        <f>'[2]January - 2023'!ET20</f>
        <v>1297490</v>
      </c>
      <c r="EP20" s="209">
        <f>'[2]January - 2023'!EU20</f>
        <v>540</v>
      </c>
      <c r="EQ20" s="86">
        <f>'[2]January - 2023'!EV20</f>
        <v>16711200</v>
      </c>
      <c r="ER20" s="209">
        <f>'[2]January - 2023'!EW20</f>
        <v>2600</v>
      </c>
      <c r="ES20" s="525"/>
      <c r="ET20" s="256">
        <f>'[2]January - 2023'!EY20</f>
        <v>42652</v>
      </c>
      <c r="EU20" s="253">
        <f>'[2]January - 2023'!EZ20</f>
        <v>16</v>
      </c>
      <c r="EV20" s="257">
        <f>'[2]January - 2023'!FA20</f>
        <v>37244</v>
      </c>
      <c r="EW20" s="253">
        <f>'[2]January - 2023'!FB20</f>
        <v>12</v>
      </c>
      <c r="EX20" s="257">
        <f>'[2]January - 2023'!FC20</f>
        <v>7863</v>
      </c>
      <c r="EY20" s="253">
        <f>'[2]January - 2023'!FD20</f>
        <v>9</v>
      </c>
      <c r="EZ20" s="257">
        <f>'[2]January - 2023'!FE20</f>
        <v>59765</v>
      </c>
      <c r="FA20" s="253">
        <f>'[2]January - 2023'!FF20</f>
        <v>14</v>
      </c>
      <c r="FB20" s="257">
        <f>'[2]January - 2023'!FG20</f>
        <v>50673</v>
      </c>
      <c r="FC20" s="254">
        <f>'[2]January - 2023'!FH20</f>
        <v>34</v>
      </c>
    </row>
    <row r="21" spans="1:159" ht="30" customHeight="1">
      <c r="A21" s="187">
        <v>44938</v>
      </c>
      <c r="B21" s="189">
        <f>'[2]January - 2023'!B21</f>
        <v>0.95</v>
      </c>
      <c r="C21" s="229">
        <f>'[2]January - 2023'!E21</f>
        <v>232295</v>
      </c>
      <c r="D21" s="152">
        <f>'[2]January - 2023'!F21</f>
        <v>552</v>
      </c>
      <c r="E21" s="150">
        <f>'[2]January - 2023'!G21</f>
        <v>786</v>
      </c>
      <c r="F21" s="150">
        <f>'[2]January - 2023'!H21</f>
        <v>257214</v>
      </c>
      <c r="G21" s="152">
        <f>'[2]January - 2023'!I21</f>
        <v>418</v>
      </c>
      <c r="H21" s="150">
        <f>'[2]January - 2023'!J21</f>
        <v>450</v>
      </c>
      <c r="I21" s="150">
        <f>'[2]January - 2023'!K21</f>
        <v>12456</v>
      </c>
      <c r="J21" s="152">
        <f>'[2]January - 2023'!L21</f>
        <v>168</v>
      </c>
      <c r="K21" s="150">
        <f>'[2]January - 2023'!N21</f>
        <v>926636</v>
      </c>
      <c r="L21" s="152">
        <f>'[2]January - 2023'!O21</f>
        <v>185</v>
      </c>
      <c r="M21" s="150">
        <f>'[2]January - 2023'!Q21</f>
        <v>245382</v>
      </c>
      <c r="N21" s="152">
        <f>'[2]January - 2023'!R21</f>
        <v>0</v>
      </c>
      <c r="O21" s="150">
        <f>'[2]January - 2023'!U21</f>
        <v>119109</v>
      </c>
      <c r="P21" s="152">
        <f>'[2]January - 2023'!V21</f>
        <v>63</v>
      </c>
      <c r="Q21" s="150">
        <f>'[2]January - 2023'!W21</f>
        <v>66.220000000001164</v>
      </c>
      <c r="R21" s="150">
        <f>'[2]January - 2023'!X21</f>
        <v>6608</v>
      </c>
      <c r="S21" s="188">
        <f>'[2]January - 2023'!Y21</f>
        <v>2</v>
      </c>
      <c r="T21" s="446"/>
      <c r="U21" s="151">
        <f>'[2]January - 2023'!AE21</f>
        <v>8234118.4800000004</v>
      </c>
      <c r="V21" s="218">
        <f>'[2]January - 2023'!AF21</f>
        <v>1900.0800000010058</v>
      </c>
      <c r="W21" s="88">
        <f>'[2]January - 2023'!AF21</f>
        <v>1900.0800000010058</v>
      </c>
      <c r="X21" s="233">
        <f>'[2]January - 2023'!AH21</f>
        <v>15632688.959999999</v>
      </c>
      <c r="Y21" s="218">
        <f>'[2]January - 2023'!AI21</f>
        <v>4482.2400000002235</v>
      </c>
      <c r="Z21" s="88">
        <f>'[2]January - 2023'!AI21</f>
        <v>4482.2400000002235</v>
      </c>
      <c r="AA21" s="233">
        <f>'[2]January - 2023'!AK21</f>
        <v>15888566.4</v>
      </c>
      <c r="AB21" s="218">
        <f>'[2]January - 2023'!AL21</f>
        <v>48.720000000670552</v>
      </c>
      <c r="AC21" s="88">
        <f>'[2]January - 2023'!AL21</f>
        <v>48.720000000670552</v>
      </c>
      <c r="AD21" s="233">
        <f>'[2]January - 2023'!AN21</f>
        <v>18979996.560000002</v>
      </c>
      <c r="AE21" s="218">
        <f>'[2]January - 2023'!AO21</f>
        <v>6772.0800000019372</v>
      </c>
      <c r="AF21" s="88">
        <f>'[2]January - 2023'!AO21</f>
        <v>6772.0800000019372</v>
      </c>
      <c r="AG21" s="233">
        <f>'[2]January - 2023'!AQ21</f>
        <v>19268321.52</v>
      </c>
      <c r="AH21" s="218">
        <f>'[2]January - 2023'!AR21</f>
        <v>1705.1999999992549</v>
      </c>
      <c r="AI21" s="88">
        <f>'[2]January - 2023'!AR21</f>
        <v>1705.1999999992549</v>
      </c>
      <c r="AJ21" s="233">
        <f>'[2]January - 2023'!AT21</f>
        <v>17758245.119999997</v>
      </c>
      <c r="AK21" s="218">
        <f>'[2]January - 2023'!AU21</f>
        <v>5456.6399999968708</v>
      </c>
      <c r="AL21" s="88">
        <f>'[2]January - 2023'!AU21</f>
        <v>5456.6399999968708</v>
      </c>
      <c r="AM21" s="233">
        <f>'[2]January - 2023'!AW21</f>
        <v>14933362.08</v>
      </c>
      <c r="AN21" s="218">
        <f>'[2]January - 2023'!AX21</f>
        <v>4092.480000000447</v>
      </c>
      <c r="AO21" s="258">
        <f>'[2]January - 2023'!AX21</f>
        <v>4092.480000000447</v>
      </c>
      <c r="AP21" s="233">
        <f>'[2]January - 2023'!AZ21</f>
        <v>14468914.319999998</v>
      </c>
      <c r="AQ21" s="218">
        <f>'[2]January - 2023'!BA21</f>
        <v>4384.7999999988824</v>
      </c>
      <c r="AR21" s="88">
        <f>'[2]January - 2023'!BA21</f>
        <v>4384.7999999988824</v>
      </c>
      <c r="AS21" s="233">
        <f>'[2]January - 2023'!BC21</f>
        <v>11284916.16</v>
      </c>
      <c r="AT21" s="218">
        <f>'[2]January - 2023'!BD21</f>
        <v>3069.3600000012666</v>
      </c>
      <c r="AU21" s="88">
        <f>'[2]January - 2023'!BD21</f>
        <v>3069.3600000012666</v>
      </c>
      <c r="AV21" s="233">
        <f>'[2]January - 2023'!BF21</f>
        <v>17899728</v>
      </c>
      <c r="AW21" s="230">
        <f>'[2]January - 2023'!BG21</f>
        <v>5213.0399999991059</v>
      </c>
      <c r="AX21" s="231">
        <f>'[2]January - 2023'!BG21</f>
        <v>5213.0399999991059</v>
      </c>
      <c r="AY21" s="463"/>
      <c r="AZ21" s="250">
        <f>'[2]January - 2023'!BM21</f>
        <v>78496200</v>
      </c>
      <c r="BA21" s="161">
        <f>'[2]January - 2023'!BN21</f>
        <v>0</v>
      </c>
      <c r="BB21" s="89">
        <f>'[2]January - 2023'!BN21</f>
        <v>0</v>
      </c>
      <c r="BC21" s="250">
        <f>'[2]January - 2023'!BP21</f>
        <v>81213300</v>
      </c>
      <c r="BD21" s="224">
        <f>'[2]January - 2023'!BQ21</f>
        <v>25500</v>
      </c>
      <c r="BE21" s="89">
        <f>'[2]January - 2023'!BQ21</f>
        <v>25500</v>
      </c>
      <c r="BF21" s="250">
        <f>'[2]January - 2023'!BS21</f>
        <v>75290200</v>
      </c>
      <c r="BG21" s="224">
        <f>'[2]January - 2023'!BT21</f>
        <v>8900</v>
      </c>
      <c r="BH21" s="89">
        <f>'[2]January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'[2]January - 2023'!BV21</f>
        <v>10466650</v>
      </c>
      <c r="BT21" s="166">
        <f>'[2]January - 2023'!BW21</f>
        <v>6460</v>
      </c>
      <c r="BU21" s="559"/>
      <c r="BV21" s="84">
        <f>'[2]January - 2023'!BY21</f>
        <v>0.71</v>
      </c>
      <c r="BW21" s="220">
        <f>'[2]January - 2023'!BZ21</f>
        <v>-2.0000000000000018E-2</v>
      </c>
      <c r="BX21" s="84">
        <f>'[2]January - 2023'!BZ21</f>
        <v>-2.0000000000000018E-2</v>
      </c>
      <c r="BY21" s="85">
        <f>'[2]January - 2023'!CB21</f>
        <v>65016</v>
      </c>
      <c r="BZ21" s="172">
        <f>'[2]January - 2023'!CC21</f>
        <v>17</v>
      </c>
      <c r="CA21" s="85">
        <f>'[2]January - 2023'!CD21</f>
        <v>56083</v>
      </c>
      <c r="CB21" s="172">
        <f>'[2]January - 2023'!CE21</f>
        <v>19</v>
      </c>
      <c r="CC21" s="85">
        <f>'[2]January - 2023'!CF21</f>
        <v>18979</v>
      </c>
      <c r="CD21" s="172">
        <f>'[2]January - 2023'!CG21</f>
        <v>7</v>
      </c>
      <c r="CE21" s="85">
        <f>'[2]January - 2023'!CH21</f>
        <v>25941</v>
      </c>
      <c r="CF21" s="172">
        <f>'[2]January - 2023'!CI21</f>
        <v>8</v>
      </c>
      <c r="CG21" s="85">
        <f>'[2]January - 2023'!CJ21</f>
        <v>28978</v>
      </c>
      <c r="CH21" s="172">
        <f>'[2]January - 2023'!CK21</f>
        <v>14</v>
      </c>
      <c r="CI21" s="85">
        <f>'[2]January - 2023'!CL21</f>
        <v>63696</v>
      </c>
      <c r="CJ21" s="172">
        <f>'[2]January - 2023'!CM21</f>
        <v>35</v>
      </c>
      <c r="CK21" s="85">
        <f>'[2]January - 2023'!CN21</f>
        <v>270568</v>
      </c>
      <c r="CL21" s="225">
        <f>'[2]January - 2023'!CO21</f>
        <v>75</v>
      </c>
      <c r="CM21" s="85">
        <f>'[2]January - 2023'!CO21</f>
        <v>75</v>
      </c>
      <c r="CN21" s="85">
        <f>'[2]January - 2023'!CQ21</f>
        <v>218952</v>
      </c>
      <c r="CO21" s="225">
        <f>'[2]January - 2023'!CR21</f>
        <v>108</v>
      </c>
      <c r="CP21" s="85">
        <f>'[2]January - 2023'!CR21</f>
        <v>108</v>
      </c>
      <c r="CQ21" s="85">
        <f>'[2]January - 2023'!CT21</f>
        <v>364019</v>
      </c>
      <c r="CR21" s="225">
        <f>'[2]January - 2023'!CU21</f>
        <v>280</v>
      </c>
      <c r="CS21" s="85">
        <f>'[2]January - 2023'!CU21</f>
        <v>280</v>
      </c>
      <c r="CT21" s="85">
        <f>'[2]January - 2023'!CW21</f>
        <v>700709</v>
      </c>
      <c r="CU21" s="172">
        <f>'[2]January - 2023'!CX21</f>
        <v>136</v>
      </c>
      <c r="CV21" s="487"/>
      <c r="CW21" s="234">
        <f>'[2]January - 2023'!CZ21</f>
        <v>9171</v>
      </c>
      <c r="CX21" s="179">
        <f>'[2]January - 2023'!DA21</f>
        <v>8</v>
      </c>
      <c r="CY21" s="235">
        <f>'[2]January - 2023'!DB21</f>
        <v>6223</v>
      </c>
      <c r="CZ21" s="179">
        <f>'[2]January - 2023'!DC21</f>
        <v>7</v>
      </c>
      <c r="DA21" s="235">
        <f>'[2]January - 2023'!DD21</f>
        <v>32698</v>
      </c>
      <c r="DB21" s="179">
        <f>'[2]January - 2023'!DE21</f>
        <v>15</v>
      </c>
      <c r="DC21" s="235">
        <f>'[2]January - 2023'!DF21</f>
        <v>32855</v>
      </c>
      <c r="DD21" s="179">
        <f>'[2]January - 2023'!DG21</f>
        <v>14</v>
      </c>
      <c r="DE21" s="235">
        <f>'[2]January - 2023'!DH21</f>
        <v>22234</v>
      </c>
      <c r="DF21" s="179">
        <f>'[2]January - 2023'!DI21</f>
        <v>13</v>
      </c>
      <c r="DG21" s="235">
        <f>'[2]January - 2023'!DJ21</f>
        <v>24265</v>
      </c>
      <c r="DH21" s="179">
        <f>'[2]January - 2023'!DK21</f>
        <v>6</v>
      </c>
      <c r="DI21" s="235">
        <f>'[2]January - 2023'!DL21</f>
        <v>7477</v>
      </c>
      <c r="DJ21" s="179">
        <f>'[2]January - 2023'!DM21</f>
        <v>11</v>
      </c>
      <c r="DK21" s="235">
        <f>'[2]January - 2023'!DN21</f>
        <v>10046</v>
      </c>
      <c r="DL21" s="179">
        <f>'[2]January - 2023'!DO21</f>
        <v>6</v>
      </c>
      <c r="DM21" s="235">
        <f>'[2]January - 2023'!DP21</f>
        <v>3415</v>
      </c>
      <c r="DN21" s="179">
        <f>'[2]January - 2023'!DQ21</f>
        <v>4</v>
      </c>
      <c r="DO21" s="235">
        <f>'[2]January - 2023'!DR21</f>
        <v>6749</v>
      </c>
      <c r="DP21" s="179">
        <f>'[2]January - 2023'!DS21</f>
        <v>7</v>
      </c>
      <c r="DQ21" s="235">
        <f>'[2]January - 2023'!DT21</f>
        <v>30431</v>
      </c>
      <c r="DR21" s="186">
        <f>'[2]January - 2023'!DU21</f>
        <v>2</v>
      </c>
      <c r="DS21" s="503"/>
      <c r="DT21" s="190">
        <f>'[2]January - 2023'!DW21</f>
        <v>6707.6</v>
      </c>
      <c r="DU21" s="201">
        <f>'[2]January - 2023'!DX21</f>
        <v>10.5</v>
      </c>
      <c r="DV21" s="87">
        <f>'[2]January - 2023'!DY21</f>
        <v>11557.9</v>
      </c>
      <c r="DW21" s="195">
        <f>'[2]January - 2023'!DZ21</f>
        <v>7.2999999999992724</v>
      </c>
      <c r="DX21" s="87">
        <f>'[2]January - 2023'!EA21</f>
        <v>5029.8</v>
      </c>
      <c r="DY21" s="195">
        <f>'[2]January - 2023'!EB21</f>
        <v>6</v>
      </c>
      <c r="DZ21" s="87">
        <f>'[2]January - 2023'!EC21</f>
        <v>5610.7</v>
      </c>
      <c r="EA21" s="195">
        <f>'[2]January - 2023'!ED21</f>
        <v>5.8999999999996362</v>
      </c>
      <c r="EB21" s="87">
        <f>'[2]January - 2023'!EE21</f>
        <v>1146398</v>
      </c>
      <c r="EC21" s="195">
        <f>'[2]January - 2023'!EF21</f>
        <v>532</v>
      </c>
      <c r="ED21" s="87">
        <f>'[2]January - 2023'!EI21</f>
        <v>236274.5</v>
      </c>
      <c r="EE21" s="208">
        <f>'[2]January - 2023'!EJ21</f>
        <v>149.20000000001164</v>
      </c>
      <c r="EF21" s="550"/>
      <c r="EG21" s="214">
        <f>'[2]January - 2023'!EL21</f>
        <v>12247500</v>
      </c>
      <c r="EH21" s="209">
        <f>'[2]January - 2023'!EM21</f>
        <v>1900</v>
      </c>
      <c r="EI21" s="86">
        <f>'[2]January - 2023'!EN21</f>
        <v>941980</v>
      </c>
      <c r="EJ21" s="209">
        <f>'[2]January - 2023'!EO21</f>
        <v>210</v>
      </c>
      <c r="EK21" s="86">
        <f>'[2]January - 2023'!EP21</f>
        <v>7277500</v>
      </c>
      <c r="EL21" s="209">
        <f>'[2]January - 2023'!EQ21</f>
        <v>900</v>
      </c>
      <c r="EM21" s="86">
        <f>'[2]January - 2023'!ER21</f>
        <v>2507100</v>
      </c>
      <c r="EN21" s="209">
        <f>'[2]January - 2023'!ES21</f>
        <v>100</v>
      </c>
      <c r="EO21" s="86">
        <f>'[2]January - 2023'!ET21</f>
        <v>1298040</v>
      </c>
      <c r="EP21" s="209">
        <f>'[2]January - 2023'!EU21</f>
        <v>550</v>
      </c>
      <c r="EQ21" s="86">
        <f>'[2]January - 2023'!EV21</f>
        <v>16712700</v>
      </c>
      <c r="ER21" s="209">
        <f>'[2]January - 2023'!EW21</f>
        <v>1500</v>
      </c>
      <c r="ES21" s="525"/>
      <c r="ET21" s="256">
        <f>'[2]January - 2023'!EY21</f>
        <v>42667</v>
      </c>
      <c r="EU21" s="253">
        <f>'[2]January - 2023'!EZ21</f>
        <v>15</v>
      </c>
      <c r="EV21" s="257">
        <f>'[2]January - 2023'!FA21</f>
        <v>37255</v>
      </c>
      <c r="EW21" s="253">
        <f>'[2]January - 2023'!FB21</f>
        <v>11</v>
      </c>
      <c r="EX21" s="257">
        <f>'[2]January - 2023'!FC21</f>
        <v>7871</v>
      </c>
      <c r="EY21" s="253">
        <f>'[2]January - 2023'!FD21</f>
        <v>8</v>
      </c>
      <c r="EZ21" s="257">
        <f>'[2]January - 2023'!FE21</f>
        <v>59780</v>
      </c>
      <c r="FA21" s="253">
        <f>'[2]January - 2023'!FF21</f>
        <v>15</v>
      </c>
      <c r="FB21" s="257">
        <f>'[2]January - 2023'!FG21</f>
        <v>50705</v>
      </c>
      <c r="FC21" s="254">
        <f>'[2]January - 2023'!FH21</f>
        <v>32</v>
      </c>
    </row>
    <row r="22" spans="1:159" ht="30" customHeight="1">
      <c r="A22" s="187">
        <v>44939</v>
      </c>
      <c r="B22" s="189">
        <f>'[2]January - 2023'!$B$22</f>
        <v>0.82</v>
      </c>
      <c r="C22" s="229">
        <f>'[2]January - 2023'!E22</f>
        <v>232934</v>
      </c>
      <c r="D22" s="152">
        <f>'[2]January - 2023'!F22</f>
        <v>639</v>
      </c>
      <c r="E22" s="150">
        <f>'[2]January - 2023'!G22</f>
        <v>722</v>
      </c>
      <c r="F22" s="150">
        <f>'[2]January - 2023'!H22</f>
        <v>257856</v>
      </c>
      <c r="G22" s="152">
        <f>'[2]January - 2023'!I22</f>
        <v>642</v>
      </c>
      <c r="H22" s="150">
        <f>'[2]January - 2023'!J22</f>
        <v>474</v>
      </c>
      <c r="I22" s="150">
        <f>'[2]January - 2023'!K22</f>
        <v>12640</v>
      </c>
      <c r="J22" s="152">
        <f>'[2]January - 2023'!L22</f>
        <v>184</v>
      </c>
      <c r="K22" s="150">
        <f>'[2]January - 2023'!N22</f>
        <v>926874</v>
      </c>
      <c r="L22" s="152">
        <f>'[2]January - 2023'!O22</f>
        <v>238</v>
      </c>
      <c r="M22" s="150">
        <f>'[2]January - 2023'!Q22</f>
        <v>245383</v>
      </c>
      <c r="N22" s="152">
        <f>'[2]January - 2023'!R22</f>
        <v>1</v>
      </c>
      <c r="O22" s="150">
        <f>'[2]January - 2023'!U22</f>
        <v>119170</v>
      </c>
      <c r="P22" s="152">
        <f>'[2]January - 2023'!V22</f>
        <v>61</v>
      </c>
      <c r="Q22" s="150">
        <f>'[2]January - 2023'!W22</f>
        <v>68.94999999999709</v>
      </c>
      <c r="R22" s="150">
        <f>'[2]January - 2023'!X22</f>
        <v>6613</v>
      </c>
      <c r="S22" s="188">
        <f>'[2]January - 2023'!Y22</f>
        <v>5</v>
      </c>
      <c r="T22" s="446"/>
      <c r="U22" s="151">
        <f>'[2]January - 2023'!AE22</f>
        <v>8236213.4400000004</v>
      </c>
      <c r="V22" s="218">
        <f>'[2]January - 2023'!AF22</f>
        <v>2094.9599999999627</v>
      </c>
      <c r="W22" s="88">
        <f>'[2]January - 2023'!AF22</f>
        <v>2094.9599999999627</v>
      </c>
      <c r="X22" s="233">
        <f>'[2]January - 2023'!AH22</f>
        <v>15637414.799999999</v>
      </c>
      <c r="Y22" s="218">
        <f>'[2]January - 2023'!AI22</f>
        <v>4725.839999999851</v>
      </c>
      <c r="Z22" s="88">
        <f>'[2]January - 2023'!AI22</f>
        <v>4725.839999999851</v>
      </c>
      <c r="AA22" s="233">
        <f>'[2]January - 2023'!AK22</f>
        <v>15888566.4</v>
      </c>
      <c r="AB22" s="218">
        <f>'[2]January - 2023'!AL22</f>
        <v>0</v>
      </c>
      <c r="AC22" s="88">
        <f>'[2]January - 2023'!AL22</f>
        <v>0</v>
      </c>
      <c r="AD22" s="233">
        <f>'[2]January - 2023'!AN22</f>
        <v>18981263.280000001</v>
      </c>
      <c r="AE22" s="218">
        <f>'[2]January - 2023'!AO22</f>
        <v>1266.7199999988079</v>
      </c>
      <c r="AF22" s="88">
        <f>'[2]January - 2023'!AO22</f>
        <v>1266.7199999988079</v>
      </c>
      <c r="AG22" s="233">
        <f>'[2]January - 2023'!AQ22</f>
        <v>19275532.080000002</v>
      </c>
      <c r="AH22" s="218">
        <f>'[2]January - 2023'!AR22</f>
        <v>7210.5600000023842</v>
      </c>
      <c r="AI22" s="88">
        <f>'[2]January - 2023'!AR22</f>
        <v>7210.5600000023842</v>
      </c>
      <c r="AJ22" s="233">
        <f>'[2]January - 2023'!AT22</f>
        <v>17763994.080000002</v>
      </c>
      <c r="AK22" s="218">
        <f>'[2]January - 2023'!AU22</f>
        <v>5748.9600000046194</v>
      </c>
      <c r="AL22" s="88">
        <f>'[2]January - 2023'!AU22</f>
        <v>5748.9600000046194</v>
      </c>
      <c r="AM22" s="233">
        <f>'[2]January - 2023'!AW22</f>
        <v>14937941.76</v>
      </c>
      <c r="AN22" s="218">
        <f>'[2]January - 2023'!AX22</f>
        <v>4579.679999999702</v>
      </c>
      <c r="AO22" s="258">
        <f>'[2]January - 2023'!AX22</f>
        <v>4579.679999999702</v>
      </c>
      <c r="AP22" s="233">
        <f>'[2]January - 2023'!AZ22</f>
        <v>14473688.880000001</v>
      </c>
      <c r="AQ22" s="218">
        <f>'[2]January - 2023'!BA22</f>
        <v>4774.5600000023842</v>
      </c>
      <c r="AR22" s="88">
        <f>'[2]January - 2023'!BA22</f>
        <v>4774.5600000023842</v>
      </c>
      <c r="AS22" s="233">
        <f>'[2]January - 2023'!BC22</f>
        <v>11288082.959999999</v>
      </c>
      <c r="AT22" s="218">
        <f>'[2]January - 2023'!BD22</f>
        <v>3166.7999999988824</v>
      </c>
      <c r="AU22" s="88">
        <f>'[2]January - 2023'!BD22</f>
        <v>3166.7999999988824</v>
      </c>
      <c r="AV22" s="233">
        <f>'[2]January - 2023'!BF22</f>
        <v>17905379.52</v>
      </c>
      <c r="AW22" s="230">
        <f>'[2]January - 2023'!BG22</f>
        <v>5651.519999999553</v>
      </c>
      <c r="AX22" s="231">
        <f>'[2]January - 2023'!BG22</f>
        <v>5651.519999999553</v>
      </c>
      <c r="AY22" s="463"/>
      <c r="AZ22" s="250">
        <f>'[2]January - 2023'!BM22</f>
        <v>78496200</v>
      </c>
      <c r="BA22" s="161">
        <f>'[2]January - 2023'!BN22</f>
        <v>0</v>
      </c>
      <c r="BB22" s="89">
        <f>'[2]January - 2023'!BN22</f>
        <v>0</v>
      </c>
      <c r="BC22" s="250">
        <f>'[2]January - 2023'!BP22</f>
        <v>81213300</v>
      </c>
      <c r="BD22" s="224">
        <f>'[2]January - 2023'!BQ22</f>
        <v>0</v>
      </c>
      <c r="BE22" s="89">
        <f>'[2]January - 2023'!BQ22</f>
        <v>0</v>
      </c>
      <c r="BF22" s="250">
        <f>'[2]January - 2023'!BS22</f>
        <v>75323700</v>
      </c>
      <c r="BG22" s="224">
        <f>'[2]January - 2023'!BT22</f>
        <v>33500</v>
      </c>
      <c r="BH22" s="89">
        <f>'[2]January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'[2]January - 2023'!BV22</f>
        <v>10474240</v>
      </c>
      <c r="BT22" s="166">
        <f>'[2]January - 2023'!BW22</f>
        <v>7590</v>
      </c>
      <c r="BU22" s="559"/>
      <c r="BV22" s="84">
        <f>'[2]January - 2023'!BY22</f>
        <v>0.65</v>
      </c>
      <c r="BW22" s="220">
        <f>'[2]January - 2023'!BZ22</f>
        <v>5.9999999999999942E-2</v>
      </c>
      <c r="BX22" s="84">
        <f>'[2]January - 2023'!BZ22</f>
        <v>5.9999999999999942E-2</v>
      </c>
      <c r="BY22" s="85">
        <f>'[2]January - 2023'!CB22</f>
        <v>65036</v>
      </c>
      <c r="BZ22" s="172">
        <f>'[2]January - 2023'!CC22</f>
        <v>20</v>
      </c>
      <c r="CA22" s="85">
        <f>'[2]January - 2023'!CD22</f>
        <v>56102</v>
      </c>
      <c r="CB22" s="172">
        <f>'[2]January - 2023'!CE22</f>
        <v>19</v>
      </c>
      <c r="CC22" s="85">
        <f>'[2]January - 2023'!CF22</f>
        <v>18984</v>
      </c>
      <c r="CD22" s="172">
        <f>'[2]January - 2023'!CG22</f>
        <v>5</v>
      </c>
      <c r="CE22" s="85">
        <f>'[2]January - 2023'!CH22</f>
        <v>25951</v>
      </c>
      <c r="CF22" s="172">
        <f>'[2]January - 2023'!CI22</f>
        <v>10</v>
      </c>
      <c r="CG22" s="85">
        <f>'[2]January - 2023'!CJ22</f>
        <v>28994</v>
      </c>
      <c r="CH22" s="172">
        <f>'[2]January - 2023'!CK22</f>
        <v>16</v>
      </c>
      <c r="CI22" s="85">
        <f>'[2]January - 2023'!CL22</f>
        <v>63734</v>
      </c>
      <c r="CJ22" s="172">
        <f>'[2]January - 2023'!CM22</f>
        <v>38</v>
      </c>
      <c r="CK22" s="85">
        <f>'[2]January - 2023'!CN22</f>
        <v>270651</v>
      </c>
      <c r="CL22" s="225">
        <f>'[2]January - 2023'!CO22</f>
        <v>83</v>
      </c>
      <c r="CM22" s="85">
        <f>'[2]January - 2023'!CO22</f>
        <v>83</v>
      </c>
      <c r="CN22" s="85">
        <f>'[2]January - 2023'!CQ22</f>
        <v>219068</v>
      </c>
      <c r="CO22" s="225">
        <f>'[2]January - 2023'!CR22</f>
        <v>116</v>
      </c>
      <c r="CP22" s="85">
        <f>'[2]January - 2023'!CR22</f>
        <v>116</v>
      </c>
      <c r="CQ22" s="85">
        <f>'[2]January - 2023'!CT22</f>
        <v>364318</v>
      </c>
      <c r="CR22" s="225">
        <f>'[2]January - 2023'!CU22</f>
        <v>299</v>
      </c>
      <c r="CS22" s="85">
        <f>'[2]January - 2023'!CU22</f>
        <v>299</v>
      </c>
      <c r="CT22" s="85">
        <f>'[2]January - 2023'!CW22</f>
        <v>700886</v>
      </c>
      <c r="CU22" s="172">
        <f>'[2]January - 2023'!CX22</f>
        <v>177</v>
      </c>
      <c r="CV22" s="487"/>
      <c r="CW22" s="234">
        <f>'[2]January - 2023'!CZ22</f>
        <v>9180</v>
      </c>
      <c r="CX22" s="179">
        <f>'[2]January - 2023'!DA22</f>
        <v>9</v>
      </c>
      <c r="CY22" s="235">
        <f>'[2]January - 2023'!DB22</f>
        <v>6228</v>
      </c>
      <c r="CZ22" s="179">
        <f>'[2]January - 2023'!DC22</f>
        <v>5</v>
      </c>
      <c r="DA22" s="235">
        <f>'[2]January - 2023'!DD22</f>
        <v>32715</v>
      </c>
      <c r="DB22" s="179">
        <f>'[2]January - 2023'!DE22</f>
        <v>17</v>
      </c>
      <c r="DC22" s="235">
        <f>'[2]January - 2023'!DF22</f>
        <v>32871</v>
      </c>
      <c r="DD22" s="179">
        <f>'[2]January - 2023'!DG22</f>
        <v>16</v>
      </c>
      <c r="DE22" s="235">
        <f>'[2]January - 2023'!DH22</f>
        <v>22245</v>
      </c>
      <c r="DF22" s="179">
        <f>'[2]January - 2023'!DI22</f>
        <v>11</v>
      </c>
      <c r="DG22" s="235">
        <f>'[2]January - 2023'!DJ22</f>
        <v>24271</v>
      </c>
      <c r="DH22" s="179">
        <f>'[2]January - 2023'!DK22</f>
        <v>6</v>
      </c>
      <c r="DI22" s="235">
        <f>'[2]January - 2023'!DL22</f>
        <v>7490</v>
      </c>
      <c r="DJ22" s="179">
        <f>'[2]January - 2023'!DM22</f>
        <v>13</v>
      </c>
      <c r="DK22" s="235">
        <f>'[2]January - 2023'!DN22</f>
        <v>10055</v>
      </c>
      <c r="DL22" s="179">
        <f>'[2]January - 2023'!DO22</f>
        <v>9</v>
      </c>
      <c r="DM22" s="235">
        <f>'[2]January - 2023'!DP22</f>
        <v>3420</v>
      </c>
      <c r="DN22" s="179">
        <f>'[2]January - 2023'!DQ22</f>
        <v>5</v>
      </c>
      <c r="DO22" s="235">
        <f>'[2]January - 2023'!DR22</f>
        <v>6759</v>
      </c>
      <c r="DP22" s="179">
        <f>'[2]January - 2023'!DS22</f>
        <v>10</v>
      </c>
      <c r="DQ22" s="235">
        <f>'[2]January - 2023'!DT22</f>
        <v>30438</v>
      </c>
      <c r="DR22" s="186">
        <f>'[2]January - 2023'!DU22</f>
        <v>7</v>
      </c>
      <c r="DS22" s="503"/>
      <c r="DT22" s="190">
        <f>'[2]January - 2023'!DW22</f>
        <v>6718.8</v>
      </c>
      <c r="DU22" s="201">
        <f>'[2]January - 2023'!DX22</f>
        <v>11.199999999999818</v>
      </c>
      <c r="DV22" s="87">
        <f>'[2]January - 2023'!DY22</f>
        <v>11564.9</v>
      </c>
      <c r="DW22" s="195">
        <f>'[2]January - 2023'!DZ22</f>
        <v>7</v>
      </c>
      <c r="DX22" s="87">
        <f>'[2]January - 2023'!EA22</f>
        <v>5036.1000000000004</v>
      </c>
      <c r="DY22" s="195">
        <f>'[2]January - 2023'!EB22</f>
        <v>6.3000000000001819</v>
      </c>
      <c r="DZ22" s="87">
        <f>'[2]January - 2023'!EC22</f>
        <v>5617.8</v>
      </c>
      <c r="EA22" s="195">
        <f>'[2]January - 2023'!ED22</f>
        <v>7.1000000000003638</v>
      </c>
      <c r="EB22" s="87">
        <f>'[2]January - 2023'!EE22</f>
        <v>1146964</v>
      </c>
      <c r="EC22" s="195">
        <f>'[2]January - 2023'!EF22</f>
        <v>566</v>
      </c>
      <c r="ED22" s="87">
        <f>'[2]January - 2023'!EI22</f>
        <v>236434.9</v>
      </c>
      <c r="EE22" s="208">
        <f>'[2]January - 2023'!EJ22</f>
        <v>160.39999999999418</v>
      </c>
      <c r="EF22" s="550"/>
      <c r="EG22" s="214">
        <f>'[2]January - 2023'!EL22</f>
        <v>12249300</v>
      </c>
      <c r="EH22" s="209">
        <f>'[2]January - 2023'!EM22</f>
        <v>1800</v>
      </c>
      <c r="EI22" s="86">
        <f>'[2]January - 2023'!EN22</f>
        <v>942200</v>
      </c>
      <c r="EJ22" s="209">
        <f>'[2]January - 2023'!EO22</f>
        <v>220</v>
      </c>
      <c r="EK22" s="86">
        <f>'[2]January - 2023'!EP22</f>
        <v>7278500</v>
      </c>
      <c r="EL22" s="209">
        <f>'[2]January - 2023'!EQ22</f>
        <v>1000</v>
      </c>
      <c r="EM22" s="86">
        <f>'[2]January - 2023'!ER22</f>
        <v>2507300</v>
      </c>
      <c r="EN22" s="209">
        <f>'[2]January - 2023'!ES22</f>
        <v>200</v>
      </c>
      <c r="EO22" s="86">
        <f>'[2]January - 2023'!ET22</f>
        <v>1298630</v>
      </c>
      <c r="EP22" s="209">
        <f>'[2]January - 2023'!EU22</f>
        <v>590</v>
      </c>
      <c r="EQ22" s="86">
        <f>'[2]January - 2023'!EV22</f>
        <v>16712900</v>
      </c>
      <c r="ER22" s="209">
        <f>'[2]January - 2023'!EW22</f>
        <v>200</v>
      </c>
      <c r="ES22" s="525"/>
      <c r="ET22" s="256">
        <f>'[2]January - 2023'!EY22</f>
        <v>42685</v>
      </c>
      <c r="EU22" s="253">
        <f>'[2]January - 2023'!EZ22</f>
        <v>18</v>
      </c>
      <c r="EV22" s="257">
        <f>'[2]January - 2023'!FA22</f>
        <v>37269</v>
      </c>
      <c r="EW22" s="253">
        <f>'[2]January - 2023'!FB22</f>
        <v>14</v>
      </c>
      <c r="EX22" s="257">
        <f>'[2]January - 2023'!FC22</f>
        <v>7885</v>
      </c>
      <c r="EY22" s="253">
        <f>'[2]January - 2023'!FD22</f>
        <v>14</v>
      </c>
      <c r="EZ22" s="257">
        <f>'[2]January - 2023'!FE22</f>
        <v>59795</v>
      </c>
      <c r="FA22" s="253">
        <f>'[2]January - 2023'!FF22</f>
        <v>15</v>
      </c>
      <c r="FB22" s="257">
        <f>'[2]January - 2023'!FG22</f>
        <v>50743</v>
      </c>
      <c r="FC22" s="254">
        <f>'[2]January - 2023'!FH22</f>
        <v>38</v>
      </c>
    </row>
    <row r="23" spans="1:159" ht="30" customHeight="1">
      <c r="A23" s="187">
        <v>44940</v>
      </c>
      <c r="B23" s="189">
        <f>'[2]January - 2023'!B23</f>
        <v>0.84</v>
      </c>
      <c r="C23" s="229">
        <f>'[2]January - 2023'!E23</f>
        <v>233644</v>
      </c>
      <c r="D23" s="152">
        <f>'[2]January - 2023'!F23</f>
        <v>710</v>
      </c>
      <c r="E23" s="150">
        <f>'[2]January - 2023'!G23</f>
        <v>855</v>
      </c>
      <c r="F23" s="150">
        <f>'[2]January - 2023'!H23</f>
        <v>258240</v>
      </c>
      <c r="G23" s="152">
        <f>'[2]January - 2023'!I23</f>
        <v>384</v>
      </c>
      <c r="H23" s="150">
        <f>'[2]January - 2023'!J23</f>
        <v>502</v>
      </c>
      <c r="I23" s="150">
        <f>'[2]January - 2023'!K23</f>
        <v>12824</v>
      </c>
      <c r="J23" s="152">
        <f>'[2]January - 2023'!L23</f>
        <v>184</v>
      </c>
      <c r="K23" s="150">
        <f>'[2]January - 2023'!N23</f>
        <v>927080</v>
      </c>
      <c r="L23" s="152">
        <f>'[2]January - 2023'!O23</f>
        <v>206</v>
      </c>
      <c r="M23" s="150">
        <f>'[2]January - 2023'!Q23</f>
        <v>245457</v>
      </c>
      <c r="N23" s="152">
        <f>'[2]January - 2023'!R23</f>
        <v>74</v>
      </c>
      <c r="O23" s="150">
        <f>'[2]January - 2023'!U23</f>
        <v>119240</v>
      </c>
      <c r="P23" s="152">
        <f>'[2]January - 2023'!V23</f>
        <v>70</v>
      </c>
      <c r="Q23" s="150">
        <f>'[2]January - 2023'!W23</f>
        <v>73.709999999999127</v>
      </c>
      <c r="R23" s="150">
        <f>'[2]January - 2023'!X23</f>
        <v>6621</v>
      </c>
      <c r="S23" s="188">
        <f>'[2]January - 2023'!Y23</f>
        <v>8</v>
      </c>
      <c r="T23" s="446"/>
      <c r="U23" s="151">
        <f>'[2]January - 2023'!AE23</f>
        <v>8238210.959999999</v>
      </c>
      <c r="V23" s="218">
        <f>'[2]January - 2023'!AF23</f>
        <v>1997.5199999986216</v>
      </c>
      <c r="W23" s="88">
        <f>'[2]January - 2023'!AF23</f>
        <v>1997.5199999986216</v>
      </c>
      <c r="X23" s="233">
        <f>'[2]January - 2023'!AH23</f>
        <v>15641897.039999999</v>
      </c>
      <c r="Y23" s="218">
        <f>'[2]January - 2023'!AI23</f>
        <v>4482.2400000002235</v>
      </c>
      <c r="Z23" s="88">
        <f>'[2]January - 2023'!AI23</f>
        <v>4482.2400000002235</v>
      </c>
      <c r="AA23" s="233">
        <f>'[2]January - 2023'!AK23</f>
        <v>15888615.119999999</v>
      </c>
      <c r="AB23" s="218">
        <f>'[2]January - 2023'!AL23</f>
        <v>48.719999998807907</v>
      </c>
      <c r="AC23" s="88">
        <f>'[2]January - 2023'!AL23</f>
        <v>48.719999998807907</v>
      </c>
      <c r="AD23" s="233">
        <f>'[2]January - 2023'!AN23</f>
        <v>18988035.359999999</v>
      </c>
      <c r="AE23" s="218">
        <f>'[2]January - 2023'!AO23</f>
        <v>6772.0799999982119</v>
      </c>
      <c r="AF23" s="88">
        <f>'[2]January - 2023'!AO23</f>
        <v>6772.0799999982119</v>
      </c>
      <c r="AG23" s="233">
        <f>'[2]January - 2023'!AQ23</f>
        <v>19276798.800000001</v>
      </c>
      <c r="AH23" s="218">
        <f>'[2]January - 2023'!AR23</f>
        <v>1266.7199999988079</v>
      </c>
      <c r="AI23" s="88">
        <f>'[2]January - 2023'!AR23</f>
        <v>1266.7199999988079</v>
      </c>
      <c r="AJ23" s="233">
        <f>'[2]January - 2023'!AT23</f>
        <v>17769548.16</v>
      </c>
      <c r="AK23" s="218">
        <f>'[2]January - 2023'!AU23</f>
        <v>5554.0799999982119</v>
      </c>
      <c r="AL23" s="88">
        <f>'[2]January - 2023'!AU23</f>
        <v>5554.0799999982119</v>
      </c>
      <c r="AM23" s="233">
        <f>'[2]January - 2023'!AW23</f>
        <v>14942326.559999999</v>
      </c>
      <c r="AN23" s="218">
        <f>'[2]January - 2023'!AX23</f>
        <v>4384.7999999988824</v>
      </c>
      <c r="AO23" s="88">
        <f>'[2]January - 2023'!AX23</f>
        <v>4384.7999999988824</v>
      </c>
      <c r="AP23" s="233">
        <f>'[2]January - 2023'!AZ23</f>
        <v>14478317.280000001</v>
      </c>
      <c r="AQ23" s="218">
        <f>'[2]January - 2023'!BA23</f>
        <v>4628.4000000003725</v>
      </c>
      <c r="AR23" s="88">
        <f>'[2]January - 2023'!BA23</f>
        <v>4628.4000000003725</v>
      </c>
      <c r="AS23" s="233">
        <f>'[2]January - 2023'!BC23</f>
        <v>11290957.439999999</v>
      </c>
      <c r="AT23" s="218">
        <f>'[2]January - 2023'!BD23</f>
        <v>2874.480000000447</v>
      </c>
      <c r="AU23" s="88">
        <f>'[2]January - 2023'!BD23</f>
        <v>2874.480000000447</v>
      </c>
      <c r="AV23" s="233">
        <f>'[2]January - 2023'!BF23</f>
        <v>17910933.599999998</v>
      </c>
      <c r="AW23" s="230">
        <f>'[2]January - 2023'!BG23</f>
        <v>5554.0799999982119</v>
      </c>
      <c r="AX23" s="231">
        <f>'[2]January - 2023'!BG23</f>
        <v>5554.0799999982119</v>
      </c>
      <c r="AY23" s="463"/>
      <c r="AZ23" s="250">
        <f>'[2]January - 2023'!BM23</f>
        <v>78496200</v>
      </c>
      <c r="BA23" s="161">
        <f>'[2]January - 2023'!BN23</f>
        <v>0</v>
      </c>
      <c r="BB23" s="89">
        <f>'[2]January - 2023'!BN23</f>
        <v>0</v>
      </c>
      <c r="BC23" s="250">
        <f>'[2]January - 2023'!BP23</f>
        <v>81245600</v>
      </c>
      <c r="BD23" s="224">
        <f>'[2]January - 2023'!BQ23</f>
        <v>32300</v>
      </c>
      <c r="BE23" s="89">
        <f>'[2]January - 2023'!BQ23</f>
        <v>32300</v>
      </c>
      <c r="BF23" s="250">
        <f>'[2]January - 2023'!BS23</f>
        <v>75325600</v>
      </c>
      <c r="BG23" s="224">
        <f>'[2]January - 2023'!BT23</f>
        <v>1900</v>
      </c>
      <c r="BH23" s="89">
        <f>'[2]January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'[2]January - 2023'!BV23</f>
        <v>10481810</v>
      </c>
      <c r="BT23" s="166">
        <f>'[2]January - 2023'!BW23</f>
        <v>7570</v>
      </c>
      <c r="BU23" s="559"/>
      <c r="BV23" s="84">
        <f>'[2]January - 2023'!BY23</f>
        <v>0.71</v>
      </c>
      <c r="BW23" s="220">
        <f>'[2]January - 2023'!BZ23</f>
        <v>-5.9999999999999942E-2</v>
      </c>
      <c r="BX23" s="84">
        <f>'[2]January - 2023'!BZ23</f>
        <v>-5.9999999999999942E-2</v>
      </c>
      <c r="BY23" s="85">
        <f>'[2]January - 2023'!CB23</f>
        <v>65053</v>
      </c>
      <c r="BZ23" s="172">
        <f>'[2]January - 2023'!CC23</f>
        <v>17</v>
      </c>
      <c r="CA23" s="85">
        <f>'[2]January - 2023'!CD23</f>
        <v>56121</v>
      </c>
      <c r="CB23" s="172">
        <f>'[2]January - 2023'!CE23</f>
        <v>19</v>
      </c>
      <c r="CC23" s="85">
        <f>'[2]January - 2023'!CF23</f>
        <v>18989</v>
      </c>
      <c r="CD23" s="172">
        <f>'[2]January - 2023'!CG23</f>
        <v>5</v>
      </c>
      <c r="CE23" s="85">
        <f>'[2]January - 2023'!CH23</f>
        <v>25961</v>
      </c>
      <c r="CF23" s="172">
        <f>'[2]January - 2023'!CI23</f>
        <v>10</v>
      </c>
      <c r="CG23" s="85">
        <f>'[2]January - 2023'!CJ23</f>
        <v>29010</v>
      </c>
      <c r="CH23" s="172">
        <f>'[2]January - 2023'!CK23</f>
        <v>16</v>
      </c>
      <c r="CI23" s="85">
        <f>'[2]January - 2023'!CL23</f>
        <v>63770</v>
      </c>
      <c r="CJ23" s="172">
        <f>'[2]January - 2023'!CM23</f>
        <v>36</v>
      </c>
      <c r="CK23" s="85">
        <f>'[2]January - 2023'!CN23</f>
        <v>270729</v>
      </c>
      <c r="CL23" s="225">
        <f>'[2]January - 2023'!CO23</f>
        <v>78</v>
      </c>
      <c r="CM23" s="85">
        <f>'[2]January - 2023'!CO23</f>
        <v>78</v>
      </c>
      <c r="CN23" s="85">
        <f>'[2]January - 2023'!CQ23</f>
        <v>219180</v>
      </c>
      <c r="CO23" s="225">
        <f>'[2]January - 2023'!CR23</f>
        <v>112</v>
      </c>
      <c r="CP23" s="85">
        <f>'[2]January - 2023'!CR23</f>
        <v>112</v>
      </c>
      <c r="CQ23" s="85">
        <f>'[2]January - 2023'!CT23</f>
        <v>364604</v>
      </c>
      <c r="CR23" s="225">
        <f>'[2]January - 2023'!CU23</f>
        <v>286</v>
      </c>
      <c r="CS23" s="85">
        <f>'[2]January - 2023'!CU23</f>
        <v>286</v>
      </c>
      <c r="CT23" s="85">
        <f>'[2]January - 2023'!CW23</f>
        <v>701048</v>
      </c>
      <c r="CU23" s="172">
        <f>'[2]January - 2023'!CX23</f>
        <v>162</v>
      </c>
      <c r="CV23" s="487"/>
      <c r="CW23" s="234">
        <f>'[2]January - 2023'!CZ23</f>
        <v>9189</v>
      </c>
      <c r="CX23" s="179">
        <f>'[2]January - 2023'!DA23</f>
        <v>9</v>
      </c>
      <c r="CY23" s="235">
        <f>'[2]January - 2023'!DB23</f>
        <v>6233</v>
      </c>
      <c r="CZ23" s="179">
        <f>'[2]January - 2023'!DC23</f>
        <v>5</v>
      </c>
      <c r="DA23" s="235">
        <f>'[2]January - 2023'!DD23</f>
        <v>32731</v>
      </c>
      <c r="DB23" s="179">
        <f>'[2]January - 2023'!DE23</f>
        <v>16</v>
      </c>
      <c r="DC23" s="235">
        <f>'[2]January - 2023'!DF23</f>
        <v>32896</v>
      </c>
      <c r="DD23" s="179">
        <f>'[2]January - 2023'!DG23</f>
        <v>25</v>
      </c>
      <c r="DE23" s="235">
        <f>'[2]January - 2023'!DH23</f>
        <v>22256</v>
      </c>
      <c r="DF23" s="179">
        <f>'[2]January - 2023'!DI23</f>
        <v>11</v>
      </c>
      <c r="DG23" s="235">
        <f>'[2]January - 2023'!DJ23</f>
        <v>24277</v>
      </c>
      <c r="DH23" s="179">
        <f>'[2]January - 2023'!DK23</f>
        <v>6</v>
      </c>
      <c r="DI23" s="235">
        <f>'[2]January - 2023'!DL23</f>
        <v>7503</v>
      </c>
      <c r="DJ23" s="179">
        <f>'[2]January - 2023'!DM23</f>
        <v>13</v>
      </c>
      <c r="DK23" s="235">
        <f>'[2]January - 2023'!DN23</f>
        <v>10064</v>
      </c>
      <c r="DL23" s="179">
        <f>'[2]January - 2023'!DO23</f>
        <v>9</v>
      </c>
      <c r="DM23" s="235">
        <f>'[2]January - 2023'!DP23</f>
        <v>3425</v>
      </c>
      <c r="DN23" s="179">
        <f>'[2]January - 2023'!DQ23</f>
        <v>5</v>
      </c>
      <c r="DO23" s="235">
        <f>'[2]January - 2023'!DR23</f>
        <v>6769</v>
      </c>
      <c r="DP23" s="179">
        <f>'[2]January - 2023'!DS23</f>
        <v>10</v>
      </c>
      <c r="DQ23" s="235">
        <f>'[2]January - 2023'!DT23</f>
        <v>30438</v>
      </c>
      <c r="DR23" s="186">
        <f>'[2]January - 2023'!DU23</f>
        <v>0</v>
      </c>
      <c r="DS23" s="503"/>
      <c r="DT23" s="190">
        <f>'[2]January - 2023'!DW23</f>
        <v>6730</v>
      </c>
      <c r="DU23" s="201">
        <f>'[2]January - 2023'!DX23</f>
        <v>11.199999999999818</v>
      </c>
      <c r="DV23" s="87">
        <f>'[2]January - 2023'!DY23</f>
        <v>11571.9</v>
      </c>
      <c r="DW23" s="195">
        <f>'[2]January - 2023'!DZ23</f>
        <v>7</v>
      </c>
      <c r="DX23" s="87">
        <f>'[2]January - 2023'!EA23</f>
        <v>5042.3999999999996</v>
      </c>
      <c r="DY23" s="195">
        <f>'[2]January - 2023'!EB23</f>
        <v>6.2999999999992724</v>
      </c>
      <c r="DZ23" s="87">
        <f>'[2]January - 2023'!EC23</f>
        <v>5624.5</v>
      </c>
      <c r="EA23" s="195">
        <f>'[2]January - 2023'!ED23</f>
        <v>6.6999999999998181</v>
      </c>
      <c r="EB23" s="87">
        <f>'[2]January - 2023'!EE23</f>
        <v>1147579</v>
      </c>
      <c r="EC23" s="195">
        <f>'[2]January - 2023'!EF23</f>
        <v>615</v>
      </c>
      <c r="ED23" s="87">
        <f>'[2]January - 2023'!EI23</f>
        <v>236594</v>
      </c>
      <c r="EE23" s="208">
        <f>'[2]January - 2023'!EJ23</f>
        <v>159.10000000000582</v>
      </c>
      <c r="EF23" s="550"/>
      <c r="EG23" s="214">
        <f>'[2]January - 2023'!EL23</f>
        <v>12251400</v>
      </c>
      <c r="EH23" s="209">
        <f>'[2]January - 2023'!EM23</f>
        <v>2100</v>
      </c>
      <c r="EI23" s="86">
        <f>'[2]January - 2023'!EN23</f>
        <v>942400</v>
      </c>
      <c r="EJ23" s="209">
        <f>'[2]January - 2023'!EO23</f>
        <v>200</v>
      </c>
      <c r="EK23" s="86">
        <f>'[2]January - 2023'!EP23</f>
        <v>7279000</v>
      </c>
      <c r="EL23" s="209">
        <f>'[2]January - 2023'!EQ23</f>
        <v>500</v>
      </c>
      <c r="EM23" s="86">
        <f>'[2]January - 2023'!ER23</f>
        <v>2507600</v>
      </c>
      <c r="EN23" s="209">
        <f>'[2]January - 2023'!ES23</f>
        <v>300</v>
      </c>
      <c r="EO23" s="86">
        <f>'[2]January - 2023'!ET23</f>
        <v>1299030</v>
      </c>
      <c r="EP23" s="209">
        <f>'[2]January - 2023'!EU23</f>
        <v>400</v>
      </c>
      <c r="EQ23" s="86">
        <f>'[2]January - 2023'!EV23</f>
        <v>16713700</v>
      </c>
      <c r="ER23" s="209">
        <f>'[2]January - 2023'!EW23</f>
        <v>800</v>
      </c>
      <c r="ES23" s="525"/>
      <c r="ET23" s="256">
        <f>'[2]January - 2023'!EY23</f>
        <v>42701</v>
      </c>
      <c r="EU23" s="253">
        <f>'[2]January - 2023'!EZ23</f>
        <v>16</v>
      </c>
      <c r="EV23" s="257">
        <f>'[2]January - 2023'!FA23</f>
        <v>37283</v>
      </c>
      <c r="EW23" s="253">
        <f>'[2]January - 2023'!FB23</f>
        <v>14</v>
      </c>
      <c r="EX23" s="257">
        <f>'[2]January - 2023'!FC23</f>
        <v>7897</v>
      </c>
      <c r="EY23" s="253">
        <f>'[2]January - 2023'!FD23</f>
        <v>12</v>
      </c>
      <c r="EZ23" s="257">
        <f>'[2]January - 2023'!FE23</f>
        <v>59810</v>
      </c>
      <c r="FA23" s="253">
        <f>'[2]January - 2023'!FF23</f>
        <v>15</v>
      </c>
      <c r="FB23" s="257">
        <f>'[2]January - 2023'!FG23</f>
        <v>50780</v>
      </c>
      <c r="FC23" s="254">
        <f>'[2]January - 2023'!FH23</f>
        <v>37</v>
      </c>
    </row>
    <row r="24" spans="1:159" ht="30" customHeight="1">
      <c r="A24" s="187">
        <v>44941</v>
      </c>
      <c r="B24" s="189">
        <f>'[2]January - 2023'!B24</f>
        <v>0</v>
      </c>
      <c r="C24" s="229">
        <f>'[2]January - 2023'!E24</f>
        <v>0</v>
      </c>
      <c r="D24" s="152">
        <f>'[2]January - 2023'!F24</f>
        <v>-233644</v>
      </c>
      <c r="E24" s="150">
        <f>'[2]January - 2023'!G24</f>
        <v>809</v>
      </c>
      <c r="F24" s="150">
        <f>'[2]January - 2023'!H24</f>
        <v>0</v>
      </c>
      <c r="G24" s="152">
        <f>'[2]January - 2023'!I24</f>
        <v>-258240</v>
      </c>
      <c r="H24" s="150">
        <f>'[2]January - 2023'!J24</f>
        <v>510</v>
      </c>
      <c r="I24" s="150">
        <f>'[2]January - 2023'!K24</f>
        <v>0</v>
      </c>
      <c r="J24" s="152">
        <f>'[2]January - 2023'!L24</f>
        <v>-12824</v>
      </c>
      <c r="K24" s="150">
        <f>'[2]January - 2023'!N24</f>
        <v>0</v>
      </c>
      <c r="L24" s="152">
        <f>'[2]January - 2023'!O24</f>
        <v>-927080</v>
      </c>
      <c r="M24" s="150">
        <f>'[2]January - 2023'!Q24</f>
        <v>0</v>
      </c>
      <c r="N24" s="152">
        <f>'[2]January - 2023'!R24</f>
        <v>-245457</v>
      </c>
      <c r="O24" s="150">
        <f>'[2]January - 2023'!U24</f>
        <v>0</v>
      </c>
      <c r="P24" s="152">
        <f>'[2]January - 2023'!V24</f>
        <v>-119240</v>
      </c>
      <c r="Q24" s="150">
        <f>'[2]January - 2023'!W24</f>
        <v>75.660000000003492</v>
      </c>
      <c r="R24" s="150">
        <f>'[2]January - 2023'!X24</f>
        <v>0</v>
      </c>
      <c r="S24" s="188">
        <f>'[2]January - 2023'!Y24</f>
        <v>-6621</v>
      </c>
      <c r="T24" s="446"/>
      <c r="U24" s="151">
        <f>'[2]January - 2023'!AE24</f>
        <v>0</v>
      </c>
      <c r="V24" s="218">
        <f>'[2]January - 2023'!AF24</f>
        <v>-8238210.959999999</v>
      </c>
      <c r="W24" s="88">
        <f>'[2]January - 2023'!AF24</f>
        <v>-8238210.959999999</v>
      </c>
      <c r="X24" s="233">
        <f>'[2]January - 2023'!AH24</f>
        <v>0</v>
      </c>
      <c r="Y24" s="218">
        <f>'[2]January - 2023'!AI24</f>
        <v>-15641897.039999999</v>
      </c>
      <c r="Z24" s="88">
        <f>'[2]January - 2023'!AI24</f>
        <v>-15641897.039999999</v>
      </c>
      <c r="AA24" s="233">
        <f>'[2]January - 2023'!AK24</f>
        <v>0</v>
      </c>
      <c r="AB24" s="218">
        <f>'[2]January - 2023'!AL24</f>
        <v>-15888566.4</v>
      </c>
      <c r="AC24" s="88">
        <f>'[2]January - 2023'!AL24</f>
        <v>-15888566.4</v>
      </c>
      <c r="AD24" s="233">
        <f>'[2]January - 2023'!AN24</f>
        <v>0</v>
      </c>
      <c r="AE24" s="218">
        <f>'[2]January - 2023'!AO24</f>
        <v>-18988035.359999999</v>
      </c>
      <c r="AF24" s="88">
        <f>'[2]January - 2023'!AO24</f>
        <v>-18988035.359999999</v>
      </c>
      <c r="AG24" s="233">
        <f>'[2]January - 2023'!AQ24</f>
        <v>0</v>
      </c>
      <c r="AH24" s="218">
        <f>'[2]January - 2023'!AR24</f>
        <v>-19276798.800000001</v>
      </c>
      <c r="AI24" s="88">
        <f>'[2]January - 2023'!AR24</f>
        <v>-19276798.800000001</v>
      </c>
      <c r="AJ24" s="233">
        <f>'[2]January - 2023'!AT24</f>
        <v>0</v>
      </c>
      <c r="AK24" s="218">
        <f>'[2]January - 2023'!AU24</f>
        <v>-17769548.16</v>
      </c>
      <c r="AL24" s="88">
        <f>'[2]January - 2023'!AU24</f>
        <v>-17769548.16</v>
      </c>
      <c r="AM24" s="233">
        <f>'[2]January - 2023'!AW24</f>
        <v>0</v>
      </c>
      <c r="AN24" s="218">
        <f>'[2]January - 2023'!AX24</f>
        <v>-14942326.559999999</v>
      </c>
      <c r="AO24" s="88">
        <f>'[2]January - 2023'!AX24</f>
        <v>-14942326.559999999</v>
      </c>
      <c r="AP24" s="233">
        <f>'[2]January - 2023'!AZ24</f>
        <v>0</v>
      </c>
      <c r="AQ24" s="218">
        <f>'[2]January - 2023'!BA24</f>
        <v>-14478317.280000001</v>
      </c>
      <c r="AR24" s="88">
        <f>'[2]January - 2023'!BA24</f>
        <v>-14478317.280000001</v>
      </c>
      <c r="AS24" s="233">
        <f>'[2]January - 2023'!BC24</f>
        <v>0</v>
      </c>
      <c r="AT24" s="218">
        <f>'[2]January - 2023'!BD24</f>
        <v>-11290957.439999999</v>
      </c>
      <c r="AU24" s="88">
        <f>'[2]January - 2023'!BD24</f>
        <v>-11290957.439999999</v>
      </c>
      <c r="AV24" s="233">
        <f>'[2]January - 2023'!BF24</f>
        <v>0</v>
      </c>
      <c r="AW24" s="230">
        <f>'[2]January - 2023'!BG24</f>
        <v>-17910933.599999998</v>
      </c>
      <c r="AX24" s="231">
        <f>'[2]January - 2023'!BG24</f>
        <v>-17910933.599999998</v>
      </c>
      <c r="AY24" s="463"/>
      <c r="AZ24" s="250">
        <f>'[2]January - 2023'!BM24</f>
        <v>0</v>
      </c>
      <c r="BA24" s="161">
        <f>'[2]January - 2023'!BN24</f>
        <v>-78496200</v>
      </c>
      <c r="BB24" s="89">
        <f>'[2]January - 2023'!BN24</f>
        <v>-78496200</v>
      </c>
      <c r="BC24" s="250">
        <f>'[2]January - 2023'!BP24</f>
        <v>0</v>
      </c>
      <c r="BD24" s="224">
        <f>'[2]January - 2023'!BQ24</f>
        <v>-81245600</v>
      </c>
      <c r="BE24" s="89">
        <f>'[2]January - 2023'!BQ24</f>
        <v>-81245600</v>
      </c>
      <c r="BF24" s="250">
        <f>'[2]January - 2023'!BS24</f>
        <v>0</v>
      </c>
      <c r="BG24" s="224">
        <f>'[2]January - 2023'!BT24</f>
        <v>-75325600</v>
      </c>
      <c r="BH24" s="89">
        <f>'[2]January - 2023'!BT24</f>
        <v>-75325600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'[2]January - 2023'!BV24</f>
        <v>0</v>
      </c>
      <c r="BT24" s="166">
        <f>'[2]January - 2023'!BW24</f>
        <v>-10481810</v>
      </c>
      <c r="BU24" s="559"/>
      <c r="BV24" s="84">
        <f>'[2]January - 2023'!BY24</f>
        <v>0</v>
      </c>
      <c r="BW24" s="220">
        <f>'[2]January - 2023'!BZ24</f>
        <v>0.71</v>
      </c>
      <c r="BX24" s="84">
        <f>'[2]January - 2023'!BZ24</f>
        <v>0.71</v>
      </c>
      <c r="BY24" s="85">
        <f>'[2]January - 2023'!CB24</f>
        <v>0</v>
      </c>
      <c r="BZ24" s="172">
        <f>'[2]January - 2023'!CC24</f>
        <v>-65053</v>
      </c>
      <c r="CA24" s="85">
        <f>'[2]January - 2023'!CD24</f>
        <v>0</v>
      </c>
      <c r="CB24" s="172">
        <f>'[2]January - 2023'!CE24</f>
        <v>-56121</v>
      </c>
      <c r="CC24" s="85">
        <f>'[2]January - 2023'!CF24</f>
        <v>0</v>
      </c>
      <c r="CD24" s="172">
        <f>'[2]January - 2023'!CG24</f>
        <v>-18989</v>
      </c>
      <c r="CE24" s="85">
        <f>'[2]January - 2023'!CH24</f>
        <v>0</v>
      </c>
      <c r="CF24" s="172">
        <f>'[2]January - 2023'!CI24</f>
        <v>-25961</v>
      </c>
      <c r="CG24" s="85">
        <f>'[2]January - 2023'!CJ24</f>
        <v>0</v>
      </c>
      <c r="CH24" s="172">
        <f>'[2]January - 2023'!CK24</f>
        <v>-29010</v>
      </c>
      <c r="CI24" s="85">
        <f>'[2]January - 2023'!CL24</f>
        <v>0</v>
      </c>
      <c r="CJ24" s="172">
        <f>'[2]January - 2023'!CM24</f>
        <v>-63770</v>
      </c>
      <c r="CK24" s="85">
        <f>'[2]January - 2023'!CN24</f>
        <v>0</v>
      </c>
      <c r="CL24" s="225">
        <f>'[2]January - 2023'!CO24</f>
        <v>-270729</v>
      </c>
      <c r="CM24" s="85">
        <f>'[2]January - 2023'!CO24</f>
        <v>-270729</v>
      </c>
      <c r="CN24" s="85">
        <f>'[2]January - 2023'!CQ24</f>
        <v>0</v>
      </c>
      <c r="CO24" s="225">
        <f>'[2]January - 2023'!CR24</f>
        <v>-219180</v>
      </c>
      <c r="CP24" s="85">
        <f>'[2]January - 2023'!CR24</f>
        <v>-219180</v>
      </c>
      <c r="CQ24" s="85">
        <f>'[2]January - 2023'!CT24</f>
        <v>0</v>
      </c>
      <c r="CR24" s="225">
        <f>'[2]January - 2023'!CU24</f>
        <v>-364604</v>
      </c>
      <c r="CS24" s="85">
        <f>'[2]January - 2023'!CU24</f>
        <v>-364604</v>
      </c>
      <c r="CT24" s="85">
        <f>'[2]January - 2023'!CW24</f>
        <v>0</v>
      </c>
      <c r="CU24" s="172">
        <f>'[2]January - 2023'!CX24</f>
        <v>-701048</v>
      </c>
      <c r="CV24" s="487"/>
      <c r="CW24" s="234">
        <f>'[2]January - 2023'!CZ24</f>
        <v>0</v>
      </c>
      <c r="CX24" s="179">
        <f>'[2]January - 2023'!DA24</f>
        <v>-9189</v>
      </c>
      <c r="CY24" s="235">
        <f>'[2]January - 2023'!DB24</f>
        <v>0</v>
      </c>
      <c r="CZ24" s="179">
        <f>'[2]January - 2023'!DC24</f>
        <v>-6233</v>
      </c>
      <c r="DA24" s="235">
        <f>'[2]January - 2023'!DD24</f>
        <v>0</v>
      </c>
      <c r="DB24" s="179">
        <f>'[2]January - 2023'!DE24</f>
        <v>-32731</v>
      </c>
      <c r="DC24" s="235">
        <f>'[2]January - 2023'!DF24</f>
        <v>0</v>
      </c>
      <c r="DD24" s="179">
        <f>'[2]January - 2023'!DG24</f>
        <v>-32896</v>
      </c>
      <c r="DE24" s="235">
        <f>'[2]January - 2023'!DH24</f>
        <v>0</v>
      </c>
      <c r="DF24" s="179">
        <f>'[2]January - 2023'!DI24</f>
        <v>-22256</v>
      </c>
      <c r="DG24" s="235">
        <f>'[2]January - 2023'!DJ24</f>
        <v>0</v>
      </c>
      <c r="DH24" s="179">
        <f>'[2]January - 2023'!DK24</f>
        <v>-24277</v>
      </c>
      <c r="DI24" s="235">
        <f>'[2]January - 2023'!DL24</f>
        <v>0</v>
      </c>
      <c r="DJ24" s="179">
        <f>'[2]January - 2023'!DM24</f>
        <v>-7503</v>
      </c>
      <c r="DK24" s="235">
        <f>'[2]January - 2023'!DN24</f>
        <v>0</v>
      </c>
      <c r="DL24" s="179">
        <f>'[2]January - 2023'!DO24</f>
        <v>-10064</v>
      </c>
      <c r="DM24" s="235">
        <f>'[2]January - 2023'!DP24</f>
        <v>0</v>
      </c>
      <c r="DN24" s="179">
        <f>'[2]January - 2023'!DQ24</f>
        <v>-3425</v>
      </c>
      <c r="DO24" s="235">
        <f>'[2]January - 2023'!DR24</f>
        <v>0</v>
      </c>
      <c r="DP24" s="179">
        <f>'[2]January - 2023'!DS24</f>
        <v>-6769</v>
      </c>
      <c r="DQ24" s="235">
        <f>'[2]January - 2023'!DT24</f>
        <v>0</v>
      </c>
      <c r="DR24" s="186">
        <f>'[2]January - 2023'!DU24</f>
        <v>-30438</v>
      </c>
      <c r="DS24" s="503"/>
      <c r="DT24" s="190">
        <f>'[2]January - 2023'!DW24</f>
        <v>0</v>
      </c>
      <c r="DU24" s="201">
        <f>'[2]January - 2023'!DX24</f>
        <v>-6730</v>
      </c>
      <c r="DV24" s="87">
        <f>'[2]January - 2023'!DY24</f>
        <v>0</v>
      </c>
      <c r="DW24" s="195">
        <f>'[2]January - 2023'!DZ24</f>
        <v>-11571.9</v>
      </c>
      <c r="DX24" s="87">
        <f>'[2]January - 2023'!EA24</f>
        <v>0</v>
      </c>
      <c r="DY24" s="195">
        <f>'[2]January - 2023'!EB24</f>
        <v>-5042.3999999999996</v>
      </c>
      <c r="DZ24" s="87">
        <f>'[2]January - 2023'!EC24</f>
        <v>0</v>
      </c>
      <c r="EA24" s="195">
        <f>'[2]January - 2023'!ED24</f>
        <v>-5624.5</v>
      </c>
      <c r="EB24" s="87">
        <f>'[2]January - 2023'!EE24</f>
        <v>0</v>
      </c>
      <c r="EC24" s="195">
        <f>'[2]January - 2023'!EF24</f>
        <v>-1147579</v>
      </c>
      <c r="ED24" s="87">
        <f>'[2]January - 2023'!EI24</f>
        <v>0</v>
      </c>
      <c r="EE24" s="208">
        <f>'[2]January - 2023'!EJ24</f>
        <v>-236594</v>
      </c>
      <c r="EF24" s="550"/>
      <c r="EG24" s="214">
        <f>'[2]January - 2023'!EL24</f>
        <v>0</v>
      </c>
      <c r="EH24" s="209">
        <f>'[2]January - 2023'!EM24</f>
        <v>-12251400</v>
      </c>
      <c r="EI24" s="86">
        <f>'[2]January - 2023'!EN24</f>
        <v>0</v>
      </c>
      <c r="EJ24" s="209">
        <f>'[2]January - 2023'!EO24</f>
        <v>-942400</v>
      </c>
      <c r="EK24" s="86">
        <f>'[2]January - 2023'!EP24</f>
        <v>0</v>
      </c>
      <c r="EL24" s="209">
        <f>'[2]January - 2023'!EQ24</f>
        <v>-7279000</v>
      </c>
      <c r="EM24" s="86">
        <f>'[2]January - 2023'!ER24</f>
        <v>0</v>
      </c>
      <c r="EN24" s="209">
        <f>'[2]January - 2023'!ES24</f>
        <v>-2507600</v>
      </c>
      <c r="EO24" s="86">
        <f>'[2]January - 2023'!ET24</f>
        <v>0</v>
      </c>
      <c r="EP24" s="209">
        <f>'[2]January - 2023'!EU24</f>
        <v>-1299030</v>
      </c>
      <c r="EQ24" s="86">
        <f>'[2]January - 2023'!EV24</f>
        <v>0</v>
      </c>
      <c r="ER24" s="209">
        <f>'[2]January - 2023'!EW24</f>
        <v>-16713700</v>
      </c>
      <c r="ES24" s="525"/>
      <c r="ET24" s="256">
        <f>'[2]January - 2023'!EY24</f>
        <v>0</v>
      </c>
      <c r="EU24" s="253">
        <f>'[2]January - 2023'!EZ24</f>
        <v>-42701</v>
      </c>
      <c r="EV24" s="257">
        <f>'[2]January - 2023'!FA24</f>
        <v>0</v>
      </c>
      <c r="EW24" s="253">
        <f>'[2]January - 2023'!FB24</f>
        <v>-37283</v>
      </c>
      <c r="EX24" s="257">
        <f>'[2]January - 2023'!FC24</f>
        <v>0</v>
      </c>
      <c r="EY24" s="253">
        <f>'[2]January - 2023'!FD24</f>
        <v>-7897</v>
      </c>
      <c r="EZ24" s="257">
        <f>'[2]January - 2023'!FE24</f>
        <v>0</v>
      </c>
      <c r="FA24" s="253">
        <f>'[2]January - 2023'!FF24</f>
        <v>-59810</v>
      </c>
      <c r="FB24" s="257">
        <f>'[2]January - 2023'!FG24</f>
        <v>0</v>
      </c>
      <c r="FC24" s="254">
        <f>'[2]January - 2023'!FH24</f>
        <v>-50780</v>
      </c>
    </row>
    <row r="25" spans="1:159" ht="30" customHeight="1">
      <c r="A25" s="187">
        <v>44942</v>
      </c>
      <c r="B25" s="189">
        <f>'[2]January - 2023'!B25</f>
        <v>0</v>
      </c>
      <c r="C25" s="229">
        <f>'[2]January - 2023'!E25</f>
        <v>0</v>
      </c>
      <c r="D25" s="152">
        <f>'[2]January - 2023'!F25</f>
        <v>0</v>
      </c>
      <c r="E25" s="150">
        <f>'[2]January - 2023'!G25</f>
        <v>648</v>
      </c>
      <c r="F25" s="150">
        <f>'[2]January - 2023'!H25</f>
        <v>0</v>
      </c>
      <c r="G25" s="152">
        <f>'[2]January - 2023'!I25</f>
        <v>0</v>
      </c>
      <c r="H25" s="150">
        <f>'[2]January - 2023'!J25</f>
        <v>434</v>
      </c>
      <c r="I25" s="150">
        <f>'[2]January - 2023'!K25</f>
        <v>0</v>
      </c>
      <c r="J25" s="152">
        <f>'[2]January - 2023'!L25</f>
        <v>0</v>
      </c>
      <c r="K25" s="150">
        <f>'[2]January - 2023'!N25</f>
        <v>0</v>
      </c>
      <c r="L25" s="152">
        <f>'[2]January - 2023'!O25</f>
        <v>0</v>
      </c>
      <c r="M25" s="150">
        <f>'[2]January - 2023'!Q25</f>
        <v>0</v>
      </c>
      <c r="N25" s="152">
        <f>'[2]January - 2023'!R25</f>
        <v>0</v>
      </c>
      <c r="O25" s="150">
        <f>'[2]January - 2023'!U25</f>
        <v>0</v>
      </c>
      <c r="P25" s="152">
        <f>'[2]January - 2023'!V25</f>
        <v>0</v>
      </c>
      <c r="Q25" s="150">
        <f>'[2]January - 2023'!W25</f>
        <v>73.970000000001164</v>
      </c>
      <c r="R25" s="150">
        <f>'[2]January - 2023'!X25</f>
        <v>0</v>
      </c>
      <c r="S25" s="188">
        <f>'[2]January - 2023'!Y25</f>
        <v>0</v>
      </c>
      <c r="T25" s="446"/>
      <c r="U25" s="151">
        <f>'[2]January - 2023'!AE25</f>
        <v>0</v>
      </c>
      <c r="V25" s="218">
        <f>'[2]January - 2023'!AF25</f>
        <v>0</v>
      </c>
      <c r="W25" s="88">
        <f>'[2]January - 2023'!AF25</f>
        <v>0</v>
      </c>
      <c r="X25" s="233">
        <f>'[2]January - 2023'!AH25</f>
        <v>0</v>
      </c>
      <c r="Y25" s="218">
        <f>'[2]January - 2023'!AI25</f>
        <v>0</v>
      </c>
      <c r="Z25" s="88">
        <f>'[2]January - 2023'!AI25</f>
        <v>0</v>
      </c>
      <c r="AA25" s="233">
        <f>'[2]January - 2023'!AK25</f>
        <v>0</v>
      </c>
      <c r="AB25" s="218">
        <f>'[2]January - 2023'!AL25</f>
        <v>0</v>
      </c>
      <c r="AC25" s="88">
        <f>'[2]January - 2023'!AL25</f>
        <v>0</v>
      </c>
      <c r="AD25" s="233">
        <f>'[2]January - 2023'!AN25</f>
        <v>0</v>
      </c>
      <c r="AE25" s="218">
        <f>'[2]January - 2023'!AO25</f>
        <v>0</v>
      </c>
      <c r="AF25" s="88">
        <f>'[2]January - 2023'!AO25</f>
        <v>0</v>
      </c>
      <c r="AG25" s="233">
        <f>'[2]January - 2023'!AQ25</f>
        <v>0</v>
      </c>
      <c r="AH25" s="218">
        <f>'[2]January - 2023'!AR25</f>
        <v>0</v>
      </c>
      <c r="AI25" s="88">
        <f>'[2]January - 2023'!AR25</f>
        <v>0</v>
      </c>
      <c r="AJ25" s="233">
        <f>'[2]January - 2023'!AT25</f>
        <v>0</v>
      </c>
      <c r="AK25" s="218">
        <f>'[2]January - 2023'!AU25</f>
        <v>0</v>
      </c>
      <c r="AL25" s="88">
        <f>'[2]January - 2023'!AU25</f>
        <v>0</v>
      </c>
      <c r="AM25" s="233">
        <f>'[2]January - 2023'!AW25</f>
        <v>0</v>
      </c>
      <c r="AN25" s="218">
        <f>'[2]January - 2023'!AX25</f>
        <v>0</v>
      </c>
      <c r="AO25" s="88">
        <f>'[2]January - 2023'!AX25</f>
        <v>0</v>
      </c>
      <c r="AP25" s="233">
        <f>'[2]January - 2023'!AZ25</f>
        <v>0</v>
      </c>
      <c r="AQ25" s="218">
        <f>'[2]January - 2023'!BA25</f>
        <v>0</v>
      </c>
      <c r="AR25" s="88">
        <f>'[2]January - 2023'!BA25</f>
        <v>0</v>
      </c>
      <c r="AS25" s="233">
        <f>'[2]January - 2023'!BC25</f>
        <v>0</v>
      </c>
      <c r="AT25" s="218">
        <f>'[2]January - 2023'!BD25</f>
        <v>0</v>
      </c>
      <c r="AU25" s="88">
        <f>'[2]January - 2023'!BD25</f>
        <v>0</v>
      </c>
      <c r="AV25" s="233">
        <f>'[2]January - 2023'!BF25</f>
        <v>0</v>
      </c>
      <c r="AW25" s="230">
        <f>'[2]January - 2023'!BG25</f>
        <v>0</v>
      </c>
      <c r="AX25" s="231">
        <f>'[2]January - 2023'!BG25</f>
        <v>0</v>
      </c>
      <c r="AY25" s="463"/>
      <c r="AZ25" s="250">
        <f>'[2]January - 2023'!BM25</f>
        <v>0</v>
      </c>
      <c r="BA25" s="161">
        <f>'[2]January - 2023'!BN25</f>
        <v>0</v>
      </c>
      <c r="BB25" s="89">
        <f>'[2]January - 2023'!BN25</f>
        <v>0</v>
      </c>
      <c r="BC25" s="250">
        <f>'[2]January - 2023'!BP25</f>
        <v>0</v>
      </c>
      <c r="BD25" s="224">
        <f>'[2]January - 2023'!BQ25</f>
        <v>0</v>
      </c>
      <c r="BE25" s="89">
        <f>'[2]January - 2023'!BQ25</f>
        <v>0</v>
      </c>
      <c r="BF25" s="250">
        <f>'[2]January - 2023'!BS25</f>
        <v>0</v>
      </c>
      <c r="BG25" s="224">
        <f>'[2]January - 2023'!BT25</f>
        <v>0</v>
      </c>
      <c r="BH25" s="89">
        <f>'[2]January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'[2]January - 2023'!BV25</f>
        <v>0</v>
      </c>
      <c r="BT25" s="166">
        <f>'[2]January - 2023'!BW25</f>
        <v>0</v>
      </c>
      <c r="BU25" s="559"/>
      <c r="BV25" s="84">
        <f>'[2]January - 2023'!BY25</f>
        <v>0</v>
      </c>
      <c r="BW25" s="220">
        <f>'[2]January - 2023'!BZ25</f>
        <v>0</v>
      </c>
      <c r="BX25" s="84">
        <f>'[2]January - 2023'!BZ25</f>
        <v>0</v>
      </c>
      <c r="BY25" s="85">
        <f>'[2]January - 2023'!CB25</f>
        <v>0</v>
      </c>
      <c r="BZ25" s="172">
        <f>'[2]January - 2023'!CC25</f>
        <v>0</v>
      </c>
      <c r="CA25" s="85">
        <f>'[2]January - 2023'!CD25</f>
        <v>0</v>
      </c>
      <c r="CB25" s="172">
        <f>'[2]January - 2023'!CE25</f>
        <v>0</v>
      </c>
      <c r="CC25" s="85">
        <f>'[2]January - 2023'!CF25</f>
        <v>0</v>
      </c>
      <c r="CD25" s="172">
        <f>'[2]January - 2023'!CG25</f>
        <v>0</v>
      </c>
      <c r="CE25" s="85">
        <f>'[2]January - 2023'!CH25</f>
        <v>0</v>
      </c>
      <c r="CF25" s="172">
        <f>'[2]January - 2023'!CI25</f>
        <v>0</v>
      </c>
      <c r="CG25" s="85">
        <f>'[2]January - 2023'!CJ25</f>
        <v>0</v>
      </c>
      <c r="CH25" s="172">
        <f>'[2]January - 2023'!CK25</f>
        <v>0</v>
      </c>
      <c r="CI25" s="85">
        <f>'[2]January - 2023'!CL25</f>
        <v>0</v>
      </c>
      <c r="CJ25" s="172">
        <f>'[2]January - 2023'!CM25</f>
        <v>0</v>
      </c>
      <c r="CK25" s="85">
        <f>'[2]January - 2023'!CN25</f>
        <v>0</v>
      </c>
      <c r="CL25" s="225">
        <f>'[2]January - 2023'!CO25</f>
        <v>0</v>
      </c>
      <c r="CM25" s="85">
        <f>'[2]January - 2023'!CO25</f>
        <v>0</v>
      </c>
      <c r="CN25" s="85">
        <f>'[2]January - 2023'!CQ25</f>
        <v>0</v>
      </c>
      <c r="CO25" s="225">
        <f>'[2]January - 2023'!CR25</f>
        <v>0</v>
      </c>
      <c r="CP25" s="85">
        <f>'[2]January - 2023'!CR25</f>
        <v>0</v>
      </c>
      <c r="CQ25" s="85">
        <f>'[2]January - 2023'!CT25</f>
        <v>0</v>
      </c>
      <c r="CR25" s="225">
        <f>'[2]January - 2023'!CU25</f>
        <v>0</v>
      </c>
      <c r="CS25" s="85">
        <f>'[2]January - 2023'!CU25</f>
        <v>0</v>
      </c>
      <c r="CT25" s="85">
        <f>'[2]January - 2023'!CW25</f>
        <v>0</v>
      </c>
      <c r="CU25" s="172">
        <f>'[2]January - 2023'!CX25</f>
        <v>0</v>
      </c>
      <c r="CV25" s="487"/>
      <c r="CW25" s="234">
        <f>'[2]January - 2023'!CZ25</f>
        <v>0</v>
      </c>
      <c r="CX25" s="179">
        <f>'[2]January - 2023'!DA25</f>
        <v>0</v>
      </c>
      <c r="CY25" s="235">
        <f>'[2]January - 2023'!DB25</f>
        <v>0</v>
      </c>
      <c r="CZ25" s="179">
        <f>'[2]January - 2023'!DC25</f>
        <v>0</v>
      </c>
      <c r="DA25" s="235">
        <f>'[2]January - 2023'!DD25</f>
        <v>0</v>
      </c>
      <c r="DB25" s="179">
        <f>'[2]January - 2023'!DE25</f>
        <v>0</v>
      </c>
      <c r="DC25" s="235">
        <f>'[2]January - 2023'!DF25</f>
        <v>0</v>
      </c>
      <c r="DD25" s="179">
        <f>'[2]January - 2023'!DG25</f>
        <v>0</v>
      </c>
      <c r="DE25" s="235">
        <f>'[2]January - 2023'!DH25</f>
        <v>0</v>
      </c>
      <c r="DF25" s="179">
        <f>'[2]January - 2023'!DI25</f>
        <v>0</v>
      </c>
      <c r="DG25" s="235">
        <f>'[2]January - 2023'!DJ25</f>
        <v>0</v>
      </c>
      <c r="DH25" s="179">
        <f>'[2]January - 2023'!DK25</f>
        <v>0</v>
      </c>
      <c r="DI25" s="235">
        <f>'[2]January - 2023'!DL25</f>
        <v>0</v>
      </c>
      <c r="DJ25" s="179">
        <f>'[2]January - 2023'!DM25</f>
        <v>0</v>
      </c>
      <c r="DK25" s="235">
        <f>'[2]January - 2023'!DN25</f>
        <v>0</v>
      </c>
      <c r="DL25" s="179">
        <f>'[2]January - 2023'!DO25</f>
        <v>0</v>
      </c>
      <c r="DM25" s="235">
        <f>'[2]January - 2023'!DP25</f>
        <v>0</v>
      </c>
      <c r="DN25" s="179">
        <f>'[2]January - 2023'!DQ25</f>
        <v>0</v>
      </c>
      <c r="DO25" s="235">
        <f>'[2]January - 2023'!DR25</f>
        <v>0</v>
      </c>
      <c r="DP25" s="179">
        <f>'[2]January - 2023'!DS25</f>
        <v>0</v>
      </c>
      <c r="DQ25" s="235">
        <f>'[2]January - 2023'!DT25</f>
        <v>0</v>
      </c>
      <c r="DR25" s="186">
        <f>'[2]January - 2023'!DU25</f>
        <v>0</v>
      </c>
      <c r="DS25" s="503"/>
      <c r="DT25" s="190">
        <f>'[2]January - 2023'!DW25</f>
        <v>0</v>
      </c>
      <c r="DU25" s="201">
        <f>'[2]January - 2023'!DX25</f>
        <v>0</v>
      </c>
      <c r="DV25" s="87">
        <f>'[2]January - 2023'!DY25</f>
        <v>0</v>
      </c>
      <c r="DW25" s="195">
        <f>'[2]January - 2023'!DZ25</f>
        <v>0</v>
      </c>
      <c r="DX25" s="87">
        <f>'[2]January - 2023'!EA25</f>
        <v>0</v>
      </c>
      <c r="DY25" s="195">
        <f>'[2]January - 2023'!EB25</f>
        <v>0</v>
      </c>
      <c r="DZ25" s="87">
        <f>'[2]January - 2023'!EC25</f>
        <v>0</v>
      </c>
      <c r="EA25" s="195">
        <f>'[2]January - 2023'!ED25</f>
        <v>0</v>
      </c>
      <c r="EB25" s="87">
        <f>'[2]January - 2023'!EE25</f>
        <v>0</v>
      </c>
      <c r="EC25" s="195">
        <f>'[2]January - 2023'!EF25</f>
        <v>0</v>
      </c>
      <c r="ED25" s="87">
        <f>'[2]January - 2023'!EI25</f>
        <v>0</v>
      </c>
      <c r="EE25" s="208">
        <f>'[2]January - 2023'!EJ25</f>
        <v>0</v>
      </c>
      <c r="EF25" s="550"/>
      <c r="EG25" s="214">
        <f>'[2]January - 2023'!EL25</f>
        <v>0</v>
      </c>
      <c r="EH25" s="209">
        <f>'[2]January - 2023'!EM25</f>
        <v>0</v>
      </c>
      <c r="EI25" s="86">
        <f>'[2]January - 2023'!EN25</f>
        <v>0</v>
      </c>
      <c r="EJ25" s="209">
        <f>'[2]January - 2023'!EO25</f>
        <v>0</v>
      </c>
      <c r="EK25" s="86">
        <f>'[2]January - 2023'!EP25</f>
        <v>0</v>
      </c>
      <c r="EL25" s="209">
        <f>'[2]January - 2023'!EQ25</f>
        <v>0</v>
      </c>
      <c r="EM25" s="86">
        <f>'[2]January - 2023'!ER25</f>
        <v>0</v>
      </c>
      <c r="EN25" s="209">
        <f>'[2]January - 2023'!ES25</f>
        <v>0</v>
      </c>
      <c r="EO25" s="86">
        <f>'[2]January - 2023'!ET25</f>
        <v>0</v>
      </c>
      <c r="EP25" s="209">
        <f>'[2]January - 2023'!EU25</f>
        <v>0</v>
      </c>
      <c r="EQ25" s="86">
        <f>'[2]January - 2023'!EV25</f>
        <v>0</v>
      </c>
      <c r="ER25" s="209">
        <f>'[2]January - 2023'!EW25</f>
        <v>0</v>
      </c>
      <c r="ES25" s="525"/>
      <c r="ET25" s="256">
        <f>'[2]January - 2023'!EY25</f>
        <v>0</v>
      </c>
      <c r="EU25" s="253">
        <f>'[2]January - 2023'!EZ25</f>
        <v>0</v>
      </c>
      <c r="EV25" s="257">
        <f>'[2]January - 2023'!FA25</f>
        <v>0</v>
      </c>
      <c r="EW25" s="253">
        <f>'[2]January - 2023'!FB25</f>
        <v>0</v>
      </c>
      <c r="EX25" s="257">
        <f>'[2]January - 2023'!FC25</f>
        <v>0</v>
      </c>
      <c r="EY25" s="253">
        <f>'[2]January - 2023'!FD25</f>
        <v>0</v>
      </c>
      <c r="EZ25" s="257">
        <f>'[2]January - 2023'!FE25</f>
        <v>0</v>
      </c>
      <c r="FA25" s="253">
        <f>'[2]January - 2023'!FF25</f>
        <v>0</v>
      </c>
      <c r="FB25" s="257">
        <f>'[2]January - 2023'!FG25</f>
        <v>0</v>
      </c>
      <c r="FC25" s="254">
        <f>'[2]January - 2023'!FH25</f>
        <v>0</v>
      </c>
    </row>
    <row r="26" spans="1:159" ht="30" customHeight="1">
      <c r="A26" s="187">
        <v>44943</v>
      </c>
      <c r="B26" s="189">
        <f>'[2]January - 2023'!B26</f>
        <v>0</v>
      </c>
      <c r="C26" s="229">
        <f>'[2]January - 2023'!E26</f>
        <v>0</v>
      </c>
      <c r="D26" s="152">
        <f>'[2]January - 2023'!F26</f>
        <v>0</v>
      </c>
      <c r="E26" s="150">
        <f>'[2]January - 2023'!G26</f>
        <v>582</v>
      </c>
      <c r="F26" s="150">
        <f>'[2]January - 2023'!H26</f>
        <v>0</v>
      </c>
      <c r="G26" s="152">
        <f>'[2]January - 2023'!I26</f>
        <v>0</v>
      </c>
      <c r="H26" s="150">
        <f>'[2]January - 2023'!J26</f>
        <v>444</v>
      </c>
      <c r="I26" s="150">
        <f>'[2]January - 2023'!K26</f>
        <v>0</v>
      </c>
      <c r="J26" s="152">
        <f>'[2]January - 2023'!L26</f>
        <v>0</v>
      </c>
      <c r="K26" s="150">
        <f>'[2]January - 2023'!N26</f>
        <v>0</v>
      </c>
      <c r="L26" s="152">
        <f>'[2]January - 2023'!O26</f>
        <v>0</v>
      </c>
      <c r="M26" s="150">
        <f>'[2]January - 2023'!Q26</f>
        <v>0</v>
      </c>
      <c r="N26" s="152">
        <f>'[2]January - 2023'!R26</f>
        <v>0</v>
      </c>
      <c r="O26" s="150">
        <f>'[2]January - 2023'!U26</f>
        <v>0</v>
      </c>
      <c r="P26" s="152">
        <f>'[2]January - 2023'!V26</f>
        <v>0</v>
      </c>
      <c r="Q26" s="150">
        <f>'[2]January - 2023'!W26</f>
        <v>84.299999999995634</v>
      </c>
      <c r="R26" s="150">
        <f>'[2]January - 2023'!X26</f>
        <v>0</v>
      </c>
      <c r="S26" s="188">
        <f>'[2]January - 2023'!Y26</f>
        <v>0</v>
      </c>
      <c r="T26" s="446"/>
      <c r="U26" s="151">
        <f>'[2]January - 2023'!AE26</f>
        <v>0</v>
      </c>
      <c r="V26" s="218">
        <f>'[2]January - 2023'!AF26</f>
        <v>0</v>
      </c>
      <c r="W26" s="88">
        <f>'[2]January - 2023'!AF26</f>
        <v>0</v>
      </c>
      <c r="X26" s="233">
        <f>'[2]January - 2023'!AH26</f>
        <v>0</v>
      </c>
      <c r="Y26" s="218">
        <f>'[2]January - 2023'!AI26</f>
        <v>0</v>
      </c>
      <c r="Z26" s="88">
        <f>'[2]January - 2023'!AI26</f>
        <v>0</v>
      </c>
      <c r="AA26" s="233">
        <f>'[2]January - 2023'!AK26</f>
        <v>0</v>
      </c>
      <c r="AB26" s="218">
        <f>'[2]January - 2023'!AL26</f>
        <v>0</v>
      </c>
      <c r="AC26" s="88">
        <f>'[2]January - 2023'!AL26</f>
        <v>0</v>
      </c>
      <c r="AD26" s="233">
        <f>'[2]January - 2023'!AN26</f>
        <v>0</v>
      </c>
      <c r="AE26" s="218">
        <f>'[2]January - 2023'!AO26</f>
        <v>0</v>
      </c>
      <c r="AF26" s="88">
        <f>'[2]January - 2023'!AO26</f>
        <v>0</v>
      </c>
      <c r="AG26" s="233">
        <f>'[2]January - 2023'!AQ26</f>
        <v>0</v>
      </c>
      <c r="AH26" s="218">
        <f>'[2]January - 2023'!AR26</f>
        <v>0</v>
      </c>
      <c r="AI26" s="88">
        <f>'[2]January - 2023'!AR26</f>
        <v>0</v>
      </c>
      <c r="AJ26" s="233">
        <f>'[2]January - 2023'!AT26</f>
        <v>0</v>
      </c>
      <c r="AK26" s="218">
        <f>'[2]January - 2023'!AU26</f>
        <v>0</v>
      </c>
      <c r="AL26" s="88">
        <f>'[2]January - 2023'!AU26</f>
        <v>0</v>
      </c>
      <c r="AM26" s="233">
        <f>'[2]January - 2023'!AW26</f>
        <v>0</v>
      </c>
      <c r="AN26" s="218">
        <f>'[2]January - 2023'!AX26</f>
        <v>0</v>
      </c>
      <c r="AO26" s="88">
        <f>'[2]January - 2023'!AX26</f>
        <v>0</v>
      </c>
      <c r="AP26" s="233">
        <f>'[2]January - 2023'!AZ26</f>
        <v>0</v>
      </c>
      <c r="AQ26" s="218">
        <f>'[2]January - 2023'!BA26</f>
        <v>0</v>
      </c>
      <c r="AR26" s="88">
        <f>'[2]January - 2023'!BA26</f>
        <v>0</v>
      </c>
      <c r="AS26" s="233">
        <f>'[2]January - 2023'!BC26</f>
        <v>0</v>
      </c>
      <c r="AT26" s="218">
        <f>'[2]January - 2023'!BD26</f>
        <v>0</v>
      </c>
      <c r="AU26" s="88">
        <f>'[2]January - 2023'!BD26</f>
        <v>0</v>
      </c>
      <c r="AV26" s="233">
        <f>'[2]January - 2023'!BF26</f>
        <v>0</v>
      </c>
      <c r="AW26" s="230">
        <f>'[2]January - 2023'!BG26</f>
        <v>0</v>
      </c>
      <c r="AX26" s="231">
        <f>'[2]January - 2023'!BG26</f>
        <v>0</v>
      </c>
      <c r="AY26" s="463"/>
      <c r="AZ26" s="250">
        <f>'[2]January - 2023'!BM26</f>
        <v>0</v>
      </c>
      <c r="BA26" s="161">
        <f>'[2]January - 2023'!BN26</f>
        <v>0</v>
      </c>
      <c r="BB26" s="89">
        <f>'[2]January - 2023'!BN26</f>
        <v>0</v>
      </c>
      <c r="BC26" s="250">
        <f>'[2]January - 2023'!BP26</f>
        <v>0</v>
      </c>
      <c r="BD26" s="224">
        <f>'[2]January - 2023'!BQ26</f>
        <v>0</v>
      </c>
      <c r="BE26" s="89">
        <f>'[2]January - 2023'!BQ26</f>
        <v>0</v>
      </c>
      <c r="BF26" s="250">
        <f>'[2]January - 2023'!BS26</f>
        <v>0</v>
      </c>
      <c r="BG26" s="224">
        <f>'[2]January - 2023'!BT26</f>
        <v>0</v>
      </c>
      <c r="BH26" s="89">
        <f>'[2]January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'[2]January - 2023'!BV26</f>
        <v>0</v>
      </c>
      <c r="BT26" s="166">
        <f>'[2]January - 2023'!BW26</f>
        <v>0</v>
      </c>
      <c r="BU26" s="559"/>
      <c r="BV26" s="84">
        <f>'[2]January - 2023'!BY26</f>
        <v>0</v>
      </c>
      <c r="BW26" s="220">
        <f>'[2]January - 2023'!BZ26</f>
        <v>0</v>
      </c>
      <c r="BX26" s="84">
        <f>'[2]January - 2023'!BZ26</f>
        <v>0</v>
      </c>
      <c r="BY26" s="85">
        <f>'[2]January - 2023'!CB26</f>
        <v>0</v>
      </c>
      <c r="BZ26" s="172">
        <f>'[2]January - 2023'!CC26</f>
        <v>0</v>
      </c>
      <c r="CA26" s="85">
        <f>'[2]January - 2023'!CD26</f>
        <v>0</v>
      </c>
      <c r="CB26" s="172">
        <f>'[2]January - 2023'!CE26</f>
        <v>0</v>
      </c>
      <c r="CC26" s="85">
        <f>'[2]January - 2023'!CF26</f>
        <v>0</v>
      </c>
      <c r="CD26" s="172">
        <f>'[2]January - 2023'!CG26</f>
        <v>0</v>
      </c>
      <c r="CE26" s="85">
        <f>'[2]January - 2023'!CH26</f>
        <v>0</v>
      </c>
      <c r="CF26" s="172">
        <f>'[2]January - 2023'!CI26</f>
        <v>0</v>
      </c>
      <c r="CG26" s="85">
        <f>'[2]January - 2023'!CJ26</f>
        <v>0</v>
      </c>
      <c r="CH26" s="172">
        <f>'[2]January - 2023'!CK26</f>
        <v>0</v>
      </c>
      <c r="CI26" s="85">
        <f>'[2]January - 2023'!CL26</f>
        <v>0</v>
      </c>
      <c r="CJ26" s="172">
        <f>'[2]January - 2023'!CM26</f>
        <v>0</v>
      </c>
      <c r="CK26" s="85">
        <f>'[2]January - 2023'!CN26</f>
        <v>0</v>
      </c>
      <c r="CL26" s="225">
        <f>'[2]January - 2023'!CO26</f>
        <v>0</v>
      </c>
      <c r="CM26" s="85">
        <f>'[2]January - 2023'!CO26</f>
        <v>0</v>
      </c>
      <c r="CN26" s="85">
        <f>'[2]January - 2023'!CQ26</f>
        <v>0</v>
      </c>
      <c r="CO26" s="225">
        <f>'[2]January - 2023'!CR26</f>
        <v>0</v>
      </c>
      <c r="CP26" s="85">
        <f>'[2]January - 2023'!CR26</f>
        <v>0</v>
      </c>
      <c r="CQ26" s="85">
        <f>'[2]January - 2023'!CT26</f>
        <v>0</v>
      </c>
      <c r="CR26" s="225">
        <f>'[2]January - 2023'!CU26</f>
        <v>0</v>
      </c>
      <c r="CS26" s="85">
        <f>'[2]January - 2023'!CU26</f>
        <v>0</v>
      </c>
      <c r="CT26" s="85">
        <f>'[2]January - 2023'!CW26</f>
        <v>0</v>
      </c>
      <c r="CU26" s="172">
        <f>'[2]January - 2023'!CX26</f>
        <v>0</v>
      </c>
      <c r="CV26" s="487"/>
      <c r="CW26" s="234">
        <f>'[2]January - 2023'!CZ26</f>
        <v>0</v>
      </c>
      <c r="CX26" s="179">
        <f>'[2]January - 2023'!DA26</f>
        <v>0</v>
      </c>
      <c r="CY26" s="235">
        <f>'[2]January - 2023'!DB26</f>
        <v>0</v>
      </c>
      <c r="CZ26" s="179">
        <f>'[2]January - 2023'!DC26</f>
        <v>0</v>
      </c>
      <c r="DA26" s="235">
        <f>'[2]January - 2023'!DD26</f>
        <v>0</v>
      </c>
      <c r="DB26" s="179">
        <f>'[2]January - 2023'!DE26</f>
        <v>0</v>
      </c>
      <c r="DC26" s="235">
        <f>'[2]January - 2023'!DF26</f>
        <v>0</v>
      </c>
      <c r="DD26" s="179">
        <f>'[2]January - 2023'!DG26</f>
        <v>0</v>
      </c>
      <c r="DE26" s="235">
        <f>'[2]January - 2023'!DH26</f>
        <v>0</v>
      </c>
      <c r="DF26" s="179">
        <f>'[2]January - 2023'!DI26</f>
        <v>0</v>
      </c>
      <c r="DG26" s="235">
        <f>'[2]January - 2023'!DJ26</f>
        <v>0</v>
      </c>
      <c r="DH26" s="179">
        <f>'[2]January - 2023'!DK26</f>
        <v>0</v>
      </c>
      <c r="DI26" s="235">
        <f>'[2]January - 2023'!DL26</f>
        <v>0</v>
      </c>
      <c r="DJ26" s="179">
        <f>'[2]January - 2023'!DM26</f>
        <v>0</v>
      </c>
      <c r="DK26" s="235">
        <f>'[2]January - 2023'!DN26</f>
        <v>0</v>
      </c>
      <c r="DL26" s="179">
        <f>'[2]January - 2023'!DO26</f>
        <v>0</v>
      </c>
      <c r="DM26" s="235">
        <f>'[2]January - 2023'!DP26</f>
        <v>0</v>
      </c>
      <c r="DN26" s="179">
        <f>'[2]January - 2023'!DQ26</f>
        <v>0</v>
      </c>
      <c r="DO26" s="235">
        <f>'[2]January - 2023'!DR26</f>
        <v>0</v>
      </c>
      <c r="DP26" s="179">
        <f>'[2]January - 2023'!DS26</f>
        <v>0</v>
      </c>
      <c r="DQ26" s="235">
        <f>'[2]January - 2023'!DT26</f>
        <v>0</v>
      </c>
      <c r="DR26" s="186">
        <f>'[2]January - 2023'!DU26</f>
        <v>0</v>
      </c>
      <c r="DS26" s="503"/>
      <c r="DT26" s="190">
        <f>'[2]January - 2023'!DW26</f>
        <v>0</v>
      </c>
      <c r="DU26" s="201">
        <f>'[2]January - 2023'!DX26</f>
        <v>0</v>
      </c>
      <c r="DV26" s="87">
        <f>'[2]January - 2023'!DY26</f>
        <v>0</v>
      </c>
      <c r="DW26" s="195">
        <f>'[2]January - 2023'!DZ26</f>
        <v>0</v>
      </c>
      <c r="DX26" s="87">
        <f>'[2]January - 2023'!EA26</f>
        <v>0</v>
      </c>
      <c r="DY26" s="195">
        <f>'[2]January - 2023'!EB26</f>
        <v>0</v>
      </c>
      <c r="DZ26" s="87">
        <f>'[2]January - 2023'!EC26</f>
        <v>0</v>
      </c>
      <c r="EA26" s="195">
        <f>'[2]January - 2023'!ED26</f>
        <v>0</v>
      </c>
      <c r="EB26" s="87">
        <f>'[2]January - 2023'!EE26</f>
        <v>0</v>
      </c>
      <c r="EC26" s="195">
        <f>'[2]January - 2023'!EF26</f>
        <v>0</v>
      </c>
      <c r="ED26" s="87">
        <f>'[2]January - 2023'!EI26</f>
        <v>0</v>
      </c>
      <c r="EE26" s="208">
        <f>'[2]January - 2023'!EJ26</f>
        <v>0</v>
      </c>
      <c r="EF26" s="550"/>
      <c r="EG26" s="214">
        <f>'[2]January - 2023'!EL26</f>
        <v>0</v>
      </c>
      <c r="EH26" s="209">
        <f>'[2]January - 2023'!EM26</f>
        <v>0</v>
      </c>
      <c r="EI26" s="86">
        <f>'[2]January - 2023'!EN26</f>
        <v>0</v>
      </c>
      <c r="EJ26" s="209">
        <f>'[2]January - 2023'!EO26</f>
        <v>0</v>
      </c>
      <c r="EK26" s="86">
        <f>'[2]January - 2023'!EP26</f>
        <v>0</v>
      </c>
      <c r="EL26" s="209">
        <f>'[2]January - 2023'!EQ26</f>
        <v>0</v>
      </c>
      <c r="EM26" s="86">
        <f>'[2]January - 2023'!ER26</f>
        <v>0</v>
      </c>
      <c r="EN26" s="209">
        <f>'[2]January - 2023'!ES26</f>
        <v>0</v>
      </c>
      <c r="EO26" s="86">
        <f>'[2]January - 2023'!ET26</f>
        <v>0</v>
      </c>
      <c r="EP26" s="209">
        <f>'[2]January - 2023'!EU26</f>
        <v>0</v>
      </c>
      <c r="EQ26" s="86">
        <f>'[2]January - 2023'!EV26</f>
        <v>0</v>
      </c>
      <c r="ER26" s="209">
        <f>'[2]January - 2023'!EW26</f>
        <v>0</v>
      </c>
      <c r="ES26" s="525"/>
      <c r="ET26" s="256">
        <f>'[2]January - 2023'!EY26</f>
        <v>0</v>
      </c>
      <c r="EU26" s="253">
        <f>'[2]January - 2023'!EZ26</f>
        <v>0</v>
      </c>
      <c r="EV26" s="257">
        <f>'[2]January - 2023'!FA26</f>
        <v>0</v>
      </c>
      <c r="EW26" s="253">
        <f>'[2]January - 2023'!FB26</f>
        <v>0</v>
      </c>
      <c r="EX26" s="257">
        <f>'[2]January - 2023'!FC26</f>
        <v>0</v>
      </c>
      <c r="EY26" s="253">
        <f>'[2]January - 2023'!FD26</f>
        <v>0</v>
      </c>
      <c r="EZ26" s="257">
        <f>'[2]January - 2023'!FE26</f>
        <v>0</v>
      </c>
      <c r="FA26" s="253">
        <f>'[2]January - 2023'!FF26</f>
        <v>0</v>
      </c>
      <c r="FB26" s="257">
        <f>'[2]January - 2023'!FG26</f>
        <v>0</v>
      </c>
      <c r="FC26" s="254">
        <f>'[2]January - 2023'!FH26</f>
        <v>0</v>
      </c>
    </row>
    <row r="27" spans="1:159" ht="30" customHeight="1">
      <c r="A27" s="187">
        <v>44944</v>
      </c>
      <c r="B27" s="189">
        <f>'[2]January - 2023'!B27</f>
        <v>0</v>
      </c>
      <c r="C27" s="229">
        <f>'[2]January - 2023'!E27</f>
        <v>0</v>
      </c>
      <c r="D27" s="152">
        <f>'[2]January - 2023'!F27</f>
        <v>0</v>
      </c>
      <c r="E27" s="150">
        <f>'[2]January - 2023'!G27</f>
        <v>556</v>
      </c>
      <c r="F27" s="150">
        <f>'[2]January - 2023'!H27</f>
        <v>0</v>
      </c>
      <c r="G27" s="152">
        <f>'[2]January - 2023'!I27</f>
        <v>0</v>
      </c>
      <c r="H27" s="150">
        <f>'[2]January - 2023'!J27</f>
        <v>400</v>
      </c>
      <c r="I27" s="150">
        <f>'[2]January - 2023'!K27</f>
        <v>0</v>
      </c>
      <c r="J27" s="152">
        <f>'[2]January - 2023'!L27</f>
        <v>0</v>
      </c>
      <c r="K27" s="150">
        <f>'[2]January - 2023'!N27</f>
        <v>0</v>
      </c>
      <c r="L27" s="152">
        <f>'[2]January - 2023'!O27</f>
        <v>0</v>
      </c>
      <c r="M27" s="150">
        <f>'[2]January - 2023'!Q27</f>
        <v>0</v>
      </c>
      <c r="N27" s="152">
        <f>'[2]January - 2023'!R27</f>
        <v>0</v>
      </c>
      <c r="O27" s="150">
        <f>'[2]January - 2023'!U27</f>
        <v>0</v>
      </c>
      <c r="P27" s="152">
        <f>'[2]January - 2023'!V27</f>
        <v>0</v>
      </c>
      <c r="Q27" s="150">
        <f>'[2]January - 2023'!W27</f>
        <v>93.340000000003783</v>
      </c>
      <c r="R27" s="150">
        <f>'[2]January - 2023'!X27</f>
        <v>0</v>
      </c>
      <c r="S27" s="188">
        <f>'[2]January - 2023'!Y27</f>
        <v>0</v>
      </c>
      <c r="T27" s="446"/>
      <c r="U27" s="151">
        <f>'[2]January - 2023'!AE27</f>
        <v>0</v>
      </c>
      <c r="V27" s="218">
        <f>'[2]January - 2023'!AF27</f>
        <v>0</v>
      </c>
      <c r="W27" s="88">
        <f>'[2]January - 2023'!AF27</f>
        <v>0</v>
      </c>
      <c r="X27" s="233">
        <f>'[2]January - 2023'!AH27</f>
        <v>0</v>
      </c>
      <c r="Y27" s="218">
        <f>'[2]January - 2023'!AI27</f>
        <v>0</v>
      </c>
      <c r="Z27" s="88">
        <f>'[2]January - 2023'!AI27</f>
        <v>0</v>
      </c>
      <c r="AA27" s="233">
        <f>'[2]January - 2023'!AK27</f>
        <v>0</v>
      </c>
      <c r="AB27" s="218">
        <f>'[2]January - 2023'!AL27</f>
        <v>0</v>
      </c>
      <c r="AC27" s="88">
        <f>'[2]January - 2023'!AL27</f>
        <v>0</v>
      </c>
      <c r="AD27" s="233">
        <f>'[2]January - 2023'!AN27</f>
        <v>0</v>
      </c>
      <c r="AE27" s="218">
        <f>'[2]January - 2023'!AO27</f>
        <v>0</v>
      </c>
      <c r="AF27" s="88">
        <f>'[2]January - 2023'!AO27</f>
        <v>0</v>
      </c>
      <c r="AG27" s="233">
        <f>'[2]January - 2023'!AQ27</f>
        <v>0</v>
      </c>
      <c r="AH27" s="218">
        <f>'[2]January - 2023'!AR27</f>
        <v>0</v>
      </c>
      <c r="AI27" s="88">
        <f>'[2]January - 2023'!AR27</f>
        <v>0</v>
      </c>
      <c r="AJ27" s="233">
        <f>'[2]January - 2023'!AT27</f>
        <v>0</v>
      </c>
      <c r="AK27" s="218">
        <f>'[2]January - 2023'!AU27</f>
        <v>0</v>
      </c>
      <c r="AL27" s="88">
        <f>'[2]January - 2023'!AU27</f>
        <v>0</v>
      </c>
      <c r="AM27" s="233">
        <f>'[2]January - 2023'!AW27</f>
        <v>0</v>
      </c>
      <c r="AN27" s="218">
        <f>'[2]January - 2023'!AX27</f>
        <v>0</v>
      </c>
      <c r="AO27" s="88">
        <f>'[2]January - 2023'!AX27</f>
        <v>0</v>
      </c>
      <c r="AP27" s="233">
        <f>'[2]January - 2023'!AZ27</f>
        <v>0</v>
      </c>
      <c r="AQ27" s="218">
        <f>'[2]January - 2023'!BA27</f>
        <v>0</v>
      </c>
      <c r="AR27" s="88">
        <f>'[2]January - 2023'!BA27</f>
        <v>0</v>
      </c>
      <c r="AS27" s="233">
        <f>'[2]January - 2023'!BC27</f>
        <v>0</v>
      </c>
      <c r="AT27" s="218">
        <f>'[2]January - 2023'!BD27</f>
        <v>0</v>
      </c>
      <c r="AU27" s="88">
        <f>'[2]January - 2023'!BD27</f>
        <v>0</v>
      </c>
      <c r="AV27" s="233">
        <f>'[2]January - 2023'!BF27</f>
        <v>0</v>
      </c>
      <c r="AW27" s="230">
        <f>'[2]January - 2023'!BG27</f>
        <v>0</v>
      </c>
      <c r="AX27" s="231">
        <f>'[2]January - 2023'!BG27</f>
        <v>0</v>
      </c>
      <c r="AY27" s="463"/>
      <c r="AZ27" s="250">
        <f>'[2]January - 2023'!BM27</f>
        <v>0</v>
      </c>
      <c r="BA27" s="161">
        <f>'[2]January - 2023'!BN27</f>
        <v>0</v>
      </c>
      <c r="BB27" s="89">
        <f>'[2]January - 2023'!BN27</f>
        <v>0</v>
      </c>
      <c r="BC27" s="250">
        <f>'[2]January - 2023'!BP27</f>
        <v>0</v>
      </c>
      <c r="BD27" s="224">
        <f>'[2]January - 2023'!BQ27</f>
        <v>0</v>
      </c>
      <c r="BE27" s="89">
        <f>'[2]January - 2023'!BQ27</f>
        <v>0</v>
      </c>
      <c r="BF27" s="250">
        <f>'[2]January - 2023'!BS27</f>
        <v>0</v>
      </c>
      <c r="BG27" s="224">
        <f>'[2]January - 2023'!BT27</f>
        <v>0</v>
      </c>
      <c r="BH27" s="89">
        <f>'[2]January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'[2]January - 2023'!BV27</f>
        <v>0</v>
      </c>
      <c r="BT27" s="166">
        <f>'[2]January - 2023'!BW27</f>
        <v>0</v>
      </c>
      <c r="BU27" s="559"/>
      <c r="BV27" s="84">
        <f>'[2]January - 2023'!BY27</f>
        <v>0</v>
      </c>
      <c r="BW27" s="220">
        <f>'[2]January - 2023'!BZ27</f>
        <v>0</v>
      </c>
      <c r="BX27" s="84">
        <f>'[2]January - 2023'!BZ27</f>
        <v>0</v>
      </c>
      <c r="BY27" s="85">
        <f>'[2]January - 2023'!CB27</f>
        <v>0</v>
      </c>
      <c r="BZ27" s="172">
        <f>'[2]January - 2023'!CC27</f>
        <v>0</v>
      </c>
      <c r="CA27" s="85">
        <f>'[2]January - 2023'!CD27</f>
        <v>0</v>
      </c>
      <c r="CB27" s="172">
        <f>'[2]January - 2023'!CE27</f>
        <v>0</v>
      </c>
      <c r="CC27" s="85">
        <f>'[2]January - 2023'!CF27</f>
        <v>0</v>
      </c>
      <c r="CD27" s="172">
        <f>'[2]January - 2023'!CG27</f>
        <v>0</v>
      </c>
      <c r="CE27" s="85">
        <f>'[2]January - 2023'!CH27</f>
        <v>0</v>
      </c>
      <c r="CF27" s="172">
        <f>'[2]January - 2023'!CI27</f>
        <v>0</v>
      </c>
      <c r="CG27" s="85">
        <f>'[2]January - 2023'!CJ27</f>
        <v>0</v>
      </c>
      <c r="CH27" s="172">
        <f>'[2]January - 2023'!CK27</f>
        <v>0</v>
      </c>
      <c r="CI27" s="85">
        <f>'[2]January - 2023'!CL27</f>
        <v>0</v>
      </c>
      <c r="CJ27" s="172">
        <f>'[2]January - 2023'!CM27</f>
        <v>0</v>
      </c>
      <c r="CK27" s="85">
        <f>'[2]January - 2023'!CN27</f>
        <v>0</v>
      </c>
      <c r="CL27" s="225">
        <f>'[2]January - 2023'!CO27</f>
        <v>0</v>
      </c>
      <c r="CM27" s="85">
        <f>'[2]January - 2023'!CO27</f>
        <v>0</v>
      </c>
      <c r="CN27" s="85">
        <f>'[2]January - 2023'!CQ27</f>
        <v>0</v>
      </c>
      <c r="CO27" s="225">
        <f>'[2]January - 2023'!CR27</f>
        <v>0</v>
      </c>
      <c r="CP27" s="85">
        <f>'[2]January - 2023'!CR27</f>
        <v>0</v>
      </c>
      <c r="CQ27" s="85">
        <f>'[2]January - 2023'!CT27</f>
        <v>0</v>
      </c>
      <c r="CR27" s="225">
        <f>'[2]January - 2023'!CU27</f>
        <v>0</v>
      </c>
      <c r="CS27" s="85">
        <f>'[2]January - 2023'!CU27</f>
        <v>0</v>
      </c>
      <c r="CT27" s="85">
        <f>'[2]January - 2023'!CW27</f>
        <v>0</v>
      </c>
      <c r="CU27" s="172">
        <f>'[2]January - 2023'!CX27</f>
        <v>0</v>
      </c>
      <c r="CV27" s="487"/>
      <c r="CW27" s="234">
        <f>'[2]January - 2023'!CZ27</f>
        <v>0</v>
      </c>
      <c r="CX27" s="179">
        <f>'[2]January - 2023'!DA27</f>
        <v>0</v>
      </c>
      <c r="CY27" s="235">
        <f>'[2]January - 2023'!DB27</f>
        <v>0</v>
      </c>
      <c r="CZ27" s="179">
        <f>'[2]January - 2023'!DC27</f>
        <v>0</v>
      </c>
      <c r="DA27" s="235">
        <f>'[2]January - 2023'!DD27</f>
        <v>0</v>
      </c>
      <c r="DB27" s="179">
        <f>'[2]January - 2023'!DE27</f>
        <v>0</v>
      </c>
      <c r="DC27" s="235">
        <f>'[2]January - 2023'!DF27</f>
        <v>0</v>
      </c>
      <c r="DD27" s="179">
        <f>'[2]January - 2023'!DG27</f>
        <v>0</v>
      </c>
      <c r="DE27" s="235">
        <f>'[2]January - 2023'!DH27</f>
        <v>0</v>
      </c>
      <c r="DF27" s="179">
        <f>'[2]January - 2023'!DI27</f>
        <v>0</v>
      </c>
      <c r="DG27" s="235">
        <f>'[2]January - 2023'!DJ27</f>
        <v>0</v>
      </c>
      <c r="DH27" s="179">
        <f>'[2]January - 2023'!DK27</f>
        <v>0</v>
      </c>
      <c r="DI27" s="235">
        <f>'[2]January - 2023'!DL27</f>
        <v>0</v>
      </c>
      <c r="DJ27" s="179">
        <f>'[2]January - 2023'!DM27</f>
        <v>0</v>
      </c>
      <c r="DK27" s="235">
        <f>'[2]January - 2023'!DN27</f>
        <v>0</v>
      </c>
      <c r="DL27" s="179">
        <f>'[2]January - 2023'!DO27</f>
        <v>0</v>
      </c>
      <c r="DM27" s="235">
        <f>'[2]January - 2023'!DP27</f>
        <v>0</v>
      </c>
      <c r="DN27" s="179">
        <f>'[2]January - 2023'!DQ27</f>
        <v>0</v>
      </c>
      <c r="DO27" s="235">
        <f>'[2]January - 2023'!DR27</f>
        <v>0</v>
      </c>
      <c r="DP27" s="179">
        <f>'[2]January - 2023'!DS27</f>
        <v>0</v>
      </c>
      <c r="DQ27" s="235">
        <f>'[2]January - 2023'!DT27</f>
        <v>0</v>
      </c>
      <c r="DR27" s="186">
        <f>'[2]January - 2023'!DU27</f>
        <v>0</v>
      </c>
      <c r="DS27" s="503"/>
      <c r="DT27" s="190">
        <f>'[2]January - 2023'!DW27</f>
        <v>0</v>
      </c>
      <c r="DU27" s="201">
        <f>'[2]January - 2023'!DX27</f>
        <v>0</v>
      </c>
      <c r="DV27" s="87">
        <f>'[2]January - 2023'!DY27</f>
        <v>0</v>
      </c>
      <c r="DW27" s="195">
        <f>'[2]January - 2023'!DZ27</f>
        <v>0</v>
      </c>
      <c r="DX27" s="87">
        <f>'[2]January - 2023'!EA27</f>
        <v>0</v>
      </c>
      <c r="DY27" s="195">
        <f>'[2]January - 2023'!EB27</f>
        <v>0</v>
      </c>
      <c r="DZ27" s="87">
        <f>'[2]January - 2023'!EC27</f>
        <v>0</v>
      </c>
      <c r="EA27" s="195">
        <f>'[2]January - 2023'!ED27</f>
        <v>0</v>
      </c>
      <c r="EB27" s="87">
        <f>'[2]January - 2023'!EE27</f>
        <v>0</v>
      </c>
      <c r="EC27" s="195">
        <f>'[2]January - 2023'!EF27</f>
        <v>0</v>
      </c>
      <c r="ED27" s="87">
        <f>'[2]January - 2023'!EI27</f>
        <v>0</v>
      </c>
      <c r="EE27" s="208">
        <f>'[2]January - 2023'!EJ27</f>
        <v>0</v>
      </c>
      <c r="EF27" s="550"/>
      <c r="EG27" s="214">
        <f>'[2]January - 2023'!EL27</f>
        <v>0</v>
      </c>
      <c r="EH27" s="209">
        <f>'[2]January - 2023'!EM27</f>
        <v>0</v>
      </c>
      <c r="EI27" s="86">
        <f>'[2]January - 2023'!EN27</f>
        <v>0</v>
      </c>
      <c r="EJ27" s="209">
        <f>'[2]January - 2023'!EO27</f>
        <v>0</v>
      </c>
      <c r="EK27" s="86">
        <f>'[2]January - 2023'!EP27</f>
        <v>0</v>
      </c>
      <c r="EL27" s="209">
        <f>'[2]January - 2023'!EQ27</f>
        <v>0</v>
      </c>
      <c r="EM27" s="86">
        <f>'[2]January - 2023'!ER27</f>
        <v>0</v>
      </c>
      <c r="EN27" s="209">
        <f>'[2]January - 2023'!ES27</f>
        <v>0</v>
      </c>
      <c r="EO27" s="86">
        <f>'[2]January - 2023'!ET27</f>
        <v>0</v>
      </c>
      <c r="EP27" s="209">
        <f>'[2]January - 2023'!EU27</f>
        <v>0</v>
      </c>
      <c r="EQ27" s="86">
        <f>'[2]January - 2023'!EV27</f>
        <v>0</v>
      </c>
      <c r="ER27" s="209">
        <f>'[2]January - 2023'!EW27</f>
        <v>0</v>
      </c>
      <c r="ES27" s="525"/>
      <c r="ET27" s="256">
        <f>'[2]January - 2023'!EY27</f>
        <v>0</v>
      </c>
      <c r="EU27" s="253">
        <f>'[2]January - 2023'!EZ27</f>
        <v>0</v>
      </c>
      <c r="EV27" s="257">
        <f>'[2]January - 2023'!FA27</f>
        <v>0</v>
      </c>
      <c r="EW27" s="253">
        <f>'[2]January - 2023'!FB27</f>
        <v>0</v>
      </c>
      <c r="EX27" s="257">
        <f>'[2]January - 2023'!FC27</f>
        <v>0</v>
      </c>
      <c r="EY27" s="253">
        <f>'[2]January - 2023'!FD27</f>
        <v>0</v>
      </c>
      <c r="EZ27" s="257">
        <f>'[2]January - 2023'!FE27</f>
        <v>0</v>
      </c>
      <c r="FA27" s="253">
        <f>'[2]January - 2023'!FF27</f>
        <v>0</v>
      </c>
      <c r="FB27" s="257">
        <f>'[2]January - 2023'!FG27</f>
        <v>0</v>
      </c>
      <c r="FC27" s="254">
        <f>'[2]January - 2023'!FH27</f>
        <v>0</v>
      </c>
    </row>
    <row r="28" spans="1:159" ht="30" customHeight="1">
      <c r="A28" s="187">
        <v>44945</v>
      </c>
      <c r="B28" s="189">
        <f>'[2]January - 2023'!B28</f>
        <v>0</v>
      </c>
      <c r="C28" s="229">
        <f>'[2]January - 2023'!E28</f>
        <v>0</v>
      </c>
      <c r="D28" s="152">
        <f>'[2]January - 2023'!F28</f>
        <v>0</v>
      </c>
      <c r="E28" s="150">
        <f>'[2]January - 2023'!G28</f>
        <v>454</v>
      </c>
      <c r="F28" s="150">
        <f>'[2]January - 2023'!H28</f>
        <v>0</v>
      </c>
      <c r="G28" s="152">
        <f>'[2]January - 2023'!I28</f>
        <v>0</v>
      </c>
      <c r="H28" s="150">
        <f>'[2]January - 2023'!J28</f>
        <v>355</v>
      </c>
      <c r="I28" s="150">
        <f>'[2]January - 2023'!K28</f>
        <v>0</v>
      </c>
      <c r="J28" s="152">
        <f>'[2]January - 2023'!L28</f>
        <v>0</v>
      </c>
      <c r="K28" s="150">
        <f>'[2]January - 2023'!N28</f>
        <v>0</v>
      </c>
      <c r="L28" s="152">
        <f>'[2]January - 2023'!O28</f>
        <v>0</v>
      </c>
      <c r="M28" s="150">
        <f>'[2]January - 2023'!Q28</f>
        <v>0</v>
      </c>
      <c r="N28" s="152">
        <f>'[2]January - 2023'!R28</f>
        <v>0</v>
      </c>
      <c r="O28" s="150">
        <f>'[2]January - 2023'!U28</f>
        <v>0</v>
      </c>
      <c r="P28" s="152">
        <f>'[2]January - 2023'!V28</f>
        <v>0</v>
      </c>
      <c r="Q28" s="150">
        <f>'[2]January - 2023'!W28</f>
        <v>75.049999999995634</v>
      </c>
      <c r="R28" s="150">
        <f>'[2]January - 2023'!X28</f>
        <v>0</v>
      </c>
      <c r="S28" s="188">
        <f>'[2]January - 2023'!Y28</f>
        <v>0</v>
      </c>
      <c r="T28" s="446"/>
      <c r="U28" s="151">
        <f>'[2]January - 2023'!AE28</f>
        <v>0</v>
      </c>
      <c r="V28" s="218">
        <f>'[2]January - 2023'!AF28</f>
        <v>0</v>
      </c>
      <c r="W28" s="88">
        <f>'[2]January - 2023'!AF28</f>
        <v>0</v>
      </c>
      <c r="X28" s="233">
        <f>'[2]January - 2023'!AH28</f>
        <v>0</v>
      </c>
      <c r="Y28" s="218">
        <f>'[2]January - 2023'!AI28</f>
        <v>0</v>
      </c>
      <c r="Z28" s="88">
        <f>'[2]January - 2023'!AI28</f>
        <v>0</v>
      </c>
      <c r="AA28" s="233">
        <f>'[2]January - 2023'!AK28</f>
        <v>0</v>
      </c>
      <c r="AB28" s="218">
        <f>'[2]January - 2023'!AL28</f>
        <v>0</v>
      </c>
      <c r="AC28" s="88">
        <f>'[2]January - 2023'!AL28</f>
        <v>0</v>
      </c>
      <c r="AD28" s="233">
        <f>'[2]January - 2023'!AN28</f>
        <v>0</v>
      </c>
      <c r="AE28" s="218">
        <f>'[2]January - 2023'!AO28</f>
        <v>0</v>
      </c>
      <c r="AF28" s="88">
        <f>'[2]January - 2023'!AO28</f>
        <v>0</v>
      </c>
      <c r="AG28" s="233">
        <f>'[2]January - 2023'!AQ28</f>
        <v>0</v>
      </c>
      <c r="AH28" s="218">
        <f>'[2]January - 2023'!AR28</f>
        <v>0</v>
      </c>
      <c r="AI28" s="88">
        <f>'[2]January - 2023'!AR28</f>
        <v>0</v>
      </c>
      <c r="AJ28" s="233">
        <f>'[2]January - 2023'!AT28</f>
        <v>0</v>
      </c>
      <c r="AK28" s="218">
        <f>'[2]January - 2023'!AU28</f>
        <v>0</v>
      </c>
      <c r="AL28" s="88">
        <f>'[2]January - 2023'!AU28</f>
        <v>0</v>
      </c>
      <c r="AM28" s="233">
        <f>'[2]January - 2023'!AW28</f>
        <v>0</v>
      </c>
      <c r="AN28" s="218">
        <f>'[2]January - 2023'!AX28</f>
        <v>0</v>
      </c>
      <c r="AO28" s="88">
        <f>'[2]January - 2023'!AX28</f>
        <v>0</v>
      </c>
      <c r="AP28" s="233">
        <f>'[2]January - 2023'!AZ28</f>
        <v>0</v>
      </c>
      <c r="AQ28" s="218">
        <f>'[2]January - 2023'!BA28</f>
        <v>0</v>
      </c>
      <c r="AR28" s="88">
        <f>'[2]January - 2023'!BA28</f>
        <v>0</v>
      </c>
      <c r="AS28" s="233">
        <f>'[2]January - 2023'!BC28</f>
        <v>0</v>
      </c>
      <c r="AT28" s="218">
        <f>'[2]January - 2023'!BD28</f>
        <v>0</v>
      </c>
      <c r="AU28" s="88">
        <f>'[2]January - 2023'!BD28</f>
        <v>0</v>
      </c>
      <c r="AV28" s="233">
        <f>'[2]January - 2023'!BF28</f>
        <v>0</v>
      </c>
      <c r="AW28" s="230">
        <f>'[2]January - 2023'!BG28</f>
        <v>0</v>
      </c>
      <c r="AX28" s="231">
        <f>'[2]January - 2023'!BG28</f>
        <v>0</v>
      </c>
      <c r="AY28" s="463"/>
      <c r="AZ28" s="250">
        <f>'[2]January - 2023'!BM28</f>
        <v>0</v>
      </c>
      <c r="BA28" s="161">
        <f>'[2]January - 2023'!BN28</f>
        <v>0</v>
      </c>
      <c r="BB28" s="89">
        <f>'[2]January - 2023'!BN28</f>
        <v>0</v>
      </c>
      <c r="BC28" s="250">
        <f>'[2]January - 2023'!BP28</f>
        <v>0</v>
      </c>
      <c r="BD28" s="224">
        <f>'[2]January - 2023'!BQ28</f>
        <v>0</v>
      </c>
      <c r="BE28" s="89">
        <f>'[2]January - 2023'!BQ28</f>
        <v>0</v>
      </c>
      <c r="BF28" s="250">
        <f>'[2]January - 2023'!BS28</f>
        <v>0</v>
      </c>
      <c r="BG28" s="224">
        <f>'[2]January - 2023'!BT28</f>
        <v>0</v>
      </c>
      <c r="BH28" s="89">
        <f>'[2]January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'[2]January - 2023'!BV28</f>
        <v>0</v>
      </c>
      <c r="BT28" s="166">
        <f>'[2]January - 2023'!BW28</f>
        <v>0</v>
      </c>
      <c r="BU28" s="559"/>
      <c r="BV28" s="84">
        <f>'[2]January - 2023'!BY28</f>
        <v>0</v>
      </c>
      <c r="BW28" s="220">
        <f>'[2]January - 2023'!BZ28</f>
        <v>0</v>
      </c>
      <c r="BX28" s="84">
        <f>'[2]January - 2023'!BZ28</f>
        <v>0</v>
      </c>
      <c r="BY28" s="85">
        <f>'[2]January - 2023'!CB28</f>
        <v>0</v>
      </c>
      <c r="BZ28" s="172">
        <f>'[2]January - 2023'!CC28</f>
        <v>0</v>
      </c>
      <c r="CA28" s="85">
        <f>'[2]January - 2023'!CD28</f>
        <v>0</v>
      </c>
      <c r="CB28" s="172">
        <f>'[2]January - 2023'!CE28</f>
        <v>0</v>
      </c>
      <c r="CC28" s="85">
        <f>'[2]January - 2023'!CF28</f>
        <v>0</v>
      </c>
      <c r="CD28" s="172">
        <f>'[2]January - 2023'!CG28</f>
        <v>0</v>
      </c>
      <c r="CE28" s="85">
        <f>'[2]January - 2023'!CH28</f>
        <v>0</v>
      </c>
      <c r="CF28" s="172">
        <f>'[2]January - 2023'!CI28</f>
        <v>0</v>
      </c>
      <c r="CG28" s="85">
        <f>'[2]January - 2023'!CJ28</f>
        <v>0</v>
      </c>
      <c r="CH28" s="172">
        <f>'[2]January - 2023'!CK28</f>
        <v>0</v>
      </c>
      <c r="CI28" s="85">
        <f>'[2]January - 2023'!CL28</f>
        <v>0</v>
      </c>
      <c r="CJ28" s="172">
        <f>'[2]January - 2023'!CM28</f>
        <v>0</v>
      </c>
      <c r="CK28" s="85">
        <f>'[2]January - 2023'!CN28</f>
        <v>0</v>
      </c>
      <c r="CL28" s="225">
        <f>'[2]January - 2023'!CO28</f>
        <v>0</v>
      </c>
      <c r="CM28" s="85">
        <f>'[2]January - 2023'!CO28</f>
        <v>0</v>
      </c>
      <c r="CN28" s="85">
        <f>'[2]January - 2023'!CQ28</f>
        <v>0</v>
      </c>
      <c r="CO28" s="225">
        <f>'[2]January - 2023'!CR28</f>
        <v>0</v>
      </c>
      <c r="CP28" s="85">
        <f>'[2]January - 2023'!CR28</f>
        <v>0</v>
      </c>
      <c r="CQ28" s="85">
        <f>'[2]January - 2023'!CT28</f>
        <v>0</v>
      </c>
      <c r="CR28" s="225">
        <f>'[2]January - 2023'!CU28</f>
        <v>0</v>
      </c>
      <c r="CS28" s="85">
        <f>'[2]January - 2023'!CU28</f>
        <v>0</v>
      </c>
      <c r="CT28" s="85">
        <f>'[2]January - 2023'!CW28</f>
        <v>0</v>
      </c>
      <c r="CU28" s="172">
        <f>'[2]January - 2023'!CX28</f>
        <v>0</v>
      </c>
      <c r="CV28" s="487"/>
      <c r="CW28" s="234">
        <f>'[2]January - 2023'!CZ28</f>
        <v>0</v>
      </c>
      <c r="CX28" s="179">
        <f>'[2]January - 2023'!DA28</f>
        <v>0</v>
      </c>
      <c r="CY28" s="235">
        <f>'[2]January - 2023'!DB28</f>
        <v>0</v>
      </c>
      <c r="CZ28" s="179">
        <f>'[2]January - 2023'!DC28</f>
        <v>0</v>
      </c>
      <c r="DA28" s="235">
        <f>'[2]January - 2023'!DD28</f>
        <v>0</v>
      </c>
      <c r="DB28" s="179">
        <f>'[2]January - 2023'!DE28</f>
        <v>0</v>
      </c>
      <c r="DC28" s="235">
        <f>'[2]January - 2023'!DF28</f>
        <v>0</v>
      </c>
      <c r="DD28" s="179">
        <f>'[2]January - 2023'!DG28</f>
        <v>0</v>
      </c>
      <c r="DE28" s="235">
        <f>'[2]January - 2023'!DH28</f>
        <v>0</v>
      </c>
      <c r="DF28" s="179">
        <f>'[2]January - 2023'!DI28</f>
        <v>0</v>
      </c>
      <c r="DG28" s="235">
        <f>'[2]January - 2023'!DJ28</f>
        <v>0</v>
      </c>
      <c r="DH28" s="179">
        <f>'[2]January - 2023'!DK28</f>
        <v>0</v>
      </c>
      <c r="DI28" s="235">
        <f>'[2]January - 2023'!DL28</f>
        <v>0</v>
      </c>
      <c r="DJ28" s="179">
        <f>'[2]January - 2023'!DM28</f>
        <v>0</v>
      </c>
      <c r="DK28" s="235">
        <f>'[2]January - 2023'!DN28</f>
        <v>0</v>
      </c>
      <c r="DL28" s="179">
        <f>'[2]January - 2023'!DO28</f>
        <v>0</v>
      </c>
      <c r="DM28" s="235">
        <f>'[2]January - 2023'!DP28</f>
        <v>0</v>
      </c>
      <c r="DN28" s="179">
        <f>'[2]January - 2023'!DQ28</f>
        <v>0</v>
      </c>
      <c r="DO28" s="235">
        <f>'[2]January - 2023'!DR28</f>
        <v>0</v>
      </c>
      <c r="DP28" s="179">
        <f>'[2]January - 2023'!DS28</f>
        <v>0</v>
      </c>
      <c r="DQ28" s="235">
        <f>'[2]January - 2023'!DT28</f>
        <v>0</v>
      </c>
      <c r="DR28" s="186">
        <f>'[2]January - 2023'!DU28</f>
        <v>0</v>
      </c>
      <c r="DS28" s="503"/>
      <c r="DT28" s="190">
        <f>'[2]January - 2023'!DW28</f>
        <v>0</v>
      </c>
      <c r="DU28" s="201">
        <f>'[2]January - 2023'!DX28</f>
        <v>0</v>
      </c>
      <c r="DV28" s="87">
        <f>'[2]January - 2023'!DY28</f>
        <v>0</v>
      </c>
      <c r="DW28" s="195">
        <f>'[2]January - 2023'!DZ28</f>
        <v>0</v>
      </c>
      <c r="DX28" s="87">
        <f>'[2]January - 2023'!EA28</f>
        <v>0</v>
      </c>
      <c r="DY28" s="195">
        <f>'[2]January - 2023'!EB28</f>
        <v>0</v>
      </c>
      <c r="DZ28" s="87">
        <f>'[2]January - 2023'!EC28</f>
        <v>0</v>
      </c>
      <c r="EA28" s="195">
        <f>'[2]January - 2023'!ED28</f>
        <v>0</v>
      </c>
      <c r="EB28" s="87">
        <f>'[2]January - 2023'!EE28</f>
        <v>0</v>
      </c>
      <c r="EC28" s="195">
        <f>'[2]January - 2023'!EF28</f>
        <v>0</v>
      </c>
      <c r="ED28" s="87">
        <f>'[2]January - 2023'!EI28</f>
        <v>0</v>
      </c>
      <c r="EE28" s="208">
        <f>'[2]January - 2023'!EJ28</f>
        <v>0</v>
      </c>
      <c r="EF28" s="550"/>
      <c r="EG28" s="214">
        <f>'[2]January - 2023'!EL28</f>
        <v>0</v>
      </c>
      <c r="EH28" s="209">
        <f>'[2]January - 2023'!EM28</f>
        <v>0</v>
      </c>
      <c r="EI28" s="86">
        <f>'[2]January - 2023'!EN28</f>
        <v>0</v>
      </c>
      <c r="EJ28" s="209">
        <f>'[2]January - 2023'!EO28</f>
        <v>0</v>
      </c>
      <c r="EK28" s="86">
        <f>'[2]January - 2023'!EP28</f>
        <v>0</v>
      </c>
      <c r="EL28" s="209">
        <f>'[2]January - 2023'!EQ28</f>
        <v>0</v>
      </c>
      <c r="EM28" s="86">
        <f>'[2]January - 2023'!ER28</f>
        <v>0</v>
      </c>
      <c r="EN28" s="209">
        <f>'[2]January - 2023'!ES28</f>
        <v>0</v>
      </c>
      <c r="EO28" s="86">
        <f>'[2]January - 2023'!ET28</f>
        <v>0</v>
      </c>
      <c r="EP28" s="209">
        <f>'[2]January - 2023'!EU28</f>
        <v>0</v>
      </c>
      <c r="EQ28" s="86">
        <f>'[2]January - 2023'!EV28</f>
        <v>0</v>
      </c>
      <c r="ER28" s="209">
        <f>'[2]January - 2023'!EW28</f>
        <v>0</v>
      </c>
      <c r="ES28" s="525"/>
      <c r="ET28" s="256">
        <f>'[2]January - 2023'!EY28</f>
        <v>0</v>
      </c>
      <c r="EU28" s="253">
        <f>'[2]January - 2023'!EZ28</f>
        <v>0</v>
      </c>
      <c r="EV28" s="257">
        <f>'[2]January - 2023'!FA28</f>
        <v>0</v>
      </c>
      <c r="EW28" s="253">
        <f>'[2]January - 2023'!FB28</f>
        <v>0</v>
      </c>
      <c r="EX28" s="257">
        <f>'[2]January - 2023'!FC28</f>
        <v>0</v>
      </c>
      <c r="EY28" s="253">
        <f>'[2]January - 2023'!FD28</f>
        <v>0</v>
      </c>
      <c r="EZ28" s="257">
        <f>'[2]January - 2023'!FE28</f>
        <v>0</v>
      </c>
      <c r="FA28" s="253">
        <f>'[2]January - 2023'!FF28</f>
        <v>0</v>
      </c>
      <c r="FB28" s="257">
        <f>'[2]January - 2023'!FG28</f>
        <v>0</v>
      </c>
      <c r="FC28" s="254">
        <f>'[2]January - 2023'!FH28</f>
        <v>0</v>
      </c>
    </row>
    <row r="29" spans="1:159" ht="30" customHeight="1">
      <c r="A29" s="187">
        <v>44946</v>
      </c>
      <c r="B29" s="189">
        <f>'[2]January - 2023'!B29</f>
        <v>0</v>
      </c>
      <c r="C29" s="229">
        <f>'[2]January - 2023'!E29</f>
        <v>0</v>
      </c>
      <c r="D29" s="152">
        <f>'[2]January - 2023'!F29</f>
        <v>0</v>
      </c>
      <c r="E29" s="150">
        <f>'[2]January - 2023'!G29</f>
        <v>496</v>
      </c>
      <c r="F29" s="150">
        <f>'[2]January - 2023'!H29</f>
        <v>0</v>
      </c>
      <c r="G29" s="152">
        <f>'[2]January - 2023'!I29</f>
        <v>0</v>
      </c>
      <c r="H29" s="150">
        <f>'[2]January - 2023'!J29</f>
        <v>371</v>
      </c>
      <c r="I29" s="150">
        <f>'[2]January - 2023'!K29</f>
        <v>0</v>
      </c>
      <c r="J29" s="152">
        <f>'[2]January - 2023'!L29</f>
        <v>0</v>
      </c>
      <c r="K29" s="150">
        <f>'[2]January - 2023'!N29</f>
        <v>0</v>
      </c>
      <c r="L29" s="152">
        <f>'[2]January - 2023'!O29</f>
        <v>0</v>
      </c>
      <c r="M29" s="150">
        <f>'[2]January - 2023'!Q29</f>
        <v>0</v>
      </c>
      <c r="N29" s="152">
        <f>'[2]January - 2023'!R29</f>
        <v>0</v>
      </c>
      <c r="O29" s="150">
        <f>'[2]January - 2023'!U29</f>
        <v>0</v>
      </c>
      <c r="P29" s="152">
        <f>'[2]January - 2023'!V29</f>
        <v>0</v>
      </c>
      <c r="Q29" s="150">
        <f>'[2]January - 2023'!W29</f>
        <v>75.75</v>
      </c>
      <c r="R29" s="150">
        <f>'[2]January - 2023'!X29</f>
        <v>0</v>
      </c>
      <c r="S29" s="188">
        <f>'[2]January - 2023'!Y29</f>
        <v>0</v>
      </c>
      <c r="T29" s="446"/>
      <c r="U29" s="151">
        <f>'[2]January - 2023'!AE29</f>
        <v>0</v>
      </c>
      <c r="V29" s="218">
        <f>'[2]January - 2023'!AF29</f>
        <v>0</v>
      </c>
      <c r="W29" s="88">
        <f>'[2]January - 2023'!AF29</f>
        <v>0</v>
      </c>
      <c r="X29" s="233">
        <f>'[2]January - 2023'!AH29</f>
        <v>0</v>
      </c>
      <c r="Y29" s="218">
        <f>'[2]January - 2023'!AI29</f>
        <v>0</v>
      </c>
      <c r="Z29" s="88">
        <f>'[2]January - 2023'!AI29</f>
        <v>0</v>
      </c>
      <c r="AA29" s="233">
        <f>'[2]January - 2023'!AK29</f>
        <v>0</v>
      </c>
      <c r="AB29" s="218">
        <f>'[2]January - 2023'!AL29</f>
        <v>0</v>
      </c>
      <c r="AC29" s="88">
        <f>'[2]January - 2023'!AL29</f>
        <v>0</v>
      </c>
      <c r="AD29" s="233">
        <f>'[2]January - 2023'!AN29</f>
        <v>0</v>
      </c>
      <c r="AE29" s="218">
        <f>'[2]January - 2023'!AO29</f>
        <v>0</v>
      </c>
      <c r="AF29" s="88">
        <f>'[2]January - 2023'!AO29</f>
        <v>0</v>
      </c>
      <c r="AG29" s="233">
        <f>'[2]January - 2023'!AQ29</f>
        <v>0</v>
      </c>
      <c r="AH29" s="218">
        <f>'[2]January - 2023'!AR29</f>
        <v>0</v>
      </c>
      <c r="AI29" s="88">
        <f>'[2]January - 2023'!AR29</f>
        <v>0</v>
      </c>
      <c r="AJ29" s="233">
        <f>'[2]January - 2023'!AT29</f>
        <v>0</v>
      </c>
      <c r="AK29" s="218">
        <f>'[2]January - 2023'!AU29</f>
        <v>0</v>
      </c>
      <c r="AL29" s="88">
        <f>'[2]January - 2023'!AU29</f>
        <v>0</v>
      </c>
      <c r="AM29" s="233">
        <f>'[2]January - 2023'!AW29</f>
        <v>0</v>
      </c>
      <c r="AN29" s="218">
        <f>'[2]January - 2023'!AX29</f>
        <v>0</v>
      </c>
      <c r="AO29" s="88">
        <f>'[2]January - 2023'!AX29</f>
        <v>0</v>
      </c>
      <c r="AP29" s="233">
        <f>'[2]January - 2023'!AZ29</f>
        <v>0</v>
      </c>
      <c r="AQ29" s="218">
        <f>'[2]January - 2023'!BA29</f>
        <v>0</v>
      </c>
      <c r="AR29" s="88">
        <f>'[2]January - 2023'!BA29</f>
        <v>0</v>
      </c>
      <c r="AS29" s="233">
        <f>'[2]January - 2023'!BC29</f>
        <v>0</v>
      </c>
      <c r="AT29" s="218">
        <f>'[2]January - 2023'!BD29</f>
        <v>0</v>
      </c>
      <c r="AU29" s="88">
        <f>'[2]January - 2023'!BD29</f>
        <v>0</v>
      </c>
      <c r="AV29" s="233">
        <f>'[2]January - 2023'!BF29</f>
        <v>0</v>
      </c>
      <c r="AW29" s="230">
        <f>'[2]January - 2023'!BG29</f>
        <v>0</v>
      </c>
      <c r="AX29" s="231">
        <f>'[2]January - 2023'!BG29</f>
        <v>0</v>
      </c>
      <c r="AY29" s="463"/>
      <c r="AZ29" s="250">
        <f>'[2]January - 2023'!BM29</f>
        <v>0</v>
      </c>
      <c r="BA29" s="161">
        <f>'[2]January - 2023'!BN29</f>
        <v>0</v>
      </c>
      <c r="BB29" s="89">
        <f>'[2]January - 2023'!BN29</f>
        <v>0</v>
      </c>
      <c r="BC29" s="250">
        <f>'[2]January - 2023'!BP29</f>
        <v>0</v>
      </c>
      <c r="BD29" s="224">
        <f>'[2]January - 2023'!BQ29</f>
        <v>0</v>
      </c>
      <c r="BE29" s="89">
        <f>'[2]January - 2023'!BQ29</f>
        <v>0</v>
      </c>
      <c r="BF29" s="250">
        <f>'[2]January - 2023'!BS29</f>
        <v>0</v>
      </c>
      <c r="BG29" s="224">
        <f>'[2]January - 2023'!BT29</f>
        <v>0</v>
      </c>
      <c r="BH29" s="89">
        <f>'[2]January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'[2]January - 2023'!BV29</f>
        <v>0</v>
      </c>
      <c r="BT29" s="166">
        <f>'[2]January - 2023'!BW29</f>
        <v>0</v>
      </c>
      <c r="BU29" s="559"/>
      <c r="BV29" s="84">
        <f>'[2]January - 2023'!BY29</f>
        <v>0</v>
      </c>
      <c r="BW29" s="220">
        <f>'[2]January - 2023'!BZ29</f>
        <v>0</v>
      </c>
      <c r="BX29" s="84">
        <f>'[2]January - 2023'!BZ29</f>
        <v>0</v>
      </c>
      <c r="BY29" s="85">
        <f>'[2]January - 2023'!CB29</f>
        <v>0</v>
      </c>
      <c r="BZ29" s="172">
        <f>'[2]January - 2023'!CC29</f>
        <v>0</v>
      </c>
      <c r="CA29" s="85">
        <f>'[2]January - 2023'!CD29</f>
        <v>0</v>
      </c>
      <c r="CB29" s="172">
        <f>'[2]January - 2023'!CE29</f>
        <v>0</v>
      </c>
      <c r="CC29" s="85">
        <f>'[2]January - 2023'!CF29</f>
        <v>0</v>
      </c>
      <c r="CD29" s="172">
        <f>'[2]January - 2023'!CG29</f>
        <v>0</v>
      </c>
      <c r="CE29" s="85">
        <f>'[2]January - 2023'!CH29</f>
        <v>0</v>
      </c>
      <c r="CF29" s="172">
        <f>'[2]January - 2023'!CI29</f>
        <v>0</v>
      </c>
      <c r="CG29" s="85">
        <f>'[2]January - 2023'!CJ29</f>
        <v>0</v>
      </c>
      <c r="CH29" s="172">
        <f>'[2]January - 2023'!CK29</f>
        <v>0</v>
      </c>
      <c r="CI29" s="85">
        <f>'[2]January - 2023'!CL29</f>
        <v>0</v>
      </c>
      <c r="CJ29" s="172">
        <f>'[2]January - 2023'!CM29</f>
        <v>0</v>
      </c>
      <c r="CK29" s="85">
        <f>'[2]January - 2023'!CN29</f>
        <v>0</v>
      </c>
      <c r="CL29" s="225">
        <f>'[2]January - 2023'!CO29</f>
        <v>0</v>
      </c>
      <c r="CM29" s="85">
        <f>'[2]January - 2023'!CO29</f>
        <v>0</v>
      </c>
      <c r="CN29" s="85">
        <f>'[2]January - 2023'!CQ29</f>
        <v>0</v>
      </c>
      <c r="CO29" s="225">
        <f>'[2]January - 2023'!CR29</f>
        <v>0</v>
      </c>
      <c r="CP29" s="85">
        <f>'[2]January - 2023'!CR29</f>
        <v>0</v>
      </c>
      <c r="CQ29" s="85">
        <f>'[2]January - 2023'!CT29</f>
        <v>0</v>
      </c>
      <c r="CR29" s="225">
        <f>'[2]January - 2023'!CU29</f>
        <v>0</v>
      </c>
      <c r="CS29" s="85">
        <f>'[2]January - 2023'!CU29</f>
        <v>0</v>
      </c>
      <c r="CT29" s="85">
        <f>'[2]January - 2023'!CW29</f>
        <v>0</v>
      </c>
      <c r="CU29" s="172">
        <f>'[2]January - 2023'!CX29</f>
        <v>0</v>
      </c>
      <c r="CV29" s="487"/>
      <c r="CW29" s="234">
        <f>'[2]January - 2023'!CZ29</f>
        <v>0</v>
      </c>
      <c r="CX29" s="179">
        <f>'[2]January - 2023'!DA29</f>
        <v>0</v>
      </c>
      <c r="CY29" s="235">
        <f>'[2]January - 2023'!DB29</f>
        <v>0</v>
      </c>
      <c r="CZ29" s="179">
        <f>'[2]January - 2023'!DC29</f>
        <v>0</v>
      </c>
      <c r="DA29" s="235">
        <f>'[2]January - 2023'!DD29</f>
        <v>0</v>
      </c>
      <c r="DB29" s="179">
        <f>'[2]January - 2023'!DE29</f>
        <v>0</v>
      </c>
      <c r="DC29" s="235">
        <f>'[2]January - 2023'!DF29</f>
        <v>0</v>
      </c>
      <c r="DD29" s="179">
        <f>'[2]January - 2023'!DG29</f>
        <v>0</v>
      </c>
      <c r="DE29" s="235">
        <f>'[2]January - 2023'!DH29</f>
        <v>0</v>
      </c>
      <c r="DF29" s="179">
        <f>'[2]January - 2023'!DI29</f>
        <v>0</v>
      </c>
      <c r="DG29" s="235">
        <f>'[2]January - 2023'!DJ29</f>
        <v>0</v>
      </c>
      <c r="DH29" s="179">
        <f>'[2]January - 2023'!DK29</f>
        <v>0</v>
      </c>
      <c r="DI29" s="235">
        <f>'[2]January - 2023'!DL29</f>
        <v>0</v>
      </c>
      <c r="DJ29" s="179">
        <f>'[2]January - 2023'!DM29</f>
        <v>0</v>
      </c>
      <c r="DK29" s="235">
        <f>'[2]January - 2023'!DN29</f>
        <v>0</v>
      </c>
      <c r="DL29" s="179">
        <f>'[2]January - 2023'!DO29</f>
        <v>0</v>
      </c>
      <c r="DM29" s="235">
        <f>'[2]January - 2023'!DP29</f>
        <v>0</v>
      </c>
      <c r="DN29" s="179">
        <f>'[2]January - 2023'!DQ29</f>
        <v>0</v>
      </c>
      <c r="DO29" s="235">
        <f>'[2]January - 2023'!DR29</f>
        <v>0</v>
      </c>
      <c r="DP29" s="179">
        <f>'[2]January - 2023'!DS29</f>
        <v>0</v>
      </c>
      <c r="DQ29" s="235">
        <f>'[2]January - 2023'!DT29</f>
        <v>0</v>
      </c>
      <c r="DR29" s="186">
        <f>'[2]January - 2023'!DU29</f>
        <v>0</v>
      </c>
      <c r="DS29" s="503"/>
      <c r="DT29" s="190">
        <f>'[2]January - 2023'!DW29</f>
        <v>0</v>
      </c>
      <c r="DU29" s="201">
        <f>'[2]January - 2023'!DX29</f>
        <v>0</v>
      </c>
      <c r="DV29" s="87">
        <f>'[2]January - 2023'!DY29</f>
        <v>0</v>
      </c>
      <c r="DW29" s="195">
        <f>'[2]January - 2023'!DZ29</f>
        <v>0</v>
      </c>
      <c r="DX29" s="87">
        <f>'[2]January - 2023'!EA29</f>
        <v>0</v>
      </c>
      <c r="DY29" s="195">
        <f>'[2]January - 2023'!EB29</f>
        <v>0</v>
      </c>
      <c r="DZ29" s="87">
        <f>'[2]January - 2023'!EC29</f>
        <v>0</v>
      </c>
      <c r="EA29" s="195">
        <f>'[2]January - 2023'!ED29</f>
        <v>0</v>
      </c>
      <c r="EB29" s="87">
        <f>'[2]January - 2023'!EE29</f>
        <v>0</v>
      </c>
      <c r="EC29" s="195">
        <f>'[2]January - 2023'!EF29</f>
        <v>0</v>
      </c>
      <c r="ED29" s="87">
        <f>'[2]January - 2023'!EI29</f>
        <v>0</v>
      </c>
      <c r="EE29" s="208">
        <f>'[2]January - 2023'!EJ29</f>
        <v>0</v>
      </c>
      <c r="EF29" s="550"/>
      <c r="EG29" s="214">
        <f>'[2]January - 2023'!EL29</f>
        <v>0</v>
      </c>
      <c r="EH29" s="209">
        <f>'[2]January - 2023'!EM29</f>
        <v>0</v>
      </c>
      <c r="EI29" s="86">
        <f>'[2]January - 2023'!EN29</f>
        <v>0</v>
      </c>
      <c r="EJ29" s="209">
        <f>'[2]January - 2023'!EO29</f>
        <v>0</v>
      </c>
      <c r="EK29" s="86">
        <f>'[2]January - 2023'!EP29</f>
        <v>0</v>
      </c>
      <c r="EL29" s="209">
        <f>'[2]January - 2023'!EQ29</f>
        <v>0</v>
      </c>
      <c r="EM29" s="86">
        <f>'[2]January - 2023'!ER29</f>
        <v>0</v>
      </c>
      <c r="EN29" s="209">
        <f>'[2]January - 2023'!ES29</f>
        <v>0</v>
      </c>
      <c r="EO29" s="86">
        <f>'[2]January - 2023'!ET29</f>
        <v>0</v>
      </c>
      <c r="EP29" s="209">
        <f>'[2]January - 2023'!EU29</f>
        <v>0</v>
      </c>
      <c r="EQ29" s="86">
        <f>'[2]January - 2023'!EV29</f>
        <v>0</v>
      </c>
      <c r="ER29" s="209">
        <f>'[2]January - 2023'!EW29</f>
        <v>0</v>
      </c>
      <c r="ES29" s="525"/>
      <c r="ET29" s="256">
        <f>'[2]January - 2023'!EY29</f>
        <v>0</v>
      </c>
      <c r="EU29" s="253">
        <f>'[2]January - 2023'!EZ29</f>
        <v>0</v>
      </c>
      <c r="EV29" s="257">
        <f>'[2]January - 2023'!FA29</f>
        <v>0</v>
      </c>
      <c r="EW29" s="253">
        <f>'[2]January - 2023'!FB29</f>
        <v>0</v>
      </c>
      <c r="EX29" s="257">
        <f>'[2]January - 2023'!FC29</f>
        <v>0</v>
      </c>
      <c r="EY29" s="253">
        <f>'[2]January - 2023'!FD29</f>
        <v>0</v>
      </c>
      <c r="EZ29" s="257">
        <f>'[2]January - 2023'!FE29</f>
        <v>0</v>
      </c>
      <c r="FA29" s="253">
        <f>'[2]January - 2023'!FF29</f>
        <v>0</v>
      </c>
      <c r="FB29" s="257">
        <f>'[2]January - 2023'!FG29</f>
        <v>0</v>
      </c>
      <c r="FC29" s="254">
        <f>'[2]January - 2023'!FH29</f>
        <v>0</v>
      </c>
    </row>
    <row r="30" spans="1:159" ht="30" customHeight="1">
      <c r="A30" s="187">
        <v>44947</v>
      </c>
      <c r="B30" s="189">
        <f>'[2]January - 2023'!B30</f>
        <v>0</v>
      </c>
      <c r="C30" s="229">
        <f>'[2]January - 2023'!E30</f>
        <v>0</v>
      </c>
      <c r="D30" s="152">
        <f>'[2]January - 2023'!F30</f>
        <v>0</v>
      </c>
      <c r="E30" s="150">
        <f>'[2]January - 2023'!G30</f>
        <v>525</v>
      </c>
      <c r="F30" s="150">
        <f>'[2]January - 2023'!H30</f>
        <v>0</v>
      </c>
      <c r="G30" s="152">
        <f>'[2]January - 2023'!I30</f>
        <v>0</v>
      </c>
      <c r="H30" s="150">
        <f>'[2]January - 2023'!J30</f>
        <v>419</v>
      </c>
      <c r="I30" s="150">
        <f>'[2]January - 2023'!K30</f>
        <v>0</v>
      </c>
      <c r="J30" s="152">
        <f>'[2]January - 2023'!L30</f>
        <v>0</v>
      </c>
      <c r="K30" s="150">
        <f>'[2]January - 2023'!N30</f>
        <v>0</v>
      </c>
      <c r="L30" s="152">
        <f>'[2]January - 2023'!O30</f>
        <v>0</v>
      </c>
      <c r="M30" s="150">
        <f>'[2]January - 2023'!Q30</f>
        <v>0</v>
      </c>
      <c r="N30" s="152">
        <f>'[2]January - 2023'!R30</f>
        <v>0</v>
      </c>
      <c r="O30" s="150">
        <f>'[2]January - 2023'!U30</f>
        <v>0</v>
      </c>
      <c r="P30" s="152">
        <f>'[2]January - 2023'!V30</f>
        <v>0</v>
      </c>
      <c r="Q30" s="150">
        <f>'[2]January - 2023'!W30</f>
        <v>56.980000000003201</v>
      </c>
      <c r="R30" s="150">
        <f>'[2]January - 2023'!X30</f>
        <v>0</v>
      </c>
      <c r="S30" s="188">
        <f>'[2]January - 2023'!Y30</f>
        <v>0</v>
      </c>
      <c r="T30" s="446"/>
      <c r="U30" s="151">
        <f>'[2]January - 2023'!AE30</f>
        <v>0</v>
      </c>
      <c r="V30" s="218">
        <f>'[2]January - 2023'!AF30</f>
        <v>0</v>
      </c>
      <c r="W30" s="88">
        <f>'[2]January - 2023'!AF30</f>
        <v>0</v>
      </c>
      <c r="X30" s="233">
        <f>'[2]January - 2023'!AH30</f>
        <v>0</v>
      </c>
      <c r="Y30" s="218">
        <f>'[2]January - 2023'!AI30</f>
        <v>0</v>
      </c>
      <c r="Z30" s="88">
        <f>'[2]January - 2023'!AI30</f>
        <v>0</v>
      </c>
      <c r="AA30" s="233">
        <f>'[2]January - 2023'!AK30</f>
        <v>0</v>
      </c>
      <c r="AB30" s="218">
        <f>'[2]January - 2023'!AL30</f>
        <v>0</v>
      </c>
      <c r="AC30" s="88">
        <f>'[2]January - 2023'!AL30</f>
        <v>0</v>
      </c>
      <c r="AD30" s="233">
        <f>'[2]January - 2023'!AN30</f>
        <v>0</v>
      </c>
      <c r="AE30" s="218">
        <f>'[2]January - 2023'!AO30</f>
        <v>0</v>
      </c>
      <c r="AF30" s="88">
        <f>'[2]January - 2023'!AO30</f>
        <v>0</v>
      </c>
      <c r="AG30" s="233">
        <f>'[2]January - 2023'!AQ30</f>
        <v>0</v>
      </c>
      <c r="AH30" s="218">
        <f>'[2]January - 2023'!AR30</f>
        <v>0</v>
      </c>
      <c r="AI30" s="88">
        <f>'[2]January - 2023'!AR30</f>
        <v>0</v>
      </c>
      <c r="AJ30" s="233">
        <f>'[2]January - 2023'!AT30</f>
        <v>0</v>
      </c>
      <c r="AK30" s="218">
        <f>'[2]January - 2023'!AU30</f>
        <v>0</v>
      </c>
      <c r="AL30" s="88">
        <f>'[2]January - 2023'!AU30</f>
        <v>0</v>
      </c>
      <c r="AM30" s="233">
        <f>'[2]January - 2023'!AW30</f>
        <v>0</v>
      </c>
      <c r="AN30" s="218">
        <f>'[2]January - 2023'!AX30</f>
        <v>0</v>
      </c>
      <c r="AO30" s="88">
        <f>'[2]January - 2023'!AX30</f>
        <v>0</v>
      </c>
      <c r="AP30" s="233">
        <f>'[2]January - 2023'!AZ30</f>
        <v>0</v>
      </c>
      <c r="AQ30" s="218">
        <f>'[2]January - 2023'!BA30</f>
        <v>0</v>
      </c>
      <c r="AR30" s="88">
        <f>'[2]January - 2023'!BA30</f>
        <v>0</v>
      </c>
      <c r="AS30" s="233">
        <f>'[2]January - 2023'!BC30</f>
        <v>0</v>
      </c>
      <c r="AT30" s="218">
        <f>'[2]January - 2023'!BD30</f>
        <v>0</v>
      </c>
      <c r="AU30" s="88">
        <f>'[2]January - 2023'!BD30</f>
        <v>0</v>
      </c>
      <c r="AV30" s="233">
        <f>'[2]January - 2023'!BF30</f>
        <v>0</v>
      </c>
      <c r="AW30" s="230">
        <f>'[2]January - 2023'!BG30</f>
        <v>0</v>
      </c>
      <c r="AX30" s="231">
        <f>'[2]January - 2023'!BG30</f>
        <v>0</v>
      </c>
      <c r="AY30" s="463"/>
      <c r="AZ30" s="250">
        <f>'[2]January - 2023'!BM30</f>
        <v>0</v>
      </c>
      <c r="BA30" s="161">
        <f>'[2]January - 2023'!BN30</f>
        <v>0</v>
      </c>
      <c r="BB30" s="89">
        <f>'[2]January - 2023'!BN30</f>
        <v>0</v>
      </c>
      <c r="BC30" s="250">
        <f>'[2]January - 2023'!BP30</f>
        <v>0</v>
      </c>
      <c r="BD30" s="224">
        <f>'[2]January - 2023'!BQ30</f>
        <v>0</v>
      </c>
      <c r="BE30" s="89">
        <f>'[2]January - 2023'!BQ30</f>
        <v>0</v>
      </c>
      <c r="BF30" s="250">
        <f>'[2]January - 2023'!BS30</f>
        <v>0</v>
      </c>
      <c r="BG30" s="224">
        <f>'[2]January - 2023'!BT30</f>
        <v>0</v>
      </c>
      <c r="BH30" s="89">
        <f>'[2]January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'[2]January - 2023'!BV30</f>
        <v>0</v>
      </c>
      <c r="BT30" s="166">
        <f>'[2]January - 2023'!BW30</f>
        <v>0</v>
      </c>
      <c r="BU30" s="559"/>
      <c r="BV30" s="84">
        <f>'[2]January - 2023'!BY30</f>
        <v>0</v>
      </c>
      <c r="BW30" s="220">
        <f>'[2]January - 2023'!BZ30</f>
        <v>0</v>
      </c>
      <c r="BX30" s="84">
        <f>'[2]January - 2023'!BZ30</f>
        <v>0</v>
      </c>
      <c r="BY30" s="85">
        <f>'[2]January - 2023'!CB30</f>
        <v>0</v>
      </c>
      <c r="BZ30" s="172">
        <f>'[2]January - 2023'!CC30</f>
        <v>0</v>
      </c>
      <c r="CA30" s="85">
        <f>'[2]January - 2023'!CD30</f>
        <v>0</v>
      </c>
      <c r="CB30" s="172">
        <f>'[2]January - 2023'!CE30</f>
        <v>0</v>
      </c>
      <c r="CC30" s="85">
        <f>'[2]January - 2023'!CF30</f>
        <v>0</v>
      </c>
      <c r="CD30" s="172">
        <f>'[2]January - 2023'!CG30</f>
        <v>0</v>
      </c>
      <c r="CE30" s="85">
        <f>'[2]January - 2023'!CH30</f>
        <v>0</v>
      </c>
      <c r="CF30" s="172">
        <f>'[2]January - 2023'!CI30</f>
        <v>0</v>
      </c>
      <c r="CG30" s="85">
        <f>'[2]January - 2023'!CJ30</f>
        <v>0</v>
      </c>
      <c r="CH30" s="172">
        <f>'[2]January - 2023'!CK30</f>
        <v>0</v>
      </c>
      <c r="CI30" s="85">
        <f>'[2]January - 2023'!CL30</f>
        <v>0</v>
      </c>
      <c r="CJ30" s="172">
        <f>'[2]January - 2023'!CM30</f>
        <v>0</v>
      </c>
      <c r="CK30" s="85">
        <f>'[2]January - 2023'!CN30</f>
        <v>0</v>
      </c>
      <c r="CL30" s="225">
        <f>'[2]January - 2023'!CO30</f>
        <v>0</v>
      </c>
      <c r="CM30" s="85">
        <f>'[2]January - 2023'!CO30</f>
        <v>0</v>
      </c>
      <c r="CN30" s="85">
        <f>'[2]January - 2023'!CQ30</f>
        <v>0</v>
      </c>
      <c r="CO30" s="225">
        <f>'[2]January - 2023'!CR30</f>
        <v>0</v>
      </c>
      <c r="CP30" s="85">
        <f>'[2]January - 2023'!CR30</f>
        <v>0</v>
      </c>
      <c r="CQ30" s="85">
        <f>'[2]January - 2023'!CT30</f>
        <v>0</v>
      </c>
      <c r="CR30" s="225">
        <f>'[2]January - 2023'!CU30</f>
        <v>0</v>
      </c>
      <c r="CS30" s="85">
        <f>'[2]January - 2023'!CU30</f>
        <v>0</v>
      </c>
      <c r="CT30" s="85">
        <f>'[2]January - 2023'!CW30</f>
        <v>0</v>
      </c>
      <c r="CU30" s="172">
        <f>'[2]January - 2023'!CX30</f>
        <v>0</v>
      </c>
      <c r="CV30" s="487"/>
      <c r="CW30" s="234">
        <f>'[2]January - 2023'!CZ30</f>
        <v>0</v>
      </c>
      <c r="CX30" s="179">
        <f>'[2]January - 2023'!DA30</f>
        <v>0</v>
      </c>
      <c r="CY30" s="235">
        <f>'[2]January - 2023'!DB30</f>
        <v>0</v>
      </c>
      <c r="CZ30" s="179">
        <f>'[2]January - 2023'!DC30</f>
        <v>0</v>
      </c>
      <c r="DA30" s="235">
        <f>'[2]January - 2023'!DD30</f>
        <v>0</v>
      </c>
      <c r="DB30" s="179">
        <f>'[2]January - 2023'!DE30</f>
        <v>0</v>
      </c>
      <c r="DC30" s="235">
        <f>'[2]January - 2023'!DF30</f>
        <v>0</v>
      </c>
      <c r="DD30" s="179">
        <f>'[2]January - 2023'!DG30</f>
        <v>0</v>
      </c>
      <c r="DE30" s="235">
        <f>'[2]January - 2023'!DH30</f>
        <v>0</v>
      </c>
      <c r="DF30" s="179">
        <f>'[2]January - 2023'!DI30</f>
        <v>0</v>
      </c>
      <c r="DG30" s="235">
        <f>'[2]January - 2023'!DJ30</f>
        <v>0</v>
      </c>
      <c r="DH30" s="179">
        <f>'[2]January - 2023'!DK30</f>
        <v>0</v>
      </c>
      <c r="DI30" s="235">
        <f>'[2]January - 2023'!DL30</f>
        <v>0</v>
      </c>
      <c r="DJ30" s="179">
        <f>'[2]January - 2023'!DM30</f>
        <v>0</v>
      </c>
      <c r="DK30" s="235">
        <f>'[2]January - 2023'!DN30</f>
        <v>0</v>
      </c>
      <c r="DL30" s="179">
        <f>'[2]January - 2023'!DO30</f>
        <v>0</v>
      </c>
      <c r="DM30" s="235">
        <f>'[2]January - 2023'!DP30</f>
        <v>0</v>
      </c>
      <c r="DN30" s="179">
        <f>'[2]January - 2023'!DQ30</f>
        <v>0</v>
      </c>
      <c r="DO30" s="235">
        <f>'[2]January - 2023'!DR30</f>
        <v>0</v>
      </c>
      <c r="DP30" s="179">
        <f>'[2]January - 2023'!DS30</f>
        <v>0</v>
      </c>
      <c r="DQ30" s="235">
        <f>'[2]January - 2023'!DT30</f>
        <v>0</v>
      </c>
      <c r="DR30" s="186">
        <f>'[2]January - 2023'!DU30</f>
        <v>0</v>
      </c>
      <c r="DS30" s="503"/>
      <c r="DT30" s="190">
        <f>'[2]January - 2023'!DW30</f>
        <v>0</v>
      </c>
      <c r="DU30" s="201">
        <f>'[2]January - 2023'!DX30</f>
        <v>0</v>
      </c>
      <c r="DV30" s="87">
        <f>'[2]January - 2023'!DY30</f>
        <v>0</v>
      </c>
      <c r="DW30" s="195">
        <f>'[2]January - 2023'!DZ30</f>
        <v>0</v>
      </c>
      <c r="DX30" s="87">
        <f>'[2]January - 2023'!EA30</f>
        <v>0</v>
      </c>
      <c r="DY30" s="195">
        <f>'[2]January - 2023'!EB30</f>
        <v>0</v>
      </c>
      <c r="DZ30" s="87">
        <f>'[2]January - 2023'!EC30</f>
        <v>0</v>
      </c>
      <c r="EA30" s="195">
        <f>'[2]January - 2023'!ED30</f>
        <v>0</v>
      </c>
      <c r="EB30" s="87">
        <f>'[2]January - 2023'!EE30</f>
        <v>0</v>
      </c>
      <c r="EC30" s="195">
        <f>'[2]January - 2023'!EF30</f>
        <v>0</v>
      </c>
      <c r="ED30" s="87">
        <f>'[2]January - 2023'!EI30</f>
        <v>0</v>
      </c>
      <c r="EE30" s="208">
        <f>'[2]January - 2023'!EJ30</f>
        <v>0</v>
      </c>
      <c r="EF30" s="550"/>
      <c r="EG30" s="214">
        <f>'[2]January - 2023'!EL30</f>
        <v>0</v>
      </c>
      <c r="EH30" s="209">
        <f>'[2]January - 2023'!EM30</f>
        <v>0</v>
      </c>
      <c r="EI30" s="86">
        <f>'[2]January - 2023'!EN30</f>
        <v>0</v>
      </c>
      <c r="EJ30" s="209">
        <f>'[2]January - 2023'!EO30</f>
        <v>0</v>
      </c>
      <c r="EK30" s="86">
        <f>'[2]January - 2023'!EP30</f>
        <v>0</v>
      </c>
      <c r="EL30" s="209">
        <f>'[2]January - 2023'!EQ30</f>
        <v>0</v>
      </c>
      <c r="EM30" s="86">
        <f>'[2]January - 2023'!ER30</f>
        <v>0</v>
      </c>
      <c r="EN30" s="209">
        <f>'[2]January - 2023'!ES30</f>
        <v>0</v>
      </c>
      <c r="EO30" s="86">
        <f>'[2]January - 2023'!ET30</f>
        <v>0</v>
      </c>
      <c r="EP30" s="209">
        <f>'[2]January - 2023'!EU30</f>
        <v>0</v>
      </c>
      <c r="EQ30" s="86">
        <f>'[2]January - 2023'!EV30</f>
        <v>0</v>
      </c>
      <c r="ER30" s="209">
        <f>'[2]January - 2023'!EW30</f>
        <v>0</v>
      </c>
      <c r="ES30" s="525"/>
      <c r="ET30" s="256">
        <f>'[2]January - 2023'!EY30</f>
        <v>0</v>
      </c>
      <c r="EU30" s="253">
        <f>'[2]January - 2023'!EZ30</f>
        <v>0</v>
      </c>
      <c r="EV30" s="257">
        <f>'[2]January - 2023'!FA30</f>
        <v>0</v>
      </c>
      <c r="EW30" s="253">
        <f>'[2]January - 2023'!FB30</f>
        <v>0</v>
      </c>
      <c r="EX30" s="257">
        <f>'[2]January - 2023'!FC30</f>
        <v>0</v>
      </c>
      <c r="EY30" s="253">
        <f>'[2]January - 2023'!FD30</f>
        <v>0</v>
      </c>
      <c r="EZ30" s="257">
        <f>'[2]January - 2023'!FE30</f>
        <v>0</v>
      </c>
      <c r="FA30" s="253">
        <f>'[2]January - 2023'!FF30</f>
        <v>0</v>
      </c>
      <c r="FB30" s="257">
        <f>'[2]January - 2023'!FG30</f>
        <v>0</v>
      </c>
      <c r="FC30" s="254">
        <f>'[2]January - 2023'!FH30</f>
        <v>0</v>
      </c>
    </row>
    <row r="31" spans="1:159" ht="30" customHeight="1">
      <c r="A31" s="187">
        <v>44948</v>
      </c>
      <c r="B31" s="189">
        <f>'[2]January - 2023'!B31</f>
        <v>0</v>
      </c>
      <c r="C31" s="229">
        <f>'[2]January - 2023'!E31</f>
        <v>0</v>
      </c>
      <c r="D31" s="152">
        <f>'[2]January - 2023'!F31</f>
        <v>0</v>
      </c>
      <c r="E31" s="150">
        <f>'[2]January - 2023'!G31</f>
        <v>687</v>
      </c>
      <c r="F31" s="150">
        <f>'[2]January - 2023'!H31</f>
        <v>0</v>
      </c>
      <c r="G31" s="152">
        <f>'[2]January - 2023'!I31</f>
        <v>0</v>
      </c>
      <c r="H31" s="150">
        <f>'[2]January - 2023'!J31</f>
        <v>470</v>
      </c>
      <c r="I31" s="150">
        <f>'[2]January - 2023'!K31</f>
        <v>0</v>
      </c>
      <c r="J31" s="152">
        <f>'[2]January - 2023'!L31</f>
        <v>0</v>
      </c>
      <c r="K31" s="150">
        <f>'[2]January - 2023'!N31</f>
        <v>0</v>
      </c>
      <c r="L31" s="152">
        <f>'[2]January - 2023'!O31</f>
        <v>0</v>
      </c>
      <c r="M31" s="150">
        <f>'[2]January - 2023'!Q31</f>
        <v>0</v>
      </c>
      <c r="N31" s="152">
        <f>'[2]January - 2023'!R31</f>
        <v>0</v>
      </c>
      <c r="O31" s="150">
        <f>'[2]January - 2023'!U31</f>
        <v>0</v>
      </c>
      <c r="P31" s="152">
        <f>'[2]January - 2023'!V31</f>
        <v>0</v>
      </c>
      <c r="Q31" s="150">
        <f>'[2]January - 2023'!W31</f>
        <v>52.430000000000291</v>
      </c>
      <c r="R31" s="150">
        <f>'[2]January - 2023'!X31</f>
        <v>0</v>
      </c>
      <c r="S31" s="188">
        <f>'[2]January - 2023'!Y31</f>
        <v>0</v>
      </c>
      <c r="T31" s="446"/>
      <c r="U31" s="151">
        <f>'[2]January - 2023'!AE31</f>
        <v>0</v>
      </c>
      <c r="V31" s="218">
        <f>'[2]January - 2023'!AF31</f>
        <v>0</v>
      </c>
      <c r="W31" s="88">
        <f>'[2]January - 2023'!AF31</f>
        <v>0</v>
      </c>
      <c r="X31" s="233">
        <f>'[2]January - 2023'!AH31</f>
        <v>0</v>
      </c>
      <c r="Y31" s="218">
        <f>'[2]January - 2023'!AI31</f>
        <v>0</v>
      </c>
      <c r="Z31" s="88">
        <f>'[2]January - 2023'!AI31</f>
        <v>0</v>
      </c>
      <c r="AA31" s="233">
        <f>'[2]January - 2023'!AK31</f>
        <v>0</v>
      </c>
      <c r="AB31" s="218">
        <f>'[2]January - 2023'!AL31</f>
        <v>0</v>
      </c>
      <c r="AC31" s="88">
        <f>'[2]January - 2023'!AL31</f>
        <v>0</v>
      </c>
      <c r="AD31" s="233">
        <f>'[2]January - 2023'!AN31</f>
        <v>0</v>
      </c>
      <c r="AE31" s="218">
        <f>'[2]January - 2023'!AO31</f>
        <v>0</v>
      </c>
      <c r="AF31" s="88">
        <f>'[2]January - 2023'!AO31</f>
        <v>0</v>
      </c>
      <c r="AG31" s="233">
        <f>'[2]January - 2023'!AQ31</f>
        <v>0</v>
      </c>
      <c r="AH31" s="218">
        <f>'[2]January - 2023'!AR31</f>
        <v>0</v>
      </c>
      <c r="AI31" s="88">
        <f>'[2]January - 2023'!AR31</f>
        <v>0</v>
      </c>
      <c r="AJ31" s="233">
        <f>'[2]January - 2023'!AT31</f>
        <v>0</v>
      </c>
      <c r="AK31" s="218">
        <f>'[2]January - 2023'!AU31</f>
        <v>0</v>
      </c>
      <c r="AL31" s="88">
        <f>'[2]January - 2023'!AU31</f>
        <v>0</v>
      </c>
      <c r="AM31" s="233">
        <f>'[2]January - 2023'!AW31</f>
        <v>0</v>
      </c>
      <c r="AN31" s="218">
        <f>'[2]January - 2023'!AX31</f>
        <v>0</v>
      </c>
      <c r="AO31" s="88">
        <f>'[2]January - 2023'!AX31</f>
        <v>0</v>
      </c>
      <c r="AP31" s="233">
        <f>'[2]January - 2023'!AZ31</f>
        <v>0</v>
      </c>
      <c r="AQ31" s="218">
        <f>'[2]January - 2023'!BA31</f>
        <v>0</v>
      </c>
      <c r="AR31" s="88">
        <f>'[2]January - 2023'!BA31</f>
        <v>0</v>
      </c>
      <c r="AS31" s="233">
        <f>'[2]January - 2023'!BC31</f>
        <v>0</v>
      </c>
      <c r="AT31" s="218">
        <f>'[2]January - 2023'!BD31</f>
        <v>0</v>
      </c>
      <c r="AU31" s="88">
        <f>'[2]January - 2023'!BD31</f>
        <v>0</v>
      </c>
      <c r="AV31" s="233">
        <f>'[2]January - 2023'!BF31</f>
        <v>0</v>
      </c>
      <c r="AW31" s="230">
        <f>'[2]January - 2023'!BG31</f>
        <v>0</v>
      </c>
      <c r="AX31" s="231">
        <f>'[2]January - 2023'!BG31</f>
        <v>0</v>
      </c>
      <c r="AY31" s="463"/>
      <c r="AZ31" s="250">
        <f>'[2]January - 2023'!BM31</f>
        <v>0</v>
      </c>
      <c r="BA31" s="161">
        <f>'[2]January - 2023'!BN31</f>
        <v>0</v>
      </c>
      <c r="BB31" s="89">
        <f>'[2]January - 2023'!BN31</f>
        <v>0</v>
      </c>
      <c r="BC31" s="250">
        <f>'[2]January - 2023'!BP31</f>
        <v>0</v>
      </c>
      <c r="BD31" s="224">
        <f>'[2]January - 2023'!BQ31</f>
        <v>0</v>
      </c>
      <c r="BE31" s="89">
        <f>'[2]January - 2023'!BQ31</f>
        <v>0</v>
      </c>
      <c r="BF31" s="250">
        <f>'[2]January - 2023'!BS31</f>
        <v>0</v>
      </c>
      <c r="BG31" s="224">
        <f>'[2]January - 2023'!BT31</f>
        <v>0</v>
      </c>
      <c r="BH31" s="89">
        <f>'[2]January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'[2]January - 2023'!BV31</f>
        <v>0</v>
      </c>
      <c r="BT31" s="166">
        <f>'[2]January - 2023'!BW31</f>
        <v>0</v>
      </c>
      <c r="BU31" s="559"/>
      <c r="BV31" s="84">
        <f>'[2]January - 2023'!BY31</f>
        <v>0</v>
      </c>
      <c r="BW31" s="220">
        <f>'[2]January - 2023'!BZ31</f>
        <v>0</v>
      </c>
      <c r="BX31" s="84">
        <f>'[2]January - 2023'!BZ31</f>
        <v>0</v>
      </c>
      <c r="BY31" s="85">
        <f>'[2]January - 2023'!CB31</f>
        <v>0</v>
      </c>
      <c r="BZ31" s="172">
        <f>'[2]January - 2023'!CC31</f>
        <v>0</v>
      </c>
      <c r="CA31" s="85">
        <f>'[2]January - 2023'!CD31</f>
        <v>0</v>
      </c>
      <c r="CB31" s="172">
        <f>'[2]January - 2023'!CE31</f>
        <v>0</v>
      </c>
      <c r="CC31" s="85">
        <f>'[2]January - 2023'!CF31</f>
        <v>0</v>
      </c>
      <c r="CD31" s="172">
        <f>'[2]January - 2023'!CG31</f>
        <v>0</v>
      </c>
      <c r="CE31" s="85">
        <f>'[2]January - 2023'!CH31</f>
        <v>0</v>
      </c>
      <c r="CF31" s="172">
        <f>'[2]January - 2023'!CI31</f>
        <v>0</v>
      </c>
      <c r="CG31" s="85">
        <f>'[2]January - 2023'!CJ31</f>
        <v>0</v>
      </c>
      <c r="CH31" s="172">
        <f>'[2]January - 2023'!CK31</f>
        <v>0</v>
      </c>
      <c r="CI31" s="85">
        <f>'[2]January - 2023'!CL31</f>
        <v>0</v>
      </c>
      <c r="CJ31" s="172">
        <f>'[2]January - 2023'!CM31</f>
        <v>0</v>
      </c>
      <c r="CK31" s="85">
        <f>'[2]January - 2023'!CN31</f>
        <v>0</v>
      </c>
      <c r="CL31" s="225">
        <f>'[2]January - 2023'!CO31</f>
        <v>0</v>
      </c>
      <c r="CM31" s="85">
        <f>'[2]January - 2023'!CO31</f>
        <v>0</v>
      </c>
      <c r="CN31" s="85">
        <f>'[2]January - 2023'!CQ31</f>
        <v>0</v>
      </c>
      <c r="CO31" s="225">
        <f>'[2]January - 2023'!CR31</f>
        <v>0</v>
      </c>
      <c r="CP31" s="85">
        <f>'[2]January - 2023'!CR31</f>
        <v>0</v>
      </c>
      <c r="CQ31" s="85">
        <f>'[2]January - 2023'!CT31</f>
        <v>0</v>
      </c>
      <c r="CR31" s="225">
        <f>'[2]January - 2023'!CU31</f>
        <v>0</v>
      </c>
      <c r="CS31" s="85">
        <f>'[2]January - 2023'!CU31</f>
        <v>0</v>
      </c>
      <c r="CT31" s="85">
        <f>'[2]January - 2023'!CW31</f>
        <v>0</v>
      </c>
      <c r="CU31" s="172">
        <f>'[2]January - 2023'!CX31</f>
        <v>0</v>
      </c>
      <c r="CV31" s="487"/>
      <c r="CW31" s="234">
        <f>'[2]January - 2023'!CZ31</f>
        <v>0</v>
      </c>
      <c r="CX31" s="179">
        <f>'[2]January - 2023'!DA31</f>
        <v>0</v>
      </c>
      <c r="CY31" s="235">
        <f>'[2]January - 2023'!DB31</f>
        <v>0</v>
      </c>
      <c r="CZ31" s="179">
        <f>'[2]January - 2023'!DC31</f>
        <v>0</v>
      </c>
      <c r="DA31" s="235">
        <f>'[2]January - 2023'!DD31</f>
        <v>0</v>
      </c>
      <c r="DB31" s="179">
        <f>'[2]January - 2023'!DE31</f>
        <v>0</v>
      </c>
      <c r="DC31" s="235">
        <f>'[2]January - 2023'!DF31</f>
        <v>0</v>
      </c>
      <c r="DD31" s="179">
        <f>'[2]January - 2023'!DG31</f>
        <v>0</v>
      </c>
      <c r="DE31" s="235">
        <f>'[2]January - 2023'!DH31</f>
        <v>0</v>
      </c>
      <c r="DF31" s="179">
        <f>'[2]January - 2023'!DI31</f>
        <v>0</v>
      </c>
      <c r="DG31" s="235">
        <f>'[2]January - 2023'!DJ31</f>
        <v>0</v>
      </c>
      <c r="DH31" s="179">
        <f>'[2]January - 2023'!DK31</f>
        <v>0</v>
      </c>
      <c r="DI31" s="235">
        <f>'[2]January - 2023'!DL31</f>
        <v>0</v>
      </c>
      <c r="DJ31" s="179">
        <f>'[2]January - 2023'!DM31</f>
        <v>0</v>
      </c>
      <c r="DK31" s="235">
        <f>'[2]January - 2023'!DN31</f>
        <v>0</v>
      </c>
      <c r="DL31" s="179">
        <f>'[2]January - 2023'!DO31</f>
        <v>0</v>
      </c>
      <c r="DM31" s="235">
        <f>'[2]January - 2023'!DP31</f>
        <v>0</v>
      </c>
      <c r="DN31" s="179">
        <f>'[2]January - 2023'!DQ31</f>
        <v>0</v>
      </c>
      <c r="DO31" s="235">
        <f>'[2]January - 2023'!DR31</f>
        <v>0</v>
      </c>
      <c r="DP31" s="179">
        <f>'[2]January - 2023'!DS31</f>
        <v>0</v>
      </c>
      <c r="DQ31" s="235">
        <f>'[2]January - 2023'!DT31</f>
        <v>0</v>
      </c>
      <c r="DR31" s="186">
        <f>'[2]January - 2023'!DU31</f>
        <v>0</v>
      </c>
      <c r="DS31" s="503"/>
      <c r="DT31" s="190">
        <f>'[2]January - 2023'!DW31</f>
        <v>0</v>
      </c>
      <c r="DU31" s="201">
        <f>'[2]January - 2023'!DX31</f>
        <v>0</v>
      </c>
      <c r="DV31" s="87">
        <f>'[2]January - 2023'!DY31</f>
        <v>0</v>
      </c>
      <c r="DW31" s="195">
        <f>'[2]January - 2023'!DZ31</f>
        <v>0</v>
      </c>
      <c r="DX31" s="87">
        <f>'[2]January - 2023'!EA31</f>
        <v>0</v>
      </c>
      <c r="DY31" s="195">
        <f>'[2]January - 2023'!EB31</f>
        <v>0</v>
      </c>
      <c r="DZ31" s="87">
        <f>'[2]January - 2023'!EC31</f>
        <v>0</v>
      </c>
      <c r="EA31" s="195">
        <f>'[2]January - 2023'!ED31</f>
        <v>0</v>
      </c>
      <c r="EB31" s="87">
        <f>'[2]January - 2023'!EE31</f>
        <v>0</v>
      </c>
      <c r="EC31" s="195">
        <f>'[2]January - 2023'!EF31</f>
        <v>0</v>
      </c>
      <c r="ED31" s="87">
        <f>'[2]January - 2023'!EI31</f>
        <v>0</v>
      </c>
      <c r="EE31" s="208">
        <f>'[2]January - 2023'!EJ31</f>
        <v>0</v>
      </c>
      <c r="EF31" s="550"/>
      <c r="EG31" s="214">
        <f>'[2]January - 2023'!EL31</f>
        <v>0</v>
      </c>
      <c r="EH31" s="209">
        <f>'[2]January - 2023'!EM31</f>
        <v>0</v>
      </c>
      <c r="EI31" s="86">
        <f>'[2]January - 2023'!EN31</f>
        <v>0</v>
      </c>
      <c r="EJ31" s="209">
        <f>'[2]January - 2023'!EO31</f>
        <v>0</v>
      </c>
      <c r="EK31" s="86">
        <f>'[2]January - 2023'!EP31</f>
        <v>0</v>
      </c>
      <c r="EL31" s="209">
        <f>'[2]January - 2023'!EQ31</f>
        <v>0</v>
      </c>
      <c r="EM31" s="86">
        <f>'[2]January - 2023'!ER31</f>
        <v>0</v>
      </c>
      <c r="EN31" s="209">
        <f>'[2]January - 2023'!ES31</f>
        <v>0</v>
      </c>
      <c r="EO31" s="86">
        <f>'[2]January - 2023'!ET31</f>
        <v>0</v>
      </c>
      <c r="EP31" s="209">
        <f>'[2]January - 2023'!EU31</f>
        <v>0</v>
      </c>
      <c r="EQ31" s="86">
        <f>'[2]January - 2023'!EV31</f>
        <v>0</v>
      </c>
      <c r="ER31" s="209">
        <f>'[2]January - 2023'!EW31</f>
        <v>0</v>
      </c>
      <c r="ES31" s="525"/>
      <c r="ET31" s="256">
        <f>'[2]January - 2023'!EY31</f>
        <v>0</v>
      </c>
      <c r="EU31" s="253">
        <f>'[2]January - 2023'!EZ31</f>
        <v>0</v>
      </c>
      <c r="EV31" s="257">
        <f>'[2]January - 2023'!FA31</f>
        <v>0</v>
      </c>
      <c r="EW31" s="253">
        <f>'[2]January - 2023'!FB31</f>
        <v>0</v>
      </c>
      <c r="EX31" s="257">
        <f>'[2]January - 2023'!FC31</f>
        <v>0</v>
      </c>
      <c r="EY31" s="253">
        <f>'[2]January - 2023'!FD31</f>
        <v>0</v>
      </c>
      <c r="EZ31" s="257">
        <f>'[2]January - 2023'!FE31</f>
        <v>0</v>
      </c>
      <c r="FA31" s="253">
        <f>'[2]January - 2023'!FF31</f>
        <v>0</v>
      </c>
      <c r="FB31" s="257">
        <f>'[2]January - 2023'!FG31</f>
        <v>0</v>
      </c>
      <c r="FC31" s="254">
        <f>'[2]January - 2023'!FH31</f>
        <v>0</v>
      </c>
    </row>
    <row r="32" spans="1:159" ht="30" customHeight="1">
      <c r="A32" s="187">
        <v>44949</v>
      </c>
      <c r="B32" s="189">
        <f>'[2]January - 2023'!B32</f>
        <v>0</v>
      </c>
      <c r="C32" s="229">
        <f>'[2]January - 2023'!E32</f>
        <v>0</v>
      </c>
      <c r="D32" s="152">
        <f>'[2]January - 2023'!F32</f>
        <v>0</v>
      </c>
      <c r="E32" s="150">
        <f>'[2]January - 2023'!G32</f>
        <v>443</v>
      </c>
      <c r="F32" s="150">
        <f>'[2]January - 2023'!H32</f>
        <v>0</v>
      </c>
      <c r="G32" s="152">
        <f>'[2]January - 2023'!I32</f>
        <v>0</v>
      </c>
      <c r="H32" s="150">
        <f>'[2]January - 2023'!J32</f>
        <v>318</v>
      </c>
      <c r="I32" s="150">
        <f>'[2]January - 2023'!K32</f>
        <v>0</v>
      </c>
      <c r="J32" s="152">
        <f>'[2]January - 2023'!L32</f>
        <v>0</v>
      </c>
      <c r="K32" s="150">
        <f>'[2]January - 2023'!N32</f>
        <v>0</v>
      </c>
      <c r="L32" s="152">
        <f>'[2]January - 2023'!O32</f>
        <v>0</v>
      </c>
      <c r="M32" s="150">
        <f>'[2]January - 2023'!Q32</f>
        <v>0</v>
      </c>
      <c r="N32" s="152">
        <f>'[2]January - 2023'!R32</f>
        <v>0</v>
      </c>
      <c r="O32" s="150">
        <f>'[2]January - 2023'!U32</f>
        <v>0</v>
      </c>
      <c r="P32" s="152">
        <f>'[2]January - 2023'!V32</f>
        <v>0</v>
      </c>
      <c r="Q32" s="150">
        <f>'[2]January - 2023'!W32</f>
        <v>58.549999999995634</v>
      </c>
      <c r="R32" s="150">
        <f>'[2]January - 2023'!X32</f>
        <v>0</v>
      </c>
      <c r="S32" s="188">
        <f>'[2]January - 2023'!Y32</f>
        <v>0</v>
      </c>
      <c r="T32" s="446"/>
      <c r="U32" s="151">
        <f>'[2]January - 2023'!AE32</f>
        <v>0</v>
      </c>
      <c r="V32" s="218">
        <f>'[2]January - 2023'!AF32</f>
        <v>0</v>
      </c>
      <c r="W32" s="88">
        <f>'[2]January - 2023'!AF32</f>
        <v>0</v>
      </c>
      <c r="X32" s="233">
        <f>'[2]January - 2023'!AH32</f>
        <v>0</v>
      </c>
      <c r="Y32" s="218">
        <f>'[2]January - 2023'!AI32</f>
        <v>0</v>
      </c>
      <c r="Z32" s="88">
        <f>'[2]January - 2023'!AI32</f>
        <v>0</v>
      </c>
      <c r="AA32" s="233">
        <f>'[2]January - 2023'!AK32</f>
        <v>0</v>
      </c>
      <c r="AB32" s="218">
        <f>'[2]January - 2023'!AL32</f>
        <v>0</v>
      </c>
      <c r="AC32" s="88">
        <f>'[2]January - 2023'!AL32</f>
        <v>0</v>
      </c>
      <c r="AD32" s="233">
        <f>'[2]January - 2023'!AN32</f>
        <v>0</v>
      </c>
      <c r="AE32" s="218">
        <f>'[2]January - 2023'!AO32</f>
        <v>0</v>
      </c>
      <c r="AF32" s="88">
        <f>'[2]January - 2023'!AO32</f>
        <v>0</v>
      </c>
      <c r="AG32" s="233">
        <f>'[2]January - 2023'!AQ32</f>
        <v>0</v>
      </c>
      <c r="AH32" s="218">
        <f>'[2]January - 2023'!AR32</f>
        <v>0</v>
      </c>
      <c r="AI32" s="88">
        <f>'[2]January - 2023'!AR32</f>
        <v>0</v>
      </c>
      <c r="AJ32" s="233">
        <f>'[2]January - 2023'!AT32</f>
        <v>0</v>
      </c>
      <c r="AK32" s="218">
        <f>'[2]January - 2023'!AU32</f>
        <v>0</v>
      </c>
      <c r="AL32" s="88">
        <f>'[2]January - 2023'!AU32</f>
        <v>0</v>
      </c>
      <c r="AM32" s="233">
        <f>'[2]January - 2023'!AW32</f>
        <v>0</v>
      </c>
      <c r="AN32" s="218">
        <f>'[2]January - 2023'!AX32</f>
        <v>0</v>
      </c>
      <c r="AO32" s="88">
        <f>'[2]January - 2023'!AX32</f>
        <v>0</v>
      </c>
      <c r="AP32" s="233">
        <f>'[2]January - 2023'!AZ32</f>
        <v>0</v>
      </c>
      <c r="AQ32" s="218">
        <f>'[2]January - 2023'!BA32</f>
        <v>0</v>
      </c>
      <c r="AR32" s="88">
        <f>'[2]January - 2023'!BA32</f>
        <v>0</v>
      </c>
      <c r="AS32" s="233">
        <f>'[2]January - 2023'!BC32</f>
        <v>0</v>
      </c>
      <c r="AT32" s="218">
        <f>'[2]January - 2023'!BD32</f>
        <v>0</v>
      </c>
      <c r="AU32" s="88">
        <f>'[2]January - 2023'!BD32</f>
        <v>0</v>
      </c>
      <c r="AV32" s="233">
        <f>'[2]January - 2023'!BF32</f>
        <v>0</v>
      </c>
      <c r="AW32" s="230">
        <f>'[2]January - 2023'!BG32</f>
        <v>0</v>
      </c>
      <c r="AX32" s="231">
        <f>'[2]January - 2023'!BG32</f>
        <v>0</v>
      </c>
      <c r="AY32" s="463"/>
      <c r="AZ32" s="250">
        <f>'[2]January - 2023'!BM32</f>
        <v>0</v>
      </c>
      <c r="BA32" s="161">
        <f>'[2]January - 2023'!BN32</f>
        <v>0</v>
      </c>
      <c r="BB32" s="89">
        <f>'[2]January - 2023'!BN32</f>
        <v>0</v>
      </c>
      <c r="BC32" s="250">
        <f>'[2]January - 2023'!BP32</f>
        <v>0</v>
      </c>
      <c r="BD32" s="224">
        <f>'[2]January - 2023'!BQ32</f>
        <v>0</v>
      </c>
      <c r="BE32" s="89">
        <f>'[2]January - 2023'!BQ32</f>
        <v>0</v>
      </c>
      <c r="BF32" s="250">
        <f>'[2]January - 2023'!BS32</f>
        <v>0</v>
      </c>
      <c r="BG32" s="224">
        <f>'[2]January - 2023'!BT32</f>
        <v>0</v>
      </c>
      <c r="BH32" s="89">
        <f>'[2]January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'[2]January - 2023'!BV32</f>
        <v>0</v>
      </c>
      <c r="BT32" s="166">
        <f>'[2]January - 2023'!BW32</f>
        <v>0</v>
      </c>
      <c r="BU32" s="559"/>
      <c r="BV32" s="84">
        <f>'[2]January - 2023'!BY32</f>
        <v>0</v>
      </c>
      <c r="BW32" s="220">
        <f>'[2]January - 2023'!BZ32</f>
        <v>0</v>
      </c>
      <c r="BX32" s="84">
        <f>'[2]January - 2023'!BZ32</f>
        <v>0</v>
      </c>
      <c r="BY32" s="85">
        <f>'[2]January - 2023'!CB32</f>
        <v>0</v>
      </c>
      <c r="BZ32" s="172">
        <f>'[2]January - 2023'!CC32</f>
        <v>0</v>
      </c>
      <c r="CA32" s="85">
        <f>'[2]January - 2023'!CD32</f>
        <v>0</v>
      </c>
      <c r="CB32" s="172">
        <f>'[2]January - 2023'!CE32</f>
        <v>0</v>
      </c>
      <c r="CC32" s="85">
        <f>'[2]January - 2023'!CF32</f>
        <v>0</v>
      </c>
      <c r="CD32" s="172">
        <f>'[2]January - 2023'!CG32</f>
        <v>0</v>
      </c>
      <c r="CE32" s="85">
        <f>'[2]January - 2023'!CH32</f>
        <v>0</v>
      </c>
      <c r="CF32" s="172">
        <f>'[2]January - 2023'!CI32</f>
        <v>0</v>
      </c>
      <c r="CG32" s="85">
        <f>'[2]January - 2023'!CJ32</f>
        <v>0</v>
      </c>
      <c r="CH32" s="172">
        <f>'[2]January - 2023'!CK32</f>
        <v>0</v>
      </c>
      <c r="CI32" s="85">
        <f>'[2]January - 2023'!CL32</f>
        <v>0</v>
      </c>
      <c r="CJ32" s="172">
        <f>'[2]January - 2023'!CM32</f>
        <v>0</v>
      </c>
      <c r="CK32" s="85">
        <f>'[2]January - 2023'!CN32</f>
        <v>0</v>
      </c>
      <c r="CL32" s="225">
        <f>'[2]January - 2023'!CO32</f>
        <v>0</v>
      </c>
      <c r="CM32" s="85">
        <f>'[2]January - 2023'!CO32</f>
        <v>0</v>
      </c>
      <c r="CN32" s="85">
        <f>'[2]January - 2023'!CQ32</f>
        <v>0</v>
      </c>
      <c r="CO32" s="225">
        <f>'[2]January - 2023'!CR32</f>
        <v>0</v>
      </c>
      <c r="CP32" s="85">
        <f>'[2]January - 2023'!CR32</f>
        <v>0</v>
      </c>
      <c r="CQ32" s="85">
        <f>'[2]January - 2023'!CT32</f>
        <v>0</v>
      </c>
      <c r="CR32" s="225">
        <f>'[2]January - 2023'!CU32</f>
        <v>0</v>
      </c>
      <c r="CS32" s="85">
        <f>'[2]January - 2023'!CU32</f>
        <v>0</v>
      </c>
      <c r="CT32" s="85">
        <f>'[2]January - 2023'!CW32</f>
        <v>0</v>
      </c>
      <c r="CU32" s="172">
        <f>'[2]January - 2023'!CX32</f>
        <v>0</v>
      </c>
      <c r="CV32" s="487"/>
      <c r="CW32" s="234">
        <f>'[2]January - 2023'!CZ32</f>
        <v>0</v>
      </c>
      <c r="CX32" s="179">
        <f>'[2]January - 2023'!DA32</f>
        <v>0</v>
      </c>
      <c r="CY32" s="235">
        <f>'[2]January - 2023'!DB32</f>
        <v>0</v>
      </c>
      <c r="CZ32" s="179">
        <f>'[2]January - 2023'!DC32</f>
        <v>0</v>
      </c>
      <c r="DA32" s="235">
        <f>'[2]January - 2023'!DD32</f>
        <v>0</v>
      </c>
      <c r="DB32" s="179">
        <f>'[2]January - 2023'!DE32</f>
        <v>0</v>
      </c>
      <c r="DC32" s="235">
        <f>'[2]January - 2023'!DF32</f>
        <v>0</v>
      </c>
      <c r="DD32" s="179">
        <f>'[2]January - 2023'!DG32</f>
        <v>0</v>
      </c>
      <c r="DE32" s="235">
        <f>'[2]January - 2023'!DH32</f>
        <v>0</v>
      </c>
      <c r="DF32" s="179">
        <f>'[2]January - 2023'!DI32</f>
        <v>0</v>
      </c>
      <c r="DG32" s="235">
        <f>'[2]January - 2023'!DJ32</f>
        <v>0</v>
      </c>
      <c r="DH32" s="179">
        <f>'[2]January - 2023'!DK32</f>
        <v>0</v>
      </c>
      <c r="DI32" s="235">
        <f>'[2]January - 2023'!DL32</f>
        <v>0</v>
      </c>
      <c r="DJ32" s="179">
        <f>'[2]January - 2023'!DM32</f>
        <v>0</v>
      </c>
      <c r="DK32" s="235">
        <f>'[2]January - 2023'!DN32</f>
        <v>0</v>
      </c>
      <c r="DL32" s="179">
        <f>'[2]January - 2023'!DO32</f>
        <v>0</v>
      </c>
      <c r="DM32" s="235">
        <f>'[2]January - 2023'!DP32</f>
        <v>0</v>
      </c>
      <c r="DN32" s="179">
        <f>'[2]January - 2023'!DQ32</f>
        <v>0</v>
      </c>
      <c r="DO32" s="235">
        <f>'[2]January - 2023'!DR32</f>
        <v>0</v>
      </c>
      <c r="DP32" s="179">
        <f>'[2]January - 2023'!DS32</f>
        <v>0</v>
      </c>
      <c r="DQ32" s="235">
        <f>'[2]January - 2023'!DT32</f>
        <v>0</v>
      </c>
      <c r="DR32" s="186">
        <f>'[2]January - 2023'!DU32</f>
        <v>0</v>
      </c>
      <c r="DS32" s="503"/>
      <c r="DT32" s="190">
        <f>'[2]January - 2023'!DW32</f>
        <v>0</v>
      </c>
      <c r="DU32" s="201">
        <f>'[2]January - 2023'!DX32</f>
        <v>0</v>
      </c>
      <c r="DV32" s="87">
        <f>'[2]January - 2023'!DY32</f>
        <v>0</v>
      </c>
      <c r="DW32" s="195">
        <f>'[2]January - 2023'!DZ32</f>
        <v>0</v>
      </c>
      <c r="DX32" s="87">
        <f>'[2]January - 2023'!EA32</f>
        <v>0</v>
      </c>
      <c r="DY32" s="195">
        <f>'[2]January - 2023'!EB32</f>
        <v>0</v>
      </c>
      <c r="DZ32" s="87">
        <f>'[2]January - 2023'!EC32</f>
        <v>0</v>
      </c>
      <c r="EA32" s="195">
        <f>'[2]January - 2023'!ED32</f>
        <v>0</v>
      </c>
      <c r="EB32" s="87">
        <f>'[2]January - 2023'!EE32</f>
        <v>0</v>
      </c>
      <c r="EC32" s="195">
        <f>'[2]January - 2023'!EF32</f>
        <v>0</v>
      </c>
      <c r="ED32" s="87">
        <f>'[2]January - 2023'!EI32</f>
        <v>0</v>
      </c>
      <c r="EE32" s="208">
        <f>'[2]January - 2023'!EJ32</f>
        <v>0</v>
      </c>
      <c r="EF32" s="550"/>
      <c r="EG32" s="214">
        <f>'[2]January - 2023'!EL32</f>
        <v>0</v>
      </c>
      <c r="EH32" s="209">
        <f>'[2]January - 2023'!EM32</f>
        <v>0</v>
      </c>
      <c r="EI32" s="86">
        <f>'[2]January - 2023'!EN32</f>
        <v>0</v>
      </c>
      <c r="EJ32" s="209">
        <f>'[2]January - 2023'!EO32</f>
        <v>0</v>
      </c>
      <c r="EK32" s="86">
        <f>'[2]January - 2023'!EP32</f>
        <v>0</v>
      </c>
      <c r="EL32" s="209">
        <f>'[2]January - 2023'!EQ32</f>
        <v>0</v>
      </c>
      <c r="EM32" s="86">
        <f>'[2]January - 2023'!ER32</f>
        <v>0</v>
      </c>
      <c r="EN32" s="209">
        <f>'[2]January - 2023'!ES32</f>
        <v>0</v>
      </c>
      <c r="EO32" s="86">
        <f>'[2]January - 2023'!ET32</f>
        <v>0</v>
      </c>
      <c r="EP32" s="209">
        <f>'[2]January - 2023'!EU32</f>
        <v>0</v>
      </c>
      <c r="EQ32" s="86">
        <f>'[2]January - 2023'!EV32</f>
        <v>0</v>
      </c>
      <c r="ER32" s="209">
        <f>'[2]January - 2023'!EW32</f>
        <v>0</v>
      </c>
      <c r="ES32" s="525"/>
      <c r="ET32" s="256">
        <f>'[2]January - 2023'!EY32</f>
        <v>0</v>
      </c>
      <c r="EU32" s="253">
        <f>'[2]January - 2023'!EZ32</f>
        <v>0</v>
      </c>
      <c r="EV32" s="257">
        <f>'[2]January - 2023'!FA32</f>
        <v>0</v>
      </c>
      <c r="EW32" s="253">
        <f>'[2]January - 2023'!FB32</f>
        <v>0</v>
      </c>
      <c r="EX32" s="257">
        <f>'[2]January - 2023'!FC32</f>
        <v>0</v>
      </c>
      <c r="EY32" s="253">
        <f>'[2]January - 2023'!FD32</f>
        <v>0</v>
      </c>
      <c r="EZ32" s="257">
        <f>'[2]January - 2023'!FE32</f>
        <v>0</v>
      </c>
      <c r="FA32" s="253">
        <f>'[2]January - 2023'!FF32</f>
        <v>0</v>
      </c>
      <c r="FB32" s="257">
        <f>'[2]January - 2023'!FG32</f>
        <v>0</v>
      </c>
      <c r="FC32" s="254">
        <f>'[2]January - 2023'!FH32</f>
        <v>0</v>
      </c>
    </row>
    <row r="33" spans="1:160" ht="30" customHeight="1">
      <c r="A33" s="187">
        <v>44950</v>
      </c>
      <c r="B33" s="189">
        <f>'[2]January - 2023'!B33</f>
        <v>0</v>
      </c>
      <c r="C33" s="229">
        <f>'[2]January - 2023'!E33</f>
        <v>0</v>
      </c>
      <c r="D33" s="152">
        <f>'[2]January - 2023'!F33</f>
        <v>0</v>
      </c>
      <c r="E33" s="150">
        <f>'[2]January - 2023'!G33</f>
        <v>662</v>
      </c>
      <c r="F33" s="150">
        <f>'[2]January - 2023'!H33</f>
        <v>0</v>
      </c>
      <c r="G33" s="152">
        <f>'[2]January - 2023'!I33</f>
        <v>0</v>
      </c>
      <c r="H33" s="150">
        <f>'[2]January - 2023'!J33</f>
        <v>349</v>
      </c>
      <c r="I33" s="150">
        <f>'[2]January - 2023'!K33</f>
        <v>0</v>
      </c>
      <c r="J33" s="152">
        <f>'[2]January - 2023'!L33</f>
        <v>0</v>
      </c>
      <c r="K33" s="150">
        <f>'[2]January - 2023'!N33</f>
        <v>0</v>
      </c>
      <c r="L33" s="152">
        <f>'[2]January - 2023'!O33</f>
        <v>0</v>
      </c>
      <c r="M33" s="150">
        <f>'[2]January - 2023'!Q33</f>
        <v>0</v>
      </c>
      <c r="N33" s="152">
        <f>'[2]January - 2023'!R33</f>
        <v>0</v>
      </c>
      <c r="O33" s="150">
        <f>'[2]January - 2023'!U33</f>
        <v>0</v>
      </c>
      <c r="P33" s="152">
        <f>'[2]January - 2023'!V33</f>
        <v>0</v>
      </c>
      <c r="Q33" s="150">
        <f>'[2]January - 2023'!W33</f>
        <v>53.270000000004075</v>
      </c>
      <c r="R33" s="150">
        <f>'[2]January - 2023'!X33</f>
        <v>0</v>
      </c>
      <c r="S33" s="188">
        <f>'[2]January - 2023'!Y33</f>
        <v>0</v>
      </c>
      <c r="T33" s="446"/>
      <c r="U33" s="151">
        <f>'[2]January - 2023'!AE33</f>
        <v>0</v>
      </c>
      <c r="V33" s="218">
        <f>'[2]January - 2023'!AF33</f>
        <v>0</v>
      </c>
      <c r="W33" s="88">
        <f>'[2]January - 2023'!AF33</f>
        <v>0</v>
      </c>
      <c r="X33" s="233">
        <f>'[2]January - 2023'!AH33</f>
        <v>0</v>
      </c>
      <c r="Y33" s="218">
        <f>'[2]January - 2023'!AI33</f>
        <v>0</v>
      </c>
      <c r="Z33" s="88">
        <f>'[2]January - 2023'!AI33</f>
        <v>0</v>
      </c>
      <c r="AA33" s="233">
        <f>'[2]January - 2023'!AK33</f>
        <v>0</v>
      </c>
      <c r="AB33" s="218">
        <f>'[2]January - 2023'!AL33</f>
        <v>0</v>
      </c>
      <c r="AC33" s="88">
        <f>'[2]January - 2023'!AL33</f>
        <v>0</v>
      </c>
      <c r="AD33" s="233">
        <f>'[2]January - 2023'!AN33</f>
        <v>0</v>
      </c>
      <c r="AE33" s="218">
        <f>'[2]January - 2023'!AO33</f>
        <v>0</v>
      </c>
      <c r="AF33" s="88">
        <f>'[2]January - 2023'!AO33</f>
        <v>0</v>
      </c>
      <c r="AG33" s="233">
        <f>'[2]January - 2023'!AQ33</f>
        <v>0</v>
      </c>
      <c r="AH33" s="218">
        <f>'[2]January - 2023'!AR33</f>
        <v>0</v>
      </c>
      <c r="AI33" s="88">
        <f>'[2]January - 2023'!AR33</f>
        <v>0</v>
      </c>
      <c r="AJ33" s="233">
        <f>'[2]January - 2023'!AT33</f>
        <v>0</v>
      </c>
      <c r="AK33" s="218">
        <f>'[2]January - 2023'!AU33</f>
        <v>0</v>
      </c>
      <c r="AL33" s="88">
        <f>'[2]January - 2023'!AU33</f>
        <v>0</v>
      </c>
      <c r="AM33" s="233">
        <f>'[2]January - 2023'!AW33</f>
        <v>0</v>
      </c>
      <c r="AN33" s="218">
        <f>'[2]January - 2023'!AX33</f>
        <v>0</v>
      </c>
      <c r="AO33" s="88">
        <f>'[2]January - 2023'!AX33</f>
        <v>0</v>
      </c>
      <c r="AP33" s="233">
        <f>'[2]January - 2023'!AZ33</f>
        <v>0</v>
      </c>
      <c r="AQ33" s="218">
        <f>'[2]January - 2023'!BA33</f>
        <v>0</v>
      </c>
      <c r="AR33" s="88">
        <f>'[2]January - 2023'!BA33</f>
        <v>0</v>
      </c>
      <c r="AS33" s="233">
        <f>'[2]January - 2023'!BC33</f>
        <v>0</v>
      </c>
      <c r="AT33" s="218">
        <f>'[2]January - 2023'!BD33</f>
        <v>0</v>
      </c>
      <c r="AU33" s="88">
        <f>'[2]January - 2023'!BD33</f>
        <v>0</v>
      </c>
      <c r="AV33" s="233">
        <f>'[2]January - 2023'!BF33</f>
        <v>0</v>
      </c>
      <c r="AW33" s="230">
        <f>'[2]January - 2023'!BG33</f>
        <v>0</v>
      </c>
      <c r="AX33" s="231">
        <f>'[2]January - 2023'!BG33</f>
        <v>0</v>
      </c>
      <c r="AY33" s="463"/>
      <c r="AZ33" s="250">
        <f>'[2]January - 2023'!BM33</f>
        <v>0</v>
      </c>
      <c r="BA33" s="161">
        <f>'[2]January - 2023'!BN33</f>
        <v>0</v>
      </c>
      <c r="BB33" s="89">
        <f>'[2]January - 2023'!BN33</f>
        <v>0</v>
      </c>
      <c r="BC33" s="250">
        <f>'[2]January - 2023'!BP33</f>
        <v>0</v>
      </c>
      <c r="BD33" s="224">
        <f>'[2]January - 2023'!BQ33</f>
        <v>0</v>
      </c>
      <c r="BE33" s="89">
        <f>'[2]January - 2023'!BQ33</f>
        <v>0</v>
      </c>
      <c r="BF33" s="250">
        <f>'[2]January - 2023'!BS33</f>
        <v>0</v>
      </c>
      <c r="BG33" s="224">
        <f>'[2]January - 2023'!BT33</f>
        <v>0</v>
      </c>
      <c r="BH33" s="89">
        <f>'[2]January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'[2]January - 2023'!BV33</f>
        <v>0</v>
      </c>
      <c r="BT33" s="166">
        <f>'[2]January - 2023'!BW33</f>
        <v>0</v>
      </c>
      <c r="BU33" s="559"/>
      <c r="BV33" s="84">
        <f>'[2]January - 2023'!BY33</f>
        <v>0</v>
      </c>
      <c r="BW33" s="220">
        <f>'[2]January - 2023'!BZ33</f>
        <v>0</v>
      </c>
      <c r="BX33" s="84">
        <f>'[2]January - 2023'!BZ33</f>
        <v>0</v>
      </c>
      <c r="BY33" s="85">
        <f>'[2]January - 2023'!CB33</f>
        <v>0</v>
      </c>
      <c r="BZ33" s="172">
        <f>'[2]January - 2023'!CC33</f>
        <v>0</v>
      </c>
      <c r="CA33" s="85">
        <f>'[2]January - 2023'!CD33</f>
        <v>0</v>
      </c>
      <c r="CB33" s="172">
        <f>'[2]January - 2023'!CE33</f>
        <v>0</v>
      </c>
      <c r="CC33" s="85">
        <f>'[2]January - 2023'!CF33</f>
        <v>0</v>
      </c>
      <c r="CD33" s="172">
        <f>'[2]January - 2023'!CG33</f>
        <v>0</v>
      </c>
      <c r="CE33" s="85">
        <f>'[2]January - 2023'!CH33</f>
        <v>0</v>
      </c>
      <c r="CF33" s="172">
        <f>'[2]January - 2023'!CI33</f>
        <v>0</v>
      </c>
      <c r="CG33" s="85">
        <f>'[2]January - 2023'!CJ33</f>
        <v>0</v>
      </c>
      <c r="CH33" s="172">
        <f>'[2]January - 2023'!CK33</f>
        <v>0</v>
      </c>
      <c r="CI33" s="85">
        <f>'[2]January - 2023'!CL33</f>
        <v>0</v>
      </c>
      <c r="CJ33" s="172">
        <f>'[2]January - 2023'!CM33</f>
        <v>0</v>
      </c>
      <c r="CK33" s="85">
        <f>'[2]January - 2023'!CN33</f>
        <v>0</v>
      </c>
      <c r="CL33" s="225">
        <f>'[2]January - 2023'!CO33</f>
        <v>0</v>
      </c>
      <c r="CM33" s="85">
        <f>'[2]January - 2023'!CO33</f>
        <v>0</v>
      </c>
      <c r="CN33" s="85">
        <f>'[2]January - 2023'!CQ33</f>
        <v>0</v>
      </c>
      <c r="CO33" s="225">
        <f>'[2]January - 2023'!CR33</f>
        <v>0</v>
      </c>
      <c r="CP33" s="85">
        <f>'[2]January - 2023'!CR33</f>
        <v>0</v>
      </c>
      <c r="CQ33" s="85">
        <f>'[2]January - 2023'!CT33</f>
        <v>0</v>
      </c>
      <c r="CR33" s="225">
        <f>'[2]January - 2023'!CU33</f>
        <v>0</v>
      </c>
      <c r="CS33" s="85">
        <f>'[2]January - 2023'!CU33</f>
        <v>0</v>
      </c>
      <c r="CT33" s="85">
        <f>'[2]January - 2023'!CW33</f>
        <v>0</v>
      </c>
      <c r="CU33" s="172">
        <f>'[2]January - 2023'!CX33</f>
        <v>0</v>
      </c>
      <c r="CV33" s="487"/>
      <c r="CW33" s="234">
        <f>'[2]January - 2023'!CZ33</f>
        <v>0</v>
      </c>
      <c r="CX33" s="179">
        <f>'[2]January - 2023'!DA33</f>
        <v>0</v>
      </c>
      <c r="CY33" s="235">
        <f>'[2]January - 2023'!DB33</f>
        <v>0</v>
      </c>
      <c r="CZ33" s="179">
        <f>'[2]January - 2023'!DC33</f>
        <v>0</v>
      </c>
      <c r="DA33" s="235">
        <f>'[2]January - 2023'!DD33</f>
        <v>0</v>
      </c>
      <c r="DB33" s="179">
        <f>'[2]January - 2023'!DE33</f>
        <v>0</v>
      </c>
      <c r="DC33" s="235">
        <f>'[2]January - 2023'!DF33</f>
        <v>0</v>
      </c>
      <c r="DD33" s="179">
        <f>'[2]January - 2023'!DG33</f>
        <v>0</v>
      </c>
      <c r="DE33" s="235">
        <f>'[2]January - 2023'!DH33</f>
        <v>0</v>
      </c>
      <c r="DF33" s="179">
        <f>'[2]January - 2023'!DI33</f>
        <v>0</v>
      </c>
      <c r="DG33" s="235">
        <f>'[2]January - 2023'!DJ33</f>
        <v>0</v>
      </c>
      <c r="DH33" s="179">
        <f>'[2]January - 2023'!DK33</f>
        <v>0</v>
      </c>
      <c r="DI33" s="235">
        <f>'[2]January - 2023'!DL33</f>
        <v>0</v>
      </c>
      <c r="DJ33" s="179">
        <f>'[2]January - 2023'!DM33</f>
        <v>0</v>
      </c>
      <c r="DK33" s="235">
        <f>'[2]January - 2023'!DN33</f>
        <v>0</v>
      </c>
      <c r="DL33" s="179">
        <f>'[2]January - 2023'!DO33</f>
        <v>0</v>
      </c>
      <c r="DM33" s="235">
        <f>'[2]January - 2023'!DP33</f>
        <v>0</v>
      </c>
      <c r="DN33" s="179">
        <f>'[2]January - 2023'!DQ33</f>
        <v>0</v>
      </c>
      <c r="DO33" s="235">
        <f>'[2]January - 2023'!DR33</f>
        <v>0</v>
      </c>
      <c r="DP33" s="179">
        <f>'[2]January - 2023'!DS33</f>
        <v>0</v>
      </c>
      <c r="DQ33" s="235">
        <f>'[2]January - 2023'!DT33</f>
        <v>0</v>
      </c>
      <c r="DR33" s="186">
        <f>'[2]January - 2023'!DU33</f>
        <v>0</v>
      </c>
      <c r="DS33" s="503"/>
      <c r="DT33" s="190">
        <f>'[2]January - 2023'!DW33</f>
        <v>0</v>
      </c>
      <c r="DU33" s="201">
        <f>'[2]January - 2023'!DX33</f>
        <v>0</v>
      </c>
      <c r="DV33" s="87">
        <f>'[2]January - 2023'!DY33</f>
        <v>0</v>
      </c>
      <c r="DW33" s="195">
        <f>'[2]January - 2023'!DZ33</f>
        <v>0</v>
      </c>
      <c r="DX33" s="87">
        <f>'[2]January - 2023'!EA33</f>
        <v>0</v>
      </c>
      <c r="DY33" s="195">
        <f>'[2]January - 2023'!EB33</f>
        <v>0</v>
      </c>
      <c r="DZ33" s="87">
        <f>'[2]January - 2023'!EC33</f>
        <v>0</v>
      </c>
      <c r="EA33" s="195">
        <f>'[2]January - 2023'!ED33</f>
        <v>0</v>
      </c>
      <c r="EB33" s="87">
        <f>'[2]January - 2023'!EE33</f>
        <v>0</v>
      </c>
      <c r="EC33" s="195">
        <f>'[2]January - 2023'!EF33</f>
        <v>0</v>
      </c>
      <c r="ED33" s="87">
        <f>'[2]January - 2023'!EI33</f>
        <v>0</v>
      </c>
      <c r="EE33" s="208">
        <f>'[2]January - 2023'!EJ33</f>
        <v>0</v>
      </c>
      <c r="EF33" s="550"/>
      <c r="EG33" s="214">
        <f>'[2]January - 2023'!EL33</f>
        <v>0</v>
      </c>
      <c r="EH33" s="209">
        <f>'[2]January - 2023'!EM33</f>
        <v>0</v>
      </c>
      <c r="EI33" s="86">
        <f>'[2]January - 2023'!EN33</f>
        <v>0</v>
      </c>
      <c r="EJ33" s="209">
        <f>'[2]January - 2023'!EO33</f>
        <v>0</v>
      </c>
      <c r="EK33" s="86">
        <f>'[2]January - 2023'!EP33</f>
        <v>0</v>
      </c>
      <c r="EL33" s="209">
        <f>'[2]January - 2023'!EQ33</f>
        <v>0</v>
      </c>
      <c r="EM33" s="86">
        <f>'[2]January - 2023'!ER33</f>
        <v>0</v>
      </c>
      <c r="EN33" s="209">
        <f>'[2]January - 2023'!ES33</f>
        <v>0</v>
      </c>
      <c r="EO33" s="86">
        <f>'[2]January - 2023'!ET33</f>
        <v>0</v>
      </c>
      <c r="EP33" s="209">
        <f>'[2]January - 2023'!EU33</f>
        <v>0</v>
      </c>
      <c r="EQ33" s="86">
        <f>'[2]January - 2023'!EV33</f>
        <v>0</v>
      </c>
      <c r="ER33" s="209">
        <f>'[2]January - 2023'!EW33</f>
        <v>0</v>
      </c>
      <c r="ES33" s="525"/>
      <c r="ET33" s="256">
        <f>'[2]January - 2023'!EY33</f>
        <v>0</v>
      </c>
      <c r="EU33" s="253">
        <f>'[2]January - 2023'!EZ33</f>
        <v>0</v>
      </c>
      <c r="EV33" s="257">
        <f>'[2]January - 2023'!FA33</f>
        <v>0</v>
      </c>
      <c r="EW33" s="253">
        <f>'[2]January - 2023'!FB33</f>
        <v>0</v>
      </c>
      <c r="EX33" s="257">
        <f>'[2]January - 2023'!FC33</f>
        <v>0</v>
      </c>
      <c r="EY33" s="253">
        <f>'[2]January - 2023'!FD33</f>
        <v>0</v>
      </c>
      <c r="EZ33" s="257">
        <f>'[2]January - 2023'!FE33</f>
        <v>0</v>
      </c>
      <c r="FA33" s="253">
        <f>'[2]January - 2023'!FF33</f>
        <v>0</v>
      </c>
      <c r="FB33" s="257">
        <f>'[2]January - 2023'!FG33</f>
        <v>0</v>
      </c>
      <c r="FC33" s="254">
        <f>'[2]January - 2023'!FH33</f>
        <v>0</v>
      </c>
    </row>
    <row r="34" spans="1:160" ht="30" customHeight="1">
      <c r="A34" s="187">
        <v>44951</v>
      </c>
      <c r="B34" s="189">
        <f>'[2]January - 2023'!B34</f>
        <v>0</v>
      </c>
      <c r="C34" s="229">
        <f>'[2]January - 2023'!E34</f>
        <v>0</v>
      </c>
      <c r="D34" s="152">
        <f>'[2]January - 2023'!F34</f>
        <v>0</v>
      </c>
      <c r="E34" s="150">
        <f>'[2]January - 2023'!G34</f>
        <v>482</v>
      </c>
      <c r="F34" s="150">
        <f>'[2]January - 2023'!H34</f>
        <v>0</v>
      </c>
      <c r="G34" s="152">
        <f>'[2]January - 2023'!I34</f>
        <v>0</v>
      </c>
      <c r="H34" s="150">
        <f>'[2]January - 2023'!J34</f>
        <v>385</v>
      </c>
      <c r="I34" s="150">
        <f>'[2]January - 2023'!K34</f>
        <v>0</v>
      </c>
      <c r="J34" s="152">
        <f>'[2]January - 2023'!L34</f>
        <v>0</v>
      </c>
      <c r="K34" s="150">
        <f>'[2]January - 2023'!N34</f>
        <v>0</v>
      </c>
      <c r="L34" s="152">
        <f>'[2]January - 2023'!O34</f>
        <v>0</v>
      </c>
      <c r="M34" s="150">
        <f>'[2]January - 2023'!Q34</f>
        <v>0</v>
      </c>
      <c r="N34" s="152">
        <f>'[2]January - 2023'!R34</f>
        <v>0</v>
      </c>
      <c r="O34" s="150">
        <f>'[2]January - 2023'!U34</f>
        <v>0</v>
      </c>
      <c r="P34" s="152">
        <f>'[2]January - 2023'!V34</f>
        <v>0</v>
      </c>
      <c r="Q34" s="150">
        <f>'[2]January - 2023'!W34</f>
        <v>51.790000000000873</v>
      </c>
      <c r="R34" s="150">
        <f>'[2]January - 2023'!X34</f>
        <v>0</v>
      </c>
      <c r="S34" s="188">
        <f>'[2]January - 2023'!Y34</f>
        <v>0</v>
      </c>
      <c r="T34" s="446"/>
      <c r="U34" s="151">
        <f>'[2]January - 2023'!AE34</f>
        <v>0</v>
      </c>
      <c r="V34" s="218">
        <f>'[2]January - 2023'!AF34</f>
        <v>0</v>
      </c>
      <c r="W34" s="88">
        <f>'[2]January - 2023'!AF34</f>
        <v>0</v>
      </c>
      <c r="X34" s="233">
        <f>'[2]January - 2023'!AH34</f>
        <v>0</v>
      </c>
      <c r="Y34" s="218">
        <f>'[2]January - 2023'!AI34</f>
        <v>0</v>
      </c>
      <c r="Z34" s="88">
        <f>'[2]January - 2023'!AI34</f>
        <v>0</v>
      </c>
      <c r="AA34" s="233">
        <f>'[2]January - 2023'!AK34</f>
        <v>0</v>
      </c>
      <c r="AB34" s="218">
        <f>'[2]January - 2023'!AL34</f>
        <v>0</v>
      </c>
      <c r="AC34" s="88">
        <f>'[2]January - 2023'!AL34</f>
        <v>0</v>
      </c>
      <c r="AD34" s="233">
        <f>'[2]January - 2023'!AN34</f>
        <v>0</v>
      </c>
      <c r="AE34" s="218">
        <f>'[2]January - 2023'!AO34</f>
        <v>0</v>
      </c>
      <c r="AF34" s="88">
        <f>'[2]January - 2023'!AO34</f>
        <v>0</v>
      </c>
      <c r="AG34" s="233">
        <f>'[2]January - 2023'!AQ34</f>
        <v>0</v>
      </c>
      <c r="AH34" s="218">
        <f>'[2]January - 2023'!AR34</f>
        <v>0</v>
      </c>
      <c r="AI34" s="88">
        <f>'[2]January - 2023'!AR34</f>
        <v>0</v>
      </c>
      <c r="AJ34" s="233">
        <f>'[2]January - 2023'!AT34</f>
        <v>0</v>
      </c>
      <c r="AK34" s="218">
        <f>'[2]January - 2023'!AU34</f>
        <v>0</v>
      </c>
      <c r="AL34" s="88">
        <f>'[2]January - 2023'!AU34</f>
        <v>0</v>
      </c>
      <c r="AM34" s="233">
        <f>'[2]January - 2023'!AW34</f>
        <v>0</v>
      </c>
      <c r="AN34" s="218">
        <f>'[2]January - 2023'!AX34</f>
        <v>0</v>
      </c>
      <c r="AO34" s="88">
        <f>'[2]January - 2023'!AX34</f>
        <v>0</v>
      </c>
      <c r="AP34" s="233">
        <f>'[2]January - 2023'!AZ34</f>
        <v>0</v>
      </c>
      <c r="AQ34" s="218">
        <f>'[2]January - 2023'!BA34</f>
        <v>0</v>
      </c>
      <c r="AR34" s="88">
        <f>'[2]January - 2023'!BA34</f>
        <v>0</v>
      </c>
      <c r="AS34" s="233">
        <f>'[2]January - 2023'!BC34</f>
        <v>0</v>
      </c>
      <c r="AT34" s="218">
        <f>'[2]January - 2023'!BD34</f>
        <v>0</v>
      </c>
      <c r="AU34" s="88">
        <f>'[2]January - 2023'!BD34</f>
        <v>0</v>
      </c>
      <c r="AV34" s="233">
        <f>'[2]January - 2023'!BF34</f>
        <v>0</v>
      </c>
      <c r="AW34" s="230">
        <f>'[2]January - 2023'!BG34</f>
        <v>0</v>
      </c>
      <c r="AX34" s="231">
        <f>'[2]January - 2023'!BG34</f>
        <v>0</v>
      </c>
      <c r="AY34" s="463"/>
      <c r="AZ34" s="250">
        <f>'[2]January - 2023'!BM34</f>
        <v>0</v>
      </c>
      <c r="BA34" s="161">
        <f>'[2]January - 2023'!BN34</f>
        <v>0</v>
      </c>
      <c r="BB34" s="89">
        <f>'[2]January - 2023'!BN34</f>
        <v>0</v>
      </c>
      <c r="BC34" s="250">
        <f>'[2]January - 2023'!BP34</f>
        <v>0</v>
      </c>
      <c r="BD34" s="224">
        <f>'[2]January - 2023'!BQ34</f>
        <v>0</v>
      </c>
      <c r="BE34" s="89">
        <f>'[2]January - 2023'!BQ34</f>
        <v>0</v>
      </c>
      <c r="BF34" s="250">
        <f>'[2]January - 2023'!BS34</f>
        <v>0</v>
      </c>
      <c r="BG34" s="224">
        <f>'[2]January - 2023'!BT34</f>
        <v>0</v>
      </c>
      <c r="BH34" s="89">
        <f>'[2]January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'[2]January - 2023'!BV34</f>
        <v>0</v>
      </c>
      <c r="BT34" s="166">
        <f>'[2]January - 2023'!BW34</f>
        <v>0</v>
      </c>
      <c r="BU34" s="559"/>
      <c r="BV34" s="84">
        <f>'[2]January - 2023'!BY34</f>
        <v>0</v>
      </c>
      <c r="BW34" s="220">
        <f>'[2]January - 2023'!BZ34</f>
        <v>0</v>
      </c>
      <c r="BX34" s="84">
        <f>'[2]January - 2023'!BZ34</f>
        <v>0</v>
      </c>
      <c r="BY34" s="85">
        <f>'[2]January - 2023'!CB34</f>
        <v>0</v>
      </c>
      <c r="BZ34" s="172">
        <f>'[2]January - 2023'!CC34</f>
        <v>0</v>
      </c>
      <c r="CA34" s="85">
        <f>'[2]January - 2023'!CD34</f>
        <v>0</v>
      </c>
      <c r="CB34" s="172">
        <f>'[2]January - 2023'!CE34</f>
        <v>0</v>
      </c>
      <c r="CC34" s="85">
        <f>'[2]January - 2023'!CF34</f>
        <v>0</v>
      </c>
      <c r="CD34" s="172">
        <f>'[2]January - 2023'!CG34</f>
        <v>0</v>
      </c>
      <c r="CE34" s="85">
        <f>'[2]January - 2023'!CH34</f>
        <v>0</v>
      </c>
      <c r="CF34" s="172">
        <f>'[2]January - 2023'!CI34</f>
        <v>0</v>
      </c>
      <c r="CG34" s="85">
        <f>'[2]January - 2023'!CJ34</f>
        <v>0</v>
      </c>
      <c r="CH34" s="172">
        <f>'[2]January - 2023'!CK34</f>
        <v>0</v>
      </c>
      <c r="CI34" s="85">
        <f>'[2]January - 2023'!CL34</f>
        <v>0</v>
      </c>
      <c r="CJ34" s="172">
        <f>'[2]January - 2023'!CM34</f>
        <v>0</v>
      </c>
      <c r="CK34" s="85">
        <f>'[2]January - 2023'!CN34</f>
        <v>0</v>
      </c>
      <c r="CL34" s="225">
        <f>'[2]January - 2023'!CO34</f>
        <v>0</v>
      </c>
      <c r="CM34" s="85">
        <f>'[2]January - 2023'!CO34</f>
        <v>0</v>
      </c>
      <c r="CN34" s="85">
        <f>'[2]January - 2023'!CQ34</f>
        <v>0</v>
      </c>
      <c r="CO34" s="225">
        <f>'[2]January - 2023'!CR34</f>
        <v>0</v>
      </c>
      <c r="CP34" s="85">
        <f>'[2]January - 2023'!CR34</f>
        <v>0</v>
      </c>
      <c r="CQ34" s="85">
        <f>'[2]January - 2023'!CT34</f>
        <v>0</v>
      </c>
      <c r="CR34" s="225">
        <f>'[2]January - 2023'!CU34</f>
        <v>0</v>
      </c>
      <c r="CS34" s="85">
        <f>'[2]January - 2023'!CU34</f>
        <v>0</v>
      </c>
      <c r="CT34" s="85">
        <f>'[2]January - 2023'!CW34</f>
        <v>0</v>
      </c>
      <c r="CU34" s="172">
        <f>'[2]January - 2023'!CX34</f>
        <v>0</v>
      </c>
      <c r="CV34" s="487"/>
      <c r="CW34" s="234">
        <f>'[2]January - 2023'!CZ34</f>
        <v>0</v>
      </c>
      <c r="CX34" s="179">
        <f>'[2]January - 2023'!DA34</f>
        <v>0</v>
      </c>
      <c r="CY34" s="235">
        <f>'[2]January - 2023'!DB34</f>
        <v>0</v>
      </c>
      <c r="CZ34" s="179">
        <f>'[2]January - 2023'!DC34</f>
        <v>0</v>
      </c>
      <c r="DA34" s="235">
        <f>'[2]January - 2023'!DD34</f>
        <v>0</v>
      </c>
      <c r="DB34" s="179">
        <f>'[2]January - 2023'!DE34</f>
        <v>0</v>
      </c>
      <c r="DC34" s="235">
        <f>'[2]January - 2023'!DF34</f>
        <v>0</v>
      </c>
      <c r="DD34" s="179">
        <f>'[2]January - 2023'!DG34</f>
        <v>0</v>
      </c>
      <c r="DE34" s="235">
        <f>'[2]January - 2023'!DH34</f>
        <v>0</v>
      </c>
      <c r="DF34" s="179">
        <f>'[2]January - 2023'!DI34</f>
        <v>0</v>
      </c>
      <c r="DG34" s="235">
        <f>'[2]January - 2023'!DJ34</f>
        <v>0</v>
      </c>
      <c r="DH34" s="179">
        <f>'[2]January - 2023'!DK34</f>
        <v>0</v>
      </c>
      <c r="DI34" s="235">
        <f>'[2]January - 2023'!DL34</f>
        <v>0</v>
      </c>
      <c r="DJ34" s="179">
        <f>'[2]January - 2023'!DM34</f>
        <v>0</v>
      </c>
      <c r="DK34" s="235">
        <f>'[2]January - 2023'!DN34</f>
        <v>0</v>
      </c>
      <c r="DL34" s="179">
        <f>'[2]January - 2023'!DO34</f>
        <v>0</v>
      </c>
      <c r="DM34" s="235">
        <f>'[2]January - 2023'!DP34</f>
        <v>0</v>
      </c>
      <c r="DN34" s="179">
        <f>'[2]January - 2023'!DQ34</f>
        <v>0</v>
      </c>
      <c r="DO34" s="235">
        <f>'[2]January - 2023'!DR34</f>
        <v>0</v>
      </c>
      <c r="DP34" s="179">
        <f>'[2]January - 2023'!DS34</f>
        <v>0</v>
      </c>
      <c r="DQ34" s="235">
        <f>'[2]January - 2023'!DT34</f>
        <v>0</v>
      </c>
      <c r="DR34" s="186">
        <f>'[2]January - 2023'!DU34</f>
        <v>0</v>
      </c>
      <c r="DS34" s="503"/>
      <c r="DT34" s="190">
        <f>'[2]January - 2023'!DW34</f>
        <v>0</v>
      </c>
      <c r="DU34" s="201">
        <f>'[2]January - 2023'!DX34</f>
        <v>0</v>
      </c>
      <c r="DV34" s="87">
        <f>'[2]January - 2023'!DY34</f>
        <v>0</v>
      </c>
      <c r="DW34" s="195">
        <f>'[2]January - 2023'!DZ34</f>
        <v>0</v>
      </c>
      <c r="DX34" s="87">
        <f>'[2]January - 2023'!EA34</f>
        <v>0</v>
      </c>
      <c r="DY34" s="195">
        <f>'[2]January - 2023'!EB34</f>
        <v>0</v>
      </c>
      <c r="DZ34" s="87">
        <f>'[2]January - 2023'!EC34</f>
        <v>0</v>
      </c>
      <c r="EA34" s="195">
        <f>'[2]January - 2023'!ED34</f>
        <v>0</v>
      </c>
      <c r="EB34" s="87">
        <f>'[2]January - 2023'!EE34</f>
        <v>0</v>
      </c>
      <c r="EC34" s="195">
        <f>'[2]January - 2023'!EF34</f>
        <v>0</v>
      </c>
      <c r="ED34" s="87">
        <f>'[2]January - 2023'!EI34</f>
        <v>0</v>
      </c>
      <c r="EE34" s="208">
        <f>'[2]January - 2023'!EJ34</f>
        <v>0</v>
      </c>
      <c r="EF34" s="550"/>
      <c r="EG34" s="214">
        <f>'[2]January - 2023'!EL34</f>
        <v>0</v>
      </c>
      <c r="EH34" s="209">
        <f>'[2]January - 2023'!EM34</f>
        <v>0</v>
      </c>
      <c r="EI34" s="86">
        <f>'[2]January - 2023'!EN34</f>
        <v>0</v>
      </c>
      <c r="EJ34" s="209">
        <f>'[2]January - 2023'!EO34</f>
        <v>0</v>
      </c>
      <c r="EK34" s="86">
        <f>'[2]January - 2023'!EP34</f>
        <v>0</v>
      </c>
      <c r="EL34" s="209">
        <f>'[2]January - 2023'!EQ34</f>
        <v>0</v>
      </c>
      <c r="EM34" s="86">
        <f>'[2]January - 2023'!ER34</f>
        <v>0</v>
      </c>
      <c r="EN34" s="209">
        <f>'[2]January - 2023'!ES34</f>
        <v>0</v>
      </c>
      <c r="EO34" s="86">
        <f>'[2]January - 2023'!ET34</f>
        <v>0</v>
      </c>
      <c r="EP34" s="209">
        <f>'[2]January - 2023'!EU34</f>
        <v>0</v>
      </c>
      <c r="EQ34" s="86">
        <f>'[2]January - 2023'!EV34</f>
        <v>0</v>
      </c>
      <c r="ER34" s="209">
        <f>'[2]January - 2023'!EW34</f>
        <v>0</v>
      </c>
      <c r="ES34" s="525"/>
      <c r="ET34" s="256">
        <f>'[2]January - 2023'!EY34</f>
        <v>0</v>
      </c>
      <c r="EU34" s="253">
        <f>'[2]January - 2023'!EZ34</f>
        <v>0</v>
      </c>
      <c r="EV34" s="257">
        <f>'[2]January - 2023'!FA34</f>
        <v>0</v>
      </c>
      <c r="EW34" s="253">
        <f>'[2]January - 2023'!FB34</f>
        <v>0</v>
      </c>
      <c r="EX34" s="257">
        <f>'[2]January - 2023'!FC34</f>
        <v>0</v>
      </c>
      <c r="EY34" s="253">
        <f>'[2]January - 2023'!FD34</f>
        <v>0</v>
      </c>
      <c r="EZ34" s="257">
        <f>'[2]January - 2023'!FE34</f>
        <v>0</v>
      </c>
      <c r="FA34" s="253">
        <f>'[2]January - 2023'!FF34</f>
        <v>0</v>
      </c>
      <c r="FB34" s="257">
        <f>'[2]January - 2023'!FG34</f>
        <v>0</v>
      </c>
      <c r="FC34" s="254">
        <f>'[2]January - 2023'!FH34</f>
        <v>0</v>
      </c>
    </row>
    <row r="35" spans="1:160" ht="30" customHeight="1">
      <c r="A35" s="187">
        <v>44952</v>
      </c>
      <c r="B35" s="189">
        <f>'[2]January - 2023'!B35</f>
        <v>0</v>
      </c>
      <c r="C35" s="229">
        <f>'[2]January - 2023'!E35</f>
        <v>0</v>
      </c>
      <c r="D35" s="152">
        <f>'[2]January - 2023'!F35</f>
        <v>0</v>
      </c>
      <c r="E35" s="150">
        <f>'[2]January - 2023'!G35</f>
        <v>676</v>
      </c>
      <c r="F35" s="150">
        <f>'[2]January - 2023'!H35</f>
        <v>0</v>
      </c>
      <c r="G35" s="152">
        <f>'[2]January - 2023'!I35</f>
        <v>0</v>
      </c>
      <c r="H35" s="150">
        <f>'[2]January - 2023'!J35</f>
        <v>367</v>
      </c>
      <c r="I35" s="150">
        <f>'[2]January - 2023'!K35</f>
        <v>0</v>
      </c>
      <c r="J35" s="152">
        <f>'[2]January - 2023'!L35</f>
        <v>0</v>
      </c>
      <c r="K35" s="150">
        <f>'[2]January - 2023'!N35</f>
        <v>0</v>
      </c>
      <c r="L35" s="152">
        <f>'[2]January - 2023'!O35</f>
        <v>0</v>
      </c>
      <c r="M35" s="150">
        <f>'[2]January - 2023'!Q35</f>
        <v>0</v>
      </c>
      <c r="N35" s="152">
        <f>'[2]January - 2023'!R35</f>
        <v>0</v>
      </c>
      <c r="O35" s="150">
        <f>'[2]January - 2023'!U35</f>
        <v>0</v>
      </c>
      <c r="P35" s="152">
        <f>'[2]January - 2023'!V35</f>
        <v>0</v>
      </c>
      <c r="Q35" s="150">
        <f>'[2]January - 2023'!W35</f>
        <v>61.709999999999127</v>
      </c>
      <c r="R35" s="150">
        <f>'[2]January - 2023'!X35</f>
        <v>0</v>
      </c>
      <c r="S35" s="188">
        <f>'[2]January - 2023'!Y35</f>
        <v>0</v>
      </c>
      <c r="T35" s="446"/>
      <c r="U35" s="151">
        <f>'[2]January - 2023'!AE35</f>
        <v>0</v>
      </c>
      <c r="V35" s="218">
        <f>'[2]January - 2023'!AF35</f>
        <v>0</v>
      </c>
      <c r="W35" s="88">
        <f>'[2]January - 2023'!AF35</f>
        <v>0</v>
      </c>
      <c r="X35" s="233">
        <f>'[2]January - 2023'!AH35</f>
        <v>0</v>
      </c>
      <c r="Y35" s="218">
        <f>'[2]January - 2023'!AI35</f>
        <v>0</v>
      </c>
      <c r="Z35" s="88">
        <f>'[2]January - 2023'!AI35</f>
        <v>0</v>
      </c>
      <c r="AA35" s="233">
        <f>'[2]January - 2023'!AK35</f>
        <v>0</v>
      </c>
      <c r="AB35" s="218">
        <f>'[2]January - 2023'!AL35</f>
        <v>0</v>
      </c>
      <c r="AC35" s="88">
        <f>'[2]January - 2023'!AL35</f>
        <v>0</v>
      </c>
      <c r="AD35" s="233">
        <f>'[2]January - 2023'!AN35</f>
        <v>0</v>
      </c>
      <c r="AE35" s="218">
        <f>'[2]January - 2023'!AO35</f>
        <v>0</v>
      </c>
      <c r="AF35" s="88">
        <f>'[2]January - 2023'!AO35</f>
        <v>0</v>
      </c>
      <c r="AG35" s="233">
        <f>'[2]January - 2023'!AQ35</f>
        <v>0</v>
      </c>
      <c r="AH35" s="218">
        <f>'[2]January - 2023'!AR35</f>
        <v>0</v>
      </c>
      <c r="AI35" s="88">
        <f>'[2]January - 2023'!AR35</f>
        <v>0</v>
      </c>
      <c r="AJ35" s="233">
        <f>'[2]January - 2023'!AT35</f>
        <v>0</v>
      </c>
      <c r="AK35" s="218">
        <f>'[2]January - 2023'!AU35</f>
        <v>0</v>
      </c>
      <c r="AL35" s="88">
        <f>'[2]January - 2023'!AU35</f>
        <v>0</v>
      </c>
      <c r="AM35" s="233">
        <f>'[2]January - 2023'!AW35</f>
        <v>0</v>
      </c>
      <c r="AN35" s="218">
        <f>'[2]January - 2023'!AX35</f>
        <v>0</v>
      </c>
      <c r="AO35" s="88">
        <f>'[2]January - 2023'!AX35</f>
        <v>0</v>
      </c>
      <c r="AP35" s="233">
        <f>'[2]January - 2023'!AZ35</f>
        <v>0</v>
      </c>
      <c r="AQ35" s="218">
        <f>'[2]January - 2023'!BA35</f>
        <v>0</v>
      </c>
      <c r="AR35" s="88">
        <f>'[2]January - 2023'!BA35</f>
        <v>0</v>
      </c>
      <c r="AS35" s="233">
        <f>'[2]January - 2023'!BC35</f>
        <v>0</v>
      </c>
      <c r="AT35" s="218">
        <f>'[2]January - 2023'!BD35</f>
        <v>0</v>
      </c>
      <c r="AU35" s="88">
        <f>'[2]January - 2023'!BD35</f>
        <v>0</v>
      </c>
      <c r="AV35" s="233">
        <f>'[2]January - 2023'!BF35</f>
        <v>0</v>
      </c>
      <c r="AW35" s="230">
        <f>'[2]January - 2023'!BG35</f>
        <v>0</v>
      </c>
      <c r="AX35" s="231">
        <f>'[2]January - 2023'!BG35</f>
        <v>0</v>
      </c>
      <c r="AY35" s="463"/>
      <c r="AZ35" s="250">
        <f>'[2]January - 2023'!BM35</f>
        <v>0</v>
      </c>
      <c r="BA35" s="161">
        <f>'[2]January - 2023'!BN35</f>
        <v>0</v>
      </c>
      <c r="BB35" s="89">
        <f>'[2]January - 2023'!BN35</f>
        <v>0</v>
      </c>
      <c r="BC35" s="250">
        <f>'[2]January - 2023'!BP35</f>
        <v>0</v>
      </c>
      <c r="BD35" s="224">
        <f>'[2]January - 2023'!BQ35</f>
        <v>0</v>
      </c>
      <c r="BE35" s="89">
        <f>'[2]January - 2023'!BQ35</f>
        <v>0</v>
      </c>
      <c r="BF35" s="250">
        <f>'[2]January - 2023'!BS35</f>
        <v>0</v>
      </c>
      <c r="BG35" s="224">
        <f>'[2]January - 2023'!BT35</f>
        <v>0</v>
      </c>
      <c r="BH35" s="89">
        <f>'[2]January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'[2]January - 2023'!BV35</f>
        <v>0</v>
      </c>
      <c r="BT35" s="166">
        <f>'[2]January - 2023'!BW35</f>
        <v>0</v>
      </c>
      <c r="BU35" s="559"/>
      <c r="BV35" s="84">
        <f>'[2]January - 2023'!BY35</f>
        <v>0</v>
      </c>
      <c r="BW35" s="220">
        <f>'[2]January - 2023'!BZ35</f>
        <v>0</v>
      </c>
      <c r="BX35" s="84">
        <f>'[2]January - 2023'!BZ35</f>
        <v>0</v>
      </c>
      <c r="BY35" s="85">
        <f>'[2]January - 2023'!CB35</f>
        <v>0</v>
      </c>
      <c r="BZ35" s="172">
        <f>'[2]January - 2023'!CC35</f>
        <v>0</v>
      </c>
      <c r="CA35" s="85">
        <f>'[2]January - 2023'!CD35</f>
        <v>0</v>
      </c>
      <c r="CB35" s="172">
        <f>'[2]January - 2023'!CE35</f>
        <v>0</v>
      </c>
      <c r="CC35" s="85">
        <f>'[2]January - 2023'!CF35</f>
        <v>0</v>
      </c>
      <c r="CD35" s="172">
        <f>'[2]January - 2023'!CG35</f>
        <v>0</v>
      </c>
      <c r="CE35" s="85">
        <f>'[2]January - 2023'!CH35</f>
        <v>0</v>
      </c>
      <c r="CF35" s="172">
        <f>'[2]January - 2023'!CI35</f>
        <v>0</v>
      </c>
      <c r="CG35" s="85">
        <f>'[2]January - 2023'!CJ35</f>
        <v>0</v>
      </c>
      <c r="CH35" s="172">
        <f>'[2]January - 2023'!CK35</f>
        <v>0</v>
      </c>
      <c r="CI35" s="85">
        <f>'[2]January - 2023'!CL35</f>
        <v>0</v>
      </c>
      <c r="CJ35" s="172">
        <f>'[2]January - 2023'!CM35</f>
        <v>0</v>
      </c>
      <c r="CK35" s="85">
        <f>'[2]January - 2023'!CN35</f>
        <v>0</v>
      </c>
      <c r="CL35" s="225">
        <f>'[2]January - 2023'!CO35</f>
        <v>0</v>
      </c>
      <c r="CM35" s="85">
        <f>'[2]January - 2023'!CO35</f>
        <v>0</v>
      </c>
      <c r="CN35" s="85">
        <f>'[2]January - 2023'!CQ35</f>
        <v>0</v>
      </c>
      <c r="CO35" s="225">
        <f>'[2]January - 2023'!CR35</f>
        <v>0</v>
      </c>
      <c r="CP35" s="85">
        <f>'[2]January - 2023'!CR35</f>
        <v>0</v>
      </c>
      <c r="CQ35" s="85">
        <f>'[2]January - 2023'!CT35</f>
        <v>0</v>
      </c>
      <c r="CR35" s="225">
        <f>'[2]January - 2023'!CU35</f>
        <v>0</v>
      </c>
      <c r="CS35" s="85">
        <f>'[2]January - 2023'!CU35</f>
        <v>0</v>
      </c>
      <c r="CT35" s="85">
        <f>'[2]January - 2023'!CW35</f>
        <v>0</v>
      </c>
      <c r="CU35" s="172">
        <f>'[2]January - 2023'!CX35</f>
        <v>0</v>
      </c>
      <c r="CV35" s="487"/>
      <c r="CW35" s="234">
        <f>'[2]January - 2023'!CZ35</f>
        <v>0</v>
      </c>
      <c r="CX35" s="179">
        <f>'[2]January - 2023'!DA35</f>
        <v>0</v>
      </c>
      <c r="CY35" s="235">
        <f>'[2]January - 2023'!DB35</f>
        <v>0</v>
      </c>
      <c r="CZ35" s="179">
        <f>'[2]January - 2023'!DC35</f>
        <v>0</v>
      </c>
      <c r="DA35" s="235">
        <f>'[2]January - 2023'!DD35</f>
        <v>0</v>
      </c>
      <c r="DB35" s="179">
        <f>'[2]January - 2023'!DE35</f>
        <v>0</v>
      </c>
      <c r="DC35" s="235">
        <f>'[2]January - 2023'!DF35</f>
        <v>0</v>
      </c>
      <c r="DD35" s="179">
        <f>'[2]January - 2023'!DG35</f>
        <v>0</v>
      </c>
      <c r="DE35" s="235">
        <f>'[2]January - 2023'!DH35</f>
        <v>0</v>
      </c>
      <c r="DF35" s="179">
        <f>'[2]January - 2023'!DI35</f>
        <v>0</v>
      </c>
      <c r="DG35" s="235">
        <f>'[2]January - 2023'!DJ35</f>
        <v>0</v>
      </c>
      <c r="DH35" s="179">
        <f>'[2]January - 2023'!DK35</f>
        <v>0</v>
      </c>
      <c r="DI35" s="235">
        <f>'[2]January - 2023'!DL35</f>
        <v>0</v>
      </c>
      <c r="DJ35" s="179">
        <f>'[2]January - 2023'!DM35</f>
        <v>0</v>
      </c>
      <c r="DK35" s="235">
        <f>'[2]January - 2023'!DN35</f>
        <v>0</v>
      </c>
      <c r="DL35" s="179">
        <f>'[2]January - 2023'!DO35</f>
        <v>0</v>
      </c>
      <c r="DM35" s="235">
        <f>'[2]January - 2023'!DP35</f>
        <v>0</v>
      </c>
      <c r="DN35" s="179">
        <f>'[2]January - 2023'!DQ35</f>
        <v>0</v>
      </c>
      <c r="DO35" s="235">
        <f>'[2]January - 2023'!DR35</f>
        <v>0</v>
      </c>
      <c r="DP35" s="179">
        <f>'[2]January - 2023'!DS35</f>
        <v>0</v>
      </c>
      <c r="DQ35" s="235">
        <f>'[2]January - 2023'!DT35</f>
        <v>0</v>
      </c>
      <c r="DR35" s="186">
        <f>'[2]January - 2023'!DU35</f>
        <v>0</v>
      </c>
      <c r="DS35" s="503"/>
      <c r="DT35" s="190">
        <f>'[2]January - 2023'!DW35</f>
        <v>0</v>
      </c>
      <c r="DU35" s="201">
        <f>'[2]January - 2023'!DX35</f>
        <v>0</v>
      </c>
      <c r="DV35" s="87">
        <f>'[2]January - 2023'!DY35</f>
        <v>0</v>
      </c>
      <c r="DW35" s="195">
        <f>'[2]January - 2023'!DZ35</f>
        <v>0</v>
      </c>
      <c r="DX35" s="87">
        <f>'[2]January - 2023'!EA35</f>
        <v>0</v>
      </c>
      <c r="DY35" s="195">
        <f>'[2]January - 2023'!EB35</f>
        <v>0</v>
      </c>
      <c r="DZ35" s="87">
        <f>'[2]January - 2023'!EC35</f>
        <v>0</v>
      </c>
      <c r="EA35" s="195">
        <f>'[2]January - 2023'!ED35</f>
        <v>0</v>
      </c>
      <c r="EB35" s="87">
        <f>'[2]January - 2023'!EE35</f>
        <v>0</v>
      </c>
      <c r="EC35" s="195">
        <f>'[2]January - 2023'!EF35</f>
        <v>0</v>
      </c>
      <c r="ED35" s="87">
        <f>'[2]January - 2023'!EI35</f>
        <v>0</v>
      </c>
      <c r="EE35" s="208">
        <f>'[2]January - 2023'!EJ35</f>
        <v>0</v>
      </c>
      <c r="EF35" s="550"/>
      <c r="EG35" s="214">
        <f>'[2]January - 2023'!EL35</f>
        <v>0</v>
      </c>
      <c r="EH35" s="209">
        <f>'[2]January - 2023'!EM35</f>
        <v>0</v>
      </c>
      <c r="EI35" s="86">
        <f>'[2]January - 2023'!EN35</f>
        <v>0</v>
      </c>
      <c r="EJ35" s="209">
        <f>'[2]January - 2023'!EO35</f>
        <v>0</v>
      </c>
      <c r="EK35" s="86">
        <f>'[2]January - 2023'!EP35</f>
        <v>0</v>
      </c>
      <c r="EL35" s="209">
        <f>'[2]January - 2023'!EQ35</f>
        <v>0</v>
      </c>
      <c r="EM35" s="86">
        <f>'[2]January - 2023'!ER35</f>
        <v>0</v>
      </c>
      <c r="EN35" s="209">
        <f>'[2]January - 2023'!ES35</f>
        <v>0</v>
      </c>
      <c r="EO35" s="86">
        <f>'[2]January - 2023'!ET35</f>
        <v>0</v>
      </c>
      <c r="EP35" s="209">
        <f>'[2]January - 2023'!EU35</f>
        <v>0</v>
      </c>
      <c r="EQ35" s="86">
        <f>'[2]January - 2023'!EV35</f>
        <v>0</v>
      </c>
      <c r="ER35" s="209">
        <f>'[2]January - 2023'!EW35</f>
        <v>0</v>
      </c>
      <c r="ES35" s="525"/>
      <c r="ET35" s="256">
        <f>'[2]January - 2023'!EY35</f>
        <v>0</v>
      </c>
      <c r="EU35" s="253">
        <f>'[2]January - 2023'!EZ35</f>
        <v>0</v>
      </c>
      <c r="EV35" s="257">
        <f>'[2]January - 2023'!FA35</f>
        <v>0</v>
      </c>
      <c r="EW35" s="253">
        <f>'[2]January - 2023'!FB35</f>
        <v>0</v>
      </c>
      <c r="EX35" s="257">
        <f>'[2]January - 2023'!FC35</f>
        <v>0</v>
      </c>
      <c r="EY35" s="253">
        <f>'[2]January - 2023'!FD35</f>
        <v>0</v>
      </c>
      <c r="EZ35" s="257">
        <f>'[2]January - 2023'!FE35</f>
        <v>0</v>
      </c>
      <c r="FA35" s="253">
        <f>'[2]January - 2023'!FF35</f>
        <v>0</v>
      </c>
      <c r="FB35" s="257">
        <f>'[2]January - 2023'!FG35</f>
        <v>0</v>
      </c>
      <c r="FC35" s="254">
        <f>'[2]January - 2023'!FH35</f>
        <v>0</v>
      </c>
    </row>
    <row r="36" spans="1:160" ht="30" customHeight="1">
      <c r="A36" s="187">
        <v>44953</v>
      </c>
      <c r="B36" s="189">
        <f>'[2]January - 2023'!B36</f>
        <v>0</v>
      </c>
      <c r="C36" s="229">
        <f>'[2]January - 2023'!E36</f>
        <v>0</v>
      </c>
      <c r="D36" s="152">
        <f>'[2]January - 2023'!F36</f>
        <v>0</v>
      </c>
      <c r="E36" s="150">
        <f>'[2]January - 2023'!G36</f>
        <v>493</v>
      </c>
      <c r="F36" s="150">
        <f>'[2]January - 2023'!H36</f>
        <v>0</v>
      </c>
      <c r="G36" s="152">
        <f>'[2]January - 2023'!I36</f>
        <v>0</v>
      </c>
      <c r="H36" s="150">
        <f>'[2]January - 2023'!J36</f>
        <v>389</v>
      </c>
      <c r="I36" s="150">
        <f>'[2]January - 2023'!K36</f>
        <v>0</v>
      </c>
      <c r="J36" s="152">
        <f>'[2]January - 2023'!L36</f>
        <v>0</v>
      </c>
      <c r="K36" s="150">
        <f>'[2]January - 2023'!N36</f>
        <v>0</v>
      </c>
      <c r="L36" s="152">
        <f>'[2]January - 2023'!O36</f>
        <v>0</v>
      </c>
      <c r="M36" s="150">
        <f>'[2]January - 2023'!Q36</f>
        <v>0</v>
      </c>
      <c r="N36" s="152">
        <f>'[2]January - 2023'!R36</f>
        <v>0</v>
      </c>
      <c r="O36" s="150">
        <f>'[2]January - 2023'!U36</f>
        <v>0</v>
      </c>
      <c r="P36" s="152">
        <f>'[2]January - 2023'!V36</f>
        <v>0</v>
      </c>
      <c r="Q36" s="150">
        <f>'[2]January - 2023'!W36</f>
        <v>68.809999999997672</v>
      </c>
      <c r="R36" s="150">
        <f>'[2]January - 2023'!X36</f>
        <v>0</v>
      </c>
      <c r="S36" s="188">
        <f>'[2]January - 2023'!Y36</f>
        <v>0</v>
      </c>
      <c r="T36" s="446"/>
      <c r="U36" s="151">
        <f>'[2]January - 2023'!AE36</f>
        <v>0</v>
      </c>
      <c r="V36" s="218">
        <f>'[2]January - 2023'!AF36</f>
        <v>0</v>
      </c>
      <c r="W36" s="88">
        <f>'[2]January - 2023'!AF36</f>
        <v>0</v>
      </c>
      <c r="X36" s="233">
        <f>'[2]January - 2023'!AH36</f>
        <v>0</v>
      </c>
      <c r="Y36" s="218">
        <f>'[2]January - 2023'!AI36</f>
        <v>0</v>
      </c>
      <c r="Z36" s="88">
        <f>'[2]January - 2023'!AI36</f>
        <v>0</v>
      </c>
      <c r="AA36" s="233">
        <f>'[2]January - 2023'!AK36</f>
        <v>0</v>
      </c>
      <c r="AB36" s="218">
        <f>'[2]January - 2023'!AL36</f>
        <v>0</v>
      </c>
      <c r="AC36" s="88">
        <f>'[2]January - 2023'!AL36</f>
        <v>0</v>
      </c>
      <c r="AD36" s="233">
        <f>'[2]January - 2023'!AN36</f>
        <v>0</v>
      </c>
      <c r="AE36" s="218">
        <f>'[2]January - 2023'!AO36</f>
        <v>0</v>
      </c>
      <c r="AF36" s="88">
        <f>'[2]January - 2023'!AO36</f>
        <v>0</v>
      </c>
      <c r="AG36" s="233">
        <f>'[2]January - 2023'!AQ36</f>
        <v>0</v>
      </c>
      <c r="AH36" s="218">
        <f>'[2]January - 2023'!AR36</f>
        <v>0</v>
      </c>
      <c r="AI36" s="88">
        <f>'[2]January - 2023'!AR36</f>
        <v>0</v>
      </c>
      <c r="AJ36" s="233">
        <f>'[2]January - 2023'!AT36</f>
        <v>0</v>
      </c>
      <c r="AK36" s="218">
        <f>'[2]January - 2023'!AU36</f>
        <v>0</v>
      </c>
      <c r="AL36" s="88">
        <f>'[2]January - 2023'!AU36</f>
        <v>0</v>
      </c>
      <c r="AM36" s="233">
        <f>'[2]January - 2023'!AW36</f>
        <v>0</v>
      </c>
      <c r="AN36" s="218">
        <f>'[2]January - 2023'!AX36</f>
        <v>0</v>
      </c>
      <c r="AO36" s="88">
        <f>'[2]January - 2023'!AX36</f>
        <v>0</v>
      </c>
      <c r="AP36" s="233">
        <f>'[2]January - 2023'!AZ36</f>
        <v>0</v>
      </c>
      <c r="AQ36" s="218">
        <f>'[2]January - 2023'!BA36</f>
        <v>0</v>
      </c>
      <c r="AR36" s="88">
        <f>'[2]January - 2023'!BA36</f>
        <v>0</v>
      </c>
      <c r="AS36" s="233">
        <f>'[2]January - 2023'!BC36</f>
        <v>0</v>
      </c>
      <c r="AT36" s="218">
        <f>'[2]January - 2023'!BD36</f>
        <v>0</v>
      </c>
      <c r="AU36" s="88">
        <f>'[2]January - 2023'!BD36</f>
        <v>0</v>
      </c>
      <c r="AV36" s="233">
        <f>'[2]January - 2023'!BF36</f>
        <v>0</v>
      </c>
      <c r="AW36" s="230">
        <f>'[2]January - 2023'!BG36</f>
        <v>0</v>
      </c>
      <c r="AX36" s="231">
        <f>'[2]January - 2023'!BG36</f>
        <v>0</v>
      </c>
      <c r="AY36" s="463"/>
      <c r="AZ36" s="250">
        <f>'[2]January - 2023'!BM36</f>
        <v>0</v>
      </c>
      <c r="BA36" s="161">
        <f>'[2]January - 2023'!BN36</f>
        <v>0</v>
      </c>
      <c r="BB36" s="89">
        <f>'[2]January - 2023'!BN36</f>
        <v>0</v>
      </c>
      <c r="BC36" s="250">
        <f>'[2]January - 2023'!BP36</f>
        <v>0</v>
      </c>
      <c r="BD36" s="224">
        <f>'[2]January - 2023'!BQ36</f>
        <v>0</v>
      </c>
      <c r="BE36" s="89">
        <f>'[2]January - 2023'!BQ36</f>
        <v>0</v>
      </c>
      <c r="BF36" s="250">
        <f>'[2]January - 2023'!BS36</f>
        <v>0</v>
      </c>
      <c r="BG36" s="224">
        <f>'[2]January - 2023'!BT36</f>
        <v>0</v>
      </c>
      <c r="BH36" s="89">
        <f>'[2]January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'[2]January - 2023'!BV36</f>
        <v>0</v>
      </c>
      <c r="BT36" s="166">
        <f>'[2]January - 2023'!BW36</f>
        <v>0</v>
      </c>
      <c r="BU36" s="559"/>
      <c r="BV36" s="84">
        <f>'[2]January - 2023'!BY36</f>
        <v>0</v>
      </c>
      <c r="BW36" s="220">
        <f>'[2]January - 2023'!BZ36</f>
        <v>0</v>
      </c>
      <c r="BX36" s="84">
        <f>'[2]January - 2023'!BZ36</f>
        <v>0</v>
      </c>
      <c r="BY36" s="85">
        <f>'[2]January - 2023'!CB36</f>
        <v>0</v>
      </c>
      <c r="BZ36" s="172">
        <f>'[2]January - 2023'!CC36</f>
        <v>0</v>
      </c>
      <c r="CA36" s="85">
        <f>'[2]January - 2023'!CD36</f>
        <v>0</v>
      </c>
      <c r="CB36" s="172">
        <f>'[2]January - 2023'!CE36</f>
        <v>0</v>
      </c>
      <c r="CC36" s="85">
        <f>'[2]January - 2023'!CF36</f>
        <v>0</v>
      </c>
      <c r="CD36" s="172">
        <f>'[2]January - 2023'!CG36</f>
        <v>0</v>
      </c>
      <c r="CE36" s="85">
        <f>'[2]January - 2023'!CH36</f>
        <v>0</v>
      </c>
      <c r="CF36" s="172">
        <f>'[2]January - 2023'!CI36</f>
        <v>0</v>
      </c>
      <c r="CG36" s="85">
        <f>'[2]January - 2023'!CJ36</f>
        <v>0</v>
      </c>
      <c r="CH36" s="172">
        <f>'[2]January - 2023'!CK36</f>
        <v>0</v>
      </c>
      <c r="CI36" s="85">
        <f>'[2]January - 2023'!CL36</f>
        <v>0</v>
      </c>
      <c r="CJ36" s="172">
        <f>'[2]January - 2023'!CM36</f>
        <v>0</v>
      </c>
      <c r="CK36" s="85">
        <f>'[2]January - 2023'!CN36</f>
        <v>0</v>
      </c>
      <c r="CL36" s="225">
        <f>'[2]January - 2023'!CO36</f>
        <v>0</v>
      </c>
      <c r="CM36" s="85">
        <f>'[2]January - 2023'!CO36</f>
        <v>0</v>
      </c>
      <c r="CN36" s="85">
        <f>'[2]January - 2023'!CQ36</f>
        <v>0</v>
      </c>
      <c r="CO36" s="225">
        <f>'[2]January - 2023'!CR36</f>
        <v>0</v>
      </c>
      <c r="CP36" s="85">
        <f>'[2]January - 2023'!CR36</f>
        <v>0</v>
      </c>
      <c r="CQ36" s="85">
        <f>'[2]January - 2023'!CT36</f>
        <v>0</v>
      </c>
      <c r="CR36" s="225">
        <f>'[2]January - 2023'!CU36</f>
        <v>0</v>
      </c>
      <c r="CS36" s="85">
        <f>'[2]January - 2023'!CU36</f>
        <v>0</v>
      </c>
      <c r="CT36" s="85">
        <f>'[2]January - 2023'!CW36</f>
        <v>0</v>
      </c>
      <c r="CU36" s="172">
        <f>'[2]January - 2023'!CX36</f>
        <v>0</v>
      </c>
      <c r="CV36" s="487"/>
      <c r="CW36" s="234">
        <f>'[2]January - 2023'!CZ36</f>
        <v>0</v>
      </c>
      <c r="CX36" s="179">
        <f>'[2]January - 2023'!DA36</f>
        <v>0</v>
      </c>
      <c r="CY36" s="235">
        <f>'[2]January - 2023'!DB36</f>
        <v>0</v>
      </c>
      <c r="CZ36" s="179">
        <f>'[2]January - 2023'!DC36</f>
        <v>0</v>
      </c>
      <c r="DA36" s="235">
        <f>'[2]January - 2023'!DD36</f>
        <v>0</v>
      </c>
      <c r="DB36" s="179">
        <f>'[2]January - 2023'!DE36</f>
        <v>0</v>
      </c>
      <c r="DC36" s="235">
        <f>'[2]January - 2023'!DF36</f>
        <v>0</v>
      </c>
      <c r="DD36" s="179">
        <f>'[2]January - 2023'!DG36</f>
        <v>0</v>
      </c>
      <c r="DE36" s="235">
        <f>'[2]January - 2023'!DH36</f>
        <v>0</v>
      </c>
      <c r="DF36" s="179">
        <f>'[2]January - 2023'!DI36</f>
        <v>0</v>
      </c>
      <c r="DG36" s="235">
        <f>'[2]January - 2023'!DJ36</f>
        <v>0</v>
      </c>
      <c r="DH36" s="179">
        <f>'[2]January - 2023'!DK36</f>
        <v>0</v>
      </c>
      <c r="DI36" s="235">
        <f>'[2]January - 2023'!DL36</f>
        <v>0</v>
      </c>
      <c r="DJ36" s="179">
        <f>'[2]January - 2023'!DM36</f>
        <v>0</v>
      </c>
      <c r="DK36" s="235">
        <f>'[2]January - 2023'!DN36</f>
        <v>0</v>
      </c>
      <c r="DL36" s="179">
        <f>'[2]January - 2023'!DO36</f>
        <v>0</v>
      </c>
      <c r="DM36" s="235">
        <f>'[2]January - 2023'!DP36</f>
        <v>0</v>
      </c>
      <c r="DN36" s="179">
        <f>'[2]January - 2023'!DQ36</f>
        <v>0</v>
      </c>
      <c r="DO36" s="235">
        <f>'[2]January - 2023'!DR36</f>
        <v>0</v>
      </c>
      <c r="DP36" s="179">
        <f>'[2]January - 2023'!DS36</f>
        <v>0</v>
      </c>
      <c r="DQ36" s="235">
        <f>'[2]January - 2023'!DT36</f>
        <v>0</v>
      </c>
      <c r="DR36" s="186">
        <f>'[2]January - 2023'!DU36</f>
        <v>0</v>
      </c>
      <c r="DS36" s="503"/>
      <c r="DT36" s="190">
        <f>'[2]January - 2023'!DW36</f>
        <v>0</v>
      </c>
      <c r="DU36" s="201">
        <f>'[2]January - 2023'!DX36</f>
        <v>0</v>
      </c>
      <c r="DV36" s="87">
        <f>'[2]January - 2023'!DY36</f>
        <v>0</v>
      </c>
      <c r="DW36" s="195">
        <f>'[2]January - 2023'!DZ36</f>
        <v>0</v>
      </c>
      <c r="DX36" s="87">
        <f>'[2]January - 2023'!EA36</f>
        <v>0</v>
      </c>
      <c r="DY36" s="195">
        <f>'[2]January - 2023'!EB36</f>
        <v>0</v>
      </c>
      <c r="DZ36" s="87">
        <f>'[2]January - 2023'!EC36</f>
        <v>0</v>
      </c>
      <c r="EA36" s="195">
        <f>'[2]January - 2023'!ED36</f>
        <v>0</v>
      </c>
      <c r="EB36" s="87">
        <f>'[2]January - 2023'!EE36</f>
        <v>0</v>
      </c>
      <c r="EC36" s="195">
        <f>'[2]January - 2023'!EF36</f>
        <v>0</v>
      </c>
      <c r="ED36" s="87">
        <f>'[2]January - 2023'!EI36</f>
        <v>0</v>
      </c>
      <c r="EE36" s="208">
        <f>'[2]January - 2023'!EJ36</f>
        <v>0</v>
      </c>
      <c r="EF36" s="550"/>
      <c r="EG36" s="214">
        <f>'[2]January - 2023'!EL36</f>
        <v>0</v>
      </c>
      <c r="EH36" s="209">
        <f>'[2]January - 2023'!EM36</f>
        <v>0</v>
      </c>
      <c r="EI36" s="86">
        <f>'[2]January - 2023'!EN36</f>
        <v>0</v>
      </c>
      <c r="EJ36" s="209">
        <f>'[2]January - 2023'!EO36</f>
        <v>0</v>
      </c>
      <c r="EK36" s="86">
        <f>'[2]January - 2023'!EP36</f>
        <v>0</v>
      </c>
      <c r="EL36" s="209">
        <f>'[2]January - 2023'!EQ36</f>
        <v>0</v>
      </c>
      <c r="EM36" s="86">
        <f>'[2]January - 2023'!ER36</f>
        <v>0</v>
      </c>
      <c r="EN36" s="209">
        <f>'[2]January - 2023'!ES36</f>
        <v>0</v>
      </c>
      <c r="EO36" s="86">
        <f>'[2]January - 2023'!ET36</f>
        <v>0</v>
      </c>
      <c r="EP36" s="209">
        <f>'[2]January - 2023'!EU36</f>
        <v>0</v>
      </c>
      <c r="EQ36" s="86">
        <f>'[2]January - 2023'!EV36</f>
        <v>0</v>
      </c>
      <c r="ER36" s="209">
        <f>'[2]January - 2023'!EW36</f>
        <v>0</v>
      </c>
      <c r="ES36" s="525"/>
      <c r="ET36" s="256">
        <f>'[2]January - 2023'!EY36</f>
        <v>0</v>
      </c>
      <c r="EU36" s="253">
        <f>'[2]January - 2023'!EZ36</f>
        <v>0</v>
      </c>
      <c r="EV36" s="257">
        <f>'[2]January - 2023'!FA36</f>
        <v>0</v>
      </c>
      <c r="EW36" s="253">
        <f>'[2]January - 2023'!FB36</f>
        <v>0</v>
      </c>
      <c r="EX36" s="257">
        <f>'[2]January - 2023'!FC36</f>
        <v>0</v>
      </c>
      <c r="EY36" s="253">
        <f>'[2]January - 2023'!FD36</f>
        <v>0</v>
      </c>
      <c r="EZ36" s="257">
        <f>'[2]January - 2023'!FE36</f>
        <v>0</v>
      </c>
      <c r="FA36" s="253">
        <f>'[2]January - 2023'!FF36</f>
        <v>0</v>
      </c>
      <c r="FB36" s="257">
        <f>'[2]January - 2023'!FG36</f>
        <v>0</v>
      </c>
      <c r="FC36" s="254">
        <f>'[2]January - 2023'!FH36</f>
        <v>0</v>
      </c>
    </row>
    <row r="37" spans="1:160" ht="30" customHeight="1">
      <c r="A37" s="187">
        <v>44954</v>
      </c>
      <c r="B37" s="189">
        <f>'[2]January - 2023'!B37</f>
        <v>0</v>
      </c>
      <c r="C37" s="229">
        <f>'[2]January - 2023'!E37</f>
        <v>0</v>
      </c>
      <c r="D37" s="152">
        <f>'[2]January - 2023'!F37</f>
        <v>0</v>
      </c>
      <c r="E37" s="150">
        <f>'[2]January - 2023'!G37</f>
        <v>534</v>
      </c>
      <c r="F37" s="150">
        <f>'[2]January - 2023'!H37</f>
        <v>0</v>
      </c>
      <c r="G37" s="152">
        <f>'[2]January - 2023'!I37</f>
        <v>0</v>
      </c>
      <c r="H37" s="150">
        <f>'[2]January - 2023'!J37</f>
        <v>400</v>
      </c>
      <c r="I37" s="150">
        <f>'[2]January - 2023'!K37</f>
        <v>0</v>
      </c>
      <c r="J37" s="152">
        <f>'[2]January - 2023'!L37</f>
        <v>0</v>
      </c>
      <c r="K37" s="150">
        <f>'[2]January - 2023'!N37</f>
        <v>0</v>
      </c>
      <c r="L37" s="152">
        <f>'[2]January - 2023'!O37</f>
        <v>0</v>
      </c>
      <c r="M37" s="150">
        <f>'[2]January - 2023'!Q37</f>
        <v>0</v>
      </c>
      <c r="N37" s="152">
        <f>'[2]January - 2023'!R37</f>
        <v>0</v>
      </c>
      <c r="O37" s="150">
        <f>'[2]January - 2023'!U37</f>
        <v>0</v>
      </c>
      <c r="P37" s="152">
        <f>'[2]January - 2023'!V37</f>
        <v>0</v>
      </c>
      <c r="Q37" s="150">
        <f>'[2]January - 2023'!W37</f>
        <v>65.5</v>
      </c>
      <c r="R37" s="150">
        <f>'[2]January - 2023'!X37</f>
        <v>0</v>
      </c>
      <c r="S37" s="188">
        <f>'[2]January - 2023'!Y37</f>
        <v>0</v>
      </c>
      <c r="T37" s="446"/>
      <c r="U37" s="151">
        <f>'[2]January - 2023'!AE37</f>
        <v>0</v>
      </c>
      <c r="V37" s="218">
        <f>'[2]January - 2023'!AF37</f>
        <v>0</v>
      </c>
      <c r="W37" s="88">
        <f>'[2]January - 2023'!AF37</f>
        <v>0</v>
      </c>
      <c r="X37" s="233">
        <f>'[2]January - 2023'!AH37</f>
        <v>0</v>
      </c>
      <c r="Y37" s="218">
        <f>'[2]January - 2023'!AI37</f>
        <v>0</v>
      </c>
      <c r="Z37" s="88">
        <f>'[2]January - 2023'!AI37</f>
        <v>0</v>
      </c>
      <c r="AA37" s="233">
        <f>'[2]January - 2023'!AK37</f>
        <v>0</v>
      </c>
      <c r="AB37" s="218">
        <f>'[2]January - 2023'!AL37</f>
        <v>0</v>
      </c>
      <c r="AC37" s="88">
        <f>'[2]January - 2023'!AL37</f>
        <v>0</v>
      </c>
      <c r="AD37" s="233">
        <f>'[2]January - 2023'!AN37</f>
        <v>0</v>
      </c>
      <c r="AE37" s="218">
        <f>'[2]January - 2023'!AO37</f>
        <v>0</v>
      </c>
      <c r="AF37" s="88">
        <f>'[2]January - 2023'!AO37</f>
        <v>0</v>
      </c>
      <c r="AG37" s="233">
        <f>'[2]January - 2023'!AQ37</f>
        <v>0</v>
      </c>
      <c r="AH37" s="218">
        <f>'[2]January - 2023'!AR37</f>
        <v>0</v>
      </c>
      <c r="AI37" s="88">
        <f>'[2]January - 2023'!AR37</f>
        <v>0</v>
      </c>
      <c r="AJ37" s="233">
        <f>'[2]January - 2023'!AT37</f>
        <v>0</v>
      </c>
      <c r="AK37" s="218">
        <f>'[2]January - 2023'!AU37</f>
        <v>0</v>
      </c>
      <c r="AL37" s="88">
        <f>'[2]January - 2023'!AU37</f>
        <v>0</v>
      </c>
      <c r="AM37" s="233">
        <f>'[2]January - 2023'!AW37</f>
        <v>0</v>
      </c>
      <c r="AN37" s="218">
        <f>'[2]January - 2023'!AX37</f>
        <v>0</v>
      </c>
      <c r="AO37" s="88">
        <f>'[2]January - 2023'!AX37</f>
        <v>0</v>
      </c>
      <c r="AP37" s="233">
        <f>'[2]January - 2023'!AZ37</f>
        <v>0</v>
      </c>
      <c r="AQ37" s="218">
        <f>'[2]January - 2023'!BA37</f>
        <v>0</v>
      </c>
      <c r="AR37" s="88">
        <f>'[2]January - 2023'!BA37</f>
        <v>0</v>
      </c>
      <c r="AS37" s="233">
        <f>'[2]January - 2023'!BC37</f>
        <v>0</v>
      </c>
      <c r="AT37" s="218">
        <f>'[2]January - 2023'!BD37</f>
        <v>0</v>
      </c>
      <c r="AU37" s="88">
        <f>'[2]January - 2023'!BD37</f>
        <v>0</v>
      </c>
      <c r="AV37" s="233">
        <f>'[2]January - 2023'!BF37</f>
        <v>0</v>
      </c>
      <c r="AW37" s="230">
        <f>'[2]January - 2023'!BG37</f>
        <v>0</v>
      </c>
      <c r="AX37" s="231">
        <f>'[2]January - 2023'!BG37</f>
        <v>0</v>
      </c>
      <c r="AY37" s="463"/>
      <c r="AZ37" s="250">
        <f>'[2]January - 2023'!BM37</f>
        <v>0</v>
      </c>
      <c r="BA37" s="161">
        <f>'[2]January - 2023'!BN37</f>
        <v>0</v>
      </c>
      <c r="BB37" s="89">
        <f>'[2]January - 2023'!BN37</f>
        <v>0</v>
      </c>
      <c r="BC37" s="250">
        <f>'[2]January - 2023'!BP37</f>
        <v>0</v>
      </c>
      <c r="BD37" s="224">
        <f>'[2]January - 2023'!BQ37</f>
        <v>0</v>
      </c>
      <c r="BE37" s="89">
        <f>'[2]January - 2023'!BQ37</f>
        <v>0</v>
      </c>
      <c r="BF37" s="250">
        <f>'[2]January - 2023'!BS37</f>
        <v>0</v>
      </c>
      <c r="BG37" s="224">
        <f>'[2]January - 2023'!BT37</f>
        <v>0</v>
      </c>
      <c r="BH37" s="89">
        <f>'[2]January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'[2]January - 2023'!BV37</f>
        <v>0</v>
      </c>
      <c r="BT37" s="166">
        <f>'[2]January - 2023'!BW37</f>
        <v>0</v>
      </c>
      <c r="BU37" s="559"/>
      <c r="BV37" s="84">
        <f>'[2]January - 2023'!BY37</f>
        <v>0</v>
      </c>
      <c r="BW37" s="220">
        <f>'[2]January - 2023'!BZ37</f>
        <v>0</v>
      </c>
      <c r="BX37" s="84">
        <f>'[2]January - 2023'!BZ37</f>
        <v>0</v>
      </c>
      <c r="BY37" s="85">
        <f>'[2]January - 2023'!CB37</f>
        <v>0</v>
      </c>
      <c r="BZ37" s="172">
        <f>'[2]January - 2023'!CC37</f>
        <v>0</v>
      </c>
      <c r="CA37" s="85">
        <f>'[2]January - 2023'!CD37</f>
        <v>0</v>
      </c>
      <c r="CB37" s="172">
        <f>'[2]January - 2023'!CE37</f>
        <v>0</v>
      </c>
      <c r="CC37" s="85">
        <f>'[2]January - 2023'!CF37</f>
        <v>0</v>
      </c>
      <c r="CD37" s="172">
        <f>'[2]January - 2023'!CG37</f>
        <v>0</v>
      </c>
      <c r="CE37" s="85">
        <f>'[2]January - 2023'!CH37</f>
        <v>0</v>
      </c>
      <c r="CF37" s="172">
        <f>'[2]January - 2023'!CI37</f>
        <v>0</v>
      </c>
      <c r="CG37" s="85">
        <f>'[2]January - 2023'!CJ37</f>
        <v>0</v>
      </c>
      <c r="CH37" s="172">
        <f>'[2]January - 2023'!CK37</f>
        <v>0</v>
      </c>
      <c r="CI37" s="85">
        <f>'[2]January - 2023'!CL37</f>
        <v>0</v>
      </c>
      <c r="CJ37" s="172">
        <f>'[2]January - 2023'!CM37</f>
        <v>0</v>
      </c>
      <c r="CK37" s="85">
        <f>'[2]January - 2023'!CN37</f>
        <v>0</v>
      </c>
      <c r="CL37" s="225">
        <f>'[2]January - 2023'!CO37</f>
        <v>0</v>
      </c>
      <c r="CM37" s="85">
        <f>'[2]January - 2023'!CO37</f>
        <v>0</v>
      </c>
      <c r="CN37" s="85">
        <f>'[2]January - 2023'!CQ37</f>
        <v>0</v>
      </c>
      <c r="CO37" s="225">
        <f>'[2]January - 2023'!CR37</f>
        <v>0</v>
      </c>
      <c r="CP37" s="85">
        <f>'[2]January - 2023'!CR37</f>
        <v>0</v>
      </c>
      <c r="CQ37" s="85">
        <f>'[2]January - 2023'!CT37</f>
        <v>0</v>
      </c>
      <c r="CR37" s="225">
        <f>'[2]January - 2023'!CU37</f>
        <v>0</v>
      </c>
      <c r="CS37" s="85">
        <f>'[2]January - 2023'!CU37</f>
        <v>0</v>
      </c>
      <c r="CT37" s="85">
        <f>'[2]January - 2023'!CW37</f>
        <v>0</v>
      </c>
      <c r="CU37" s="172">
        <f>'[2]January - 2023'!CX37</f>
        <v>0</v>
      </c>
      <c r="CV37" s="487"/>
      <c r="CW37" s="234">
        <f>'[2]January - 2023'!CZ37</f>
        <v>0</v>
      </c>
      <c r="CX37" s="179">
        <f>'[2]January - 2023'!DA37</f>
        <v>0</v>
      </c>
      <c r="CY37" s="235">
        <f>'[2]January - 2023'!DB37</f>
        <v>0</v>
      </c>
      <c r="CZ37" s="179">
        <f>'[2]January - 2023'!DC37</f>
        <v>0</v>
      </c>
      <c r="DA37" s="235">
        <f>'[2]January - 2023'!DD37</f>
        <v>0</v>
      </c>
      <c r="DB37" s="179">
        <f>'[2]January - 2023'!DE37</f>
        <v>0</v>
      </c>
      <c r="DC37" s="235">
        <f>'[2]January - 2023'!DF37</f>
        <v>0</v>
      </c>
      <c r="DD37" s="179">
        <f>'[2]January - 2023'!DG37</f>
        <v>0</v>
      </c>
      <c r="DE37" s="235">
        <f>'[2]January - 2023'!DH37</f>
        <v>0</v>
      </c>
      <c r="DF37" s="179">
        <f>'[2]January - 2023'!DI37</f>
        <v>0</v>
      </c>
      <c r="DG37" s="235">
        <f>'[2]January - 2023'!DJ37</f>
        <v>0</v>
      </c>
      <c r="DH37" s="179">
        <f>'[2]January - 2023'!DK37</f>
        <v>0</v>
      </c>
      <c r="DI37" s="235">
        <f>'[2]January - 2023'!DL37</f>
        <v>0</v>
      </c>
      <c r="DJ37" s="179">
        <f>'[2]January - 2023'!DM37</f>
        <v>0</v>
      </c>
      <c r="DK37" s="235">
        <f>'[2]January - 2023'!DN37</f>
        <v>0</v>
      </c>
      <c r="DL37" s="179">
        <f>'[2]January - 2023'!DO37</f>
        <v>0</v>
      </c>
      <c r="DM37" s="235">
        <f>'[2]January - 2023'!DP37</f>
        <v>0</v>
      </c>
      <c r="DN37" s="179">
        <f>'[2]January - 2023'!DQ37</f>
        <v>0</v>
      </c>
      <c r="DO37" s="235">
        <f>'[2]January - 2023'!DR37</f>
        <v>0</v>
      </c>
      <c r="DP37" s="179">
        <f>'[2]January - 2023'!DS37</f>
        <v>0</v>
      </c>
      <c r="DQ37" s="235">
        <f>'[2]January - 2023'!DT37</f>
        <v>0</v>
      </c>
      <c r="DR37" s="186">
        <f>'[2]January - 2023'!DU37</f>
        <v>0</v>
      </c>
      <c r="DS37" s="503"/>
      <c r="DT37" s="190">
        <f>'[2]January - 2023'!DW37</f>
        <v>0</v>
      </c>
      <c r="DU37" s="201">
        <f>'[2]January - 2023'!DX37</f>
        <v>0</v>
      </c>
      <c r="DV37" s="87">
        <f>'[2]January - 2023'!DY37</f>
        <v>0</v>
      </c>
      <c r="DW37" s="195">
        <f>'[2]January - 2023'!DZ37</f>
        <v>0</v>
      </c>
      <c r="DX37" s="87">
        <f>'[2]January - 2023'!EA37</f>
        <v>0</v>
      </c>
      <c r="DY37" s="195">
        <f>'[2]January - 2023'!EB37</f>
        <v>0</v>
      </c>
      <c r="DZ37" s="87">
        <f>'[2]January - 2023'!EC37</f>
        <v>0</v>
      </c>
      <c r="EA37" s="195">
        <f>'[2]January - 2023'!ED37</f>
        <v>0</v>
      </c>
      <c r="EB37" s="87">
        <f>'[2]January - 2023'!EE37</f>
        <v>0</v>
      </c>
      <c r="EC37" s="195">
        <f>'[2]January - 2023'!EF37</f>
        <v>0</v>
      </c>
      <c r="ED37" s="87">
        <f>'[2]January - 2023'!EI37</f>
        <v>0</v>
      </c>
      <c r="EE37" s="208">
        <f>'[2]January - 2023'!EJ37</f>
        <v>0</v>
      </c>
      <c r="EF37" s="550"/>
      <c r="EG37" s="214">
        <f>'[2]January - 2023'!EL37</f>
        <v>0</v>
      </c>
      <c r="EH37" s="209">
        <f>'[2]January - 2023'!EM37</f>
        <v>0</v>
      </c>
      <c r="EI37" s="86">
        <f>'[2]January - 2023'!EN37</f>
        <v>0</v>
      </c>
      <c r="EJ37" s="209">
        <f>'[2]January - 2023'!EO37</f>
        <v>0</v>
      </c>
      <c r="EK37" s="86">
        <f>'[2]January - 2023'!EP37</f>
        <v>0</v>
      </c>
      <c r="EL37" s="209">
        <f>'[2]January - 2023'!EQ37</f>
        <v>0</v>
      </c>
      <c r="EM37" s="86">
        <f>'[2]January - 2023'!ER37</f>
        <v>0</v>
      </c>
      <c r="EN37" s="209">
        <f>'[2]January - 2023'!ES37</f>
        <v>0</v>
      </c>
      <c r="EO37" s="86">
        <f>'[2]January - 2023'!ET37</f>
        <v>0</v>
      </c>
      <c r="EP37" s="209">
        <f>'[2]January - 2023'!EU37</f>
        <v>0</v>
      </c>
      <c r="EQ37" s="86">
        <f>'[2]January - 2023'!EV37</f>
        <v>0</v>
      </c>
      <c r="ER37" s="209">
        <f>'[2]January - 2023'!EW37</f>
        <v>0</v>
      </c>
      <c r="ES37" s="525"/>
      <c r="ET37" s="256">
        <f>'[2]January - 2023'!EY37</f>
        <v>0</v>
      </c>
      <c r="EU37" s="253">
        <f>'[2]January - 2023'!EZ37</f>
        <v>0</v>
      </c>
      <c r="EV37" s="257">
        <f>'[2]January - 2023'!FA37</f>
        <v>0</v>
      </c>
      <c r="EW37" s="253">
        <f>'[2]January - 2023'!FB37</f>
        <v>0</v>
      </c>
      <c r="EX37" s="257">
        <f>'[2]January - 2023'!FC37</f>
        <v>0</v>
      </c>
      <c r="EY37" s="253">
        <f>'[2]January - 2023'!FD37</f>
        <v>0</v>
      </c>
      <c r="EZ37" s="257">
        <f>'[2]January - 2023'!FE37</f>
        <v>0</v>
      </c>
      <c r="FA37" s="253">
        <f>'[2]January - 2023'!FF37</f>
        <v>0</v>
      </c>
      <c r="FB37" s="257">
        <f>'[2]January - 2023'!FG37</f>
        <v>0</v>
      </c>
      <c r="FC37" s="254">
        <f>'[2]January - 2023'!FH37</f>
        <v>0</v>
      </c>
    </row>
    <row r="38" spans="1:160" ht="30" customHeight="1">
      <c r="A38" s="187">
        <v>44955</v>
      </c>
      <c r="B38" s="189">
        <f>'[2]January - 2023'!B38</f>
        <v>0</v>
      </c>
      <c r="C38" s="229">
        <f>'[2]January - 2023'!E38</f>
        <v>0</v>
      </c>
      <c r="D38" s="152">
        <f>'[2]January - 2023'!F38</f>
        <v>0</v>
      </c>
      <c r="E38" s="150">
        <f>'[2]January - 2023'!G38</f>
        <v>565</v>
      </c>
      <c r="F38" s="150">
        <f>'[2]January - 2023'!H38</f>
        <v>0</v>
      </c>
      <c r="G38" s="152">
        <f>'[2]January - 2023'!I38</f>
        <v>0</v>
      </c>
      <c r="H38" s="150">
        <f>'[2]January - 2023'!J38</f>
        <v>429</v>
      </c>
      <c r="I38" s="150">
        <f>'[2]January - 2023'!K38</f>
        <v>0</v>
      </c>
      <c r="J38" s="152">
        <f>'[2]January - 2023'!L38</f>
        <v>0</v>
      </c>
      <c r="K38" s="150">
        <f>'[2]January - 2023'!N38</f>
        <v>0</v>
      </c>
      <c r="L38" s="152">
        <f>'[2]January - 2023'!O38</f>
        <v>0</v>
      </c>
      <c r="M38" s="150">
        <f>'[2]January - 2023'!Q38</f>
        <v>0</v>
      </c>
      <c r="N38" s="152">
        <f>'[2]January - 2023'!R38</f>
        <v>0</v>
      </c>
      <c r="O38" s="150">
        <f>'[2]January - 2023'!U38</f>
        <v>0</v>
      </c>
      <c r="P38" s="152">
        <f>'[2]January - 2023'!V38</f>
        <v>0</v>
      </c>
      <c r="Q38" s="150">
        <f>'[2]January - 2023'!W38</f>
        <v>71.5</v>
      </c>
      <c r="R38" s="150">
        <f>'[2]January - 2023'!X38</f>
        <v>0</v>
      </c>
      <c r="S38" s="188">
        <f>'[2]January - 2023'!Y38</f>
        <v>0</v>
      </c>
      <c r="T38" s="446"/>
      <c r="U38" s="151">
        <f>'[2]January - 2023'!AE38</f>
        <v>0</v>
      </c>
      <c r="V38" s="218">
        <f>'[2]January - 2023'!AF38</f>
        <v>0</v>
      </c>
      <c r="W38" s="88">
        <f>'[2]January - 2023'!AF38</f>
        <v>0</v>
      </c>
      <c r="X38" s="233">
        <f>'[2]January - 2023'!AH38</f>
        <v>0</v>
      </c>
      <c r="Y38" s="218">
        <f>'[2]January - 2023'!AI38</f>
        <v>0</v>
      </c>
      <c r="Z38" s="88">
        <f>'[2]January - 2023'!AI38</f>
        <v>0</v>
      </c>
      <c r="AA38" s="233">
        <f>'[2]January - 2023'!AK38</f>
        <v>0</v>
      </c>
      <c r="AB38" s="218">
        <f>'[2]January - 2023'!AL38</f>
        <v>0</v>
      </c>
      <c r="AC38" s="88">
        <f>'[2]January - 2023'!AL38</f>
        <v>0</v>
      </c>
      <c r="AD38" s="233">
        <f>'[2]January - 2023'!AN38</f>
        <v>0</v>
      </c>
      <c r="AE38" s="218">
        <f>'[2]January - 2023'!AO38</f>
        <v>0</v>
      </c>
      <c r="AF38" s="88">
        <f>'[2]January - 2023'!AO38</f>
        <v>0</v>
      </c>
      <c r="AG38" s="233">
        <f>'[2]January - 2023'!AQ38</f>
        <v>0</v>
      </c>
      <c r="AH38" s="218">
        <f>'[2]January - 2023'!AR38</f>
        <v>0</v>
      </c>
      <c r="AI38" s="88">
        <f>'[2]January - 2023'!AR38</f>
        <v>0</v>
      </c>
      <c r="AJ38" s="233">
        <f>'[2]January - 2023'!AT38</f>
        <v>0</v>
      </c>
      <c r="AK38" s="218">
        <f>'[2]January - 2023'!AU38</f>
        <v>0</v>
      </c>
      <c r="AL38" s="88">
        <f>'[2]January - 2023'!AU38</f>
        <v>0</v>
      </c>
      <c r="AM38" s="233">
        <f>'[2]January - 2023'!AW38</f>
        <v>0</v>
      </c>
      <c r="AN38" s="218">
        <f>'[2]January - 2023'!AX38</f>
        <v>0</v>
      </c>
      <c r="AO38" s="88">
        <f>'[2]January - 2023'!AX38</f>
        <v>0</v>
      </c>
      <c r="AP38" s="233">
        <f>'[2]January - 2023'!AZ38</f>
        <v>0</v>
      </c>
      <c r="AQ38" s="218">
        <f>'[2]January - 2023'!BA38</f>
        <v>0</v>
      </c>
      <c r="AR38" s="88">
        <f>'[2]January - 2023'!BA38</f>
        <v>0</v>
      </c>
      <c r="AS38" s="233">
        <f>'[2]January - 2023'!BC38</f>
        <v>0</v>
      </c>
      <c r="AT38" s="218">
        <f>'[2]January - 2023'!BD38</f>
        <v>0</v>
      </c>
      <c r="AU38" s="88">
        <f>'[2]January - 2023'!BD38</f>
        <v>0</v>
      </c>
      <c r="AV38" s="233">
        <f>'[2]January - 2023'!BF38</f>
        <v>0</v>
      </c>
      <c r="AW38" s="230">
        <f>'[2]January - 2023'!BG38</f>
        <v>0</v>
      </c>
      <c r="AX38" s="231">
        <f>'[2]January - 2023'!BG38</f>
        <v>0</v>
      </c>
      <c r="AY38" s="463"/>
      <c r="AZ38" s="250">
        <f>'[2]January - 2023'!BM38</f>
        <v>0</v>
      </c>
      <c r="BA38" s="161">
        <f>'[2]January - 2023'!BN38</f>
        <v>0</v>
      </c>
      <c r="BB38" s="89">
        <f>'[2]January - 2023'!BN38</f>
        <v>0</v>
      </c>
      <c r="BC38" s="250">
        <f>'[2]January - 2023'!BP38</f>
        <v>0</v>
      </c>
      <c r="BD38" s="224">
        <f>'[2]January - 2023'!BQ38</f>
        <v>0</v>
      </c>
      <c r="BE38" s="89">
        <f>'[2]January - 2023'!BQ38</f>
        <v>0</v>
      </c>
      <c r="BF38" s="250">
        <f>'[2]January - 2023'!BS38</f>
        <v>0</v>
      </c>
      <c r="BG38" s="224">
        <f>'[2]January - 2023'!BT38</f>
        <v>0</v>
      </c>
      <c r="BH38" s="89">
        <f>'[2]January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'[2]January - 2023'!BV38</f>
        <v>0</v>
      </c>
      <c r="BT38" s="166">
        <f>'[2]January - 2023'!BW38</f>
        <v>0</v>
      </c>
      <c r="BU38" s="559"/>
      <c r="BV38" s="84">
        <f>'[2]January - 2023'!BY38</f>
        <v>0</v>
      </c>
      <c r="BW38" s="220">
        <f>'[2]January - 2023'!BZ38</f>
        <v>0</v>
      </c>
      <c r="BX38" s="84">
        <f>'[2]January - 2023'!BZ38</f>
        <v>0</v>
      </c>
      <c r="BY38" s="85">
        <f>'[2]January - 2023'!CB38</f>
        <v>0</v>
      </c>
      <c r="BZ38" s="172">
        <f>'[2]January - 2023'!CC38</f>
        <v>0</v>
      </c>
      <c r="CA38" s="85">
        <f>'[2]January - 2023'!CD38</f>
        <v>0</v>
      </c>
      <c r="CB38" s="172">
        <f>'[2]January - 2023'!CE38</f>
        <v>0</v>
      </c>
      <c r="CC38" s="85">
        <f>'[2]January - 2023'!CF38</f>
        <v>0</v>
      </c>
      <c r="CD38" s="172">
        <f>'[2]January - 2023'!CG38</f>
        <v>0</v>
      </c>
      <c r="CE38" s="85">
        <f>'[2]January - 2023'!CH38</f>
        <v>0</v>
      </c>
      <c r="CF38" s="172">
        <f>'[2]January - 2023'!CI38</f>
        <v>0</v>
      </c>
      <c r="CG38" s="85">
        <f>'[2]January - 2023'!CJ38</f>
        <v>0</v>
      </c>
      <c r="CH38" s="172">
        <f>'[2]January - 2023'!CK38</f>
        <v>0</v>
      </c>
      <c r="CI38" s="85">
        <f>'[2]January - 2023'!CL38</f>
        <v>0</v>
      </c>
      <c r="CJ38" s="172">
        <f>'[2]January - 2023'!CM38</f>
        <v>0</v>
      </c>
      <c r="CK38" s="85">
        <f>'[2]January - 2023'!CN38</f>
        <v>0</v>
      </c>
      <c r="CL38" s="225">
        <f>'[2]January - 2023'!CO38</f>
        <v>0</v>
      </c>
      <c r="CM38" s="85">
        <f>'[2]January - 2023'!CO38</f>
        <v>0</v>
      </c>
      <c r="CN38" s="85">
        <f>'[2]January - 2023'!CQ38</f>
        <v>0</v>
      </c>
      <c r="CO38" s="225">
        <f>'[2]January - 2023'!CR38</f>
        <v>0</v>
      </c>
      <c r="CP38" s="85">
        <f>'[2]January - 2023'!CR38</f>
        <v>0</v>
      </c>
      <c r="CQ38" s="85">
        <f>'[2]January - 2023'!CT38</f>
        <v>0</v>
      </c>
      <c r="CR38" s="225">
        <f>'[2]January - 2023'!CU38</f>
        <v>0</v>
      </c>
      <c r="CS38" s="85">
        <f>'[2]January - 2023'!CU38</f>
        <v>0</v>
      </c>
      <c r="CT38" s="85">
        <f>'[2]January - 2023'!CW38</f>
        <v>0</v>
      </c>
      <c r="CU38" s="172">
        <f>'[2]January - 2023'!CX38</f>
        <v>0</v>
      </c>
      <c r="CV38" s="487"/>
      <c r="CW38" s="234">
        <f>'[2]January - 2023'!CZ38</f>
        <v>0</v>
      </c>
      <c r="CX38" s="179">
        <f>'[2]January - 2023'!DA38</f>
        <v>0</v>
      </c>
      <c r="CY38" s="235">
        <f>'[2]January - 2023'!DB38</f>
        <v>0</v>
      </c>
      <c r="CZ38" s="179">
        <f>'[2]January - 2023'!DC38</f>
        <v>0</v>
      </c>
      <c r="DA38" s="235">
        <f>'[2]January - 2023'!DD38</f>
        <v>0</v>
      </c>
      <c r="DB38" s="179">
        <f>'[2]January - 2023'!DE38</f>
        <v>0</v>
      </c>
      <c r="DC38" s="235">
        <f>'[2]January - 2023'!DF38</f>
        <v>0</v>
      </c>
      <c r="DD38" s="179">
        <f>'[2]January - 2023'!DG38</f>
        <v>0</v>
      </c>
      <c r="DE38" s="235">
        <f>'[2]January - 2023'!DH38</f>
        <v>0</v>
      </c>
      <c r="DF38" s="179">
        <f>'[2]January - 2023'!DI38</f>
        <v>0</v>
      </c>
      <c r="DG38" s="235">
        <f>'[2]January - 2023'!DJ38</f>
        <v>0</v>
      </c>
      <c r="DH38" s="179">
        <f>'[2]January - 2023'!DK38</f>
        <v>0</v>
      </c>
      <c r="DI38" s="235">
        <f>'[2]January - 2023'!DL38</f>
        <v>0</v>
      </c>
      <c r="DJ38" s="179">
        <f>'[2]January - 2023'!DM38</f>
        <v>0</v>
      </c>
      <c r="DK38" s="235">
        <f>'[2]January - 2023'!DN38</f>
        <v>0</v>
      </c>
      <c r="DL38" s="179">
        <f>'[2]January - 2023'!DO38</f>
        <v>0</v>
      </c>
      <c r="DM38" s="235">
        <f>'[2]January - 2023'!DP38</f>
        <v>0</v>
      </c>
      <c r="DN38" s="179">
        <f>'[2]January - 2023'!DQ38</f>
        <v>0</v>
      </c>
      <c r="DO38" s="235">
        <f>'[2]January - 2023'!DR38</f>
        <v>0</v>
      </c>
      <c r="DP38" s="179">
        <f>'[2]January - 2023'!DS38</f>
        <v>0</v>
      </c>
      <c r="DQ38" s="235">
        <f>'[2]January - 2023'!DT38</f>
        <v>0</v>
      </c>
      <c r="DR38" s="186">
        <f>'[2]January - 2023'!DU38</f>
        <v>0</v>
      </c>
      <c r="DS38" s="503"/>
      <c r="DT38" s="190">
        <f>'[2]January - 2023'!DW38</f>
        <v>0</v>
      </c>
      <c r="DU38" s="201">
        <f>'[2]January - 2023'!DX38</f>
        <v>0</v>
      </c>
      <c r="DV38" s="87">
        <f>'[2]January - 2023'!DY38</f>
        <v>0</v>
      </c>
      <c r="DW38" s="195">
        <f>'[2]January - 2023'!DZ38</f>
        <v>0</v>
      </c>
      <c r="DX38" s="87">
        <f>'[2]January - 2023'!EA38</f>
        <v>0</v>
      </c>
      <c r="DY38" s="195">
        <f>'[2]January - 2023'!EB38</f>
        <v>0</v>
      </c>
      <c r="DZ38" s="87">
        <f>'[2]January - 2023'!EC38</f>
        <v>0</v>
      </c>
      <c r="EA38" s="195">
        <f>'[2]January - 2023'!ED38</f>
        <v>0</v>
      </c>
      <c r="EB38" s="87">
        <f>'[2]January - 2023'!EE38</f>
        <v>0</v>
      </c>
      <c r="EC38" s="195">
        <f>'[2]January - 2023'!EF38</f>
        <v>0</v>
      </c>
      <c r="ED38" s="87">
        <f>'[2]January - 2023'!EI38</f>
        <v>0</v>
      </c>
      <c r="EE38" s="208">
        <f>'[2]January - 2023'!EJ38</f>
        <v>0</v>
      </c>
      <c r="EF38" s="550"/>
      <c r="EG38" s="214">
        <f>'[2]January - 2023'!EL38</f>
        <v>0</v>
      </c>
      <c r="EH38" s="209">
        <f>'[2]January - 2023'!EM38</f>
        <v>0</v>
      </c>
      <c r="EI38" s="86">
        <f>'[2]January - 2023'!EN38</f>
        <v>0</v>
      </c>
      <c r="EJ38" s="209">
        <f>'[2]January - 2023'!EO38</f>
        <v>0</v>
      </c>
      <c r="EK38" s="86">
        <f>'[2]January - 2023'!EP38</f>
        <v>0</v>
      </c>
      <c r="EL38" s="209">
        <f>'[2]January - 2023'!EQ38</f>
        <v>0</v>
      </c>
      <c r="EM38" s="86">
        <f>'[2]January - 2023'!ER38</f>
        <v>0</v>
      </c>
      <c r="EN38" s="209">
        <f>'[2]January - 2023'!ES38</f>
        <v>0</v>
      </c>
      <c r="EO38" s="86">
        <f>'[2]January - 2023'!ET38</f>
        <v>0</v>
      </c>
      <c r="EP38" s="209">
        <f>'[2]January - 2023'!EU38</f>
        <v>0</v>
      </c>
      <c r="EQ38" s="86">
        <f>'[2]January - 2023'!EV38</f>
        <v>0</v>
      </c>
      <c r="ER38" s="209">
        <f>'[2]January - 2023'!EW38</f>
        <v>0</v>
      </c>
      <c r="ES38" s="525"/>
      <c r="ET38" s="256">
        <f>'[2]January - 2023'!EY38</f>
        <v>0</v>
      </c>
      <c r="EU38" s="253">
        <f>'[2]January - 2023'!EZ38</f>
        <v>0</v>
      </c>
      <c r="EV38" s="257">
        <f>'[2]January - 2023'!FA38</f>
        <v>0</v>
      </c>
      <c r="EW38" s="253">
        <f>'[2]January - 2023'!FB38</f>
        <v>0</v>
      </c>
      <c r="EX38" s="257">
        <f>'[2]January - 2023'!FC38</f>
        <v>0</v>
      </c>
      <c r="EY38" s="253">
        <f>'[2]January - 2023'!FD38</f>
        <v>0</v>
      </c>
      <c r="EZ38" s="257">
        <f>'[2]January - 2023'!FE38</f>
        <v>0</v>
      </c>
      <c r="FA38" s="253">
        <f>'[2]January - 2023'!FF38</f>
        <v>0</v>
      </c>
      <c r="FB38" s="257">
        <f>'[2]January - 2023'!FG38</f>
        <v>0</v>
      </c>
      <c r="FC38" s="254">
        <f>'[2]January - 2023'!FH38</f>
        <v>0</v>
      </c>
    </row>
    <row r="39" spans="1:160" ht="30" customHeight="1">
      <c r="A39" s="187">
        <v>44956</v>
      </c>
      <c r="B39" s="189">
        <f>'[2]January - 2023'!B39</f>
        <v>0</v>
      </c>
      <c r="C39" s="229">
        <f>'[2]January - 2023'!E39</f>
        <v>0</v>
      </c>
      <c r="D39" s="152">
        <f>'[2]January - 2023'!F39</f>
        <v>0</v>
      </c>
      <c r="E39" s="150">
        <f>'[2]January - 2023'!G39</f>
        <v>511</v>
      </c>
      <c r="F39" s="150">
        <f>'[2]January - 2023'!H39</f>
        <v>0</v>
      </c>
      <c r="G39" s="152">
        <f>'[2]January - 2023'!I39</f>
        <v>0</v>
      </c>
      <c r="H39" s="150">
        <f>'[2]January - 2023'!J39</f>
        <v>394</v>
      </c>
      <c r="I39" s="150">
        <f>'[2]January - 2023'!K39</f>
        <v>0</v>
      </c>
      <c r="J39" s="152">
        <f>'[2]January - 2023'!L39</f>
        <v>0</v>
      </c>
      <c r="K39" s="150">
        <f>'[2]January - 2023'!N39</f>
        <v>0</v>
      </c>
      <c r="L39" s="152">
        <f>'[2]January - 2023'!O39</f>
        <v>0</v>
      </c>
      <c r="M39" s="150">
        <f>'[2]January - 2023'!Q39</f>
        <v>0</v>
      </c>
      <c r="N39" s="152">
        <f>'[2]January - 2023'!R39</f>
        <v>0</v>
      </c>
      <c r="O39" s="150">
        <f>'[2]January - 2023'!U39</f>
        <v>0</v>
      </c>
      <c r="P39" s="152">
        <f>'[2]January - 2023'!V39</f>
        <v>0</v>
      </c>
      <c r="Q39" s="150">
        <f>'[2]January - 2023'!W39</f>
        <v>65.340000000003783</v>
      </c>
      <c r="R39" s="150">
        <f>'[2]January - 2023'!X39</f>
        <v>0</v>
      </c>
      <c r="S39" s="188">
        <f>'[2]January - 2023'!Y39</f>
        <v>0</v>
      </c>
      <c r="T39" s="446"/>
      <c r="U39" s="151">
        <f>'[2]January - 2023'!AE39</f>
        <v>0</v>
      </c>
      <c r="V39" s="218">
        <f>'[2]January - 2023'!AF39</f>
        <v>0</v>
      </c>
      <c r="W39" s="88">
        <f>'[2]January - 2023'!AF39</f>
        <v>0</v>
      </c>
      <c r="X39" s="233">
        <f>'[2]January - 2023'!AH39</f>
        <v>0</v>
      </c>
      <c r="Y39" s="218">
        <f>'[2]January - 2023'!AI39</f>
        <v>0</v>
      </c>
      <c r="Z39" s="88">
        <f>'[2]January - 2023'!AI39</f>
        <v>0</v>
      </c>
      <c r="AA39" s="233">
        <f>'[2]January - 2023'!AK39</f>
        <v>0</v>
      </c>
      <c r="AB39" s="218">
        <f>'[2]January - 2023'!AL39</f>
        <v>0</v>
      </c>
      <c r="AC39" s="88">
        <f>'[2]January - 2023'!AL39</f>
        <v>0</v>
      </c>
      <c r="AD39" s="233">
        <f>'[2]January - 2023'!AN39</f>
        <v>0</v>
      </c>
      <c r="AE39" s="218">
        <f>'[2]January - 2023'!AO39</f>
        <v>0</v>
      </c>
      <c r="AF39" s="88">
        <f>'[2]January - 2023'!AO39</f>
        <v>0</v>
      </c>
      <c r="AG39" s="233">
        <f>'[2]January - 2023'!AQ39</f>
        <v>0</v>
      </c>
      <c r="AH39" s="218">
        <f>'[2]January - 2023'!AR39</f>
        <v>0</v>
      </c>
      <c r="AI39" s="88">
        <f>'[2]January - 2023'!AR39</f>
        <v>0</v>
      </c>
      <c r="AJ39" s="233">
        <f>'[2]January - 2023'!AT39</f>
        <v>0</v>
      </c>
      <c r="AK39" s="218">
        <f>'[2]January - 2023'!AU39</f>
        <v>0</v>
      </c>
      <c r="AL39" s="88">
        <f>'[2]January - 2023'!AU39</f>
        <v>0</v>
      </c>
      <c r="AM39" s="233">
        <f>'[2]January - 2023'!AW39</f>
        <v>0</v>
      </c>
      <c r="AN39" s="218">
        <f>'[2]January - 2023'!AX39</f>
        <v>0</v>
      </c>
      <c r="AO39" s="88">
        <f>'[2]January - 2023'!AX39</f>
        <v>0</v>
      </c>
      <c r="AP39" s="233">
        <f>'[2]January - 2023'!AZ39</f>
        <v>0</v>
      </c>
      <c r="AQ39" s="218">
        <f>'[2]January - 2023'!BA39</f>
        <v>0</v>
      </c>
      <c r="AR39" s="88">
        <f>'[2]January - 2023'!BA39</f>
        <v>0</v>
      </c>
      <c r="AS39" s="233">
        <f>'[2]January - 2023'!BC39</f>
        <v>0</v>
      </c>
      <c r="AT39" s="218">
        <f>'[2]January - 2023'!BD39</f>
        <v>0</v>
      </c>
      <c r="AU39" s="88">
        <f>'[2]January - 2023'!BD39</f>
        <v>0</v>
      </c>
      <c r="AV39" s="233">
        <f>'[2]January - 2023'!BF39</f>
        <v>0</v>
      </c>
      <c r="AW39" s="230">
        <f>'[2]January - 2023'!BG39</f>
        <v>0</v>
      </c>
      <c r="AX39" s="231">
        <f>'[2]January - 2023'!BG39</f>
        <v>0</v>
      </c>
      <c r="AY39" s="463"/>
      <c r="AZ39" s="250">
        <f>'[2]January - 2023'!BM39</f>
        <v>0</v>
      </c>
      <c r="BA39" s="161">
        <f>'[2]January - 2023'!BN39</f>
        <v>0</v>
      </c>
      <c r="BB39" s="89">
        <f>'[2]January - 2023'!BN39</f>
        <v>0</v>
      </c>
      <c r="BC39" s="250">
        <f>'[2]January - 2023'!BP39</f>
        <v>0</v>
      </c>
      <c r="BD39" s="224">
        <f>'[2]January - 2023'!BQ39</f>
        <v>0</v>
      </c>
      <c r="BE39" s="89">
        <f>'[2]January - 2023'!BQ39</f>
        <v>0</v>
      </c>
      <c r="BF39" s="250">
        <f>'[2]January - 2023'!BS39</f>
        <v>0</v>
      </c>
      <c r="BG39" s="224">
        <f>'[2]January - 2023'!BT39</f>
        <v>0</v>
      </c>
      <c r="BH39" s="89">
        <f>'[2]January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'[2]January - 2023'!BV39</f>
        <v>0</v>
      </c>
      <c r="BT39" s="166">
        <f>'[2]January - 2023'!BW39</f>
        <v>0</v>
      </c>
      <c r="BU39" s="560"/>
      <c r="BV39" s="84">
        <f>'[2]January - 2023'!BY39</f>
        <v>0</v>
      </c>
      <c r="BW39" s="220">
        <f>'[2]January - 2023'!BZ39</f>
        <v>0</v>
      </c>
      <c r="BX39" s="84">
        <f>'[2]January - 2023'!BZ39</f>
        <v>0</v>
      </c>
      <c r="BY39" s="85">
        <f>'[2]January - 2023'!CB39</f>
        <v>0</v>
      </c>
      <c r="BZ39" s="172">
        <f>'[2]January - 2023'!CC39</f>
        <v>0</v>
      </c>
      <c r="CA39" s="85">
        <f>'[2]January - 2023'!CD39</f>
        <v>0</v>
      </c>
      <c r="CB39" s="172">
        <f>'[2]January - 2023'!CE39</f>
        <v>0</v>
      </c>
      <c r="CC39" s="85">
        <f>'[2]January - 2023'!CF39</f>
        <v>0</v>
      </c>
      <c r="CD39" s="172">
        <f>'[2]January - 2023'!CG39</f>
        <v>0</v>
      </c>
      <c r="CE39" s="85">
        <f>'[2]January - 2023'!CH39</f>
        <v>0</v>
      </c>
      <c r="CF39" s="172">
        <f>'[2]January - 2023'!CI39</f>
        <v>0</v>
      </c>
      <c r="CG39" s="85">
        <f>'[2]January - 2023'!CJ39</f>
        <v>0</v>
      </c>
      <c r="CH39" s="172">
        <f>'[2]January - 2023'!CK39</f>
        <v>0</v>
      </c>
      <c r="CI39" s="85">
        <f>'[2]January - 2023'!CL39</f>
        <v>0</v>
      </c>
      <c r="CJ39" s="172">
        <f>'[2]January - 2023'!CM39</f>
        <v>0</v>
      </c>
      <c r="CK39" s="85">
        <f>'[2]January - 2023'!CN39</f>
        <v>0</v>
      </c>
      <c r="CL39" s="225">
        <f>'[2]January - 2023'!CO39</f>
        <v>0</v>
      </c>
      <c r="CM39" s="85">
        <f>'[2]January - 2023'!CO39</f>
        <v>0</v>
      </c>
      <c r="CN39" s="85">
        <f>'[2]January - 2023'!CQ39</f>
        <v>0</v>
      </c>
      <c r="CO39" s="225">
        <f>'[2]January - 2023'!CR39</f>
        <v>0</v>
      </c>
      <c r="CP39" s="85">
        <f>'[2]January - 2023'!CR39</f>
        <v>0</v>
      </c>
      <c r="CQ39" s="85">
        <f>'[2]January - 2023'!CT39</f>
        <v>0</v>
      </c>
      <c r="CR39" s="225">
        <f>'[2]January - 2023'!CU39</f>
        <v>0</v>
      </c>
      <c r="CS39" s="85">
        <f>'[2]January - 2023'!CU39</f>
        <v>0</v>
      </c>
      <c r="CT39" s="85">
        <f>'[2]January - 2023'!CW39</f>
        <v>0</v>
      </c>
      <c r="CU39" s="172">
        <f>'[2]January - 2023'!CX39</f>
        <v>0</v>
      </c>
      <c r="CV39" s="487"/>
      <c r="CW39" s="234">
        <f>'[2]January - 2023'!CZ39</f>
        <v>0</v>
      </c>
      <c r="CX39" s="179">
        <f>'[2]January - 2023'!DA39</f>
        <v>0</v>
      </c>
      <c r="CY39" s="235">
        <f>'[2]January - 2023'!DB39</f>
        <v>0</v>
      </c>
      <c r="CZ39" s="179">
        <f>'[2]January - 2023'!DC39</f>
        <v>0</v>
      </c>
      <c r="DA39" s="235">
        <f>'[2]January - 2023'!DD39</f>
        <v>0</v>
      </c>
      <c r="DB39" s="179">
        <f>'[2]January - 2023'!DE39</f>
        <v>0</v>
      </c>
      <c r="DC39" s="235">
        <f>'[2]January - 2023'!DF39</f>
        <v>0</v>
      </c>
      <c r="DD39" s="179">
        <f>'[2]January - 2023'!DG39</f>
        <v>0</v>
      </c>
      <c r="DE39" s="235">
        <f>'[2]January - 2023'!DH39</f>
        <v>0</v>
      </c>
      <c r="DF39" s="179">
        <f>'[2]January - 2023'!DI39</f>
        <v>0</v>
      </c>
      <c r="DG39" s="235">
        <f>'[2]January - 2023'!DJ39</f>
        <v>0</v>
      </c>
      <c r="DH39" s="179">
        <f>'[2]January - 2023'!DK39</f>
        <v>0</v>
      </c>
      <c r="DI39" s="235">
        <f>'[2]January - 2023'!DL39</f>
        <v>0</v>
      </c>
      <c r="DJ39" s="179">
        <f>'[2]January - 2023'!DM39</f>
        <v>0</v>
      </c>
      <c r="DK39" s="235">
        <f>'[2]January - 2023'!DN39</f>
        <v>0</v>
      </c>
      <c r="DL39" s="179">
        <f>'[2]January - 2023'!DO39</f>
        <v>0</v>
      </c>
      <c r="DM39" s="235">
        <f>'[2]January - 2023'!DP39</f>
        <v>0</v>
      </c>
      <c r="DN39" s="179">
        <f>'[2]January - 2023'!DQ39</f>
        <v>0</v>
      </c>
      <c r="DO39" s="235">
        <f>'[2]January - 2023'!DR39</f>
        <v>0</v>
      </c>
      <c r="DP39" s="179">
        <f>'[2]January - 2023'!DS39</f>
        <v>0</v>
      </c>
      <c r="DQ39" s="235">
        <f>'[2]January - 2023'!DT39</f>
        <v>0</v>
      </c>
      <c r="DR39" s="186">
        <f>'[2]January - 2023'!DU39</f>
        <v>0</v>
      </c>
      <c r="DS39" s="503"/>
      <c r="DT39" s="190">
        <f>'[2]January - 2023'!DW39</f>
        <v>0</v>
      </c>
      <c r="DU39" s="201">
        <f>'[2]January - 2023'!DX39</f>
        <v>0</v>
      </c>
      <c r="DV39" s="87">
        <f>'[2]January - 2023'!DY39</f>
        <v>0</v>
      </c>
      <c r="DW39" s="195">
        <f>'[2]January - 2023'!DZ39</f>
        <v>0</v>
      </c>
      <c r="DX39" s="87">
        <f>'[2]January - 2023'!EA39</f>
        <v>0</v>
      </c>
      <c r="DY39" s="195">
        <f>'[2]January - 2023'!EB39</f>
        <v>0</v>
      </c>
      <c r="DZ39" s="87">
        <f>'[2]January - 2023'!EC39</f>
        <v>0</v>
      </c>
      <c r="EA39" s="195">
        <f>'[2]January - 2023'!ED39</f>
        <v>0</v>
      </c>
      <c r="EB39" s="87">
        <f>'[2]January - 2023'!EE39</f>
        <v>0</v>
      </c>
      <c r="EC39" s="195">
        <f>'[2]January - 2023'!EF39</f>
        <v>0</v>
      </c>
      <c r="ED39" s="87">
        <f>'[2]January - 2023'!EI39</f>
        <v>0</v>
      </c>
      <c r="EE39" s="208">
        <f>'[2]January - 2023'!EJ39</f>
        <v>0</v>
      </c>
      <c r="EF39" s="550"/>
      <c r="EG39" s="214">
        <f>'[2]January - 2023'!EL39</f>
        <v>0</v>
      </c>
      <c r="EH39" s="209">
        <f>'[2]January - 2023'!EM39</f>
        <v>0</v>
      </c>
      <c r="EI39" s="86">
        <f>'[2]January - 2023'!EN39</f>
        <v>0</v>
      </c>
      <c r="EJ39" s="209">
        <f>'[2]January - 2023'!EO39</f>
        <v>0</v>
      </c>
      <c r="EK39" s="86">
        <f>'[2]January - 2023'!EP39</f>
        <v>0</v>
      </c>
      <c r="EL39" s="209">
        <f>'[2]January - 2023'!EQ39</f>
        <v>0</v>
      </c>
      <c r="EM39" s="86">
        <f>'[2]January - 2023'!ER39</f>
        <v>0</v>
      </c>
      <c r="EN39" s="209">
        <f>'[2]January - 2023'!ES39</f>
        <v>0</v>
      </c>
      <c r="EO39" s="86">
        <f>'[2]January - 2023'!ET39</f>
        <v>0</v>
      </c>
      <c r="EP39" s="209">
        <f>'[2]January - 2023'!EU39</f>
        <v>0</v>
      </c>
      <c r="EQ39" s="86">
        <f>'[2]January - 2023'!EV39</f>
        <v>0</v>
      </c>
      <c r="ER39" s="209">
        <f>'[2]January - 2023'!EW39</f>
        <v>0</v>
      </c>
      <c r="ES39" s="525"/>
      <c r="ET39" s="256">
        <f>'[2]January - 2023'!EY39</f>
        <v>0</v>
      </c>
      <c r="EU39" s="253">
        <f>'[2]January - 2023'!EZ39</f>
        <v>0</v>
      </c>
      <c r="EV39" s="257">
        <f>'[2]January - 2023'!FA39</f>
        <v>0</v>
      </c>
      <c r="EW39" s="253">
        <f>'[2]January - 2023'!FB39</f>
        <v>0</v>
      </c>
      <c r="EX39" s="257">
        <f>'[2]January - 2023'!FC39</f>
        <v>0</v>
      </c>
      <c r="EY39" s="253">
        <f>'[2]January - 2023'!FD39</f>
        <v>0</v>
      </c>
      <c r="EZ39" s="257">
        <f>'[2]January - 2023'!FE39</f>
        <v>0</v>
      </c>
      <c r="FA39" s="253">
        <f>'[2]January - 2023'!FF39</f>
        <v>0</v>
      </c>
      <c r="FB39" s="257">
        <f>'[2]January - 2023'!FG39</f>
        <v>0</v>
      </c>
      <c r="FC39" s="254">
        <f>'[2]January - 2023'!FH39</f>
        <v>0</v>
      </c>
    </row>
    <row r="40" spans="1:160" ht="30" customHeight="1" thickBot="1">
      <c r="A40" s="187">
        <v>44957</v>
      </c>
      <c r="B40" s="266">
        <f>'[2]January - 2023'!B40</f>
        <v>0</v>
      </c>
      <c r="C40" s="229">
        <f>'[2]January - 2023'!E40</f>
        <v>0</v>
      </c>
      <c r="D40" s="152">
        <f>'[2]January - 2023'!F40</f>
        <v>0</v>
      </c>
      <c r="E40" s="150">
        <f>'[2]January - 2023'!G40</f>
        <v>499</v>
      </c>
      <c r="F40" s="150">
        <f>'[2]January - 2023'!H40</f>
        <v>0</v>
      </c>
      <c r="G40" s="152">
        <f>'[2]January - 2023'!I40</f>
        <v>0</v>
      </c>
      <c r="H40" s="150">
        <f>'[2]January - 2023'!J40</f>
        <v>367</v>
      </c>
      <c r="I40" s="150">
        <f>'[2]January - 2023'!K40</f>
        <v>0</v>
      </c>
      <c r="J40" s="152">
        <f>'[2]January - 2023'!L40</f>
        <v>0</v>
      </c>
      <c r="K40" s="150">
        <f>'[2]January - 2023'!N40</f>
        <v>0</v>
      </c>
      <c r="L40" s="152">
        <f>'[2]January - 2023'!O40</f>
        <v>0</v>
      </c>
      <c r="M40" s="150">
        <f>'[2]January - 2023'!Q40</f>
        <v>0</v>
      </c>
      <c r="N40" s="152">
        <f>'[2]January - 2023'!R40</f>
        <v>0</v>
      </c>
      <c r="O40" s="150">
        <f>'[2]January - 2023'!U40</f>
        <v>0</v>
      </c>
      <c r="P40" s="152">
        <f>'[2]January - 2023'!V40</f>
        <v>0</v>
      </c>
      <c r="Q40" s="150">
        <f>'[2]January - 2023'!W40</f>
        <v>75.129999999997381</v>
      </c>
      <c r="R40" s="150">
        <f>'[2]January - 2023'!X40</f>
        <v>0</v>
      </c>
      <c r="S40" s="188">
        <f>'[2]January - 2023'!Y40</f>
        <v>0</v>
      </c>
      <c r="T40" s="259"/>
      <c r="U40" s="262">
        <f>'[2]January - 2023'!AE40</f>
        <v>0</v>
      </c>
      <c r="V40" s="263">
        <f>'[2]January - 2023'!AF40</f>
        <v>0</v>
      </c>
      <c r="W40" s="264">
        <f>'[2]January - 2023'!AF40</f>
        <v>0</v>
      </c>
      <c r="X40" s="265">
        <f>'[2]January - 2023'!AH40</f>
        <v>0</v>
      </c>
      <c r="Y40" s="263">
        <f>'[2]January - 2023'!AI40</f>
        <v>0</v>
      </c>
      <c r="Z40" s="264">
        <f>'[2]January - 2023'!AI40</f>
        <v>0</v>
      </c>
      <c r="AA40" s="265">
        <f>'[2]January - 2023'!AK40</f>
        <v>0</v>
      </c>
      <c r="AB40" s="263">
        <f>'[2]January - 2023'!AL40</f>
        <v>0</v>
      </c>
      <c r="AC40" s="264">
        <f>'[2]January - 2023'!AL40</f>
        <v>0</v>
      </c>
      <c r="AD40" s="265">
        <f>'[2]January - 2023'!AN40</f>
        <v>0</v>
      </c>
      <c r="AE40" s="263">
        <f>'[2]January - 2023'!AO40</f>
        <v>0</v>
      </c>
      <c r="AF40" s="264">
        <f>'[2]January - 2023'!AO40</f>
        <v>0</v>
      </c>
      <c r="AG40" s="265">
        <f>'[2]January - 2023'!AQ40</f>
        <v>0</v>
      </c>
      <c r="AH40" s="263">
        <f>'[2]January - 2023'!AR40</f>
        <v>0</v>
      </c>
      <c r="AI40" s="264">
        <f>'[2]January - 2023'!AR40</f>
        <v>0</v>
      </c>
      <c r="AJ40" s="265">
        <f>'[2]January - 2023'!AT40</f>
        <v>0</v>
      </c>
      <c r="AK40" s="263">
        <f>'[2]January - 2023'!AU40</f>
        <v>0</v>
      </c>
      <c r="AL40" s="264">
        <f>'[2]January - 2023'!AU40</f>
        <v>0</v>
      </c>
      <c r="AM40" s="265">
        <f>'[2]January - 2023'!AW40</f>
        <v>0</v>
      </c>
      <c r="AN40" s="263">
        <f>'[2]January - 2023'!AX40</f>
        <v>0</v>
      </c>
      <c r="AO40" s="264">
        <f>'[2]January - 2023'!AX40</f>
        <v>0</v>
      </c>
      <c r="AP40" s="265">
        <f>'[2]January - 2023'!AZ40</f>
        <v>0</v>
      </c>
      <c r="AQ40" s="263">
        <f>'[2]January - 2023'!BA40</f>
        <v>0</v>
      </c>
      <c r="AR40" s="264">
        <f>'[2]January - 2023'!BA40</f>
        <v>0</v>
      </c>
      <c r="AS40" s="265">
        <f>'[2]January - 2023'!BC40</f>
        <v>0</v>
      </c>
      <c r="AT40" s="263">
        <f>'[2]January - 2023'!BD40</f>
        <v>0</v>
      </c>
      <c r="AU40" s="264">
        <f>'[2]January - 2023'!BD40</f>
        <v>0</v>
      </c>
      <c r="AV40" s="265">
        <f>'[2]January - 2023'!BF40</f>
        <v>0</v>
      </c>
      <c r="AW40" s="230">
        <f>'[2]January - 2023'!BG40</f>
        <v>0</v>
      </c>
      <c r="AX40" s="231">
        <f>'[2]January - 2023'!BG40</f>
        <v>0</v>
      </c>
      <c r="AY40" s="260"/>
      <c r="AZ40" s="250">
        <f>'[2]January - 2023'!BM40</f>
        <v>0</v>
      </c>
      <c r="BA40" s="161">
        <f>'[2]January - 2023'!BN40</f>
        <v>0</v>
      </c>
      <c r="BB40" s="89">
        <f>'[2]January - 2023'!BN40</f>
        <v>0</v>
      </c>
      <c r="BC40" s="250">
        <f>'[2]January - 2023'!BP40</f>
        <v>0</v>
      </c>
      <c r="BD40" s="224">
        <f>'[2]January - 2023'!BQ40</f>
        <v>0</v>
      </c>
      <c r="BE40" s="89">
        <f>'[2]January - 2023'!BQ40</f>
        <v>0</v>
      </c>
      <c r="BF40" s="250">
        <f>'[2]January - 2023'!BS40</f>
        <v>0</v>
      </c>
      <c r="BG40" s="224">
        <f>'[2]January - 2023'!BT40</f>
        <v>0</v>
      </c>
      <c r="BH40" s="89">
        <f>'[2]January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'[2]January - 2023'!BV40</f>
        <v>0</v>
      </c>
      <c r="BT40" s="166">
        <f>'[2]January - 2023'!BW40</f>
        <v>0</v>
      </c>
      <c r="BU40" s="261"/>
      <c r="BV40" s="84">
        <f>'[2]January - 2023'!BY40</f>
        <v>0</v>
      </c>
      <c r="BW40" s="220">
        <f>'[2]January - 2023'!BZ40</f>
        <v>0</v>
      </c>
      <c r="BX40" s="84">
        <f>'[2]January - 2023'!BZ40</f>
        <v>0</v>
      </c>
      <c r="BY40" s="85">
        <f>'[2]January - 2023'!CB40</f>
        <v>0</v>
      </c>
      <c r="BZ40" s="172">
        <f>'[2]January - 2023'!CC40</f>
        <v>0</v>
      </c>
      <c r="CA40" s="85">
        <f>'[2]January - 2023'!CD40</f>
        <v>0</v>
      </c>
      <c r="CB40" s="172">
        <f>'[2]January - 2023'!CE40</f>
        <v>0</v>
      </c>
      <c r="CC40" s="85">
        <f>'[2]January - 2023'!CF40</f>
        <v>0</v>
      </c>
      <c r="CD40" s="172">
        <f>'[2]January - 2023'!CG40</f>
        <v>0</v>
      </c>
      <c r="CE40" s="85">
        <f>'[2]January - 2023'!CH40</f>
        <v>0</v>
      </c>
      <c r="CF40" s="172">
        <f>'[2]January - 2023'!CI40</f>
        <v>0</v>
      </c>
      <c r="CG40" s="85">
        <f>'[2]January - 2023'!CJ40</f>
        <v>0</v>
      </c>
      <c r="CH40" s="172">
        <f>'[2]January - 2023'!CK40</f>
        <v>0</v>
      </c>
      <c r="CI40" s="85">
        <f>'[2]January - 2023'!CL40</f>
        <v>0</v>
      </c>
      <c r="CJ40" s="172">
        <f>'[2]January - 2023'!CM40</f>
        <v>0</v>
      </c>
      <c r="CK40" s="85">
        <f>'[2]January - 2023'!CN40</f>
        <v>0</v>
      </c>
      <c r="CL40" s="225">
        <f>'[2]January - 2023'!CO40</f>
        <v>0</v>
      </c>
      <c r="CM40" s="85">
        <f>'[2]January - 2023'!CO40</f>
        <v>0</v>
      </c>
      <c r="CN40" s="85">
        <f>'[2]January - 2023'!CQ40</f>
        <v>0</v>
      </c>
      <c r="CO40" s="225">
        <f>'[2]January - 2023'!CR40</f>
        <v>0</v>
      </c>
      <c r="CP40" s="85">
        <f>'[2]January - 2023'!CR40</f>
        <v>0</v>
      </c>
      <c r="CQ40" s="85">
        <f>'[2]January - 2023'!CT40</f>
        <v>0</v>
      </c>
      <c r="CR40" s="225">
        <f>'[2]January - 2023'!CU40</f>
        <v>0</v>
      </c>
      <c r="CS40" s="85">
        <f>'[2]January - 2023'!CU40</f>
        <v>0</v>
      </c>
      <c r="CT40" s="85">
        <f>'[2]January - 2023'!CW40</f>
        <v>0</v>
      </c>
      <c r="CU40" s="172">
        <f>'[2]January - 2023'!CX40</f>
        <v>0</v>
      </c>
      <c r="CV40" s="487"/>
      <c r="CW40" s="234">
        <f>'[2]January - 2023'!CZ40</f>
        <v>0</v>
      </c>
      <c r="CX40" s="179">
        <f>'[2]January - 2023'!DA40</f>
        <v>0</v>
      </c>
      <c r="CY40" s="235">
        <f>'[2]January - 2023'!DB40</f>
        <v>0</v>
      </c>
      <c r="CZ40" s="179">
        <f>'[2]January - 2023'!DC40</f>
        <v>0</v>
      </c>
      <c r="DA40" s="235">
        <f>'[2]January - 2023'!DD40</f>
        <v>0</v>
      </c>
      <c r="DB40" s="179">
        <f>'[2]January - 2023'!DE40</f>
        <v>0</v>
      </c>
      <c r="DC40" s="235">
        <f>'[2]January - 2023'!DF40</f>
        <v>0</v>
      </c>
      <c r="DD40" s="179">
        <f>'[2]January - 2023'!DG40</f>
        <v>0</v>
      </c>
      <c r="DE40" s="235">
        <f>'[2]January - 2023'!DH40</f>
        <v>0</v>
      </c>
      <c r="DF40" s="179">
        <f>'[2]January - 2023'!DI40</f>
        <v>0</v>
      </c>
      <c r="DG40" s="235">
        <f>'[2]January - 2023'!DJ40</f>
        <v>0</v>
      </c>
      <c r="DH40" s="179">
        <f>'[2]January - 2023'!DK40</f>
        <v>0</v>
      </c>
      <c r="DI40" s="235">
        <f>'[2]January - 2023'!DL40</f>
        <v>0</v>
      </c>
      <c r="DJ40" s="179">
        <f>'[2]January - 2023'!DM40</f>
        <v>0</v>
      </c>
      <c r="DK40" s="235">
        <f>'[2]January - 2023'!DN40</f>
        <v>0</v>
      </c>
      <c r="DL40" s="179">
        <f>'[2]January - 2023'!DO40</f>
        <v>0</v>
      </c>
      <c r="DM40" s="235">
        <f>'[2]January - 2023'!DP40</f>
        <v>0</v>
      </c>
      <c r="DN40" s="179">
        <f>'[2]January - 2023'!DQ40</f>
        <v>0</v>
      </c>
      <c r="DO40" s="235">
        <f>'[2]January - 2023'!DR40</f>
        <v>0</v>
      </c>
      <c r="DP40" s="179">
        <f>'[2]January - 2023'!DS40</f>
        <v>0</v>
      </c>
      <c r="DQ40" s="235">
        <f>'[2]January - 2023'!DT40</f>
        <v>0</v>
      </c>
      <c r="DR40" s="186">
        <f>'[2]January - 2023'!DU40</f>
        <v>0</v>
      </c>
      <c r="DS40" s="503"/>
      <c r="DT40" s="190">
        <f>'[2]January - 2023'!DW40</f>
        <v>0</v>
      </c>
      <c r="DU40" s="201">
        <f>'[2]January - 2023'!DX40</f>
        <v>0</v>
      </c>
      <c r="DV40" s="87">
        <f>'[2]January - 2023'!DY40</f>
        <v>0</v>
      </c>
      <c r="DW40" s="195">
        <f>'[2]January - 2023'!DZ40</f>
        <v>0</v>
      </c>
      <c r="DX40" s="87">
        <f>'[2]January - 2023'!EA40</f>
        <v>0</v>
      </c>
      <c r="DY40" s="195">
        <f>'[2]January - 2023'!EB40</f>
        <v>0</v>
      </c>
      <c r="DZ40" s="87">
        <f>'[2]January - 2023'!EC40</f>
        <v>0</v>
      </c>
      <c r="EA40" s="195">
        <f>'[2]January - 2023'!ED40</f>
        <v>0</v>
      </c>
      <c r="EB40" s="87">
        <f>'[2]January - 2023'!EE40</f>
        <v>0</v>
      </c>
      <c r="EC40" s="195">
        <f>'[2]January - 2023'!EF40</f>
        <v>0</v>
      </c>
      <c r="ED40" s="87">
        <f>'[2]January - 2023'!EI40</f>
        <v>0</v>
      </c>
      <c r="EE40" s="208">
        <f>'[2]January - 2023'!EJ40</f>
        <v>0</v>
      </c>
      <c r="EF40" s="550"/>
      <c r="EG40" s="214">
        <f>'[2]January - 2023'!EL40</f>
        <v>0</v>
      </c>
      <c r="EH40" s="209">
        <f>'[2]January - 2023'!EM40</f>
        <v>0</v>
      </c>
      <c r="EI40" s="86">
        <f>'[2]January - 2023'!EN40</f>
        <v>0</v>
      </c>
      <c r="EJ40" s="209">
        <f>'[2]January - 2023'!EO40</f>
        <v>0</v>
      </c>
      <c r="EK40" s="86">
        <f>'[2]January - 2023'!EP40</f>
        <v>0</v>
      </c>
      <c r="EL40" s="209">
        <f>'[2]January - 2023'!EQ40</f>
        <v>0</v>
      </c>
      <c r="EM40" s="86">
        <f>'[2]January - 2023'!ER40</f>
        <v>0</v>
      </c>
      <c r="EN40" s="209">
        <f>'[2]January - 2023'!ES40</f>
        <v>0</v>
      </c>
      <c r="EO40" s="86">
        <f>'[2]January - 2023'!ET40</f>
        <v>0</v>
      </c>
      <c r="EP40" s="209">
        <f>'[2]January - 2023'!EU40</f>
        <v>0</v>
      </c>
      <c r="EQ40" s="86">
        <f>'[2]January - 2023'!EV40</f>
        <v>0</v>
      </c>
      <c r="ER40" s="209">
        <f>'[2]January - 2023'!EW40</f>
        <v>0</v>
      </c>
      <c r="ES40" s="526"/>
      <c r="ET40" s="256">
        <f>'[2]January - 2023'!EY40</f>
        <v>0</v>
      </c>
      <c r="EU40" s="253">
        <f>'[2]January - 2023'!EZ40</f>
        <v>0</v>
      </c>
      <c r="EV40" s="257">
        <f>'[2]January - 2023'!FA40</f>
        <v>0</v>
      </c>
      <c r="EW40" s="253">
        <f>'[2]January - 2023'!FB40</f>
        <v>0</v>
      </c>
      <c r="EX40" s="257">
        <f>'[2]January - 2023'!FC40</f>
        <v>0</v>
      </c>
      <c r="EY40" s="253">
        <f>'[2]January - 2023'!FD40</f>
        <v>0</v>
      </c>
      <c r="EZ40" s="257">
        <f>'[2]January - 2023'!FE40</f>
        <v>0</v>
      </c>
      <c r="FA40" s="253">
        <f>'[2]January - 2023'!FF40</f>
        <v>0</v>
      </c>
      <c r="FB40" s="257">
        <f>'[2]January - 2023'!FG40</f>
        <v>0</v>
      </c>
      <c r="FC40" s="254">
        <f>'[2]January - 2023'!FH40</f>
        <v>0</v>
      </c>
    </row>
    <row r="41" spans="1:160" s="29" customFormat="1" ht="14.25" customHeight="1" thickBot="1">
      <c r="A41" s="397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9"/>
      <c r="U41" s="398"/>
      <c r="V41" s="398"/>
      <c r="W41" s="398"/>
      <c r="X41" s="398"/>
      <c r="Y41" s="398"/>
      <c r="Z41" s="398"/>
      <c r="AA41" s="398"/>
      <c r="AB41" s="398"/>
      <c r="AC41" s="398"/>
      <c r="AD41" s="398"/>
      <c r="AE41" s="398"/>
      <c r="AF41" s="398"/>
      <c r="AG41" s="398"/>
      <c r="AH41" s="398"/>
      <c r="AI41" s="398"/>
      <c r="AJ41" s="398"/>
      <c r="AK41" s="398"/>
      <c r="AL41" s="398"/>
      <c r="AM41" s="398"/>
      <c r="AN41" s="398"/>
      <c r="AO41" s="398"/>
      <c r="AP41" s="398"/>
      <c r="AQ41" s="398"/>
      <c r="AR41" s="398"/>
      <c r="AS41" s="398"/>
      <c r="AT41" s="398"/>
      <c r="AU41" s="398"/>
      <c r="AV41" s="398"/>
      <c r="AW41" s="398"/>
      <c r="AX41" s="398"/>
      <c r="AY41" s="400"/>
      <c r="AZ41" s="398"/>
      <c r="BA41" s="398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398"/>
      <c r="BT41" s="398"/>
      <c r="BU41" s="401"/>
      <c r="BV41" s="398"/>
      <c r="BW41" s="398"/>
      <c r="BX41" s="398"/>
      <c r="BY41" s="398"/>
      <c r="BZ41" s="398"/>
      <c r="CA41" s="398"/>
      <c r="CB41" s="398"/>
      <c r="CC41" s="398"/>
      <c r="CD41" s="398"/>
      <c r="CE41" s="398"/>
      <c r="CF41" s="398"/>
      <c r="CG41" s="398"/>
      <c r="CH41" s="398"/>
      <c r="CI41" s="398"/>
      <c r="CJ41" s="398"/>
      <c r="CK41" s="398"/>
      <c r="CL41" s="398"/>
      <c r="CM41" s="398"/>
      <c r="CN41" s="398"/>
      <c r="CO41" s="398"/>
      <c r="CP41" s="398"/>
      <c r="CQ41" s="398"/>
      <c r="CR41" s="398"/>
      <c r="CS41" s="398"/>
      <c r="CT41" s="398"/>
      <c r="CU41" s="398"/>
      <c r="CV41" s="487"/>
      <c r="CW41" s="489"/>
      <c r="CX41" s="489"/>
      <c r="CY41" s="489"/>
      <c r="CZ41" s="489"/>
      <c r="DA41" s="489"/>
      <c r="DB41" s="489"/>
      <c r="DC41" s="489"/>
      <c r="DD41" s="489"/>
      <c r="DE41" s="489"/>
      <c r="DF41" s="489"/>
      <c r="DG41" s="489"/>
      <c r="DH41" s="489"/>
      <c r="DI41" s="489"/>
      <c r="DJ41" s="489"/>
      <c r="DK41" s="489"/>
      <c r="DL41" s="489"/>
      <c r="DM41" s="489"/>
      <c r="DN41" s="489"/>
      <c r="DO41" s="489"/>
      <c r="DP41" s="489"/>
      <c r="DQ41" s="489"/>
      <c r="DR41" s="490"/>
      <c r="DS41" s="504"/>
      <c r="DT41" s="505"/>
      <c r="DU41" s="506"/>
      <c r="DV41" s="506"/>
      <c r="DW41" s="506"/>
      <c r="DX41" s="506"/>
      <c r="DY41" s="506"/>
      <c r="DZ41" s="506"/>
      <c r="EA41" s="506"/>
      <c r="EB41" s="506"/>
      <c r="EC41" s="506"/>
      <c r="ED41" s="506"/>
      <c r="EE41" s="507"/>
      <c r="EF41" s="551"/>
      <c r="EG41" s="532"/>
      <c r="EH41" s="532"/>
      <c r="EI41" s="532"/>
      <c r="EJ41" s="532"/>
      <c r="EK41" s="532"/>
      <c r="EL41" s="532"/>
      <c r="EM41" s="532"/>
      <c r="EN41" s="532"/>
      <c r="EO41" s="532"/>
      <c r="EP41" s="532"/>
      <c r="EQ41" s="532"/>
      <c r="ER41" s="532"/>
      <c r="ES41" s="526"/>
      <c r="ET41" s="533"/>
      <c r="EU41" s="533"/>
      <c r="EV41" s="533"/>
      <c r="EW41" s="533"/>
      <c r="EX41" s="533"/>
      <c r="EY41" s="533"/>
      <c r="EZ41" s="533"/>
      <c r="FA41" s="533"/>
      <c r="FB41" s="533"/>
      <c r="FC41" s="533"/>
      <c r="FD41" s="28"/>
    </row>
    <row r="42" spans="1:160" ht="28.5" customHeight="1" thickBot="1">
      <c r="A42" s="377" t="s">
        <v>164</v>
      </c>
      <c r="B42" s="378"/>
      <c r="C42" s="378"/>
      <c r="D42" s="378"/>
      <c r="E42" s="378"/>
      <c r="F42" s="378"/>
      <c r="G42" s="378"/>
      <c r="H42" s="378"/>
      <c r="I42" s="378"/>
      <c r="J42" s="378"/>
      <c r="K42" s="378"/>
      <c r="L42" s="378"/>
      <c r="M42" s="378"/>
      <c r="N42" s="378"/>
      <c r="O42" s="378"/>
      <c r="P42" s="378"/>
      <c r="Q42" s="378"/>
      <c r="R42" s="378"/>
      <c r="S42" s="379"/>
      <c r="T42" s="380"/>
      <c r="U42" s="383" t="s">
        <v>165</v>
      </c>
      <c r="V42" s="383"/>
      <c r="W42" s="383"/>
      <c r="X42" s="383"/>
      <c r="Y42" s="383"/>
      <c r="Z42" s="383"/>
      <c r="AA42" s="383"/>
      <c r="AB42" s="383"/>
      <c r="AC42" s="383"/>
      <c r="AD42" s="383"/>
      <c r="AE42" s="383"/>
      <c r="AF42" s="383"/>
      <c r="AG42" s="383"/>
      <c r="AH42" s="383"/>
      <c r="AI42" s="383"/>
      <c r="AJ42" s="383"/>
      <c r="AK42" s="383"/>
      <c r="AL42" s="383"/>
      <c r="AM42" s="383"/>
      <c r="AN42" s="383"/>
      <c r="AO42" s="383"/>
      <c r="AP42" s="383"/>
      <c r="AQ42" s="383"/>
      <c r="AR42" s="383"/>
      <c r="AS42" s="383"/>
      <c r="AT42" s="383"/>
      <c r="AU42" s="383"/>
      <c r="AV42" s="383"/>
      <c r="AW42" s="383"/>
      <c r="AX42" s="383"/>
      <c r="AY42" s="384"/>
      <c r="AZ42" s="385" t="s">
        <v>166</v>
      </c>
      <c r="BA42" s="386"/>
      <c r="BB42" s="386"/>
      <c r="BC42" s="386"/>
      <c r="BD42" s="386"/>
      <c r="BE42" s="386"/>
      <c r="BF42" s="386"/>
      <c r="BG42" s="386"/>
      <c r="BH42" s="387"/>
      <c r="BI42" s="388"/>
      <c r="BJ42" s="389"/>
      <c r="BK42" s="389"/>
      <c r="BL42" s="389"/>
      <c r="BM42" s="389"/>
      <c r="BN42" s="389"/>
      <c r="BO42" s="389"/>
      <c r="BP42" s="389"/>
      <c r="BQ42" s="389"/>
      <c r="BR42" s="390"/>
      <c r="BS42" s="391" t="s">
        <v>167</v>
      </c>
      <c r="BT42" s="392"/>
      <c r="BU42" s="30"/>
      <c r="BV42" s="544" t="s">
        <v>77</v>
      </c>
      <c r="BW42" s="545"/>
      <c r="BX42" s="545"/>
      <c r="BY42" s="545"/>
      <c r="BZ42" s="545"/>
      <c r="CA42" s="545"/>
      <c r="CB42" s="545"/>
      <c r="CC42" s="545"/>
      <c r="CD42" s="545"/>
      <c r="CE42" s="545"/>
      <c r="CF42" s="545"/>
      <c r="CG42" s="545"/>
      <c r="CH42" s="545"/>
      <c r="CI42" s="545"/>
      <c r="CJ42" s="545"/>
      <c r="CK42" s="545"/>
      <c r="CL42" s="545"/>
      <c r="CM42" s="545"/>
      <c r="CN42" s="545"/>
      <c r="CO42" s="545"/>
      <c r="CP42" s="545"/>
      <c r="CQ42" s="545"/>
      <c r="CR42" s="545"/>
      <c r="CS42" s="545"/>
      <c r="CT42" s="545"/>
      <c r="CU42" s="546"/>
      <c r="CV42" s="487"/>
      <c r="CW42" s="393"/>
      <c r="CX42" s="394"/>
      <c r="CY42" s="394"/>
      <c r="CZ42" s="394"/>
      <c r="DA42" s="394"/>
      <c r="DB42" s="394"/>
      <c r="DC42" s="394"/>
      <c r="DD42" s="394"/>
      <c r="DE42" s="394"/>
      <c r="DF42" s="394"/>
      <c r="DG42" s="394"/>
      <c r="DH42" s="394"/>
      <c r="DI42" s="394"/>
      <c r="DJ42" s="394"/>
      <c r="DK42" s="394"/>
      <c r="DL42" s="394"/>
      <c r="DM42" s="394"/>
      <c r="DN42" s="394"/>
      <c r="DO42" s="394"/>
      <c r="DP42" s="394"/>
      <c r="DQ42" s="394"/>
      <c r="DR42" s="395"/>
      <c r="DS42" s="504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551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526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>
      <c r="A43" s="396" t="s">
        <v>169</v>
      </c>
      <c r="B43" s="396"/>
      <c r="C43" s="354" t="s">
        <v>170</v>
      </c>
      <c r="D43" s="354"/>
      <c r="E43" s="355"/>
      <c r="F43" s="353" t="s">
        <v>171</v>
      </c>
      <c r="G43" s="354"/>
      <c r="H43" s="355"/>
      <c r="I43" s="359" t="s">
        <v>172</v>
      </c>
      <c r="J43" s="359"/>
      <c r="K43" s="359" t="s">
        <v>173</v>
      </c>
      <c r="L43" s="359"/>
      <c r="M43" s="359"/>
      <c r="N43" s="359"/>
      <c r="O43" s="353" t="s">
        <v>174</v>
      </c>
      <c r="P43" s="354"/>
      <c r="Q43" s="354"/>
      <c r="R43" s="354"/>
      <c r="S43" s="354"/>
      <c r="T43" s="381"/>
      <c r="U43" s="353" t="s">
        <v>175</v>
      </c>
      <c r="V43" s="354"/>
      <c r="W43" s="355"/>
      <c r="X43" s="353" t="s">
        <v>176</v>
      </c>
      <c r="Y43" s="354"/>
      <c r="Z43" s="355"/>
      <c r="AA43" s="353" t="s">
        <v>177</v>
      </c>
      <c r="AB43" s="354"/>
      <c r="AC43" s="355"/>
      <c r="AD43" s="353" t="s">
        <v>178</v>
      </c>
      <c r="AE43" s="354"/>
      <c r="AF43" s="355"/>
      <c r="AG43" s="353" t="s">
        <v>179</v>
      </c>
      <c r="AH43" s="354"/>
      <c r="AI43" s="355"/>
      <c r="AJ43" s="353" t="s">
        <v>180</v>
      </c>
      <c r="AK43" s="354"/>
      <c r="AL43" s="355"/>
      <c r="AM43" s="353" t="s">
        <v>181</v>
      </c>
      <c r="AN43" s="354"/>
      <c r="AO43" s="355"/>
      <c r="AP43" s="353" t="s">
        <v>182</v>
      </c>
      <c r="AQ43" s="354"/>
      <c r="AR43" s="355"/>
      <c r="AS43" s="353" t="s">
        <v>183</v>
      </c>
      <c r="AT43" s="354"/>
      <c r="AU43" s="355"/>
      <c r="AV43" s="353" t="s">
        <v>184</v>
      </c>
      <c r="AW43" s="354"/>
      <c r="AX43" s="354"/>
      <c r="AY43" s="356"/>
      <c r="AZ43" s="547" t="s">
        <v>185</v>
      </c>
      <c r="BA43" s="548"/>
      <c r="BB43" s="548"/>
      <c r="BC43" s="548" t="s">
        <v>186</v>
      </c>
      <c r="BD43" s="548"/>
      <c r="BE43" s="548"/>
      <c r="BF43" s="548" t="s">
        <v>187</v>
      </c>
      <c r="BG43" s="548"/>
      <c r="BH43" s="548"/>
      <c r="BI43" s="357"/>
      <c r="BJ43" s="358"/>
      <c r="BK43" s="357"/>
      <c r="BL43" s="358"/>
      <c r="BM43" s="357"/>
      <c r="BN43" s="358"/>
      <c r="BO43" s="357"/>
      <c r="BP43" s="358"/>
      <c r="BQ43" s="357"/>
      <c r="BR43" s="358"/>
      <c r="BS43" s="357" t="s">
        <v>188</v>
      </c>
      <c r="BT43" s="358"/>
      <c r="BU43" s="363"/>
      <c r="BV43" s="364" t="s">
        <v>110</v>
      </c>
      <c r="BW43" s="365"/>
      <c r="BX43" s="91"/>
      <c r="BY43" s="366" t="s">
        <v>111</v>
      </c>
      <c r="BZ43" s="366"/>
      <c r="CA43" s="361" t="s">
        <v>112</v>
      </c>
      <c r="CB43" s="362"/>
      <c r="CC43" s="361" t="s">
        <v>113</v>
      </c>
      <c r="CD43" s="362"/>
      <c r="CE43" s="361" t="s">
        <v>114</v>
      </c>
      <c r="CF43" s="362"/>
      <c r="CG43" s="361" t="s">
        <v>115</v>
      </c>
      <c r="CH43" s="362"/>
      <c r="CI43" s="361" t="s">
        <v>116</v>
      </c>
      <c r="CJ43" s="362"/>
      <c r="CK43" s="372" t="s">
        <v>117</v>
      </c>
      <c r="CL43" s="373"/>
      <c r="CM43" s="374"/>
      <c r="CN43" s="369" t="s">
        <v>118</v>
      </c>
      <c r="CO43" s="370"/>
      <c r="CP43" s="371"/>
      <c r="CQ43" s="372" t="s">
        <v>189</v>
      </c>
      <c r="CR43" s="373"/>
      <c r="CS43" s="374"/>
      <c r="CT43" s="344" t="s">
        <v>190</v>
      </c>
      <c r="CU43" s="345"/>
      <c r="CV43" s="487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504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551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526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>
      <c r="A44" s="402" t="s">
        <v>191</v>
      </c>
      <c r="B44" s="402"/>
      <c r="C44" s="403">
        <f>SUM(E9:E24)</f>
        <v>11358</v>
      </c>
      <c r="D44" s="404"/>
      <c r="E44" s="405"/>
      <c r="F44" s="406">
        <f>SUM(H9:H24)</f>
        <v>7513.5299999999988</v>
      </c>
      <c r="G44" s="407"/>
      <c r="H44" s="408"/>
      <c r="I44" s="406"/>
      <c r="J44" s="408"/>
      <c r="K44" s="409"/>
      <c r="L44" s="410"/>
      <c r="M44" s="411"/>
      <c r="N44" s="411"/>
      <c r="O44" s="406">
        <f>SUM(Q9:Q24)</f>
        <v>1032.9800000000032</v>
      </c>
      <c r="P44" s="407"/>
      <c r="Q44" s="408"/>
      <c r="R44" s="412"/>
      <c r="S44" s="413"/>
      <c r="T44" s="381"/>
      <c r="U44" s="350">
        <f>SUM(W9:W24)</f>
        <v>-8204545.4400000004</v>
      </c>
      <c r="V44" s="351"/>
      <c r="W44" s="352"/>
      <c r="X44" s="350">
        <f>SUM(Z9:Z24)</f>
        <v>-15578561.039999999</v>
      </c>
      <c r="Y44" s="351"/>
      <c r="Z44" s="352"/>
      <c r="AA44" s="350">
        <f>SUM(AC9:AC24)</f>
        <v>-15836971.920000002</v>
      </c>
      <c r="AB44" s="351"/>
      <c r="AC44" s="352"/>
      <c r="AD44" s="350">
        <f>SUM(AF9:AF24)</f>
        <v>-18967085.760000002</v>
      </c>
      <c r="AE44" s="351"/>
      <c r="AF44" s="352"/>
      <c r="AG44" s="350">
        <f>SUM(AI9:AI24)</f>
        <v>-19227689.039999999</v>
      </c>
      <c r="AH44" s="351"/>
      <c r="AI44" s="352"/>
      <c r="AJ44" s="350">
        <f>SUM(AL9:AL24)</f>
        <v>-17693496.239999998</v>
      </c>
      <c r="AK44" s="351"/>
      <c r="AL44" s="352"/>
      <c r="AM44" s="350">
        <f>SUM(AO9:AO24)</f>
        <v>-14884008.719999999</v>
      </c>
      <c r="AN44" s="351"/>
      <c r="AO44" s="352"/>
      <c r="AP44" s="350">
        <f>SUM(AR9:AR24)</f>
        <v>-14414542.799999999</v>
      </c>
      <c r="AQ44" s="351"/>
      <c r="AR44" s="352"/>
      <c r="AS44" s="350">
        <f>SUM(AU9:AU24)</f>
        <v>-11250130.08</v>
      </c>
      <c r="AT44" s="351"/>
      <c r="AU44" s="352"/>
      <c r="AV44" s="350">
        <f>SUM(AX9:AX24)</f>
        <v>-17832591.84</v>
      </c>
      <c r="AW44" s="351"/>
      <c r="AX44" s="351"/>
      <c r="AY44" s="356"/>
      <c r="AZ44" s="351">
        <f>SUM(BB9:BB24)</f>
        <v>-78229800</v>
      </c>
      <c r="BA44" s="351"/>
      <c r="BB44" s="351"/>
      <c r="BC44" s="350">
        <f>SUM(BE9:BE24)</f>
        <v>-81187800</v>
      </c>
      <c r="BD44" s="351"/>
      <c r="BE44" s="351"/>
      <c r="BF44" s="346">
        <f>SUM(BH9:BH24)</f>
        <v>-75092800</v>
      </c>
      <c r="BG44" s="346"/>
      <c r="BH44" s="346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363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46">
        <f>SUM(CM9:CM24)</f>
        <v>-269697</v>
      </c>
      <c r="CL44" s="346"/>
      <c r="CM44" s="346"/>
      <c r="CN44" s="346">
        <f>SUM(CP9:CP24)</f>
        <v>-217553</v>
      </c>
      <c r="CO44" s="346"/>
      <c r="CP44" s="346"/>
      <c r="CQ44" s="346">
        <f>SUM(CS9:CS24)</f>
        <v>-360873</v>
      </c>
      <c r="CR44" s="346"/>
      <c r="CS44" s="346"/>
      <c r="CT44" s="96"/>
      <c r="CU44" s="177"/>
      <c r="CV44" s="487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504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551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526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>
      <c r="A45" s="563" t="s">
        <v>191</v>
      </c>
      <c r="B45" s="563"/>
      <c r="C45" s="564">
        <f>SUM(D9:D24)</f>
        <v>-225226</v>
      </c>
      <c r="D45" s="564"/>
      <c r="E45" s="565"/>
      <c r="F45" s="564">
        <f>SUM(G9:G24)</f>
        <v>-251689</v>
      </c>
      <c r="G45" s="564"/>
      <c r="H45" s="565"/>
      <c r="I45" s="566"/>
      <c r="J45" s="566"/>
      <c r="K45" s="566"/>
      <c r="L45" s="566"/>
      <c r="M45" s="566"/>
      <c r="N45" s="566"/>
      <c r="O45" s="564">
        <f>SUM(P9:P24)</f>
        <v>-118193</v>
      </c>
      <c r="P45" s="564"/>
      <c r="Q45" s="565"/>
      <c r="R45" s="567"/>
      <c r="S45" s="568"/>
      <c r="T45" s="382"/>
      <c r="U45" s="335">
        <f>SUM(V9:V24)</f>
        <v>-8204545.4400000004</v>
      </c>
      <c r="V45" s="335"/>
      <c r="W45" s="336"/>
      <c r="X45" s="335">
        <f>SUM(Y9:Y24)</f>
        <v>-15578561.039999999</v>
      </c>
      <c r="Y45" s="335"/>
      <c r="Z45" s="336"/>
      <c r="AA45" s="335">
        <f>SUM(AB9:AB24)</f>
        <v>-15836971.920000002</v>
      </c>
      <c r="AB45" s="335"/>
      <c r="AC45" s="336"/>
      <c r="AD45" s="335">
        <f>SUM(AE9:AE24)</f>
        <v>-18967085.760000002</v>
      </c>
      <c r="AE45" s="335"/>
      <c r="AF45" s="336"/>
      <c r="AG45" s="335">
        <f>SUM(AH9:AH24)</f>
        <v>-19227689.039999999</v>
      </c>
      <c r="AH45" s="335"/>
      <c r="AI45" s="336"/>
      <c r="AJ45" s="335">
        <f>SUM(AK9:AK24)</f>
        <v>-17693496.239999998</v>
      </c>
      <c r="AK45" s="335"/>
      <c r="AL45" s="336"/>
      <c r="AM45" s="335">
        <f>SUM(AN9:AN24)</f>
        <v>-14884008.719999999</v>
      </c>
      <c r="AN45" s="335"/>
      <c r="AO45" s="336"/>
      <c r="AP45" s="335">
        <f>SUM(AQ9:AQ24)</f>
        <v>-14414542.799999999</v>
      </c>
      <c r="AQ45" s="335"/>
      <c r="AR45" s="336"/>
      <c r="AS45" s="335">
        <f>SUM(AT9:AT24)</f>
        <v>-11250130.08</v>
      </c>
      <c r="AT45" s="335"/>
      <c r="AU45" s="336"/>
      <c r="AV45" s="335">
        <f>SUM(AW9:AW24)</f>
        <v>-17832591.84</v>
      </c>
      <c r="AW45" s="335"/>
      <c r="AX45" s="335"/>
      <c r="AY45" s="356"/>
      <c r="AZ45" s="336">
        <f>SUM(BA9:BA24)</f>
        <v>-78229800</v>
      </c>
      <c r="BA45" s="346"/>
      <c r="BB45" s="346"/>
      <c r="BC45" s="346">
        <f>SUM(BD9:BD24)</f>
        <v>-81187800</v>
      </c>
      <c r="BD45" s="346"/>
      <c r="BE45" s="346"/>
      <c r="BF45" s="346">
        <f>SUM(BG9:BG24)</f>
        <v>-75092800</v>
      </c>
      <c r="BG45" s="346"/>
      <c r="BH45" s="346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363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46">
        <f>SUM(CL9:CL24)</f>
        <v>-269697</v>
      </c>
      <c r="CL45" s="346"/>
      <c r="CM45" s="346"/>
      <c r="CN45" s="346">
        <f>SUM(CO9:CO24)</f>
        <v>-217553</v>
      </c>
      <c r="CO45" s="346"/>
      <c r="CP45" s="346"/>
      <c r="CQ45" s="346">
        <f>SUM(CR9:CR24)</f>
        <v>-360873</v>
      </c>
      <c r="CR45" s="346"/>
      <c r="CS45" s="346"/>
      <c r="CT45" s="101"/>
      <c r="CU45" s="178"/>
      <c r="CV45" s="487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504"/>
      <c r="DT45" s="347" t="s">
        <v>192</v>
      </c>
      <c r="DU45" s="348"/>
      <c r="DV45" s="348"/>
      <c r="DW45" s="348"/>
      <c r="DX45" s="348"/>
      <c r="DY45" s="348"/>
      <c r="DZ45" s="348"/>
      <c r="EA45" s="348"/>
      <c r="EB45" s="348"/>
      <c r="EC45" s="348"/>
      <c r="ED45" s="348"/>
      <c r="EE45" s="348"/>
      <c r="EF45" s="348"/>
      <c r="EG45" s="348"/>
      <c r="EH45" s="348"/>
      <c r="EI45" s="348"/>
      <c r="EJ45" s="349"/>
      <c r="EK45" s="360"/>
      <c r="EL45" s="360"/>
      <c r="EM45" s="360"/>
      <c r="EN45" s="360"/>
      <c r="EO45" s="360"/>
      <c r="EP45" s="360"/>
      <c r="EQ45" s="360"/>
      <c r="ER45" s="360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6"/>
      <c r="AZ46" s="375">
        <f>AZ44-AZ45</f>
        <v>0</v>
      </c>
      <c r="BA46" s="376"/>
      <c r="BB46" s="376"/>
      <c r="BC46" s="375">
        <f>BC45-BC44</f>
        <v>0</v>
      </c>
      <c r="BD46" s="376"/>
      <c r="BE46" s="376"/>
      <c r="BF46" s="375">
        <f>BF45-BF44</f>
        <v>0</v>
      </c>
      <c r="BG46" s="376"/>
      <c r="BH46" s="37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363"/>
      <c r="BV46" s="367"/>
      <c r="BW46" s="367"/>
      <c r="BX46" s="367"/>
      <c r="BY46" s="367"/>
      <c r="BZ46" s="367"/>
      <c r="CA46" s="367"/>
      <c r="CB46" s="367"/>
      <c r="CC46" s="367"/>
      <c r="CD46" s="367"/>
      <c r="CE46" s="367"/>
      <c r="CF46" s="367"/>
      <c r="CG46" s="367"/>
      <c r="CH46" s="367"/>
      <c r="CI46" s="367"/>
      <c r="CJ46" s="367"/>
      <c r="CK46" s="367"/>
      <c r="CL46" s="367"/>
      <c r="CM46" s="367"/>
      <c r="CN46" s="367"/>
      <c r="CO46" s="367"/>
      <c r="CP46" s="367"/>
      <c r="CQ46" s="367"/>
      <c r="CR46" s="367"/>
      <c r="CS46" s="367"/>
      <c r="CT46" s="367"/>
      <c r="CU46" s="368"/>
      <c r="CV46" s="487"/>
    </row>
    <row r="47" spans="1:160" ht="33.75" customHeight="1">
      <c r="A47" s="343" t="s">
        <v>194</v>
      </c>
      <c r="B47" s="343"/>
      <c r="C47" s="331">
        <f>SUM(E9:E39)</f>
        <v>19672</v>
      </c>
      <c r="D47" s="332"/>
      <c r="E47" s="333"/>
      <c r="F47" s="331">
        <f>SUM(H9:H39)</f>
        <v>13437.529999999999</v>
      </c>
      <c r="G47" s="332"/>
      <c r="H47" s="333"/>
      <c r="I47" s="337">
        <v>7048.9</v>
      </c>
      <c r="J47" s="337"/>
      <c r="K47" s="337">
        <v>7702.2000000000116</v>
      </c>
      <c r="L47" s="337"/>
      <c r="M47" s="337"/>
      <c r="N47" s="337"/>
      <c r="O47" s="337">
        <f>SUM(Q9:Q39)</f>
        <v>2041.2700000000041</v>
      </c>
      <c r="P47" s="337"/>
      <c r="Q47" s="337"/>
      <c r="R47" s="331">
        <v>476</v>
      </c>
      <c r="S47" s="332"/>
      <c r="T47" s="338"/>
      <c r="U47" s="334">
        <f>SUM(W9:W39)</f>
        <v>-8204545.4400000004</v>
      </c>
      <c r="V47" s="335"/>
      <c r="W47" s="336"/>
      <c r="X47" s="334">
        <f>SUM(Z9:Z39)</f>
        <v>-15578561.039999999</v>
      </c>
      <c r="Y47" s="335"/>
      <c r="Z47" s="336"/>
      <c r="AA47" s="334">
        <f>SUM(AC9:AC39)</f>
        <v>-15836971.920000002</v>
      </c>
      <c r="AB47" s="335"/>
      <c r="AC47" s="336"/>
      <c r="AD47" s="334">
        <f>SUM(AF9:AF39)</f>
        <v>-18967085.760000002</v>
      </c>
      <c r="AE47" s="335"/>
      <c r="AF47" s="336"/>
      <c r="AG47" s="334">
        <f>SUM(AI9:AI39)</f>
        <v>-19227689.039999999</v>
      </c>
      <c r="AH47" s="335"/>
      <c r="AI47" s="336"/>
      <c r="AJ47" s="334">
        <f>SUM(AL9:AL39)</f>
        <v>-17693496.239999998</v>
      </c>
      <c r="AK47" s="335"/>
      <c r="AL47" s="336"/>
      <c r="AM47" s="334">
        <f>SUM(AO9:AO39)</f>
        <v>-14884008.719999999</v>
      </c>
      <c r="AN47" s="335"/>
      <c r="AO47" s="336"/>
      <c r="AP47" s="334">
        <f>SUM(AR9:AR39)</f>
        <v>-14414542.799999999</v>
      </c>
      <c r="AQ47" s="335"/>
      <c r="AR47" s="336"/>
      <c r="AS47" s="334">
        <f>SUM(AU9:AU39)</f>
        <v>-11250130.08</v>
      </c>
      <c r="AT47" s="335"/>
      <c r="AU47" s="336"/>
      <c r="AV47" s="334">
        <f>SUM(AX9:AX39)</f>
        <v>-17832591.84</v>
      </c>
      <c r="AW47" s="335"/>
      <c r="AX47" s="335"/>
      <c r="AY47" s="356"/>
      <c r="AZ47" s="319">
        <v>347300</v>
      </c>
      <c r="BA47" s="319"/>
      <c r="BB47" s="320"/>
      <c r="BC47" s="321">
        <v>361100</v>
      </c>
      <c r="BD47" s="319"/>
      <c r="BE47" s="320"/>
      <c r="BF47" s="321">
        <v>558842</v>
      </c>
      <c r="BG47" s="319"/>
      <c r="BH47" s="320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2">
        <v>131110</v>
      </c>
      <c r="BT47" s="573"/>
      <c r="BU47" s="363"/>
      <c r="BV47" s="574"/>
      <c r="BW47" s="574"/>
      <c r="BX47" s="108"/>
      <c r="BY47" s="316">
        <v>718</v>
      </c>
      <c r="BZ47" s="317"/>
      <c r="CA47" s="316">
        <v>719</v>
      </c>
      <c r="CB47" s="317"/>
      <c r="CC47" s="316">
        <v>234</v>
      </c>
      <c r="CD47" s="317"/>
      <c r="CE47" s="316">
        <v>265</v>
      </c>
      <c r="CF47" s="317"/>
      <c r="CG47" s="316">
        <v>368</v>
      </c>
      <c r="CH47" s="317"/>
      <c r="CI47" s="316">
        <v>820</v>
      </c>
      <c r="CJ47" s="317"/>
      <c r="CK47" s="334">
        <f>SUM(CM9:CM39)</f>
        <v>-269697</v>
      </c>
      <c r="CL47" s="335"/>
      <c r="CM47" s="336"/>
      <c r="CN47" s="334">
        <f>SUM(CP9:CP39)</f>
        <v>-217553</v>
      </c>
      <c r="CO47" s="335"/>
      <c r="CP47" s="336"/>
      <c r="CQ47" s="334">
        <f>SUM(CS9:CS39)</f>
        <v>-360873</v>
      </c>
      <c r="CR47" s="335"/>
      <c r="CS47" s="336"/>
      <c r="CT47" s="569">
        <v>3894</v>
      </c>
      <c r="CU47" s="570"/>
      <c r="CV47" s="487"/>
      <c r="DJ47" s="4">
        <v>487.2</v>
      </c>
    </row>
    <row r="48" spans="1:160" ht="30" customHeight="1">
      <c r="A48" s="310" t="s">
        <v>195</v>
      </c>
      <c r="B48" s="310"/>
      <c r="C48" s="331">
        <f>SUM(D10:D39)</f>
        <v>-225912</v>
      </c>
      <c r="D48" s="332"/>
      <c r="E48" s="333"/>
      <c r="F48" s="331">
        <f>SUM(G9:G39)</f>
        <v>-251689</v>
      </c>
      <c r="G48" s="332"/>
      <c r="H48" s="333"/>
      <c r="I48" s="331">
        <f>SUM(J10:J39)</f>
        <v>-10390</v>
      </c>
      <c r="J48" s="333"/>
      <c r="K48" s="331">
        <f>SUM(L9:L39)</f>
        <v>-924513</v>
      </c>
      <c r="L48" s="333"/>
      <c r="M48" s="331"/>
      <c r="N48" s="333"/>
      <c r="O48" s="331">
        <f>SUM(P9:P39)</f>
        <v>-118193</v>
      </c>
      <c r="P48" s="332"/>
      <c r="Q48" s="333"/>
      <c r="R48" s="331">
        <f>SUM(S9:S39)</f>
        <v>-6524</v>
      </c>
      <c r="S48" s="332"/>
      <c r="T48" s="338"/>
      <c r="U48" s="339">
        <f>SUM(V9:V39)</f>
        <v>-8204545.4400000004</v>
      </c>
      <c r="V48" s="340"/>
      <c r="W48" s="341"/>
      <c r="X48" s="339">
        <f>SUM(Y9:Y39)</f>
        <v>-15578561.039999999</v>
      </c>
      <c r="Y48" s="340"/>
      <c r="Z48" s="341"/>
      <c r="AA48" s="328">
        <f>SUM(AB9:AB39)</f>
        <v>-15836971.920000002</v>
      </c>
      <c r="AB48" s="329"/>
      <c r="AC48" s="330"/>
      <c r="AD48" s="328">
        <f>SUM(AE9:AE39)</f>
        <v>-18967085.760000002</v>
      </c>
      <c r="AE48" s="329"/>
      <c r="AF48" s="330"/>
      <c r="AG48" s="328">
        <f>SUM(AH9:AH39)</f>
        <v>-19227689.039999999</v>
      </c>
      <c r="AH48" s="329"/>
      <c r="AI48" s="330"/>
      <c r="AJ48" s="328">
        <f>SUM(AK9:AK39)</f>
        <v>-17693496.239999998</v>
      </c>
      <c r="AK48" s="329"/>
      <c r="AL48" s="330"/>
      <c r="AM48" s="328">
        <f>SUM(AN9:AN39)</f>
        <v>-14884008.719999999</v>
      </c>
      <c r="AN48" s="329"/>
      <c r="AO48" s="330"/>
      <c r="AP48" s="328">
        <f>SUM(AQ9:AQ39)</f>
        <v>-14414542.799999999</v>
      </c>
      <c r="AQ48" s="329"/>
      <c r="AR48" s="330"/>
      <c r="AS48" s="328">
        <f>SUM(AT9:AT39)</f>
        <v>-11250130.08</v>
      </c>
      <c r="AT48" s="329"/>
      <c r="AU48" s="330"/>
      <c r="AV48" s="328">
        <f>SUM(AW9:AW39)</f>
        <v>-17832591.84</v>
      </c>
      <c r="AW48" s="329"/>
      <c r="AX48" s="329"/>
      <c r="AY48" s="356"/>
      <c r="AZ48" s="319">
        <f>SUM(BA9:BA40)</f>
        <v>-78229800</v>
      </c>
      <c r="BA48" s="319"/>
      <c r="BB48" s="320"/>
      <c r="BC48" s="319">
        <f t="shared" ref="BC48" si="0">SUM(BD9:BD40)</f>
        <v>-81187800</v>
      </c>
      <c r="BD48" s="319"/>
      <c r="BE48" s="320"/>
      <c r="BF48" s="319">
        <f t="shared" ref="BF48" si="1">SUM(BG9:BG40)</f>
        <v>-75092800</v>
      </c>
      <c r="BG48" s="319"/>
      <c r="BH48" s="32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71">
        <f>SUM(BT9:BT39)</f>
        <v>-10384850</v>
      </c>
      <c r="BT48" s="571"/>
      <c r="BU48" s="363"/>
      <c r="BV48" s="575"/>
      <c r="BW48" s="576"/>
      <c r="BX48" s="111"/>
      <c r="BY48" s="316">
        <f>SUM(BZ9:BZ39)</f>
        <v>-64774</v>
      </c>
      <c r="BZ48" s="317"/>
      <c r="CA48" s="316">
        <f>SUM(CB9:CB39)</f>
        <v>-55850</v>
      </c>
      <c r="CB48" s="317"/>
      <c r="CC48" s="316">
        <f>SUM(CD9:CD39)</f>
        <v>-18895</v>
      </c>
      <c r="CD48" s="317"/>
      <c r="CE48" s="316">
        <f>SUM(CF9:CF39)</f>
        <v>-25836</v>
      </c>
      <c r="CF48" s="317"/>
      <c r="CG48" s="316">
        <f>SUM(CH9:CH39)</f>
        <v>-28807</v>
      </c>
      <c r="CH48" s="317"/>
      <c r="CI48" s="316">
        <f>SUM(CJ9:CJ39)</f>
        <v>-63265</v>
      </c>
      <c r="CJ48" s="317"/>
      <c r="CK48" s="316">
        <f>SUM(CL9:CL39)</f>
        <v>-269697</v>
      </c>
      <c r="CL48" s="318"/>
      <c r="CM48" s="317"/>
      <c r="CN48" s="316">
        <f>SUM(CO9:CO39)</f>
        <v>-217553</v>
      </c>
      <c r="CO48" s="318"/>
      <c r="CP48" s="317"/>
      <c r="CQ48" s="316">
        <f>SUM(CR9:CR39)</f>
        <v>-360873</v>
      </c>
      <c r="CR48" s="318"/>
      <c r="CS48" s="317"/>
      <c r="CT48" s="316">
        <f>SUM(CU9:CU39)</f>
        <v>-698665</v>
      </c>
      <c r="CU48" s="318"/>
      <c r="CV48" s="487"/>
    </row>
    <row r="49" spans="1:159" ht="30" customHeight="1">
      <c r="A49" s="577" t="s">
        <v>193</v>
      </c>
      <c r="B49" s="577"/>
      <c r="C49" s="311">
        <f>C47-C48</f>
        <v>245584</v>
      </c>
      <c r="D49" s="312"/>
      <c r="E49" s="327"/>
      <c r="F49" s="311">
        <f>F47-F48</f>
        <v>265126.53000000003</v>
      </c>
      <c r="G49" s="312"/>
      <c r="H49" s="327"/>
      <c r="I49" s="311">
        <f>I47-I48</f>
        <v>17438.900000000001</v>
      </c>
      <c r="J49" s="327"/>
      <c r="K49" s="311">
        <f>K47-K48</f>
        <v>932215.2</v>
      </c>
      <c r="L49" s="327"/>
      <c r="M49" s="311"/>
      <c r="N49" s="327"/>
      <c r="O49" s="342">
        <f>O47-O48</f>
        <v>120234.27</v>
      </c>
      <c r="P49" s="342"/>
      <c r="Q49" s="342"/>
      <c r="R49" s="311">
        <f>R47-R48</f>
        <v>7000</v>
      </c>
      <c r="S49" s="312"/>
      <c r="T49" s="338"/>
      <c r="U49" s="313">
        <f>U48-U47</f>
        <v>0</v>
      </c>
      <c r="V49" s="314"/>
      <c r="W49" s="315"/>
      <c r="X49" s="313">
        <f>X47-X48</f>
        <v>0</v>
      </c>
      <c r="Y49" s="314"/>
      <c r="Z49" s="315"/>
      <c r="AA49" s="313">
        <f>AA47-AA48</f>
        <v>0</v>
      </c>
      <c r="AB49" s="314"/>
      <c r="AC49" s="315"/>
      <c r="AD49" s="313">
        <f>AD47-AD48</f>
        <v>0</v>
      </c>
      <c r="AE49" s="314"/>
      <c r="AF49" s="315"/>
      <c r="AG49" s="313">
        <f>AG47-AG48</f>
        <v>0</v>
      </c>
      <c r="AH49" s="314"/>
      <c r="AI49" s="315"/>
      <c r="AJ49" s="313">
        <f>AJ47-AJ48</f>
        <v>0</v>
      </c>
      <c r="AK49" s="314"/>
      <c r="AL49" s="315"/>
      <c r="AM49" s="313">
        <f>AM47-AM48</f>
        <v>0</v>
      </c>
      <c r="AN49" s="314"/>
      <c r="AO49" s="315"/>
      <c r="AP49" s="313">
        <f>AP47-AP48</f>
        <v>0</v>
      </c>
      <c r="AQ49" s="314"/>
      <c r="AR49" s="315"/>
      <c r="AS49" s="313">
        <f>AS47-AS48</f>
        <v>0</v>
      </c>
      <c r="AT49" s="314"/>
      <c r="AU49" s="315"/>
      <c r="AV49" s="313">
        <f>AV47-AV48</f>
        <v>0</v>
      </c>
      <c r="AW49" s="314"/>
      <c r="AX49" s="314"/>
      <c r="AY49" s="356"/>
      <c r="AZ49" s="319">
        <f>AZ48-AZ47</f>
        <v>-78577100</v>
      </c>
      <c r="BA49" s="319"/>
      <c r="BB49" s="320"/>
      <c r="BC49" s="319">
        <f t="shared" ref="BC49" si="2">BC48-BC47</f>
        <v>-81548900</v>
      </c>
      <c r="BD49" s="319"/>
      <c r="BE49" s="320"/>
      <c r="BF49" s="319">
        <f t="shared" ref="BF49" si="3">BF48-BF47</f>
        <v>-75651642</v>
      </c>
      <c r="BG49" s="319"/>
      <c r="BH49" s="320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21"/>
      <c r="BT49" s="320"/>
      <c r="BU49" s="363"/>
      <c r="BV49" s="322"/>
      <c r="BW49" s="32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324">
        <f>CK47-CK48</f>
        <v>0</v>
      </c>
      <c r="CL49" s="325"/>
      <c r="CM49" s="326"/>
      <c r="CN49" s="324">
        <f>CN47-CN48</f>
        <v>0</v>
      </c>
      <c r="CO49" s="325"/>
      <c r="CP49" s="326"/>
      <c r="CQ49" s="324">
        <f>CQ47-CQ48</f>
        <v>0</v>
      </c>
      <c r="CR49" s="325"/>
      <c r="CS49" s="326"/>
      <c r="CT49" s="578">
        <f>CT47-CT48</f>
        <v>702559</v>
      </c>
      <c r="CU49" s="324"/>
      <c r="CV49" s="487"/>
    </row>
    <row r="50" spans="1:159" ht="31.5" customHeight="1" thickBot="1">
      <c r="A50" s="579" t="s">
        <v>196</v>
      </c>
      <c r="B50" s="579"/>
      <c r="C50" s="579"/>
      <c r="D50" s="579"/>
      <c r="E50" s="579"/>
      <c r="F50" s="579"/>
      <c r="G50" s="579"/>
      <c r="H50" s="579"/>
      <c r="I50" s="579"/>
      <c r="J50" s="579"/>
      <c r="K50" s="579"/>
      <c r="L50" s="579"/>
      <c r="M50" s="579"/>
      <c r="N50" s="579"/>
      <c r="O50" s="579"/>
      <c r="P50" s="579"/>
      <c r="Q50" s="579"/>
      <c r="R50" s="579"/>
      <c r="S50" s="579"/>
      <c r="T50" s="579"/>
      <c r="U50" s="580" t="s">
        <v>197</v>
      </c>
      <c r="V50" s="581"/>
      <c r="W50" s="581"/>
      <c r="X50" s="581"/>
      <c r="Y50" s="581"/>
      <c r="Z50" s="582"/>
      <c r="AA50" s="299">
        <f>SUM(U47,X47,AA47,AD47,AG47,AJ47,AM47,AP47,AS47,AV47)</f>
        <v>-153889622.88000003</v>
      </c>
      <c r="AB50" s="300"/>
      <c r="AC50" s="300"/>
      <c r="AD50" s="300"/>
      <c r="AE50" s="300"/>
      <c r="AF50" s="301"/>
      <c r="AG50" s="583" t="s">
        <v>198</v>
      </c>
      <c r="AH50" s="584"/>
      <c r="AI50" s="584"/>
      <c r="AJ50" s="584"/>
      <c r="AK50" s="584"/>
      <c r="AL50" s="585"/>
      <c r="AM50" s="586">
        <f>SUM(U48,X48,AA48,AD48,AG48,AJ48,AM48,AP48,AS48,AV48)</f>
        <v>-153889622.88000003</v>
      </c>
      <c r="AN50" s="587"/>
      <c r="AO50" s="587"/>
      <c r="AP50" s="587"/>
      <c r="AQ50" s="587"/>
      <c r="AR50" s="588"/>
      <c r="AS50" s="306" t="s">
        <v>199</v>
      </c>
      <c r="AT50" s="307"/>
      <c r="AU50" s="308"/>
      <c r="AV50" s="306">
        <f>AA50-AM50</f>
        <v>0</v>
      </c>
      <c r="AW50" s="307"/>
      <c r="AX50" s="307"/>
      <c r="AY50" s="356"/>
      <c r="AZ50" s="589">
        <v>44577</v>
      </c>
      <c r="BA50" s="590"/>
      <c r="BB50" s="591"/>
      <c r="BC50" s="589">
        <v>44942</v>
      </c>
      <c r="BD50" s="590"/>
      <c r="BE50" s="591"/>
      <c r="BF50" s="280" t="s">
        <v>193</v>
      </c>
      <c r="BG50" s="281"/>
      <c r="BH50" s="309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2"/>
      <c r="BT50" s="283"/>
      <c r="BU50" s="363"/>
      <c r="BV50" s="322"/>
      <c r="BW50" s="32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322"/>
      <c r="CL50" s="593"/>
      <c r="CM50" s="323"/>
      <c r="CN50" s="322"/>
      <c r="CO50" s="593"/>
      <c r="CP50" s="323"/>
      <c r="CQ50" s="322"/>
      <c r="CR50" s="593"/>
      <c r="CS50" s="323"/>
      <c r="CT50" s="592"/>
      <c r="CU50" s="322"/>
      <c r="CV50" s="488"/>
    </row>
    <row r="51" spans="1:159" ht="27.75" customHeight="1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34"/>
      <c r="U51" s="296" t="s">
        <v>200</v>
      </c>
      <c r="V51" s="297"/>
      <c r="W51" s="297"/>
      <c r="X51" s="297"/>
      <c r="Y51" s="297"/>
      <c r="Z51" s="298"/>
      <c r="AA51" s="299">
        <f>SUM(U44:AX44)</f>
        <v>-153889622.88000003</v>
      </c>
      <c r="AB51" s="300"/>
      <c r="AC51" s="300"/>
      <c r="AD51" s="300"/>
      <c r="AE51" s="300"/>
      <c r="AF51" s="301"/>
      <c r="AG51" s="302" t="s">
        <v>201</v>
      </c>
      <c r="AH51" s="303"/>
      <c r="AI51" s="303"/>
      <c r="AJ51" s="303"/>
      <c r="AK51" s="303"/>
      <c r="AL51" s="304"/>
      <c r="AM51" s="305">
        <f>SUM(U45:AX45)</f>
        <v>-153889622.88000003</v>
      </c>
      <c r="AN51" s="305"/>
      <c r="AO51" s="305"/>
      <c r="AP51" s="305"/>
      <c r="AQ51" s="305"/>
      <c r="AR51" s="305"/>
      <c r="AS51" s="306" t="s">
        <v>199</v>
      </c>
      <c r="AT51" s="307"/>
      <c r="AU51" s="308"/>
      <c r="AV51" s="306">
        <f>AA51-AM51</f>
        <v>0</v>
      </c>
      <c r="AW51" s="307"/>
      <c r="AX51" s="308"/>
      <c r="AY51" s="356"/>
      <c r="AZ51" s="280">
        <f>SUM(AZ47,BC47,BF47)</f>
        <v>1267242</v>
      </c>
      <c r="BA51" s="281"/>
      <c r="BB51" s="309"/>
      <c r="BC51" s="280">
        <f>SUM(AZ48:BG48)</f>
        <v>-234510400</v>
      </c>
      <c r="BD51" s="281"/>
      <c r="BE51" s="309"/>
      <c r="BF51" s="280">
        <v>643100</v>
      </c>
      <c r="BG51" s="281"/>
      <c r="BH51" s="281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2"/>
      <c r="BT51" s="283"/>
      <c r="BU51" s="363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>
      <c r="A52" s="284"/>
      <c r="B52" s="284"/>
      <c r="C52" s="284"/>
      <c r="D52" s="285"/>
      <c r="E52" s="285"/>
      <c r="F52" s="285"/>
      <c r="G52" s="286"/>
      <c r="H52" s="286"/>
      <c r="I52" s="286"/>
      <c r="J52" s="286"/>
      <c r="K52" s="117"/>
      <c r="L52" s="285"/>
      <c r="M52" s="285"/>
      <c r="N52" s="285"/>
      <c r="O52" s="285"/>
      <c r="P52" s="36"/>
      <c r="Q52" s="36"/>
      <c r="R52" s="118"/>
      <c r="S52" s="37"/>
      <c r="T52" s="38"/>
      <c r="U52" s="287"/>
      <c r="V52" s="287"/>
      <c r="W52" s="39"/>
      <c r="X52" s="288"/>
      <c r="Y52" s="288"/>
      <c r="Z52" s="7"/>
      <c r="AA52" s="119"/>
      <c r="AY52" s="356"/>
    </row>
    <row r="53" spans="1:159" ht="25.5" customHeight="1">
      <c r="A53" s="289">
        <v>487.2</v>
      </c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  <c r="BB53" s="289"/>
      <c r="BC53" s="289"/>
      <c r="BD53" s="289"/>
      <c r="BE53" s="289"/>
      <c r="BF53" s="289"/>
      <c r="BG53" s="289"/>
      <c r="BH53" s="289"/>
      <c r="BI53" s="289"/>
      <c r="BJ53" s="289"/>
      <c r="BK53" s="289"/>
      <c r="BL53" s="289"/>
      <c r="BM53" s="289"/>
      <c r="BN53" s="289"/>
      <c r="BO53" s="289"/>
      <c r="BP53" s="289"/>
      <c r="BQ53" s="289"/>
      <c r="BR53" s="289"/>
      <c r="BS53" s="289"/>
      <c r="BT53" s="289"/>
      <c r="BU53" s="289"/>
      <c r="BV53" s="289"/>
      <c r="BW53" s="289"/>
      <c r="BX53" s="289"/>
      <c r="BY53" s="289"/>
      <c r="BZ53" s="289"/>
      <c r="CA53" s="289"/>
      <c r="CB53" s="289"/>
      <c r="CC53" s="289"/>
      <c r="CD53" s="289"/>
      <c r="CE53" s="289"/>
      <c r="CF53" s="289"/>
      <c r="CG53" s="289"/>
      <c r="CH53" s="289"/>
      <c r="CI53" s="289"/>
      <c r="CJ53" s="289"/>
      <c r="CK53" s="289"/>
      <c r="CL53" s="289"/>
      <c r="CM53" s="289"/>
      <c r="CN53" s="289"/>
      <c r="CO53" s="289"/>
      <c r="CP53" s="289"/>
      <c r="CQ53" s="289"/>
      <c r="CR53" s="289"/>
      <c r="CS53" s="289"/>
      <c r="CT53" s="289"/>
      <c r="CU53" s="289"/>
    </row>
    <row r="54" spans="1:159" s="1" customFormat="1" ht="12.75" customHeight="1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40"/>
      <c r="R54" s="40"/>
      <c r="S54" s="149"/>
      <c r="T54" s="38"/>
      <c r="U54" s="293"/>
      <c r="V54" s="293"/>
      <c r="W54" s="293"/>
      <c r="X54" s="293"/>
      <c r="Y54" s="293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4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2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291"/>
      <c r="AX55" s="291"/>
      <c r="AY55" s="292"/>
      <c r="AZ55" s="292"/>
      <c r="BA55" s="292"/>
      <c r="BB55" s="292"/>
      <c r="BC55" s="292"/>
      <c r="BD55" s="292"/>
      <c r="BE55" s="292"/>
      <c r="BF55" s="292"/>
      <c r="BG55" s="292"/>
      <c r="BH55" s="292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>
      <c r="A56" s="272"/>
      <c r="B56" s="272"/>
      <c r="C56" s="272"/>
      <c r="D56" s="272"/>
      <c r="E56" s="272"/>
      <c r="F56" s="272"/>
      <c r="G56" s="272"/>
      <c r="H56" s="272"/>
      <c r="I56" s="272"/>
      <c r="J56" s="273"/>
      <c r="K56" s="273"/>
      <c r="L56" s="273"/>
      <c r="M56" s="273"/>
      <c r="N56" s="272"/>
      <c r="O56" s="272"/>
      <c r="P56" s="272"/>
      <c r="Q56" s="272"/>
      <c r="R56" s="272"/>
      <c r="S56" s="272"/>
      <c r="T56" s="272"/>
      <c r="U56" s="272"/>
      <c r="V56" s="290">
        <v>487.2</v>
      </c>
      <c r="W56" s="290"/>
      <c r="X56" s="294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92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91"/>
      <c r="AY56" s="276"/>
      <c r="AZ56" s="276"/>
      <c r="BA56" s="276"/>
      <c r="BB56" s="276"/>
      <c r="BC56" s="276"/>
      <c r="BD56" s="276"/>
      <c r="BE56" s="276"/>
      <c r="BF56" s="276"/>
      <c r="BG56" s="276"/>
      <c r="BH56" s="276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4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2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91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>
      <c r="A58" s="44"/>
      <c r="B58" s="138"/>
      <c r="C58" s="269"/>
      <c r="D58" s="143"/>
      <c r="E58" s="270"/>
      <c r="F58" s="45"/>
      <c r="G58" s="270"/>
      <c r="H58" s="46"/>
      <c r="I58" s="269"/>
      <c r="J58" s="146"/>
      <c r="K58" s="269"/>
      <c r="L58" s="48"/>
      <c r="M58" s="269"/>
      <c r="N58" s="146"/>
      <c r="O58" s="269"/>
      <c r="P58" s="146"/>
      <c r="Q58" s="270"/>
      <c r="R58" s="54"/>
      <c r="S58" s="47"/>
      <c r="T58" s="47"/>
      <c r="U58" s="54"/>
      <c r="V58" s="48"/>
      <c r="W58" s="270"/>
      <c r="X58" s="294"/>
      <c r="Y58" s="2"/>
      <c r="Z58" s="270"/>
      <c r="AB58" s="274"/>
      <c r="AC58" s="45"/>
      <c r="AD58" s="269"/>
      <c r="AE58" s="47"/>
      <c r="AF58" s="270"/>
      <c r="AG58" s="45"/>
      <c r="AH58" s="270"/>
      <c r="AI58" s="45"/>
      <c r="AJ58" s="269"/>
      <c r="AK58" s="292"/>
      <c r="AL58" s="49"/>
      <c r="AM58" s="269"/>
      <c r="AN58" s="153"/>
      <c r="AO58" s="270"/>
      <c r="AP58" s="50"/>
      <c r="AQ58" s="270"/>
      <c r="AS58" s="269"/>
      <c r="AT58" s="2"/>
      <c r="AU58" s="270"/>
      <c r="AV58" s="51"/>
      <c r="AW58" s="275"/>
      <c r="AX58" s="291"/>
      <c r="AY58" s="52"/>
      <c r="AZ58" s="269"/>
      <c r="BA58" s="160"/>
      <c r="BB58" s="270"/>
      <c r="BC58" s="53"/>
      <c r="BD58" s="277"/>
      <c r="BE58" s="53"/>
      <c r="BF58" s="269"/>
      <c r="BG58" s="160"/>
      <c r="BH58" s="270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>
      <c r="A59" s="44"/>
      <c r="B59" s="139"/>
      <c r="C59" s="269"/>
      <c r="D59" s="144"/>
      <c r="E59" s="270"/>
      <c r="F59" s="55"/>
      <c r="G59" s="270"/>
      <c r="H59" s="121"/>
      <c r="I59" s="269"/>
      <c r="J59" s="131"/>
      <c r="K59" s="269"/>
      <c r="L59" s="131"/>
      <c r="M59" s="269"/>
      <c r="N59" s="130"/>
      <c r="O59" s="269"/>
      <c r="P59" s="146"/>
      <c r="Q59" s="270"/>
      <c r="R59" s="54"/>
      <c r="S59" s="47"/>
      <c r="T59" s="47"/>
      <c r="U59" s="54"/>
      <c r="V59" s="48"/>
      <c r="W59" s="270"/>
      <c r="X59" s="294"/>
      <c r="Y59" s="131"/>
      <c r="Z59" s="270"/>
      <c r="AB59" s="274"/>
      <c r="AC59" s="55"/>
      <c r="AD59" s="269"/>
      <c r="AE59" s="47"/>
      <c r="AF59" s="270"/>
      <c r="AG59" s="55"/>
      <c r="AH59" s="270"/>
      <c r="AI59" s="55"/>
      <c r="AJ59" s="269"/>
      <c r="AK59" s="292"/>
      <c r="AL59" s="49"/>
      <c r="AM59" s="269"/>
      <c r="AN59" s="154"/>
      <c r="AO59" s="270"/>
      <c r="AP59" s="50"/>
      <c r="AQ59" s="270"/>
      <c r="AR59" s="56"/>
      <c r="AS59" s="269"/>
      <c r="AT59" s="154"/>
      <c r="AU59" s="270"/>
      <c r="AV59" s="57"/>
      <c r="AW59" s="274"/>
      <c r="AX59" s="291"/>
      <c r="AY59" s="58"/>
      <c r="AZ59" s="269"/>
      <c r="BA59" s="160"/>
      <c r="BB59" s="270"/>
      <c r="BC59" s="53"/>
      <c r="BD59" s="277"/>
      <c r="BE59" s="53"/>
      <c r="BF59" s="269"/>
      <c r="BG59" s="160"/>
      <c r="BH59" s="270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4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2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291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4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2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291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4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2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291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4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2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291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4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2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291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4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2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291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4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2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291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4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2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291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4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2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291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4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2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291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4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2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291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4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2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291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4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2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291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4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2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291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4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2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291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4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2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291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4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2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291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4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2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291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4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2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291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4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2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291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4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2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291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4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2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291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4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2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291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4"/>
      <c r="Y83" s="2"/>
      <c r="Z83" s="48"/>
      <c r="AB83" s="48"/>
      <c r="AD83" s="123"/>
      <c r="AE83" s="60"/>
      <c r="AF83" s="60"/>
      <c r="AH83" s="60"/>
      <c r="AJ83" s="123"/>
      <c r="AK83" s="292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291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4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2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291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4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2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291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4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2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291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4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2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291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4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2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291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4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2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291"/>
      <c r="AY89" s="52"/>
      <c r="AZ89" s="126"/>
      <c r="BA89" s="160"/>
      <c r="BB89" s="63"/>
      <c r="BC89" s="53"/>
      <c r="BD89" s="160"/>
      <c r="BE89" s="53"/>
      <c r="BF89" s="126"/>
    </row>
    <row r="90" spans="1:160" ht="23.25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4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2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91"/>
      <c r="AY90" s="52"/>
      <c r="AZ90" s="129"/>
      <c r="BA90" s="158"/>
      <c r="BB90" s="128"/>
      <c r="BC90" s="129"/>
      <c r="BD90" s="158"/>
      <c r="BE90" s="128"/>
      <c r="BF90" s="129"/>
    </row>
    <row r="91" spans="1:160" ht="23.25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4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2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91"/>
      <c r="AY91" s="52"/>
      <c r="AZ91" s="53"/>
      <c r="BA91" s="164"/>
      <c r="BB91" s="68"/>
      <c r="BC91" s="68"/>
      <c r="BD91" s="158"/>
      <c r="BE91" s="68"/>
      <c r="BF91" s="68"/>
    </row>
    <row r="92" spans="1:160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4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2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91"/>
      <c r="AY92" s="69"/>
    </row>
    <row r="93" spans="1:160">
      <c r="A93" s="67"/>
      <c r="B93" s="141"/>
      <c r="F93" s="1"/>
      <c r="I93" s="1"/>
      <c r="O93" s="1"/>
      <c r="T93" s="1"/>
      <c r="W93" s="1"/>
      <c r="X93" s="294"/>
      <c r="AA93" s="1"/>
      <c r="AD93" s="1"/>
      <c r="AG93" s="1"/>
      <c r="AJ93" s="1"/>
      <c r="AK93" s="292"/>
      <c r="AL93" s="1"/>
      <c r="AM93" s="1"/>
      <c r="AO93" s="61"/>
      <c r="AP93" s="49"/>
      <c r="AR93" s="1"/>
      <c r="AS93" s="1"/>
      <c r="AU93" s="1"/>
      <c r="AV93" s="49"/>
      <c r="AX93" s="291"/>
      <c r="AY93" s="69"/>
    </row>
    <row r="94" spans="1:160" ht="18.75">
      <c r="A94" s="70"/>
      <c r="B94" s="141"/>
      <c r="I94" s="1"/>
      <c r="J94" s="4"/>
      <c r="N94" s="4"/>
      <c r="P94" s="4"/>
      <c r="T94" s="1"/>
      <c r="W94" s="1"/>
      <c r="X94" s="294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  <c r="AK94" s="278"/>
      <c r="AL94" s="278"/>
      <c r="AM94" s="278"/>
      <c r="AN94" s="278"/>
      <c r="AO94" s="278"/>
      <c r="AP94" s="279"/>
      <c r="AQ94" s="279"/>
      <c r="AR94" s="279"/>
      <c r="AS94" s="279"/>
      <c r="AT94" s="279"/>
      <c r="AU94" s="279"/>
      <c r="AV94" s="279"/>
      <c r="AW94" s="279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3B222F-D815-4986-9292-7905088998A8}"/>
</file>

<file path=customXml/itemProps2.xml><?xml version="1.0" encoding="utf-8"?>
<ds:datastoreItem xmlns:ds="http://schemas.openxmlformats.org/officeDocument/2006/customXml" ds:itemID="{C830EE89-7E63-4091-A52E-62BC866BE947}"/>
</file>

<file path=customXml/itemProps3.xml><?xml version="1.0" encoding="utf-8"?>
<ds:datastoreItem xmlns:ds="http://schemas.openxmlformats.org/officeDocument/2006/customXml" ds:itemID="{5B980C07-F8F3-4F22-B562-179C40474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/>
  <cp:revision/>
  <dcterms:created xsi:type="dcterms:W3CDTF">2017-05-03T09:23:30Z</dcterms:created>
  <dcterms:modified xsi:type="dcterms:W3CDTF">2023-01-15T13:17:53Z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