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D462ED7E-9932-46E6-98A7-D25BE90B2E48}" xr6:coauthVersionLast="47" xr6:coauthVersionMax="47" xr10:uidLastSave="{00000000-0000-0000-0000-000000000000}"/>
  <bookViews>
    <workbookView xWindow="-108" yWindow="-108" windowWidth="23256" windowHeight="12456" tabRatio="193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L2" i="1"/>
  <c r="N2" i="1"/>
  <c r="P2" i="1"/>
  <c r="AH2" i="1" l="1"/>
  <c r="Y2" i="1"/>
  <c r="AA2" i="1"/>
  <c r="AB2" i="1"/>
  <c r="AD2" i="1" l="1"/>
  <c r="AE2" i="1" s="1"/>
  <c r="AH13" i="1"/>
  <c r="AH12" i="1"/>
  <c r="AH11" i="1"/>
  <c r="AH10" i="1"/>
  <c r="AH9" i="1"/>
  <c r="AH8" i="1"/>
  <c r="AH7" i="1"/>
  <c r="AH6" i="1"/>
  <c r="AH5" i="1"/>
  <c r="AH4" i="1"/>
  <c r="AH3" i="1"/>
  <c r="AB3" i="1" l="1"/>
  <c r="R3" i="1"/>
  <c r="I3" i="1"/>
  <c r="E3" i="1"/>
  <c r="AA3" i="1"/>
  <c r="Y3" i="1"/>
  <c r="P3" i="1"/>
  <c r="L3" i="1"/>
  <c r="H3" i="1"/>
  <c r="D3" i="1"/>
  <c r="AB10" i="1"/>
  <c r="R10" i="1"/>
  <c r="I10" i="1"/>
  <c r="E10" i="1"/>
  <c r="AA10" i="1"/>
  <c r="Y10" i="1"/>
  <c r="P10" i="1"/>
  <c r="L10" i="1"/>
  <c r="H10" i="1"/>
  <c r="D10" i="1"/>
  <c r="AB9" i="1"/>
  <c r="R9" i="1"/>
  <c r="I9" i="1"/>
  <c r="E9" i="1"/>
  <c r="AA9" i="1"/>
  <c r="Y9" i="1"/>
  <c r="P9" i="1"/>
  <c r="L9" i="1"/>
  <c r="H9" i="1"/>
  <c r="D9" i="1"/>
  <c r="AB8" i="1"/>
  <c r="R8" i="1"/>
  <c r="I8" i="1"/>
  <c r="E8" i="1"/>
  <c r="AA8" i="1"/>
  <c r="Y8" i="1"/>
  <c r="P8" i="1"/>
  <c r="L8" i="1"/>
  <c r="H8" i="1"/>
  <c r="D8" i="1"/>
  <c r="AB7" i="1"/>
  <c r="R7" i="1"/>
  <c r="I7" i="1"/>
  <c r="E7" i="1"/>
  <c r="AA7" i="1"/>
  <c r="Y7" i="1"/>
  <c r="P7" i="1"/>
  <c r="L7" i="1"/>
  <c r="H7" i="1"/>
  <c r="D7" i="1"/>
  <c r="AB6" i="1"/>
  <c r="R6" i="1"/>
  <c r="I6" i="1"/>
  <c r="E6" i="1"/>
  <c r="AA6" i="1"/>
  <c r="Y6" i="1"/>
  <c r="P6" i="1"/>
  <c r="L6" i="1"/>
  <c r="H6" i="1"/>
  <c r="D6" i="1"/>
  <c r="AB5" i="1"/>
  <c r="R5" i="1"/>
  <c r="I5" i="1"/>
  <c r="E5" i="1"/>
  <c r="AA5" i="1"/>
  <c r="Y5" i="1"/>
  <c r="P5" i="1"/>
  <c r="L5" i="1"/>
  <c r="H5" i="1"/>
  <c r="D5" i="1"/>
  <c r="AB4" i="1"/>
  <c r="R4" i="1"/>
  <c r="I4" i="1"/>
  <c r="E4" i="1"/>
  <c r="AA4" i="1"/>
  <c r="Y4" i="1"/>
  <c r="P4" i="1"/>
  <c r="L4" i="1"/>
  <c r="H4" i="1"/>
  <c r="D4" i="1"/>
  <c r="R2" i="1"/>
  <c r="E2" i="1"/>
  <c r="D2" i="1"/>
  <c r="AB13" i="1"/>
  <c r="R13" i="1"/>
  <c r="I13" i="1"/>
  <c r="E13" i="1"/>
  <c r="AA13" i="1"/>
  <c r="Y13" i="1"/>
  <c r="P13" i="1"/>
  <c r="L13" i="1"/>
  <c r="H13" i="1"/>
  <c r="D13" i="1"/>
  <c r="AB12" i="1"/>
  <c r="R12" i="1"/>
  <c r="I12" i="1"/>
  <c r="E12" i="1"/>
  <c r="AA12" i="1"/>
  <c r="Y12" i="1"/>
  <c r="P12" i="1"/>
  <c r="L12" i="1"/>
  <c r="H12" i="1"/>
  <c r="D12" i="1"/>
  <c r="AB11" i="1"/>
  <c r="R11" i="1"/>
  <c r="I11" i="1"/>
  <c r="E11" i="1"/>
  <c r="AA11" i="1"/>
  <c r="Y11" i="1"/>
  <c r="P11" i="1"/>
  <c r="L11" i="1"/>
  <c r="H11" i="1"/>
  <c r="D11" i="1"/>
  <c r="N3" i="1" l="1"/>
  <c r="N4" i="1"/>
  <c r="N5" i="1"/>
  <c r="N6" i="1"/>
  <c r="N7" i="1"/>
  <c r="N8" i="1"/>
  <c r="N9" i="1"/>
  <c r="N10" i="1"/>
  <c r="N11" i="1"/>
  <c r="N12" i="1"/>
  <c r="N13" i="1"/>
  <c r="AD3" i="1" l="1"/>
  <c r="AE3" i="1" s="1"/>
  <c r="U3" i="1"/>
  <c r="V3" i="1" s="1"/>
  <c r="AD4" i="1"/>
  <c r="AE4" i="1" s="1"/>
  <c r="AD10" i="1"/>
  <c r="AE10" i="1" s="1"/>
  <c r="U9" i="1"/>
  <c r="V9" i="1" s="1"/>
  <c r="AD7" i="1"/>
  <c r="AE7" i="1" s="1"/>
  <c r="AD11" i="1"/>
  <c r="AE11" i="1" s="1"/>
  <c r="U13" i="1"/>
  <c r="V13" i="1" s="1"/>
  <c r="U8" i="1"/>
  <c r="V8" i="1" s="1"/>
  <c r="AD6" i="1"/>
  <c r="AE6" i="1" s="1"/>
  <c r="AD8" i="1"/>
  <c r="AE8" i="1" s="1"/>
  <c r="U5" i="1"/>
  <c r="V5" i="1" s="1"/>
  <c r="U11" i="1"/>
  <c r="V11" i="1" s="1"/>
  <c r="U6" i="1"/>
  <c r="V6" i="1" s="1"/>
  <c r="U12" i="1"/>
  <c r="V12" i="1" s="1"/>
  <c r="AD12" i="1"/>
  <c r="AE12" i="1" s="1"/>
  <c r="U7" i="1"/>
  <c r="V7" i="1" s="1"/>
  <c r="U10" i="1"/>
  <c r="V10" i="1" s="1"/>
  <c r="U4" i="1"/>
  <c r="V4" i="1" s="1"/>
  <c r="AD13" i="1"/>
  <c r="AE13" i="1" s="1"/>
  <c r="AD9" i="1"/>
  <c r="AE9" i="1" s="1"/>
  <c r="AD5" i="1"/>
  <c r="AE5" i="1" s="1"/>
  <c r="U2" i="1" l="1"/>
  <c r="V2" i="1" s="1"/>
</calcChain>
</file>

<file path=xl/sharedStrings.xml><?xml version="1.0" encoding="utf-8"?>
<sst xmlns="http://schemas.openxmlformats.org/spreadsheetml/2006/main" count="49" uniqueCount="38">
  <si>
    <t>Tokyo at Otemachi</t>
  </si>
  <si>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</si>
  <si>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</si>
  <si>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</si>
  <si>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</si>
  <si>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</si>
  <si>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</si>
  <si>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</si>
  <si>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</si>
  <si>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</si>
  <si>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</si>
  <si>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</si>
  <si>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</si>
  <si>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</si>
  <si>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</si>
  <si>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</si>
  <si>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>District cooling (Building) MJ</t>
    <phoneticPr fontId="5"/>
  </si>
  <si>
    <t>District cooling (Building) tariff (Y/MJ)</t>
  </si>
  <si>
    <t>Cooling Water MJ</t>
  </si>
  <si>
    <t>Cooling water (Y/MJ)</t>
  </si>
  <si>
    <t>Cooling water  Fixed Cost  (Y)</t>
  </si>
  <si>
    <t>District Energy Cooling KWh</t>
  </si>
  <si>
    <t>District Energy Cooling $/KWh</t>
  </si>
  <si>
    <t>Cooling District Energy Total Budgeted</t>
  </si>
  <si>
    <t>Cooling District Energy Total Budgeted Cost ($)</t>
  </si>
  <si>
    <t>District Heating (Building) MJ</t>
    <phoneticPr fontId="5"/>
  </si>
  <si>
    <t>District Heating (Building) tariff Y/MJ</t>
    <phoneticPr fontId="5"/>
  </si>
  <si>
    <t>District Heating (Steam) MJ</t>
  </si>
  <si>
    <t>District Heating (Steam) tariff Y/MJ</t>
  </si>
  <si>
    <t>District Heating Fixed Cost 
(JPY)</t>
    <phoneticPr fontId="5"/>
  </si>
  <si>
    <t>District Energy Heating KWh</t>
  </si>
  <si>
    <t>District Energy Heating $/KWh</t>
  </si>
  <si>
    <t>Heating District Energy Total Budgeted</t>
  </si>
  <si>
    <t>Heating District Energy Total Budgeted Cost ($)</t>
  </si>
  <si>
    <t>Food Covers</t>
  </si>
  <si>
    <t>Room Nights</t>
    <phoneticPr fontId="5"/>
  </si>
  <si>
    <t>Forex</t>
  </si>
  <si>
    <t>https://lets-gold.net/price-monthly-ave.php?c=usdjpy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</si>
</sst>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0.0"/>
  </numFmts>
  <fonts count="11" x14ac:knownFonts="1"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sz val="6"/>
      <name val="HGGothicE"/>
      <family val="3"/>
      <charset val="128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  <font>
      <b/>
      <sz val="10"/>
      <color rgb="FF7030A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" fontId="0" fillId="2" borderId="0" xfId="1" applyNumberFormat="1" applyFont="1" applyFill="1" applyAlignment="1">
      <alignment horizontal="center"/>
    </xf>
    <xf numFmtId="1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1&#12456;&#12493;&#12523;&#12462;&#12540;&#20351;&#29992;&#37327;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&#9733;&#9733;FS%20OTE%20Energe%20&#12304;Each%20department&#12305;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2&#12456;&#12493;&#12523;&#12462;&#12540;&#20351;&#29992;&#3732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3&#12456;&#12493;&#12523;&#12462;&#12540;&#20351;&#29992;&#3732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4&#12456;&#12493;&#12523;&#12462;&#12540;&#20351;&#29992;&#3732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5&#12456;&#12493;&#12523;&#12462;&#12540;&#20351;&#29992;&#37327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6&#12456;&#12493;&#12523;&#12462;&#12540;&#20351;&#29992;&#3732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7&#12456;&#12493;&#12523;&#12462;&#12540;&#20351;&#29992;&#37327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8&#12456;&#12493;&#12523;&#12462;&#12540;&#20351;&#29992;&#3732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9&#12456;&#12493;&#12523;&#12462;&#12540;&#20351;&#29992;&#37327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10&#12456;&#12493;&#12523;&#12462;&#12540;&#20351;&#29992;&#37327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11&#12456;&#12493;&#12523;&#12462;&#12540;&#20351;&#29992;&#37327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5.Energy%20consumption%20report\ENE\2023\2023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211.8</v>
          </cell>
        </row>
        <row r="41">
          <cell r="AL41">
            <v>245</v>
          </cell>
        </row>
        <row r="61">
          <cell r="AL61">
            <v>38920.5</v>
          </cell>
        </row>
        <row r="87">
          <cell r="AL87">
            <v>86686</v>
          </cell>
        </row>
        <row r="111">
          <cell r="AL111">
            <v>9782</v>
          </cell>
        </row>
        <row r="147">
          <cell r="AL147">
            <v>16174</v>
          </cell>
        </row>
      </sheetData>
      <sheetData sheetId="9">
        <row r="3">
          <cell r="G3">
            <v>36.799999999999997</v>
          </cell>
          <cell r="M3">
            <v>4.1120000000000001</v>
          </cell>
        </row>
        <row r="21">
          <cell r="AA21">
            <v>1487</v>
          </cell>
        </row>
        <row r="23">
          <cell r="M23">
            <v>329.34529272898948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2.03(Kitchens &amp; F B)"/>
      <sheetName val="H2.03(Guest Room &amp; SPA)"/>
      <sheetName val="Guest Room per Room Nights"/>
      <sheetName val="部門別"/>
      <sheetName val="cover"/>
      <sheetName val="メーター樹形表（給水）"/>
      <sheetName val="メーター樹形表（給湯）"/>
      <sheetName val="メーター樹形表（ガス）"/>
      <sheetName val="Sheet1"/>
      <sheetName val="Sheet2"/>
    </sheetNames>
    <sheetDataSet>
      <sheetData sheetId="0"/>
      <sheetData sheetId="1"/>
      <sheetData sheetId="2"/>
      <sheetData sheetId="3"/>
      <sheetData sheetId="4"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AL23">
            <v>0</v>
          </cell>
        </row>
        <row r="41">
          <cell r="AL41">
            <v>0</v>
          </cell>
        </row>
        <row r="61">
          <cell r="AL61">
            <v>0</v>
          </cell>
        </row>
        <row r="87">
          <cell r="AL87">
            <v>0</v>
          </cell>
        </row>
        <row r="111">
          <cell r="AL111">
            <v>0</v>
          </cell>
        </row>
        <row r="147">
          <cell r="AL147">
            <v>0</v>
          </cell>
        </row>
      </sheetData>
      <sheetData sheetId="9">
        <row r="3">
          <cell r="G3">
            <v>36.5</v>
          </cell>
          <cell r="M3">
            <v>3.5720000000000001</v>
          </cell>
        </row>
        <row r="21">
          <cell r="AA21">
            <v>0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ts-gold.net/price-monthly-ave.php?c=usdj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9"/>
  <sheetViews>
    <sheetView tabSelected="1" zoomScale="95" zoomScaleNormal="95" workbookViewId="0">
      <pane xSplit="3" topLeftCell="D1" activePane="topRight" state="frozen"/>
      <selection pane="topRight" activeCell="P17" sqref="P17"/>
    </sheetView>
  </sheetViews>
  <sheetFormatPr defaultColWidth="11.5546875" defaultRowHeight="13.2" x14ac:dyDescent="0.25"/>
  <cols>
    <col min="1" max="1" width="19.44140625" bestFit="1" customWidth="1"/>
    <col min="3" max="3" width="13.44140625" customWidth="1"/>
    <col min="4" max="5" width="12.5546875" style="2" customWidth="1"/>
    <col min="6" max="6" width="11.6640625" style="2" bestFit="1" customWidth="1"/>
    <col min="7" max="7" width="13.33203125" style="2" bestFit="1" customWidth="1"/>
    <col min="8" max="8" width="11.5546875" style="2"/>
    <col min="9" max="9" width="14.88671875" style="4" bestFit="1" customWidth="1"/>
    <col min="10" max="20" width="11.5546875" style="2"/>
    <col min="21" max="22" width="11.5546875" style="7"/>
    <col min="23" max="24" width="11.5546875" style="2"/>
    <col min="25" max="25" width="14.33203125" style="2" bestFit="1" customWidth="1"/>
    <col min="26" max="34" width="11.5546875" style="2"/>
  </cols>
  <sheetData>
    <row r="1" spans="1:38" s="30" customFormat="1" ht="79.2" x14ac:dyDescent="0.25">
      <c r="A1" s="20" t="s">
        <v>1</v>
      </c>
      <c r="B1" s="20" t="s">
        <v>2</v>
      </c>
      <c r="C1" s="20" t="s">
        <v>3</v>
      </c>
      <c r="D1" s="21" t="s">
        <v>4</v>
      </c>
      <c r="E1" s="21" t="s">
        <v>5</v>
      </c>
      <c r="F1" s="22" t="s">
        <v>6</v>
      </c>
      <c r="G1" s="22" t="s">
        <v>7</v>
      </c>
      <c r="H1" s="21" t="s">
        <v>8</v>
      </c>
      <c r="I1" s="23" t="s">
        <v>9</v>
      </c>
      <c r="J1" s="22" t="s">
        <v>10</v>
      </c>
      <c r="K1" s="22" t="s">
        <v>11</v>
      </c>
      <c r="L1" s="21" t="s">
        <v>12</v>
      </c>
      <c r="M1" s="21" t="s">
        <v>13</v>
      </c>
      <c r="N1" s="22" t="s">
        <v>14</v>
      </c>
      <c r="O1" s="22" t="s">
        <v>15</v>
      </c>
      <c r="P1" s="24" t="s">
        <v>16</v>
      </c>
      <c r="Q1" s="24" t="s">
        <v>17</v>
      </c>
      <c r="R1" s="24" t="s">
        <v>18</v>
      </c>
      <c r="S1" s="24" t="s">
        <v>19</v>
      </c>
      <c r="T1" s="24" t="s">
        <v>20</v>
      </c>
      <c r="U1" s="25" t="s">
        <v>21</v>
      </c>
      <c r="V1" s="25" t="s">
        <v>22</v>
      </c>
      <c r="W1" s="26" t="s">
        <v>23</v>
      </c>
      <c r="X1" s="26" t="s">
        <v>24</v>
      </c>
      <c r="Y1" s="27" t="s">
        <v>25</v>
      </c>
      <c r="Z1" s="27" t="s">
        <v>26</v>
      </c>
      <c r="AA1" s="27" t="s">
        <v>27</v>
      </c>
      <c r="AB1" s="27" t="s">
        <v>28</v>
      </c>
      <c r="AC1" s="27" t="s">
        <v>29</v>
      </c>
      <c r="AD1" s="28" t="s">
        <v>30</v>
      </c>
      <c r="AE1" s="28" t="s">
        <v>31</v>
      </c>
      <c r="AF1" s="29" t="s">
        <v>32</v>
      </c>
      <c r="AG1" s="29" t="s">
        <v>33</v>
      </c>
      <c r="AH1" s="21" t="s">
        <v>34</v>
      </c>
      <c r="AI1" s="21" t="s">
        <v>35</v>
      </c>
      <c r="AJ1" s="20" t="s">
        <v>36</v>
      </c>
      <c r="AL1" s="31" t="s">
        <v>37</v>
      </c>
    </row>
    <row r="2" spans="1:38" x14ac:dyDescent="0.25">
      <c r="A2" s="8" t="s">
        <v>0</v>
      </c>
      <c r="B2" s="9">
        <v>1</v>
      </c>
      <c r="C2" s="9">
        <v>2023</v>
      </c>
      <c r="D2" s="10">
        <f>[1]コスト!$AL$147</f>
        <v>16174</v>
      </c>
      <c r="E2" s="13">
        <f>[1]見込!$G$3</f>
        <v>36.799999999999997</v>
      </c>
      <c r="F2" s="12">
        <v>507613</v>
      </c>
      <c r="G2" s="12">
        <v>16751232</v>
      </c>
      <c r="H2" s="13">
        <f>[1]コスト!$AL$23</f>
        <v>211.8</v>
      </c>
      <c r="I2" s="13">
        <f>[1]見込!$M$23</f>
        <v>329.34529272898948</v>
      </c>
      <c r="J2" s="12">
        <v>5522</v>
      </c>
      <c r="K2" s="12">
        <v>855954</v>
      </c>
      <c r="L2" s="14">
        <f>[1]コスト!$AL$41</f>
        <v>245</v>
      </c>
      <c r="M2" s="17">
        <v>741</v>
      </c>
      <c r="N2" s="12">
        <f t="shared" ref="N2:N13" si="0">O2/741</f>
        <v>6040.5438596491231</v>
      </c>
      <c r="O2" s="12">
        <v>4476043</v>
      </c>
      <c r="P2" s="10">
        <f>[1]コスト!$AL$111</f>
        <v>9782</v>
      </c>
      <c r="Q2" s="11">
        <v>10.79</v>
      </c>
      <c r="R2" s="10">
        <f>[1]見込!$AA$21</f>
        <v>1487</v>
      </c>
      <c r="S2" s="11"/>
      <c r="T2" s="10">
        <v>508600</v>
      </c>
      <c r="U2" s="10">
        <f>(P2+R2)*0.2778</f>
        <v>3130.5281999999997</v>
      </c>
      <c r="V2" s="11">
        <f>(P2*Q2+T2)/U2</f>
        <v>196.18024204349928</v>
      </c>
      <c r="W2" s="12">
        <v>54114</v>
      </c>
      <c r="X2" s="12">
        <v>1203337</v>
      </c>
      <c r="Y2" s="10">
        <f>[1]コスト!$AL$87</f>
        <v>86686</v>
      </c>
      <c r="Z2" s="15">
        <v>7.22</v>
      </c>
      <c r="AA2" s="16">
        <f>[1]コスト!$AL$61</f>
        <v>38920.5</v>
      </c>
      <c r="AB2" s="15">
        <f>[1]見込!$M$3</f>
        <v>4.1120000000000001</v>
      </c>
      <c r="AC2" s="12">
        <v>1698120</v>
      </c>
      <c r="AD2" s="10">
        <f>(Y2+AA2)*0.2778</f>
        <v>34893.485699999997</v>
      </c>
      <c r="AE2" s="11">
        <f>((Y2*Z2)+(AA2*AB2)+AC2)/AD2</f>
        <v>71.189047645073757</v>
      </c>
      <c r="AF2" s="12">
        <v>993215</v>
      </c>
      <c r="AG2" s="12">
        <v>23790643</v>
      </c>
      <c r="AH2" s="18">
        <f>[2]cover!$D$45</f>
        <v>0</v>
      </c>
      <c r="AI2" s="18"/>
      <c r="AJ2" s="19">
        <v>0</v>
      </c>
    </row>
    <row r="3" spans="1:38" x14ac:dyDescent="0.25">
      <c r="A3" s="8" t="s">
        <v>0</v>
      </c>
      <c r="B3" s="9">
        <v>2</v>
      </c>
      <c r="C3" s="9">
        <v>2023</v>
      </c>
      <c r="D3" s="10">
        <f>[3]コスト!$AL$147</f>
        <v>0</v>
      </c>
      <c r="E3" s="13">
        <f>[3]見込!$G$3</f>
        <v>36.5</v>
      </c>
      <c r="F3" s="12">
        <v>451775</v>
      </c>
      <c r="G3" s="12">
        <v>14908577</v>
      </c>
      <c r="H3" s="13">
        <f>[3]コスト!$AL$23</f>
        <v>0</v>
      </c>
      <c r="I3" s="13" t="e">
        <f>[3]見込!$M$23</f>
        <v>#DIV/0!</v>
      </c>
      <c r="J3" s="12">
        <v>6203</v>
      </c>
      <c r="K3" s="12">
        <v>961564</v>
      </c>
      <c r="L3" s="14">
        <f>[3]コスト!$AL$41</f>
        <v>0</v>
      </c>
      <c r="M3" s="17">
        <v>741</v>
      </c>
      <c r="N3" s="12">
        <f t="shared" si="0"/>
        <v>5737.6653171390017</v>
      </c>
      <c r="O3" s="12">
        <v>4251610</v>
      </c>
      <c r="P3" s="10">
        <f>[3]コスト!$AL$111</f>
        <v>0</v>
      </c>
      <c r="Q3" s="11">
        <v>10.79</v>
      </c>
      <c r="R3" s="10">
        <f>[3]見込!$AA$21</f>
        <v>0</v>
      </c>
      <c r="S3" s="11"/>
      <c r="T3" s="10">
        <v>508600</v>
      </c>
      <c r="U3" s="10">
        <f t="shared" ref="U3:U13" si="1">(P3+R3)*0.2778</f>
        <v>0</v>
      </c>
      <c r="V3" s="11" t="e">
        <f t="shared" ref="V3:V13" si="2">(P3*Q3+T3)/U3</f>
        <v>#DIV/0!</v>
      </c>
      <c r="W3" s="12">
        <v>54898</v>
      </c>
      <c r="X3" s="12">
        <v>1233788</v>
      </c>
      <c r="Y3" s="10">
        <f>[3]コスト!$AL$87</f>
        <v>0</v>
      </c>
      <c r="Z3" s="15">
        <v>7.22</v>
      </c>
      <c r="AA3" s="16">
        <f>[3]コスト!$AL$61</f>
        <v>0</v>
      </c>
      <c r="AB3" s="15">
        <f>[3]見込!$M$3</f>
        <v>3.5720000000000001</v>
      </c>
      <c r="AC3" s="12">
        <v>1698120</v>
      </c>
      <c r="AD3" s="10">
        <f t="shared" ref="AD3:AD13" si="3">(Y3+AA3)*0.2778</f>
        <v>0</v>
      </c>
      <c r="AE3" s="11" t="e">
        <f t="shared" ref="AE3:AE13" si="4">((Y3*Z3)+(AA3*AB3)+AC3)/AD3</f>
        <v>#DIV/0!</v>
      </c>
      <c r="AF3" s="12">
        <v>979210</v>
      </c>
      <c r="AG3" s="12">
        <v>23561000</v>
      </c>
      <c r="AH3" s="18">
        <f>[2]cover!$E$45</f>
        <v>0</v>
      </c>
      <c r="AI3" s="18"/>
      <c r="AJ3" s="19">
        <v>0</v>
      </c>
    </row>
    <row r="4" spans="1:38" x14ac:dyDescent="0.25">
      <c r="A4" s="8" t="s">
        <v>0</v>
      </c>
      <c r="B4" s="9">
        <v>3</v>
      </c>
      <c r="C4" s="9">
        <v>2023</v>
      </c>
      <c r="D4" s="10">
        <f>[4]コスト!$AL$147</f>
        <v>0</v>
      </c>
      <c r="E4" s="13">
        <f>[4]見込!$G$3</f>
        <v>36.5</v>
      </c>
      <c r="F4" s="12">
        <v>494346</v>
      </c>
      <c r="G4" s="12">
        <v>16560620</v>
      </c>
      <c r="H4" s="13">
        <f>[4]コスト!$AL$23</f>
        <v>0</v>
      </c>
      <c r="I4" s="13" t="e">
        <f>[4]見込!$M$23</f>
        <v>#DIV/0!</v>
      </c>
      <c r="J4" s="12">
        <v>6160</v>
      </c>
      <c r="K4" s="12">
        <v>961035</v>
      </c>
      <c r="L4" s="14">
        <f>[4]コスト!$AL$41</f>
        <v>0</v>
      </c>
      <c r="M4" s="17">
        <v>741</v>
      </c>
      <c r="N4" s="12">
        <f t="shared" si="0"/>
        <v>6568.2294197031042</v>
      </c>
      <c r="O4" s="12">
        <v>4867058</v>
      </c>
      <c r="P4" s="10">
        <f>[4]コスト!$AL$111</f>
        <v>0</v>
      </c>
      <c r="Q4" s="11">
        <v>10.79</v>
      </c>
      <c r="R4" s="10">
        <f>[4]見込!$AA$21</f>
        <v>0</v>
      </c>
      <c r="S4" s="11"/>
      <c r="T4" s="10">
        <v>508600</v>
      </c>
      <c r="U4" s="10">
        <f t="shared" si="1"/>
        <v>0</v>
      </c>
      <c r="V4" s="11" t="e">
        <f t="shared" si="2"/>
        <v>#DIV/0!</v>
      </c>
      <c r="W4" s="12">
        <v>92792</v>
      </c>
      <c r="X4" s="12">
        <v>2705599</v>
      </c>
      <c r="Y4" s="10">
        <f>[4]コスト!$AL$87</f>
        <v>0</v>
      </c>
      <c r="Z4" s="15">
        <v>7.22</v>
      </c>
      <c r="AA4" s="16">
        <f>[4]コスト!$AL$61</f>
        <v>0</v>
      </c>
      <c r="AB4" s="15">
        <f>[4]見込!$M$3</f>
        <v>3.5720000000000001</v>
      </c>
      <c r="AC4" s="12">
        <v>1698120</v>
      </c>
      <c r="AD4" s="10">
        <f t="shared" si="3"/>
        <v>0</v>
      </c>
      <c r="AE4" s="11" t="e">
        <f t="shared" si="4"/>
        <v>#DIV/0!</v>
      </c>
      <c r="AF4" s="12">
        <v>788504</v>
      </c>
      <c r="AG4" s="12">
        <v>18485900</v>
      </c>
      <c r="AH4" s="18">
        <f>[2]cover!$F$45</f>
        <v>0</v>
      </c>
      <c r="AI4" s="18"/>
      <c r="AJ4" s="19">
        <v>0</v>
      </c>
    </row>
    <row r="5" spans="1:38" x14ac:dyDescent="0.25">
      <c r="A5" s="8" t="s">
        <v>0</v>
      </c>
      <c r="B5" s="9">
        <v>4</v>
      </c>
      <c r="C5" s="9">
        <v>2023</v>
      </c>
      <c r="D5" s="10">
        <f>[5]コスト!$AL$147</f>
        <v>0</v>
      </c>
      <c r="E5" s="13">
        <f>[5]見込!$G$3</f>
        <v>36.5</v>
      </c>
      <c r="F5" s="12">
        <v>486961</v>
      </c>
      <c r="G5" s="12">
        <v>16313197</v>
      </c>
      <c r="H5" s="13">
        <f>[5]コスト!$AL$23</f>
        <v>0</v>
      </c>
      <c r="I5" s="13" t="e">
        <f>[5]見込!$M$23</f>
        <v>#DIV/0!</v>
      </c>
      <c r="J5" s="12">
        <v>6443</v>
      </c>
      <c r="K5" s="12">
        <v>1005250</v>
      </c>
      <c r="L5" s="14">
        <f>[5]コスト!$AL$41</f>
        <v>0</v>
      </c>
      <c r="M5" s="17">
        <v>741</v>
      </c>
      <c r="N5" s="12">
        <f t="shared" si="0"/>
        <v>5802.8839406207826</v>
      </c>
      <c r="O5" s="12">
        <v>4299937</v>
      </c>
      <c r="P5" s="10">
        <f>[5]コスト!$AL$111</f>
        <v>0</v>
      </c>
      <c r="Q5" s="11">
        <v>10.79</v>
      </c>
      <c r="R5" s="10">
        <f>[5]見込!$AA$21</f>
        <v>0</v>
      </c>
      <c r="S5" s="11"/>
      <c r="T5" s="10">
        <v>508600</v>
      </c>
      <c r="U5" s="10">
        <f t="shared" si="1"/>
        <v>0</v>
      </c>
      <c r="V5" s="11" t="e">
        <f t="shared" si="2"/>
        <v>#DIV/0!</v>
      </c>
      <c r="W5" s="12">
        <v>162611</v>
      </c>
      <c r="X5" s="12">
        <v>5417436</v>
      </c>
      <c r="Y5" s="10">
        <f>[5]コスト!$AL$87</f>
        <v>0</v>
      </c>
      <c r="Z5" s="15">
        <v>7.22</v>
      </c>
      <c r="AA5" s="16">
        <f>[5]コスト!$AL$61</f>
        <v>0</v>
      </c>
      <c r="AB5" s="15">
        <f>[5]見込!$M$3</f>
        <v>3.5720000000000001</v>
      </c>
      <c r="AC5" s="12">
        <v>1698120</v>
      </c>
      <c r="AD5" s="10">
        <f t="shared" si="3"/>
        <v>0</v>
      </c>
      <c r="AE5" s="11" t="e">
        <f t="shared" si="4"/>
        <v>#DIV/0!</v>
      </c>
      <c r="AF5" s="12">
        <v>507082</v>
      </c>
      <c r="AG5" s="12">
        <v>11421886</v>
      </c>
      <c r="AH5" s="18">
        <f>[2]cover!$G$45</f>
        <v>0</v>
      </c>
      <c r="AI5" s="18"/>
      <c r="AJ5" s="19">
        <v>0</v>
      </c>
    </row>
    <row r="6" spans="1:38" x14ac:dyDescent="0.25">
      <c r="A6" s="8" t="s">
        <v>0</v>
      </c>
      <c r="B6" s="9">
        <v>5</v>
      </c>
      <c r="C6" s="9">
        <v>2023</v>
      </c>
      <c r="D6" s="10">
        <f>[6]コスト!$AL$147</f>
        <v>0</v>
      </c>
      <c r="E6" s="13">
        <f>[6]見込!$G$3</f>
        <v>36.5</v>
      </c>
      <c r="F6" s="12">
        <v>509789</v>
      </c>
      <c r="G6" s="12">
        <v>17332840</v>
      </c>
      <c r="H6" s="13">
        <f>[6]コスト!$AL$23</f>
        <v>0</v>
      </c>
      <c r="I6" s="13" t="e">
        <f>[6]見込!$M$23</f>
        <v>#DIV/0!</v>
      </c>
      <c r="J6" s="12">
        <v>5948</v>
      </c>
      <c r="K6" s="12">
        <v>933954</v>
      </c>
      <c r="L6" s="14">
        <f>[6]コスト!$AL$41</f>
        <v>0</v>
      </c>
      <c r="M6" s="17">
        <v>741</v>
      </c>
      <c r="N6" s="12">
        <f t="shared" si="0"/>
        <v>5919.5128205128203</v>
      </c>
      <c r="O6" s="12">
        <v>4386359</v>
      </c>
      <c r="P6" s="10">
        <f>[6]コスト!$AL$111</f>
        <v>0</v>
      </c>
      <c r="Q6" s="11">
        <v>10.79</v>
      </c>
      <c r="R6" s="10">
        <f>[6]見込!$AA$21</f>
        <v>0</v>
      </c>
      <c r="S6" s="11"/>
      <c r="T6" s="10">
        <v>508600</v>
      </c>
      <c r="U6" s="10">
        <f t="shared" si="1"/>
        <v>0</v>
      </c>
      <c r="V6" s="11" t="e">
        <f t="shared" si="2"/>
        <v>#DIV/0!</v>
      </c>
      <c r="W6" s="12">
        <v>329661</v>
      </c>
      <c r="X6" s="12">
        <v>11905825</v>
      </c>
      <c r="Y6" s="10">
        <f>[6]コスト!$AL$87</f>
        <v>0</v>
      </c>
      <c r="Z6" s="15">
        <v>7.22</v>
      </c>
      <c r="AA6" s="16">
        <f>[6]コスト!$AL$61</f>
        <v>0</v>
      </c>
      <c r="AB6" s="15">
        <f>[6]見込!$M$3</f>
        <v>3.5720000000000001</v>
      </c>
      <c r="AC6" s="12">
        <v>1698120</v>
      </c>
      <c r="AD6" s="10">
        <f t="shared" si="3"/>
        <v>0</v>
      </c>
      <c r="AE6" s="11" t="e">
        <f t="shared" si="4"/>
        <v>#DIV/0!</v>
      </c>
      <c r="AF6" s="12">
        <v>327683</v>
      </c>
      <c r="AG6" s="12">
        <v>6795822</v>
      </c>
      <c r="AH6" s="18">
        <f>[2]cover!$H$45</f>
        <v>0</v>
      </c>
      <c r="AI6" s="18"/>
      <c r="AJ6" s="19">
        <v>0</v>
      </c>
    </row>
    <row r="7" spans="1:38" x14ac:dyDescent="0.25">
      <c r="A7" s="8" t="s">
        <v>0</v>
      </c>
      <c r="B7" s="9">
        <v>6</v>
      </c>
      <c r="C7" s="9">
        <v>2023</v>
      </c>
      <c r="D7" s="10">
        <f>[7]コスト!$AL$147</f>
        <v>0</v>
      </c>
      <c r="E7" s="13">
        <f>[7]見込!$G$3</f>
        <v>36.5</v>
      </c>
      <c r="F7" s="12">
        <v>528128</v>
      </c>
      <c r="G7" s="12">
        <v>17956352</v>
      </c>
      <c r="H7" s="13">
        <f>[7]コスト!$AL$23</f>
        <v>0</v>
      </c>
      <c r="I7" s="13" t="e">
        <f>[7]見込!$M$23</f>
        <v>#DIV/0!</v>
      </c>
      <c r="J7" s="12">
        <v>5660</v>
      </c>
      <c r="K7" s="12">
        <v>888760</v>
      </c>
      <c r="L7" s="14">
        <f>[7]コスト!$AL$41</f>
        <v>0</v>
      </c>
      <c r="M7" s="17">
        <v>741</v>
      </c>
      <c r="N7" s="12">
        <f t="shared" si="0"/>
        <v>5623.6086369770583</v>
      </c>
      <c r="O7" s="12">
        <v>4167094</v>
      </c>
      <c r="P7" s="10">
        <f>[7]コスト!$AL$111</f>
        <v>0</v>
      </c>
      <c r="Q7" s="11">
        <v>10.79</v>
      </c>
      <c r="R7" s="10">
        <f>[7]見込!$AA$21</f>
        <v>0</v>
      </c>
      <c r="S7" s="11"/>
      <c r="T7" s="10">
        <v>508600</v>
      </c>
      <c r="U7" s="10">
        <f t="shared" si="1"/>
        <v>0</v>
      </c>
      <c r="V7" s="11" t="e">
        <f t="shared" si="2"/>
        <v>#DIV/0!</v>
      </c>
      <c r="W7" s="12">
        <v>543348</v>
      </c>
      <c r="X7" s="12">
        <v>20205596</v>
      </c>
      <c r="Y7" s="10">
        <f>[7]コスト!$AL$87</f>
        <v>0</v>
      </c>
      <c r="Z7" s="15">
        <v>7.22</v>
      </c>
      <c r="AA7" s="16">
        <f>[7]コスト!$AL$61</f>
        <v>0</v>
      </c>
      <c r="AB7" s="15">
        <f>[7]見込!$M$3</f>
        <v>3.5720000000000001</v>
      </c>
      <c r="AC7" s="12">
        <v>1698120</v>
      </c>
      <c r="AD7" s="10">
        <f t="shared" si="3"/>
        <v>0</v>
      </c>
      <c r="AE7" s="11" t="e">
        <f t="shared" si="4"/>
        <v>#DIV/0!</v>
      </c>
      <c r="AF7" s="12">
        <v>263462</v>
      </c>
      <c r="AG7" s="12">
        <v>5305100</v>
      </c>
      <c r="AH7" s="18">
        <f>[2]cover!$I$45</f>
        <v>0</v>
      </c>
      <c r="AI7" s="18"/>
      <c r="AJ7" s="19">
        <v>0</v>
      </c>
    </row>
    <row r="8" spans="1:38" x14ac:dyDescent="0.25">
      <c r="A8" s="8" t="s">
        <v>0</v>
      </c>
      <c r="B8" s="9">
        <v>7</v>
      </c>
      <c r="C8" s="9">
        <v>2023</v>
      </c>
      <c r="D8" s="10">
        <f>[8]コスト!$AL$147</f>
        <v>0</v>
      </c>
      <c r="E8" s="13">
        <f>[8]見込!$G$3</f>
        <v>36.5</v>
      </c>
      <c r="F8" s="12">
        <v>558885</v>
      </c>
      <c r="G8" s="12">
        <v>19281564</v>
      </c>
      <c r="H8" s="13">
        <f>[8]コスト!$AL$23</f>
        <v>0</v>
      </c>
      <c r="I8" s="13" t="e">
        <f>[8]見込!$M$23</f>
        <v>#DIV/0!</v>
      </c>
      <c r="J8" s="12">
        <v>5535</v>
      </c>
      <c r="K8" s="12">
        <v>869004</v>
      </c>
      <c r="L8" s="14">
        <f>[8]コスト!$AL$41</f>
        <v>0</v>
      </c>
      <c r="M8" s="17">
        <v>741</v>
      </c>
      <c r="N8" s="12">
        <f t="shared" si="0"/>
        <v>5733.7611336032387</v>
      </c>
      <c r="O8" s="12">
        <v>4248717</v>
      </c>
      <c r="P8" s="10">
        <f>[8]コスト!$AL$111</f>
        <v>0</v>
      </c>
      <c r="Q8" s="11">
        <v>10.79</v>
      </c>
      <c r="R8" s="10">
        <f>[8]見込!$AA$21</f>
        <v>0</v>
      </c>
      <c r="S8" s="11"/>
      <c r="T8" s="10">
        <v>508600</v>
      </c>
      <c r="U8" s="10">
        <f t="shared" si="1"/>
        <v>0</v>
      </c>
      <c r="V8" s="11" t="e">
        <f t="shared" si="2"/>
        <v>#DIV/0!</v>
      </c>
      <c r="W8" s="12">
        <v>865142</v>
      </c>
      <c r="X8" s="12">
        <v>32704380</v>
      </c>
      <c r="Y8" s="10">
        <f>[8]コスト!$AL$87</f>
        <v>0</v>
      </c>
      <c r="Z8" s="15">
        <v>7.22</v>
      </c>
      <c r="AA8" s="16">
        <f>[8]コスト!$AL$61</f>
        <v>0</v>
      </c>
      <c r="AB8" s="15">
        <f>[8]見込!$M$3</f>
        <v>3.5720000000000001</v>
      </c>
      <c r="AC8" s="12">
        <v>1698120</v>
      </c>
      <c r="AD8" s="10">
        <f t="shared" si="3"/>
        <v>0</v>
      </c>
      <c r="AE8" s="11" t="e">
        <f t="shared" si="4"/>
        <v>#DIV/0!</v>
      </c>
      <c r="AF8" s="12">
        <v>219445</v>
      </c>
      <c r="AG8" s="12">
        <v>4294768</v>
      </c>
      <c r="AH8" s="18">
        <f>[2]cover!$J$45</f>
        <v>0</v>
      </c>
      <c r="AI8" s="18"/>
      <c r="AJ8" s="19">
        <v>0</v>
      </c>
    </row>
    <row r="9" spans="1:38" x14ac:dyDescent="0.25">
      <c r="A9" s="8" t="s">
        <v>0</v>
      </c>
      <c r="B9" s="9">
        <v>8</v>
      </c>
      <c r="C9" s="9">
        <v>2023</v>
      </c>
      <c r="D9" s="10">
        <f>[9]コスト!$AL$147</f>
        <v>0</v>
      </c>
      <c r="E9" s="13">
        <f>[9]見込!$G$3</f>
        <v>36.5</v>
      </c>
      <c r="F9" s="12">
        <v>580494</v>
      </c>
      <c r="G9" s="12">
        <v>20027062</v>
      </c>
      <c r="H9" s="13">
        <f>[9]コスト!$AL$23</f>
        <v>0</v>
      </c>
      <c r="I9" s="13" t="e">
        <f>[9]見込!$M$23</f>
        <v>#DIV/0!</v>
      </c>
      <c r="J9" s="12">
        <v>5284</v>
      </c>
      <c r="K9" s="12">
        <v>829730</v>
      </c>
      <c r="L9" s="14">
        <f>[9]コスト!$AL$41</f>
        <v>0</v>
      </c>
      <c r="M9" s="17">
        <v>741</v>
      </c>
      <c r="N9" s="12">
        <f t="shared" si="0"/>
        <v>6089.9878542510123</v>
      </c>
      <c r="O9" s="12">
        <v>4512681</v>
      </c>
      <c r="P9" s="10">
        <f>[9]コスト!$AL$111</f>
        <v>0</v>
      </c>
      <c r="Q9" s="11">
        <v>10.79</v>
      </c>
      <c r="R9" s="10">
        <f>[9]見込!$AA$21</f>
        <v>0</v>
      </c>
      <c r="S9" s="11"/>
      <c r="T9" s="10">
        <v>508600</v>
      </c>
      <c r="U9" s="10">
        <f t="shared" si="1"/>
        <v>0</v>
      </c>
      <c r="V9" s="11" t="e">
        <f t="shared" si="2"/>
        <v>#DIV/0!</v>
      </c>
      <c r="W9" s="12">
        <v>955865</v>
      </c>
      <c r="X9" s="12">
        <v>36228127</v>
      </c>
      <c r="Y9" s="10">
        <f>[9]コスト!$AL$87</f>
        <v>0</v>
      </c>
      <c r="Z9" s="15">
        <v>7.22</v>
      </c>
      <c r="AA9" s="16">
        <f>[9]コスト!$AL$61</f>
        <v>0</v>
      </c>
      <c r="AB9" s="15">
        <f>[9]見込!$M$3</f>
        <v>3.5720000000000001</v>
      </c>
      <c r="AC9" s="12">
        <v>1698120</v>
      </c>
      <c r="AD9" s="10">
        <f t="shared" si="3"/>
        <v>0</v>
      </c>
      <c r="AE9" s="11" t="e">
        <f t="shared" si="4"/>
        <v>#DIV/0!</v>
      </c>
      <c r="AF9" s="12">
        <v>241958</v>
      </c>
      <c r="AG9" s="12">
        <v>4828633</v>
      </c>
      <c r="AH9" s="18">
        <f>[2]cover!$K$45</f>
        <v>0</v>
      </c>
      <c r="AI9" s="18"/>
      <c r="AJ9" s="19">
        <v>0</v>
      </c>
    </row>
    <row r="10" spans="1:38" x14ac:dyDescent="0.25">
      <c r="A10" s="8" t="s">
        <v>0</v>
      </c>
      <c r="B10" s="9">
        <v>9</v>
      </c>
      <c r="C10" s="9">
        <v>2023</v>
      </c>
      <c r="D10" s="10">
        <f>[10]コスト!$AL$147</f>
        <v>0</v>
      </c>
      <c r="E10" s="13">
        <f>[10]見込!$G$3</f>
        <v>36.5</v>
      </c>
      <c r="F10" s="12">
        <v>549103</v>
      </c>
      <c r="G10" s="12">
        <v>15374895</v>
      </c>
      <c r="H10" s="13">
        <f>[10]コスト!$AL$23</f>
        <v>0</v>
      </c>
      <c r="I10" s="13" t="e">
        <f>[10]見込!$M$23</f>
        <v>#DIV/0!</v>
      </c>
      <c r="J10" s="12">
        <v>5841</v>
      </c>
      <c r="K10" s="12">
        <v>911259</v>
      </c>
      <c r="L10" s="14">
        <f>[10]コスト!$AL$41</f>
        <v>0</v>
      </c>
      <c r="M10" s="17">
        <v>741</v>
      </c>
      <c r="N10" s="12">
        <f t="shared" si="0"/>
        <v>6487.6531713900131</v>
      </c>
      <c r="O10" s="12">
        <v>4807351</v>
      </c>
      <c r="P10" s="10">
        <f>[10]コスト!$AL$111</f>
        <v>0</v>
      </c>
      <c r="Q10" s="11">
        <v>10.79</v>
      </c>
      <c r="R10" s="10">
        <f>[10]見込!$AA$21</f>
        <v>0</v>
      </c>
      <c r="S10" s="11"/>
      <c r="T10" s="10">
        <v>508600</v>
      </c>
      <c r="U10" s="10">
        <f t="shared" si="1"/>
        <v>0</v>
      </c>
      <c r="V10" s="11" t="e">
        <f t="shared" si="2"/>
        <v>#DIV/0!</v>
      </c>
      <c r="W10" s="12">
        <v>610246</v>
      </c>
      <c r="X10" s="12">
        <v>22803986</v>
      </c>
      <c r="Y10" s="10">
        <f>[10]コスト!$AL$87</f>
        <v>0</v>
      </c>
      <c r="Z10" s="15">
        <v>7.22</v>
      </c>
      <c r="AA10" s="16">
        <f>[10]コスト!$AL$61</f>
        <v>0</v>
      </c>
      <c r="AB10" s="15">
        <f>[10]見込!$M$3</f>
        <v>3.5720000000000001</v>
      </c>
      <c r="AC10" s="12">
        <v>1698120</v>
      </c>
      <c r="AD10" s="10">
        <f t="shared" si="3"/>
        <v>0</v>
      </c>
      <c r="AE10" s="11" t="e">
        <f t="shared" si="4"/>
        <v>#DIV/0!</v>
      </c>
      <c r="AF10" s="12">
        <v>248702</v>
      </c>
      <c r="AG10" s="12">
        <v>5091449</v>
      </c>
      <c r="AH10" s="18">
        <f>[2]cover!$L$45</f>
        <v>0</v>
      </c>
      <c r="AI10" s="18"/>
      <c r="AJ10" s="19">
        <v>0</v>
      </c>
    </row>
    <row r="11" spans="1:38" x14ac:dyDescent="0.25">
      <c r="A11" s="8" t="s">
        <v>0</v>
      </c>
      <c r="B11" s="9">
        <v>10</v>
      </c>
      <c r="C11" s="9">
        <v>2023</v>
      </c>
      <c r="D11" s="10">
        <f>[11]コスト!$AL$147</f>
        <v>0</v>
      </c>
      <c r="E11" s="13">
        <f>[11]見込!$G$3</f>
        <v>36.5</v>
      </c>
      <c r="F11" s="12">
        <v>539469</v>
      </c>
      <c r="G11" s="12">
        <v>15105158</v>
      </c>
      <c r="H11" s="13">
        <f>[11]コスト!$AL$23</f>
        <v>0</v>
      </c>
      <c r="I11" s="13" t="e">
        <f>[11]見込!$M$23</f>
        <v>#DIV/0!</v>
      </c>
      <c r="J11" s="12">
        <v>6706</v>
      </c>
      <c r="K11" s="12">
        <v>1046154</v>
      </c>
      <c r="L11" s="14">
        <f>[11]コスト!$AL$41</f>
        <v>0</v>
      </c>
      <c r="M11" s="17">
        <v>741</v>
      </c>
      <c r="N11" s="12">
        <f t="shared" si="0"/>
        <v>6394.2348178137654</v>
      </c>
      <c r="O11" s="12">
        <v>4738128</v>
      </c>
      <c r="P11" s="10">
        <f>[11]コスト!$AL$111</f>
        <v>0</v>
      </c>
      <c r="Q11" s="11">
        <v>10.79</v>
      </c>
      <c r="R11" s="10">
        <f>[11]見込!$AA$21</f>
        <v>0</v>
      </c>
      <c r="S11" s="11"/>
      <c r="T11" s="10">
        <v>508600</v>
      </c>
      <c r="U11" s="10">
        <f t="shared" si="1"/>
        <v>0</v>
      </c>
      <c r="V11" s="11" t="e">
        <f t="shared" si="2"/>
        <v>#DIV/0!</v>
      </c>
      <c r="W11" s="12">
        <v>453297</v>
      </c>
      <c r="X11" s="12">
        <v>16707962</v>
      </c>
      <c r="Y11" s="10">
        <f>[11]コスト!$AL$87</f>
        <v>0</v>
      </c>
      <c r="Z11" s="15">
        <v>7.22</v>
      </c>
      <c r="AA11" s="16">
        <f>[11]コスト!$AL$61</f>
        <v>0</v>
      </c>
      <c r="AB11" s="15">
        <f>[11]見込!$M$3</f>
        <v>3.5720000000000001</v>
      </c>
      <c r="AC11" s="12">
        <v>1698120</v>
      </c>
      <c r="AD11" s="10">
        <f t="shared" si="3"/>
        <v>0</v>
      </c>
      <c r="AE11" s="11" t="e">
        <f t="shared" si="4"/>
        <v>#DIV/0!</v>
      </c>
      <c r="AF11" s="12">
        <v>366438</v>
      </c>
      <c r="AG11" s="12">
        <v>7877832</v>
      </c>
      <c r="AH11" s="18">
        <f>[2]cover!$M$45</f>
        <v>0</v>
      </c>
      <c r="AI11" s="18"/>
      <c r="AJ11" s="19">
        <v>0</v>
      </c>
    </row>
    <row r="12" spans="1:38" x14ac:dyDescent="0.25">
      <c r="A12" s="8" t="s">
        <v>0</v>
      </c>
      <c r="B12" s="9">
        <v>11</v>
      </c>
      <c r="C12" s="9">
        <v>2023</v>
      </c>
      <c r="D12" s="10">
        <f>[12]コスト!$AL$147</f>
        <v>0</v>
      </c>
      <c r="E12" s="13">
        <f>[12]見込!$G$3</f>
        <v>36.5</v>
      </c>
      <c r="F12" s="12">
        <v>513749</v>
      </c>
      <c r="G12" s="12">
        <v>13357495</v>
      </c>
      <c r="H12" s="13">
        <f>[12]コスト!$AL$23</f>
        <v>0</v>
      </c>
      <c r="I12" s="13" t="e">
        <f>[12]見込!$M$23</f>
        <v>#DIV/0!</v>
      </c>
      <c r="J12" s="12">
        <v>6587</v>
      </c>
      <c r="K12" s="12">
        <v>1020985</v>
      </c>
      <c r="L12" s="14">
        <f>[12]コスト!$AL$41</f>
        <v>0</v>
      </c>
      <c r="M12" s="17">
        <v>741</v>
      </c>
      <c r="N12" s="12">
        <f t="shared" si="0"/>
        <v>7558.1794871794873</v>
      </c>
      <c r="O12" s="12">
        <v>5600611</v>
      </c>
      <c r="P12" s="10">
        <f>[12]コスト!$AL$111</f>
        <v>0</v>
      </c>
      <c r="Q12" s="11">
        <v>10.79</v>
      </c>
      <c r="R12" s="10">
        <f>[12]見込!$AA$21</f>
        <v>0</v>
      </c>
      <c r="S12" s="11"/>
      <c r="T12" s="10">
        <v>508600</v>
      </c>
      <c r="U12" s="10">
        <f t="shared" si="1"/>
        <v>0</v>
      </c>
      <c r="V12" s="11" t="e">
        <f t="shared" si="2"/>
        <v>#DIV/0!</v>
      </c>
      <c r="W12" s="12">
        <v>114942</v>
      </c>
      <c r="X12" s="12">
        <v>3565956</v>
      </c>
      <c r="Y12" s="10">
        <f>[12]コスト!$AL$87</f>
        <v>0</v>
      </c>
      <c r="Z12" s="15">
        <v>7.22</v>
      </c>
      <c r="AA12" s="16">
        <f>[12]コスト!$AL$61</f>
        <v>0</v>
      </c>
      <c r="AB12" s="15">
        <f>[12]見込!$M$3</f>
        <v>3.5720000000000001</v>
      </c>
      <c r="AC12" s="12">
        <v>1698120</v>
      </c>
      <c r="AD12" s="10">
        <f t="shared" si="3"/>
        <v>0</v>
      </c>
      <c r="AE12" s="11" t="e">
        <f t="shared" si="4"/>
        <v>#DIV/0!</v>
      </c>
      <c r="AF12" s="12">
        <v>731179</v>
      </c>
      <c r="AG12" s="12">
        <v>17105472</v>
      </c>
      <c r="AH12" s="18">
        <f>[2]cover!$N$45</f>
        <v>0</v>
      </c>
      <c r="AI12" s="18"/>
      <c r="AJ12" s="19">
        <v>0</v>
      </c>
    </row>
    <row r="13" spans="1:38" x14ac:dyDescent="0.25">
      <c r="A13" s="8" t="s">
        <v>0</v>
      </c>
      <c r="B13" s="9">
        <v>12</v>
      </c>
      <c r="C13" s="9">
        <v>2023</v>
      </c>
      <c r="D13" s="10">
        <f>[13]コスト!$AL$147</f>
        <v>0</v>
      </c>
      <c r="E13" s="13">
        <f>[13]見込!$G$3</f>
        <v>36.5</v>
      </c>
      <c r="F13" s="12">
        <v>509057</v>
      </c>
      <c r="G13" s="12">
        <v>13234923</v>
      </c>
      <c r="H13" s="13">
        <f>[13]コスト!$AL$23</f>
        <v>0</v>
      </c>
      <c r="I13" s="13" t="e">
        <f>[13]見込!$M$23</f>
        <v>#DIV/0!</v>
      </c>
      <c r="J13" s="12">
        <v>6795</v>
      </c>
      <c r="K13" s="12">
        <v>1055340</v>
      </c>
      <c r="L13" s="14">
        <f>[13]コスト!$AL$41</f>
        <v>0</v>
      </c>
      <c r="M13" s="17">
        <v>741</v>
      </c>
      <c r="N13" s="12">
        <f t="shared" si="0"/>
        <v>7107.5276653171386</v>
      </c>
      <c r="O13" s="12">
        <v>5266678</v>
      </c>
      <c r="P13" s="10">
        <f>[13]コスト!$AL$111</f>
        <v>0</v>
      </c>
      <c r="Q13" s="11">
        <v>10.79</v>
      </c>
      <c r="R13" s="10">
        <f>[13]見込!$AA$21</f>
        <v>0</v>
      </c>
      <c r="S13" s="11"/>
      <c r="T13" s="10">
        <v>508600</v>
      </c>
      <c r="U13" s="10">
        <f t="shared" si="1"/>
        <v>0</v>
      </c>
      <c r="V13" s="11" t="e">
        <f t="shared" si="2"/>
        <v>#DIV/0!</v>
      </c>
      <c r="W13" s="12">
        <v>108008</v>
      </c>
      <c r="X13" s="12">
        <v>3296616</v>
      </c>
      <c r="Y13" s="10">
        <f>[13]コスト!$AL$87</f>
        <v>0</v>
      </c>
      <c r="Z13" s="15">
        <v>7.22</v>
      </c>
      <c r="AA13" s="16">
        <f>[13]コスト!$AL$61</f>
        <v>0</v>
      </c>
      <c r="AB13" s="15">
        <f>[13]見込!$M$3</f>
        <v>3.5720000000000001</v>
      </c>
      <c r="AC13" s="12">
        <v>1698120</v>
      </c>
      <c r="AD13" s="10">
        <f t="shared" si="3"/>
        <v>0</v>
      </c>
      <c r="AE13" s="11" t="e">
        <f t="shared" si="4"/>
        <v>#DIV/0!</v>
      </c>
      <c r="AF13" s="12">
        <v>880606</v>
      </c>
      <c r="AG13" s="12">
        <v>20837040</v>
      </c>
      <c r="AH13" s="18">
        <f>[2]cover!$O$450</f>
        <v>0</v>
      </c>
      <c r="AI13" s="18"/>
      <c r="AJ13" s="19">
        <v>0</v>
      </c>
    </row>
    <row r="14" spans="1:38" x14ac:dyDescent="0.25">
      <c r="B14" s="1"/>
      <c r="C14" s="1"/>
      <c r="D14" s="3"/>
      <c r="E14" s="3"/>
      <c r="F14" s="3"/>
      <c r="G14" s="5"/>
      <c r="H14" s="3"/>
      <c r="J14" s="3"/>
      <c r="K14" s="3"/>
      <c r="L14" s="3"/>
      <c r="M14" s="3"/>
      <c r="N14" s="3"/>
      <c r="U14" s="6"/>
      <c r="AC14" s="3"/>
      <c r="AD14" s="3"/>
    </row>
    <row r="15" spans="1:38" x14ac:dyDescent="0.25">
      <c r="B15" s="1"/>
      <c r="C15" s="1"/>
      <c r="D15" s="3"/>
      <c r="E15" s="3"/>
      <c r="F15" s="3"/>
      <c r="G15" s="5"/>
      <c r="H15" s="3"/>
      <c r="J15" s="3"/>
      <c r="K15" s="3"/>
      <c r="L15" s="3"/>
      <c r="M15" s="3"/>
      <c r="N15" s="3"/>
      <c r="U15" s="6"/>
    </row>
    <row r="16" spans="1:38" x14ac:dyDescent="0.25">
      <c r="B16" s="1"/>
      <c r="C16" s="1"/>
      <c r="D16" s="3"/>
      <c r="E16" s="3"/>
      <c r="F16" s="3"/>
      <c r="G16" s="5"/>
      <c r="H16" s="3"/>
      <c r="J16" s="3"/>
      <c r="K16" s="3"/>
      <c r="L16" s="3"/>
      <c r="M16" s="3"/>
      <c r="N16" s="3"/>
      <c r="U16" s="6"/>
    </row>
    <row r="17" spans="2:21" x14ac:dyDescent="0.25">
      <c r="B17" s="1"/>
      <c r="C17" s="1"/>
      <c r="D17" s="3"/>
      <c r="E17" s="3"/>
      <c r="F17" s="3"/>
      <c r="G17" s="5"/>
      <c r="H17" s="3"/>
      <c r="J17" s="3"/>
      <c r="K17" s="3"/>
      <c r="L17" s="3"/>
      <c r="M17" s="3"/>
      <c r="N17" s="3"/>
      <c r="U17" s="6"/>
    </row>
    <row r="18" spans="2:21" x14ac:dyDescent="0.25">
      <c r="B18" s="1"/>
      <c r="C18" s="1"/>
      <c r="D18" s="3"/>
      <c r="E18" s="3"/>
      <c r="F18" s="3"/>
      <c r="G18" s="5"/>
      <c r="H18" s="3"/>
      <c r="J18" s="3"/>
      <c r="K18" s="3"/>
      <c r="L18" s="3"/>
      <c r="M18" s="3"/>
      <c r="N18" s="3"/>
      <c r="U18" s="6"/>
    </row>
    <row r="19" spans="2:21" x14ac:dyDescent="0.25">
      <c r="B19" s="1"/>
      <c r="C19" s="1"/>
      <c r="D19" s="3"/>
      <c r="E19" s="3"/>
      <c r="F19" s="3"/>
      <c r="G19" s="5"/>
      <c r="H19" s="3"/>
      <c r="J19" s="3"/>
      <c r="K19" s="3"/>
      <c r="L19" s="3"/>
      <c r="M19" s="3"/>
      <c r="N19" s="3"/>
      <c r="U19" s="6"/>
    </row>
    <row r="20" spans="2:21" x14ac:dyDescent="0.25">
      <c r="B20" s="1"/>
      <c r="C20" s="1"/>
      <c r="D20" s="3"/>
      <c r="E20" s="3"/>
      <c r="F20" s="3"/>
      <c r="G20" s="5"/>
      <c r="H20" s="3"/>
      <c r="J20" s="3"/>
      <c r="K20" s="3"/>
      <c r="L20" s="3"/>
      <c r="M20" s="3"/>
      <c r="N20" s="3"/>
      <c r="U20" s="6"/>
    </row>
    <row r="21" spans="2:21" x14ac:dyDescent="0.25">
      <c r="B21" s="1"/>
      <c r="C21" s="1"/>
      <c r="D21" s="3"/>
      <c r="E21" s="3"/>
      <c r="F21" s="3"/>
      <c r="G21" s="5"/>
      <c r="H21" s="3"/>
      <c r="J21" s="3"/>
      <c r="K21" s="3"/>
      <c r="L21" s="3"/>
      <c r="M21" s="3"/>
      <c r="N21" s="3"/>
      <c r="U21" s="6"/>
    </row>
    <row r="22" spans="2:21" x14ac:dyDescent="0.25">
      <c r="B22" s="1"/>
      <c r="C22" s="1"/>
      <c r="D22" s="3"/>
      <c r="E22" s="3"/>
      <c r="F22" s="3"/>
      <c r="G22" s="5"/>
      <c r="H22" s="3"/>
      <c r="J22" s="3"/>
      <c r="K22" s="3"/>
      <c r="L22" s="3"/>
      <c r="M22" s="3"/>
      <c r="N22" s="3"/>
      <c r="U22" s="6"/>
    </row>
    <row r="23" spans="2:21" x14ac:dyDescent="0.25">
      <c r="B23" s="1"/>
      <c r="C23" s="1"/>
      <c r="D23" s="3"/>
      <c r="E23" s="3"/>
      <c r="F23" s="3"/>
      <c r="G23" s="5"/>
      <c r="H23" s="3"/>
      <c r="J23" s="3"/>
      <c r="K23" s="3"/>
      <c r="L23" s="3"/>
      <c r="M23" s="3"/>
      <c r="N23" s="3"/>
      <c r="U23" s="6"/>
    </row>
    <row r="24" spans="2:21" x14ac:dyDescent="0.25">
      <c r="B24" s="1"/>
      <c r="C24" s="1"/>
      <c r="D24" s="3"/>
      <c r="E24" s="3"/>
      <c r="F24" s="3"/>
      <c r="G24" s="5"/>
      <c r="H24" s="3"/>
      <c r="J24" s="3"/>
      <c r="K24" s="3"/>
      <c r="L24" s="3"/>
      <c r="M24" s="3"/>
      <c r="N24" s="3"/>
      <c r="U24" s="6"/>
    </row>
    <row r="25" spans="2:21" x14ac:dyDescent="0.25">
      <c r="B25" s="1"/>
      <c r="C25" s="1"/>
      <c r="D25" s="3"/>
      <c r="E25" s="3"/>
      <c r="F25" s="3"/>
      <c r="G25" s="5"/>
      <c r="H25" s="3"/>
      <c r="J25" s="3"/>
      <c r="K25" s="3"/>
      <c r="L25" s="3"/>
      <c r="M25" s="3"/>
      <c r="N25" s="3"/>
      <c r="U25" s="6"/>
    </row>
    <row r="26" spans="2:21" x14ac:dyDescent="0.25">
      <c r="B26" s="1"/>
      <c r="C26" s="1"/>
      <c r="D26" s="3"/>
      <c r="E26" s="3"/>
      <c r="F26" s="3"/>
      <c r="G26" s="5"/>
      <c r="H26" s="3"/>
      <c r="J26" s="3"/>
      <c r="K26" s="3"/>
      <c r="L26" s="3"/>
      <c r="M26" s="3"/>
      <c r="N26" s="3"/>
      <c r="U26" s="6"/>
    </row>
    <row r="27" spans="2:21" x14ac:dyDescent="0.25">
      <c r="B27" s="1"/>
      <c r="C27" s="1"/>
      <c r="D27" s="3"/>
      <c r="E27" s="3"/>
      <c r="F27" s="3"/>
      <c r="G27" s="5"/>
      <c r="H27" s="3"/>
      <c r="J27" s="3"/>
      <c r="K27" s="3"/>
      <c r="L27" s="3"/>
      <c r="M27" s="3"/>
      <c r="N27" s="3"/>
      <c r="U27" s="6"/>
    </row>
    <row r="28" spans="2:21" x14ac:dyDescent="0.25">
      <c r="B28" s="1"/>
      <c r="C28" s="1"/>
      <c r="D28" s="3"/>
      <c r="E28" s="3"/>
      <c r="F28" s="3"/>
      <c r="G28" s="5"/>
      <c r="H28" s="3"/>
      <c r="J28" s="3"/>
      <c r="K28" s="3"/>
      <c r="L28" s="3"/>
      <c r="M28" s="3"/>
      <c r="N28" s="3"/>
      <c r="U28" s="6"/>
    </row>
    <row r="29" spans="2:21" x14ac:dyDescent="0.25">
      <c r="B29" s="1"/>
      <c r="C29" s="1"/>
      <c r="D29" s="3"/>
      <c r="E29" s="3"/>
      <c r="F29" s="3"/>
      <c r="G29" s="5"/>
      <c r="H29" s="3"/>
      <c r="J29" s="3"/>
      <c r="K29" s="3"/>
      <c r="L29" s="3"/>
      <c r="M29" s="3"/>
      <c r="N29" s="3"/>
      <c r="U29" s="6"/>
    </row>
    <row r="30" spans="2:21" x14ac:dyDescent="0.25">
      <c r="B30" s="1"/>
      <c r="C30" s="1"/>
      <c r="D30" s="3"/>
      <c r="E30" s="3"/>
      <c r="F30" s="3"/>
      <c r="G30" s="5"/>
      <c r="H30" s="3"/>
      <c r="J30" s="3"/>
      <c r="K30" s="3"/>
      <c r="L30" s="3"/>
      <c r="M30" s="3"/>
      <c r="N30" s="3"/>
      <c r="U30" s="6"/>
    </row>
    <row r="31" spans="2:21" x14ac:dyDescent="0.25">
      <c r="B31" s="1"/>
      <c r="C31" s="1"/>
      <c r="D31" s="3"/>
      <c r="E31" s="3"/>
      <c r="F31" s="3"/>
      <c r="G31" s="5"/>
      <c r="H31" s="3"/>
      <c r="J31" s="3"/>
      <c r="K31" s="3"/>
      <c r="L31" s="3"/>
      <c r="M31" s="3"/>
      <c r="N31" s="3"/>
      <c r="U31" s="6"/>
    </row>
    <row r="32" spans="2:21" x14ac:dyDescent="0.25">
      <c r="B32" s="1"/>
      <c r="C32" s="1"/>
      <c r="D32" s="3"/>
      <c r="E32" s="3"/>
      <c r="F32" s="3"/>
      <c r="G32" s="5"/>
      <c r="H32" s="3"/>
      <c r="J32" s="3"/>
      <c r="K32" s="3"/>
      <c r="L32" s="3"/>
      <c r="M32" s="3"/>
      <c r="N32" s="3"/>
      <c r="U32" s="6"/>
    </row>
    <row r="33" spans="2:21" x14ac:dyDescent="0.25">
      <c r="B33" s="1"/>
      <c r="C33" s="1"/>
      <c r="D33" s="3"/>
      <c r="E33" s="3"/>
      <c r="F33" s="3"/>
      <c r="G33" s="5"/>
      <c r="H33" s="3"/>
      <c r="J33" s="3"/>
      <c r="K33" s="3"/>
      <c r="L33" s="3"/>
      <c r="M33" s="3"/>
      <c r="N33" s="3"/>
      <c r="U33" s="6"/>
    </row>
    <row r="34" spans="2:21" x14ac:dyDescent="0.25">
      <c r="B34" s="1"/>
      <c r="C34" s="1"/>
      <c r="D34" s="3"/>
      <c r="E34" s="3"/>
      <c r="F34" s="3"/>
      <c r="G34" s="5"/>
      <c r="H34" s="3"/>
      <c r="J34" s="3"/>
      <c r="K34" s="3"/>
      <c r="L34" s="3"/>
      <c r="M34" s="3"/>
      <c r="N34" s="3"/>
      <c r="U34" s="6"/>
    </row>
    <row r="35" spans="2:21" x14ac:dyDescent="0.25">
      <c r="B35" s="1"/>
      <c r="C35" s="1"/>
      <c r="D35" s="3"/>
      <c r="E35" s="3"/>
      <c r="F35" s="3"/>
      <c r="G35" s="5"/>
      <c r="H35" s="3"/>
      <c r="J35" s="3"/>
      <c r="K35" s="3"/>
      <c r="L35" s="3"/>
      <c r="M35" s="3"/>
      <c r="N35" s="3"/>
      <c r="U35" s="6"/>
    </row>
    <row r="36" spans="2:21" x14ac:dyDescent="0.25">
      <c r="B36" s="1"/>
      <c r="C36" s="1"/>
      <c r="D36" s="3"/>
      <c r="E36" s="3"/>
      <c r="F36" s="3"/>
      <c r="G36" s="5"/>
      <c r="H36" s="3"/>
      <c r="J36" s="3"/>
      <c r="K36" s="3"/>
      <c r="L36" s="3"/>
      <c r="M36" s="3"/>
      <c r="N36" s="3"/>
      <c r="U36" s="6"/>
    </row>
    <row r="37" spans="2:21" x14ac:dyDescent="0.25">
      <c r="B37" s="1"/>
      <c r="C37" s="1"/>
      <c r="D37" s="3"/>
      <c r="E37" s="3"/>
      <c r="F37" s="3"/>
      <c r="G37" s="5"/>
      <c r="H37" s="3"/>
      <c r="J37" s="3"/>
      <c r="K37" s="3"/>
      <c r="L37" s="3"/>
      <c r="M37" s="3"/>
      <c r="N37" s="3"/>
      <c r="U37" s="6"/>
    </row>
    <row r="38" spans="2:21" x14ac:dyDescent="0.25">
      <c r="B38" s="1"/>
      <c r="C38" s="1"/>
      <c r="D38" s="3"/>
      <c r="E38" s="3"/>
      <c r="F38" s="3"/>
      <c r="G38" s="5"/>
      <c r="H38" s="3"/>
      <c r="J38" s="3"/>
      <c r="K38" s="3"/>
      <c r="L38" s="3"/>
      <c r="M38" s="3"/>
      <c r="N38" s="3"/>
      <c r="U38" s="6"/>
    </row>
    <row r="39" spans="2:21" x14ac:dyDescent="0.25">
      <c r="B39" s="1"/>
      <c r="C39" s="1"/>
      <c r="D39" s="3"/>
      <c r="E39" s="3"/>
      <c r="F39" s="3"/>
      <c r="G39" s="5"/>
      <c r="H39" s="3"/>
      <c r="J39" s="3"/>
      <c r="K39" s="3"/>
      <c r="L39" s="3"/>
      <c r="M39" s="3"/>
      <c r="N39" s="3"/>
      <c r="U39" s="6"/>
    </row>
    <row r="40" spans="2:21" x14ac:dyDescent="0.25">
      <c r="B40" s="1"/>
      <c r="C40" s="1"/>
      <c r="D40" s="3"/>
      <c r="E40" s="3"/>
      <c r="F40" s="3"/>
      <c r="G40" s="5"/>
      <c r="H40" s="3"/>
      <c r="J40" s="3"/>
      <c r="K40" s="3"/>
      <c r="L40" s="3"/>
      <c r="M40" s="3"/>
      <c r="N40" s="3"/>
      <c r="U40" s="6"/>
    </row>
    <row r="41" spans="2:21" x14ac:dyDescent="0.25">
      <c r="B41" s="1"/>
      <c r="C41" s="1"/>
      <c r="D41" s="3"/>
      <c r="E41" s="3"/>
      <c r="F41" s="3"/>
      <c r="G41" s="5"/>
      <c r="H41" s="3"/>
      <c r="J41" s="3"/>
      <c r="K41" s="3"/>
      <c r="L41" s="3"/>
      <c r="M41" s="3"/>
      <c r="N41" s="3"/>
      <c r="U41" s="6"/>
    </row>
    <row r="42" spans="2:21" x14ac:dyDescent="0.25">
      <c r="B42" s="1"/>
      <c r="C42" s="1"/>
      <c r="D42" s="3"/>
      <c r="E42" s="3"/>
      <c r="F42" s="3"/>
      <c r="G42" s="5"/>
      <c r="H42" s="3"/>
      <c r="J42" s="3"/>
      <c r="K42" s="3"/>
      <c r="L42" s="3"/>
      <c r="M42" s="3"/>
      <c r="N42" s="3"/>
      <c r="U42" s="6"/>
    </row>
    <row r="43" spans="2:21" x14ac:dyDescent="0.25">
      <c r="B43" s="1"/>
      <c r="C43" s="1"/>
      <c r="D43" s="3"/>
      <c r="E43" s="3"/>
      <c r="F43" s="3"/>
      <c r="G43" s="5"/>
      <c r="H43" s="3"/>
      <c r="J43" s="3"/>
      <c r="K43" s="3"/>
      <c r="L43" s="3"/>
      <c r="M43" s="3"/>
      <c r="N43" s="3"/>
      <c r="U43" s="6"/>
    </row>
    <row r="44" spans="2:21" x14ac:dyDescent="0.25">
      <c r="B44" s="1"/>
      <c r="C44" s="1"/>
      <c r="D44" s="3"/>
      <c r="E44" s="3"/>
      <c r="F44" s="3"/>
      <c r="G44" s="5"/>
      <c r="H44" s="3"/>
      <c r="J44" s="3"/>
      <c r="K44" s="3"/>
      <c r="L44" s="3"/>
      <c r="M44" s="3"/>
      <c r="N44" s="3"/>
      <c r="U44" s="6"/>
    </row>
    <row r="45" spans="2:21" x14ac:dyDescent="0.25">
      <c r="B45" s="1"/>
      <c r="C45" s="1"/>
      <c r="D45" s="3"/>
      <c r="E45" s="3"/>
      <c r="F45" s="3"/>
      <c r="G45" s="5"/>
      <c r="H45" s="3"/>
      <c r="J45" s="3"/>
      <c r="K45" s="3"/>
      <c r="L45" s="3"/>
      <c r="M45" s="3"/>
      <c r="N45" s="3"/>
      <c r="U45" s="6"/>
    </row>
    <row r="46" spans="2:21" x14ac:dyDescent="0.25">
      <c r="B46" s="1"/>
      <c r="C46" s="1"/>
      <c r="D46" s="3"/>
      <c r="E46" s="3"/>
      <c r="F46" s="3"/>
      <c r="G46" s="5"/>
      <c r="H46" s="3"/>
      <c r="J46" s="3"/>
      <c r="K46" s="3"/>
      <c r="L46" s="3"/>
      <c r="M46" s="3"/>
      <c r="N46" s="3"/>
      <c r="U46" s="6"/>
    </row>
    <row r="47" spans="2:21" x14ac:dyDescent="0.25">
      <c r="B47" s="1"/>
      <c r="C47" s="1"/>
      <c r="D47" s="3"/>
      <c r="E47" s="3"/>
      <c r="F47" s="3"/>
      <c r="G47" s="5"/>
      <c r="H47" s="3"/>
      <c r="J47" s="3"/>
      <c r="K47" s="3"/>
      <c r="L47" s="3"/>
      <c r="M47" s="3"/>
      <c r="N47" s="3"/>
      <c r="U47" s="6"/>
    </row>
    <row r="48" spans="2:21" x14ac:dyDescent="0.25">
      <c r="B48" s="1"/>
      <c r="C48" s="1"/>
      <c r="D48" s="3"/>
      <c r="E48" s="3"/>
      <c r="F48" s="3"/>
      <c r="G48" s="5"/>
      <c r="H48" s="3"/>
      <c r="J48" s="3"/>
      <c r="K48" s="3"/>
      <c r="L48" s="3"/>
      <c r="M48" s="3"/>
      <c r="N48" s="3"/>
      <c r="U48" s="6"/>
    </row>
    <row r="49" spans="2:21" x14ac:dyDescent="0.25">
      <c r="B49" s="1"/>
      <c r="C49" s="1"/>
      <c r="D49" s="3"/>
      <c r="E49" s="3"/>
      <c r="F49" s="3"/>
      <c r="G49" s="5"/>
      <c r="H49" s="3"/>
      <c r="J49" s="3"/>
      <c r="K49" s="3"/>
      <c r="L49" s="3"/>
      <c r="M49" s="3"/>
      <c r="N49" s="3"/>
      <c r="U49" s="6"/>
    </row>
    <row r="50" spans="2:21" x14ac:dyDescent="0.25">
      <c r="B50" s="1"/>
      <c r="C50" s="1"/>
      <c r="D50" s="3"/>
      <c r="E50" s="3"/>
      <c r="F50" s="3"/>
      <c r="G50" s="5"/>
      <c r="H50" s="3"/>
      <c r="J50" s="3"/>
      <c r="K50" s="3"/>
      <c r="L50" s="3"/>
      <c r="M50" s="3"/>
      <c r="N50" s="3"/>
      <c r="U50" s="6"/>
    </row>
    <row r="51" spans="2:21" x14ac:dyDescent="0.25">
      <c r="B51" s="1"/>
      <c r="C51" s="1"/>
      <c r="D51" s="3"/>
      <c r="E51" s="3"/>
      <c r="F51" s="3"/>
      <c r="G51" s="5"/>
      <c r="H51" s="3"/>
      <c r="J51" s="3"/>
      <c r="K51" s="3"/>
      <c r="L51" s="3"/>
      <c r="M51" s="3"/>
      <c r="N51" s="3"/>
      <c r="U51" s="6"/>
    </row>
    <row r="52" spans="2:21" x14ac:dyDescent="0.25">
      <c r="B52" s="1"/>
      <c r="C52" s="1"/>
      <c r="D52" s="3"/>
      <c r="E52" s="3"/>
      <c r="F52" s="3"/>
      <c r="G52" s="5"/>
      <c r="H52" s="3"/>
      <c r="J52" s="3"/>
      <c r="K52" s="3"/>
      <c r="L52" s="3"/>
      <c r="M52" s="3"/>
      <c r="N52" s="3"/>
      <c r="U52" s="6"/>
    </row>
    <row r="53" spans="2:21" x14ac:dyDescent="0.25">
      <c r="B53" s="1"/>
      <c r="C53" s="1"/>
      <c r="D53" s="3"/>
      <c r="E53" s="3"/>
      <c r="F53" s="3"/>
      <c r="G53" s="5"/>
      <c r="H53" s="3"/>
      <c r="J53" s="3"/>
      <c r="K53" s="3"/>
      <c r="L53" s="3"/>
      <c r="M53" s="3"/>
      <c r="N53" s="3"/>
      <c r="U53" s="6"/>
    </row>
    <row r="54" spans="2:21" x14ac:dyDescent="0.25">
      <c r="B54" s="1"/>
      <c r="C54" s="1"/>
      <c r="D54" s="3"/>
      <c r="E54" s="3"/>
      <c r="F54" s="3"/>
      <c r="G54" s="5"/>
      <c r="H54" s="3"/>
      <c r="J54" s="3"/>
      <c r="K54" s="3"/>
      <c r="L54" s="3"/>
      <c r="M54" s="3"/>
      <c r="N54" s="3"/>
      <c r="U54" s="6"/>
    </row>
    <row r="55" spans="2:21" x14ac:dyDescent="0.25">
      <c r="B55" s="1"/>
      <c r="C55" s="1"/>
      <c r="D55" s="3"/>
      <c r="E55" s="3"/>
      <c r="F55" s="3"/>
      <c r="G55" s="5"/>
      <c r="H55" s="3"/>
      <c r="J55" s="3"/>
      <c r="K55" s="3"/>
      <c r="L55" s="3"/>
      <c r="M55" s="3"/>
      <c r="N55" s="3"/>
      <c r="U55" s="6"/>
    </row>
    <row r="56" spans="2:21" x14ac:dyDescent="0.25">
      <c r="B56" s="1"/>
      <c r="C56" s="1"/>
      <c r="D56" s="3"/>
      <c r="E56" s="3"/>
      <c r="F56" s="3"/>
      <c r="G56" s="5"/>
      <c r="H56" s="3"/>
      <c r="J56" s="3"/>
      <c r="K56" s="3"/>
      <c r="L56" s="3"/>
      <c r="M56" s="3"/>
      <c r="N56" s="3"/>
      <c r="U56" s="6"/>
    </row>
    <row r="57" spans="2:21" x14ac:dyDescent="0.25">
      <c r="B57" s="1"/>
      <c r="C57" s="1"/>
      <c r="D57" s="3"/>
      <c r="E57" s="3"/>
      <c r="F57" s="3"/>
      <c r="G57" s="5"/>
      <c r="H57" s="3"/>
      <c r="J57" s="3"/>
      <c r="K57" s="3"/>
      <c r="L57" s="3"/>
      <c r="M57" s="3"/>
      <c r="N57" s="3"/>
      <c r="U57" s="6"/>
    </row>
    <row r="58" spans="2:21" x14ac:dyDescent="0.25">
      <c r="B58" s="1"/>
      <c r="C58" s="1"/>
      <c r="D58" s="3"/>
      <c r="E58" s="3"/>
      <c r="F58" s="3"/>
      <c r="G58" s="5"/>
      <c r="H58" s="3"/>
      <c r="J58" s="3"/>
      <c r="K58" s="3"/>
      <c r="L58" s="3"/>
      <c r="M58" s="3"/>
      <c r="N58" s="3"/>
      <c r="U58" s="6"/>
    </row>
    <row r="59" spans="2:21" x14ac:dyDescent="0.25">
      <c r="B59" s="1"/>
      <c r="C59" s="1"/>
      <c r="D59" s="3"/>
      <c r="E59" s="3"/>
      <c r="F59" s="3"/>
      <c r="G59" s="5"/>
      <c r="H59" s="3"/>
      <c r="J59" s="3"/>
      <c r="K59" s="3"/>
      <c r="L59" s="3"/>
      <c r="M59" s="3"/>
      <c r="N59" s="3"/>
      <c r="U59" s="6"/>
    </row>
    <row r="60" spans="2:21" x14ac:dyDescent="0.25">
      <c r="B60" s="1"/>
      <c r="C60" s="1"/>
      <c r="D60" s="3"/>
      <c r="E60" s="3"/>
      <c r="F60" s="3"/>
      <c r="G60" s="5"/>
      <c r="H60" s="3"/>
      <c r="J60" s="3"/>
      <c r="K60" s="3"/>
      <c r="L60" s="3"/>
      <c r="M60" s="3"/>
      <c r="N60" s="3"/>
      <c r="U60" s="6"/>
    </row>
    <row r="61" spans="2:21" x14ac:dyDescent="0.25">
      <c r="B61" s="1"/>
      <c r="C61" s="1"/>
      <c r="D61" s="3"/>
      <c r="E61" s="3"/>
      <c r="F61" s="3"/>
      <c r="G61" s="5"/>
      <c r="H61" s="3"/>
      <c r="J61" s="3"/>
      <c r="K61" s="3"/>
      <c r="L61" s="3"/>
      <c r="M61" s="3"/>
      <c r="N61" s="3"/>
      <c r="U61" s="6"/>
    </row>
    <row r="62" spans="2:21" x14ac:dyDescent="0.25">
      <c r="B62" s="1"/>
      <c r="C62" s="1"/>
      <c r="D62" s="3"/>
      <c r="E62" s="3"/>
      <c r="F62" s="3"/>
      <c r="G62" s="5"/>
      <c r="H62" s="3"/>
      <c r="J62" s="3"/>
      <c r="K62" s="3"/>
      <c r="L62" s="3"/>
      <c r="M62" s="3"/>
      <c r="N62" s="3"/>
      <c r="U62" s="6"/>
    </row>
    <row r="63" spans="2:21" x14ac:dyDescent="0.25">
      <c r="B63" s="1"/>
      <c r="C63" s="1"/>
      <c r="D63" s="3"/>
      <c r="E63" s="3"/>
      <c r="F63" s="3"/>
      <c r="G63" s="5"/>
      <c r="H63" s="3"/>
      <c r="J63" s="3"/>
      <c r="K63" s="3"/>
      <c r="L63" s="3"/>
      <c r="M63" s="3"/>
      <c r="N63" s="3"/>
      <c r="U63" s="6"/>
    </row>
    <row r="64" spans="2:21" x14ac:dyDescent="0.25">
      <c r="B64" s="1"/>
      <c r="C64" s="1"/>
      <c r="D64" s="3"/>
      <c r="E64" s="3"/>
      <c r="F64" s="3"/>
      <c r="G64" s="5"/>
      <c r="H64" s="3"/>
      <c r="J64" s="3"/>
      <c r="K64" s="3"/>
      <c r="L64" s="3"/>
      <c r="M64" s="3"/>
      <c r="N64" s="3"/>
      <c r="U64" s="6"/>
    </row>
    <row r="65" spans="2:21" x14ac:dyDescent="0.25">
      <c r="B65" s="1"/>
      <c r="C65" s="1"/>
      <c r="D65" s="3"/>
      <c r="E65" s="3"/>
      <c r="F65" s="3"/>
      <c r="G65" s="5"/>
      <c r="H65" s="3"/>
      <c r="J65" s="3"/>
      <c r="K65" s="3"/>
      <c r="L65" s="3"/>
      <c r="M65" s="3"/>
      <c r="N65" s="3"/>
      <c r="U65" s="6"/>
    </row>
    <row r="66" spans="2:21" x14ac:dyDescent="0.25">
      <c r="B66" s="1"/>
      <c r="C66" s="1"/>
      <c r="D66" s="3"/>
      <c r="E66" s="3"/>
      <c r="F66" s="3"/>
      <c r="G66" s="5"/>
      <c r="H66" s="3"/>
      <c r="J66" s="3"/>
      <c r="K66" s="3"/>
      <c r="L66" s="3"/>
      <c r="M66" s="3"/>
      <c r="N66" s="3"/>
      <c r="U66" s="6"/>
    </row>
    <row r="67" spans="2:21" x14ac:dyDescent="0.25">
      <c r="B67" s="1"/>
      <c r="C67" s="1"/>
      <c r="D67" s="3"/>
      <c r="E67" s="3"/>
      <c r="F67" s="3"/>
      <c r="G67" s="5"/>
      <c r="H67" s="3"/>
      <c r="J67" s="3"/>
      <c r="K67" s="3"/>
      <c r="L67" s="3"/>
      <c r="M67" s="3"/>
      <c r="N67" s="3"/>
      <c r="U67" s="6"/>
    </row>
    <row r="68" spans="2:21" x14ac:dyDescent="0.25">
      <c r="B68" s="1"/>
      <c r="C68" s="1"/>
      <c r="D68" s="3"/>
      <c r="E68" s="3"/>
      <c r="F68" s="3"/>
      <c r="G68" s="5"/>
      <c r="H68" s="3"/>
      <c r="J68" s="3"/>
      <c r="K68" s="3"/>
      <c r="L68" s="3"/>
      <c r="M68" s="3"/>
      <c r="N68" s="3"/>
      <c r="U68" s="6"/>
    </row>
    <row r="69" spans="2:21" x14ac:dyDescent="0.25">
      <c r="B69" s="1"/>
      <c r="C69" s="1"/>
      <c r="D69" s="3"/>
      <c r="E69" s="3"/>
      <c r="F69" s="3"/>
      <c r="G69" s="5"/>
      <c r="H69" s="3"/>
      <c r="J69" s="3"/>
      <c r="K69" s="3"/>
      <c r="L69" s="3"/>
      <c r="M69" s="3"/>
      <c r="N69" s="3"/>
      <c r="U69" s="6"/>
    </row>
    <row r="70" spans="2:21" x14ac:dyDescent="0.25">
      <c r="B70" s="1"/>
      <c r="C70" s="1"/>
      <c r="D70" s="3"/>
      <c r="E70" s="3"/>
      <c r="F70" s="3"/>
      <c r="G70" s="5"/>
      <c r="H70" s="3"/>
      <c r="J70" s="3"/>
      <c r="K70" s="3"/>
      <c r="L70" s="3"/>
      <c r="M70" s="3"/>
      <c r="N70" s="3"/>
      <c r="U70" s="6"/>
    </row>
    <row r="71" spans="2:21" x14ac:dyDescent="0.25">
      <c r="B71" s="1"/>
      <c r="C71" s="1"/>
      <c r="D71" s="3"/>
      <c r="E71" s="3"/>
      <c r="F71" s="3"/>
      <c r="G71" s="5"/>
      <c r="H71" s="3"/>
      <c r="J71" s="3"/>
      <c r="K71" s="3"/>
      <c r="L71" s="3"/>
      <c r="M71" s="3"/>
      <c r="N71" s="3"/>
      <c r="U71" s="6"/>
    </row>
    <row r="72" spans="2:21" x14ac:dyDescent="0.25">
      <c r="B72" s="1"/>
      <c r="C72" s="1"/>
      <c r="D72" s="3"/>
      <c r="E72" s="3"/>
      <c r="F72" s="3"/>
      <c r="G72" s="5"/>
      <c r="H72" s="3"/>
      <c r="J72" s="3"/>
      <c r="K72" s="3"/>
      <c r="L72" s="3"/>
      <c r="M72" s="3"/>
      <c r="N72" s="3"/>
    </row>
    <row r="73" spans="2:21" x14ac:dyDescent="0.25">
      <c r="B73" s="1"/>
      <c r="C73" s="1"/>
      <c r="D73" s="3"/>
      <c r="E73" s="3"/>
      <c r="F73" s="3"/>
      <c r="G73" s="5"/>
      <c r="H73" s="3"/>
      <c r="J73" s="3"/>
      <c r="K73" s="3"/>
      <c r="L73" s="3"/>
      <c r="M73" s="3"/>
      <c r="N73" s="3"/>
    </row>
    <row r="74" spans="2:21" x14ac:dyDescent="0.25">
      <c r="B74" s="1"/>
      <c r="C74" s="1"/>
      <c r="D74" s="3"/>
      <c r="E74" s="3"/>
      <c r="F74" s="3"/>
      <c r="G74" s="5"/>
      <c r="H74" s="3"/>
      <c r="J74" s="3"/>
      <c r="K74" s="3"/>
      <c r="L74" s="3"/>
      <c r="M74" s="3"/>
      <c r="N74" s="3"/>
    </row>
    <row r="75" spans="2:21" x14ac:dyDescent="0.25">
      <c r="B75" s="1"/>
      <c r="C75" s="1"/>
      <c r="D75" s="3"/>
      <c r="E75" s="3"/>
      <c r="F75" s="3"/>
      <c r="G75" s="5"/>
      <c r="H75" s="3"/>
      <c r="J75" s="3"/>
      <c r="K75" s="3"/>
      <c r="L75" s="3"/>
      <c r="M75" s="3"/>
      <c r="N75" s="3"/>
    </row>
    <row r="76" spans="2:21" x14ac:dyDescent="0.25">
      <c r="B76" s="1"/>
      <c r="C76" s="1"/>
      <c r="D76" s="3"/>
      <c r="E76" s="3"/>
      <c r="F76" s="3"/>
      <c r="G76" s="3"/>
      <c r="H76" s="3"/>
      <c r="J76" s="3"/>
      <c r="K76" s="3"/>
      <c r="L76" s="3"/>
      <c r="M76" s="3"/>
      <c r="N76" s="3"/>
    </row>
    <row r="77" spans="2:21" x14ac:dyDescent="0.25">
      <c r="B77" s="1"/>
      <c r="C77" s="1"/>
      <c r="D77" s="3"/>
      <c r="E77" s="3"/>
      <c r="F77" s="3"/>
      <c r="G77" s="3"/>
      <c r="H77" s="3"/>
      <c r="J77" s="3"/>
      <c r="K77" s="3"/>
      <c r="L77" s="3"/>
      <c r="M77" s="3"/>
      <c r="N77" s="3"/>
    </row>
    <row r="78" spans="2:21" x14ac:dyDescent="0.25">
      <c r="B78" s="1"/>
      <c r="C78" s="1"/>
      <c r="D78" s="3"/>
      <c r="E78" s="3"/>
      <c r="F78" s="3"/>
      <c r="G78" s="3"/>
      <c r="H78" s="3"/>
      <c r="J78" s="3"/>
      <c r="K78" s="3"/>
      <c r="L78" s="3"/>
      <c r="M78" s="3"/>
      <c r="N78" s="3"/>
    </row>
    <row r="79" spans="2:21" x14ac:dyDescent="0.25">
      <c r="B79" s="1"/>
      <c r="C79" s="1"/>
      <c r="D79" s="3"/>
      <c r="E79" s="3"/>
      <c r="F79" s="3"/>
      <c r="G79" s="3"/>
      <c r="H79" s="3"/>
      <c r="J79" s="3"/>
      <c r="K79" s="3"/>
      <c r="L79" s="3"/>
      <c r="M79" s="3"/>
      <c r="N79" s="3"/>
    </row>
  </sheetData>
  <sheetProtection selectLockedCells="1" selectUnlockedCells="1"/>
  <phoneticPr fontId="5"/>
  <hyperlinks>
    <hyperlink ref="AL1" r:id="rId1" xr:uid="{96102F9E-3D4C-435E-9A58-AD75C5E80481}"/>
  </hyperlink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2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Joe Khoury</cp:lastModifiedBy>
  <cp:revision/>
  <dcterms:created xsi:type="dcterms:W3CDTF">2016-09-19T10:41:46Z</dcterms:created>
  <dcterms:modified xsi:type="dcterms:W3CDTF">2023-01-03T10:00:55Z</dcterms:modified>
  <cp:category/>
  <cp:contentStatus/>
</cp:coreProperties>
</file>