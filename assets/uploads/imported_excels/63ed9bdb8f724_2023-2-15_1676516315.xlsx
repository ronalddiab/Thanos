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D35" i="119" l="1"/>
  <c r="E32" i="117" s="1"/>
  <c r="F35" i="119"/>
  <c r="G32" i="117" s="1"/>
  <c r="H35" i="119"/>
  <c r="I32" i="117" s="1"/>
  <c r="J35" i="119"/>
  <c r="K32" i="117" s="1"/>
  <c r="B32" i="117"/>
  <c r="M32" i="117"/>
  <c r="N32" i="117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H5" i="119" l="1"/>
  <c r="J5" i="119"/>
  <c r="F5" i="119" l="1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<sst xmlns="http://schemas.openxmlformats.org/spreadsheetml/2006/main" count="61" uniqueCount="29">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</sst>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  <xf numFmtId="0" fontId="1" fillId="9" borderId="1" xfId="0" applyNumberFormat="1" applyFont="1" applyFill="1" applyBorder="1"/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A7" zoomScale="85" zoomScaleNormal="85" workbookViewId="0">
      <selection activeCell="F41" sqref="F4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7</v>
      </c>
      <c r="D2" s="7">
        <v>2022</v>
      </c>
      <c r="E2" s="9">
        <f>'Macao Daily'!D5</f>
        <v>22643</v>
      </c>
      <c r="F2" s="30">
        <v>1.2539</v>
      </c>
      <c r="G2" s="9">
        <f>'Macao Daily'!F5</f>
        <v>16</v>
      </c>
      <c r="H2" s="30">
        <v>11.32</v>
      </c>
      <c r="I2" s="9">
        <f>'Macao Daily'!H5</f>
        <v>54945</v>
      </c>
      <c r="J2" s="30">
        <v>0.27</v>
      </c>
      <c r="K2" s="9">
        <f>'Macao Daily'!J5</f>
        <v>513</v>
      </c>
      <c r="L2" s="30">
        <v>7.7614000000000001</v>
      </c>
      <c r="M2" s="9">
        <f>'Macao Daily'!K5</f>
        <v>80</v>
      </c>
      <c r="N2" s="9">
        <f>'Macao Daily'!L5</f>
        <v>12</v>
      </c>
    </row>
    <row r="3" spans="1:14" ht="15" x14ac:dyDescent="0.25">
      <c r="A3" s="6" t="s">
        <v>13</v>
      </c>
      <c r="B3" s="7">
        <f>B2+1</f>
        <v>2</v>
      </c>
      <c r="C3" s="8">
        <v>7</v>
      </c>
      <c r="D3" s="7">
        <v>2022</v>
      </c>
      <c r="E3" s="9">
        <f>'Macao Daily'!D6</f>
        <v>18027</v>
      </c>
      <c r="F3" s="30">
        <v>1.2539</v>
      </c>
      <c r="G3" s="9">
        <f>'Macao Daily'!F6</f>
        <v>6</v>
      </c>
      <c r="H3" s="30">
        <v>11.32</v>
      </c>
      <c r="I3" s="9">
        <f>'Macao Daily'!H6</f>
        <v>50844</v>
      </c>
      <c r="J3" s="30">
        <v>0.27</v>
      </c>
      <c r="K3" s="9">
        <f>'Macao Daily'!J6</f>
        <v>555</v>
      </c>
      <c r="L3" s="30">
        <v>7.7614000000000001</v>
      </c>
      <c r="M3" s="9">
        <f>'Macao Daily'!K6</f>
        <v>42</v>
      </c>
      <c r="N3" s="9">
        <f>'Macao Daily'!L6</f>
        <v>15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7</v>
      </c>
      <c r="D4" s="7">
        <v>2022</v>
      </c>
      <c r="E4" s="9">
        <f>'Macao Daily'!D7</f>
        <v>20890</v>
      </c>
      <c r="F4" s="30">
        <v>1.2539</v>
      </c>
      <c r="G4" s="9">
        <f>'Macao Daily'!F7</f>
        <v>14</v>
      </c>
      <c r="H4" s="30">
        <v>11.32</v>
      </c>
      <c r="I4" s="9">
        <f>'Macao Daily'!H7</f>
        <v>61023</v>
      </c>
      <c r="J4" s="30">
        <v>0.27</v>
      </c>
      <c r="K4" s="9">
        <f>'Macao Daily'!J7</f>
        <v>564</v>
      </c>
      <c r="L4" s="30">
        <v>7.7614000000000001</v>
      </c>
      <c r="M4" s="9">
        <f>'Macao Daily'!K7</f>
        <v>40</v>
      </c>
      <c r="N4" s="9">
        <f>'Macao Daily'!L7</f>
        <v>18</v>
      </c>
    </row>
    <row r="5" spans="1:14" ht="15" x14ac:dyDescent="0.25">
      <c r="A5" s="6" t="s">
        <v>13</v>
      </c>
      <c r="B5" s="7">
        <f t="shared" si="0"/>
        <v>4</v>
      </c>
      <c r="C5" s="8">
        <v>7</v>
      </c>
      <c r="D5" s="7">
        <v>2022</v>
      </c>
      <c r="E5" s="9">
        <f>'Macao Daily'!D8</f>
        <v>20323</v>
      </c>
      <c r="F5" s="30">
        <v>1.2539</v>
      </c>
      <c r="G5" s="9">
        <f>'Macao Daily'!F8</f>
        <v>17</v>
      </c>
      <c r="H5" s="30">
        <v>11.32</v>
      </c>
      <c r="I5" s="9">
        <f>'Macao Daily'!H8</f>
        <v>57589</v>
      </c>
      <c r="J5" s="30">
        <v>0.27</v>
      </c>
      <c r="K5" s="9">
        <f>'Macao Daily'!J8</f>
        <v>545</v>
      </c>
      <c r="L5" s="30">
        <v>7.7614000000000001</v>
      </c>
      <c r="M5" s="9">
        <f>'Macao Daily'!K8</f>
        <v>37</v>
      </c>
      <c r="N5" s="9">
        <f>'Macao Daily'!L8</f>
        <v>11</v>
      </c>
    </row>
    <row r="6" spans="1:14" ht="15" x14ac:dyDescent="0.25">
      <c r="A6" s="6" t="s">
        <v>13</v>
      </c>
      <c r="B6" s="7">
        <f t="shared" si="0"/>
        <v>5</v>
      </c>
      <c r="C6" s="8">
        <v>7</v>
      </c>
      <c r="D6" s="7">
        <v>2022</v>
      </c>
      <c r="E6" s="9">
        <f>'Macao Daily'!D9</f>
        <v>20992</v>
      </c>
      <c r="F6" s="30">
        <v>1.2539</v>
      </c>
      <c r="G6" s="9">
        <f>'Macao Daily'!F9</f>
        <v>17</v>
      </c>
      <c r="H6" s="30">
        <v>11.32</v>
      </c>
      <c r="I6" s="9">
        <f>'Macao Daily'!H9</f>
        <v>58528</v>
      </c>
      <c r="J6" s="30">
        <v>0.27</v>
      </c>
      <c r="K6" s="9">
        <f>'Macao Daily'!J9</f>
        <v>515</v>
      </c>
      <c r="L6" s="30">
        <v>7.7614000000000001</v>
      </c>
      <c r="M6" s="9">
        <f>'Macao Daily'!K9</f>
        <v>35</v>
      </c>
      <c r="N6" s="9">
        <f>'Macao Daily'!L9</f>
        <v>12</v>
      </c>
    </row>
    <row r="7" spans="1:14" ht="15" x14ac:dyDescent="0.25">
      <c r="A7" s="6" t="s">
        <v>13</v>
      </c>
      <c r="B7" s="7">
        <f t="shared" si="0"/>
        <v>6</v>
      </c>
      <c r="C7" s="8">
        <v>7</v>
      </c>
      <c r="D7" s="7">
        <v>2022</v>
      </c>
      <c r="E7" s="9">
        <f>'Macao Daily'!D10</f>
        <v>20986</v>
      </c>
      <c r="F7" s="30">
        <v>1.2539</v>
      </c>
      <c r="G7" s="9">
        <f>'Macao Daily'!F10</f>
        <v>17</v>
      </c>
      <c r="H7" s="30">
        <v>11.32</v>
      </c>
      <c r="I7" s="9">
        <f>'Macao Daily'!H10</f>
        <v>57742</v>
      </c>
      <c r="J7" s="30">
        <v>0.27</v>
      </c>
      <c r="K7" s="9">
        <f>'Macao Daily'!J10</f>
        <v>487</v>
      </c>
      <c r="L7" s="30">
        <v>7.7614000000000001</v>
      </c>
      <c r="M7" s="9">
        <f>'Macao Daily'!K10</f>
        <v>33</v>
      </c>
      <c r="N7" s="9">
        <f>'Macao Daily'!L10</f>
        <v>14</v>
      </c>
    </row>
    <row r="8" spans="1:14" ht="15" x14ac:dyDescent="0.25">
      <c r="A8" s="6" t="s">
        <v>13</v>
      </c>
      <c r="B8" s="7">
        <f t="shared" si="0"/>
        <v>7</v>
      </c>
      <c r="C8" s="8">
        <v>7</v>
      </c>
      <c r="D8" s="7">
        <v>2022</v>
      </c>
      <c r="E8" s="9">
        <f>'Macao Daily'!D11</f>
        <v>20835</v>
      </c>
      <c r="F8" s="30">
        <v>1.2539</v>
      </c>
      <c r="G8" s="9">
        <f>'Macao Daily'!F11</f>
        <v>12</v>
      </c>
      <c r="H8" s="30">
        <v>11.32</v>
      </c>
      <c r="I8" s="9">
        <f>'Macao Daily'!H11</f>
        <v>59094</v>
      </c>
      <c r="J8" s="30">
        <v>0.27</v>
      </c>
      <c r="K8" s="9">
        <f>'Macao Daily'!J11</f>
        <v>500</v>
      </c>
      <c r="L8" s="30">
        <v>7.7614000000000001</v>
      </c>
      <c r="M8" s="9">
        <f>'Macao Daily'!K11</f>
        <v>30</v>
      </c>
      <c r="N8" s="9">
        <f>'Macao Daily'!L11</f>
        <v>11</v>
      </c>
    </row>
    <row r="9" spans="1:14" ht="15" x14ac:dyDescent="0.25">
      <c r="A9" s="6" t="s">
        <v>13</v>
      </c>
      <c r="B9" s="7">
        <f t="shared" si="0"/>
        <v>8</v>
      </c>
      <c r="C9" s="8">
        <v>7</v>
      </c>
      <c r="D9" s="7">
        <v>2022</v>
      </c>
      <c r="E9" s="9">
        <f>'Macao Daily'!D12</f>
        <v>20784</v>
      </c>
      <c r="F9" s="30">
        <v>1.2539</v>
      </c>
      <c r="G9" s="9">
        <f>'Macao Daily'!F12</f>
        <v>16</v>
      </c>
      <c r="H9" s="30">
        <v>11.32</v>
      </c>
      <c r="I9" s="9">
        <f>'Macao Daily'!H12</f>
        <v>59406</v>
      </c>
      <c r="J9" s="30">
        <v>0.27</v>
      </c>
      <c r="K9" s="9">
        <f>'Macao Daily'!J12</f>
        <v>487</v>
      </c>
      <c r="L9" s="30">
        <v>7.7614000000000001</v>
      </c>
      <c r="M9" s="9">
        <f>'Macao Daily'!K12</f>
        <v>29</v>
      </c>
      <c r="N9" s="9">
        <f>'Macao Daily'!L12</f>
        <v>10</v>
      </c>
    </row>
    <row r="10" spans="1:14" ht="15" x14ac:dyDescent="0.25">
      <c r="A10" s="6" t="s">
        <v>13</v>
      </c>
      <c r="B10" s="7">
        <f t="shared" si="0"/>
        <v>9</v>
      </c>
      <c r="C10" s="8">
        <v>7</v>
      </c>
      <c r="D10" s="7">
        <v>2022</v>
      </c>
      <c r="E10" s="9">
        <f>'Macao Daily'!D13</f>
        <v>20788</v>
      </c>
      <c r="F10" s="30">
        <v>1.2539</v>
      </c>
      <c r="G10" s="9">
        <f>'Macao Daily'!F13</f>
        <v>14</v>
      </c>
      <c r="H10" s="30">
        <v>11.32</v>
      </c>
      <c r="I10" s="9">
        <f>'Macao Daily'!H13</f>
        <v>60461</v>
      </c>
      <c r="J10" s="30">
        <v>0.27</v>
      </c>
      <c r="K10" s="9">
        <f>'Macao Daily'!J13</f>
        <v>485</v>
      </c>
      <c r="L10" s="30">
        <v>7.7614000000000001</v>
      </c>
      <c r="M10" s="9">
        <f>'Macao Daily'!K13</f>
        <v>28</v>
      </c>
      <c r="N10" s="9">
        <f>'Macao Daily'!L13</f>
        <v>5</v>
      </c>
    </row>
    <row r="11" spans="1:14" ht="15" x14ac:dyDescent="0.25">
      <c r="A11" s="6" t="s">
        <v>13</v>
      </c>
      <c r="B11" s="7">
        <f t="shared" si="0"/>
        <v>10</v>
      </c>
      <c r="C11" s="8">
        <v>7</v>
      </c>
      <c r="D11" s="7">
        <v>2022</v>
      </c>
      <c r="E11" s="9">
        <f>'Macao Daily'!D14</f>
        <v>20704</v>
      </c>
      <c r="F11" s="30">
        <v>1.2539</v>
      </c>
      <c r="G11" s="9">
        <f>'Macao Daily'!F14</f>
        <v>14</v>
      </c>
      <c r="H11" s="30">
        <v>11.32</v>
      </c>
      <c r="I11" s="9">
        <f>'Macao Daily'!H14</f>
        <v>64524</v>
      </c>
      <c r="J11" s="30">
        <v>0.27</v>
      </c>
      <c r="K11" s="9">
        <f>'Macao Daily'!J14</f>
        <v>482</v>
      </c>
      <c r="L11" s="30">
        <v>7.7614000000000001</v>
      </c>
      <c r="M11" s="9">
        <f>'Macao Daily'!K14</f>
        <v>27</v>
      </c>
      <c r="N11" s="9">
        <f>'Macao Daily'!L14</f>
        <v>4</v>
      </c>
    </row>
    <row r="12" spans="1:14" ht="15" x14ac:dyDescent="0.25">
      <c r="A12" s="6" t="s">
        <v>13</v>
      </c>
      <c r="B12" s="7">
        <f t="shared" si="0"/>
        <v>11</v>
      </c>
      <c r="C12" s="8">
        <v>7</v>
      </c>
      <c r="D12" s="7">
        <v>2022</v>
      </c>
      <c r="E12" s="9">
        <f>'Macao Daily'!D15</f>
        <v>19939</v>
      </c>
      <c r="F12" s="30">
        <v>1.2539</v>
      </c>
      <c r="G12" s="9">
        <f>'Macao Daily'!F15</f>
        <v>13</v>
      </c>
      <c r="H12" s="30">
        <v>11.32</v>
      </c>
      <c r="I12" s="9">
        <f>'Macao Daily'!H15</f>
        <v>59547</v>
      </c>
      <c r="J12" s="30">
        <v>0.27</v>
      </c>
      <c r="K12" s="9">
        <f>'Macao Daily'!J15</f>
        <v>514</v>
      </c>
      <c r="L12" s="30">
        <v>7.7614000000000001</v>
      </c>
      <c r="M12" s="9">
        <f>'Macao Daily'!K15</f>
        <v>26</v>
      </c>
      <c r="N12" s="9">
        <f>'Macao Daily'!L15</f>
        <v>6</v>
      </c>
    </row>
    <row r="13" spans="1:14" ht="15" x14ac:dyDescent="0.25">
      <c r="A13" s="6" t="s">
        <v>13</v>
      </c>
      <c r="B13" s="7">
        <f t="shared" si="0"/>
        <v>12</v>
      </c>
      <c r="C13" s="8">
        <v>7</v>
      </c>
      <c r="D13" s="7">
        <v>2022</v>
      </c>
      <c r="E13" s="9">
        <f>'Macao Daily'!D16</f>
        <v>18880</v>
      </c>
      <c r="F13" s="30">
        <v>1.2539</v>
      </c>
      <c r="G13" s="9">
        <f>'Macao Daily'!F16</f>
        <v>9</v>
      </c>
      <c r="H13" s="30">
        <v>11.32</v>
      </c>
      <c r="I13" s="9">
        <f>'Macao Daily'!H16</f>
        <v>58570</v>
      </c>
      <c r="J13" s="30">
        <v>0.27</v>
      </c>
      <c r="K13" s="9">
        <f>'Macao Daily'!J16</f>
        <v>477</v>
      </c>
      <c r="L13" s="30">
        <v>7.7614000000000001</v>
      </c>
      <c r="M13" s="9">
        <f>'Macao Daily'!K16</f>
        <v>23</v>
      </c>
      <c r="N13" s="9">
        <f>'Macao Daily'!L16</f>
        <v>1</v>
      </c>
    </row>
    <row r="14" spans="1:14" ht="15" x14ac:dyDescent="0.25">
      <c r="A14" s="6" t="s">
        <v>13</v>
      </c>
      <c r="B14" s="7">
        <f t="shared" si="0"/>
        <v>13</v>
      </c>
      <c r="C14" s="8">
        <v>7</v>
      </c>
      <c r="D14" s="7">
        <v>2022</v>
      </c>
      <c r="E14" s="9">
        <f>'Macao Daily'!D17</f>
        <v>19302</v>
      </c>
      <c r="F14" s="30">
        <v>1.2539</v>
      </c>
      <c r="G14" s="9">
        <f>'Macao Daily'!F17</f>
        <v>19</v>
      </c>
      <c r="H14" s="30">
        <v>11.32</v>
      </c>
      <c r="I14" s="9">
        <f>'Macao Daily'!H17</f>
        <v>51156</v>
      </c>
      <c r="J14" s="30">
        <v>0.27</v>
      </c>
      <c r="K14" s="9">
        <f>'Macao Daily'!J17</f>
        <v>485</v>
      </c>
      <c r="L14" s="30">
        <v>7.7614000000000001</v>
      </c>
      <c r="M14" s="9">
        <f>'Macao Daily'!K17</f>
        <v>21</v>
      </c>
      <c r="N14" s="9">
        <f>'Macao Daily'!L17</f>
        <v>69</v>
      </c>
    </row>
    <row r="15" spans="1:14" ht="15" x14ac:dyDescent="0.25">
      <c r="A15" s="6" t="s">
        <v>13</v>
      </c>
      <c r="B15" s="7">
        <f t="shared" si="0"/>
        <v>14</v>
      </c>
      <c r="C15" s="8">
        <v>7</v>
      </c>
      <c r="D15" s="7">
        <v>2022</v>
      </c>
      <c r="E15" s="9">
        <f>'Macao Daily'!D18</f>
        <v>19686</v>
      </c>
      <c r="F15" s="30">
        <v>1.2539</v>
      </c>
      <c r="G15" s="9">
        <f>'Macao Daily'!F18</f>
        <v>20</v>
      </c>
      <c r="H15" s="30">
        <v>11.32</v>
      </c>
      <c r="I15" s="9">
        <f>'Macao Daily'!H18</f>
        <v>53047</v>
      </c>
      <c r="J15" s="30">
        <v>0.27</v>
      </c>
      <c r="K15" s="9">
        <f>'Macao Daily'!J18</f>
        <v>485</v>
      </c>
      <c r="L15" s="30">
        <v>7.7614000000000001</v>
      </c>
      <c r="M15" s="9">
        <f>'Macao Daily'!K18</f>
        <v>21</v>
      </c>
      <c r="N15" s="9">
        <f>'Macao Daily'!L18</f>
        <v>74</v>
      </c>
    </row>
    <row r="16" spans="1:14" ht="15" x14ac:dyDescent="0.25">
      <c r="A16" s="6" t="s">
        <v>13</v>
      </c>
      <c r="B16" s="7">
        <f t="shared" si="0"/>
        <v>15</v>
      </c>
      <c r="C16" s="8">
        <v>7</v>
      </c>
      <c r="D16" s="7">
        <v>2022</v>
      </c>
      <c r="E16" s="9">
        <f>'Macao Daily'!D19</f>
        <v>19578</v>
      </c>
      <c r="F16" s="30">
        <v>1.2539</v>
      </c>
      <c r="G16" s="9">
        <f>'Macao Daily'!F19</f>
        <v>14</v>
      </c>
      <c r="H16" s="30">
        <v>11.32</v>
      </c>
      <c r="I16" s="9">
        <f>'Macao Daily'!H19</f>
        <v>56766</v>
      </c>
      <c r="J16" s="30">
        <v>0.27</v>
      </c>
      <c r="K16" s="9">
        <f>'Macao Daily'!J19</f>
        <v>568</v>
      </c>
      <c r="L16" s="30">
        <v>7.7614000000000001</v>
      </c>
      <c r="M16" s="9">
        <f>'Macao Daily'!K19</f>
        <v>21</v>
      </c>
      <c r="N16" s="9">
        <f>'Macao Daily'!L19</f>
        <v>63</v>
      </c>
    </row>
    <row r="17" spans="1:14" ht="15" x14ac:dyDescent="0.25">
      <c r="A17" s="6" t="s">
        <v>13</v>
      </c>
      <c r="B17" s="7">
        <f t="shared" si="0"/>
        <v>16</v>
      </c>
      <c r="C17" s="8">
        <v>7</v>
      </c>
      <c r="D17" s="7">
        <v>2022</v>
      </c>
      <c r="E17" s="9">
        <f>'Macao Daily'!D20</f>
        <v>18211</v>
      </c>
      <c r="F17" s="30">
        <v>1.2539</v>
      </c>
      <c r="G17" s="9">
        <f>'Macao Daily'!F20</f>
        <v>16</v>
      </c>
      <c r="H17" s="30">
        <v>11.32</v>
      </c>
      <c r="I17" s="9">
        <f>'Macao Daily'!H20</f>
        <v>53937</v>
      </c>
      <c r="J17" s="30">
        <v>0.27</v>
      </c>
      <c r="K17" s="9">
        <f>'Macao Daily'!J20</f>
        <v>563</v>
      </c>
      <c r="L17" s="30">
        <v>7.7614000000000001</v>
      </c>
      <c r="M17" s="9">
        <f>'Macao Daily'!K20</f>
        <v>23</v>
      </c>
      <c r="N17" s="9">
        <f>'Macao Daily'!L20</f>
        <v>75</v>
      </c>
    </row>
    <row r="18" spans="1:14" ht="15" x14ac:dyDescent="0.25">
      <c r="A18" s="6" t="s">
        <v>13</v>
      </c>
      <c r="B18" s="7">
        <f t="shared" si="0"/>
        <v>17</v>
      </c>
      <c r="C18" s="8">
        <v>7</v>
      </c>
      <c r="D18" s="7">
        <v>2022</v>
      </c>
      <c r="E18" s="9">
        <f>'Macao Daily'!D21</f>
        <v>20160</v>
      </c>
      <c r="F18" s="30">
        <v>1.2539</v>
      </c>
      <c r="G18" s="9">
        <f>'Macao Daily'!F21</f>
        <v>17</v>
      </c>
      <c r="H18" s="30">
        <v>11.32</v>
      </c>
      <c r="I18" s="9">
        <f>'Macao Daily'!H21</f>
        <v>57735</v>
      </c>
      <c r="J18" s="30">
        <v>0.27</v>
      </c>
      <c r="K18" s="9">
        <f>'Macao Daily'!J21</f>
        <v>523</v>
      </c>
      <c r="L18" s="30">
        <v>7.7614000000000001</v>
      </c>
      <c r="M18" s="9">
        <f>'Macao Daily'!K21</f>
        <v>23</v>
      </c>
      <c r="N18" s="9">
        <f>'Macao Daily'!L21</f>
        <v>79</v>
      </c>
    </row>
    <row r="19" spans="1:14" ht="15" x14ac:dyDescent="0.25">
      <c r="A19" s="6" t="s">
        <v>13</v>
      </c>
      <c r="B19" s="7">
        <f t="shared" si="0"/>
        <v>18</v>
      </c>
      <c r="C19" s="8">
        <v>7</v>
      </c>
      <c r="D19" s="7">
        <v>2022</v>
      </c>
      <c r="E19" s="9">
        <f>'Macao Daily'!D22</f>
        <v>19253</v>
      </c>
      <c r="F19" s="30">
        <v>1.2539</v>
      </c>
      <c r="G19" s="9">
        <f>'Macao Daily'!F22</f>
        <v>15</v>
      </c>
      <c r="H19" s="30">
        <v>11.32</v>
      </c>
      <c r="I19" s="9">
        <f>'Macao Daily'!H22</f>
        <v>56007</v>
      </c>
      <c r="J19" s="30">
        <v>0.27</v>
      </c>
      <c r="K19" s="9">
        <f>'Macao Daily'!J22</f>
        <v>508</v>
      </c>
      <c r="L19" s="30">
        <v>7.7614000000000001</v>
      </c>
      <c r="M19" s="9">
        <f>'Macao Daily'!K22</f>
        <v>21</v>
      </c>
      <c r="N19" s="9">
        <f>'Macao Daily'!L22</f>
        <v>70</v>
      </c>
    </row>
    <row r="20" spans="1:14" ht="15" x14ac:dyDescent="0.25">
      <c r="A20" s="6" t="s">
        <v>13</v>
      </c>
      <c r="B20" s="7">
        <f t="shared" si="0"/>
        <v>19</v>
      </c>
      <c r="C20" s="8">
        <v>7</v>
      </c>
      <c r="D20" s="7">
        <v>2022</v>
      </c>
      <c r="E20" s="9">
        <f>'Macao Daily'!D23</f>
        <v>18931</v>
      </c>
      <c r="F20" s="30">
        <v>1.2539</v>
      </c>
      <c r="G20" s="9">
        <f>'Macao Daily'!F23</f>
        <v>13</v>
      </c>
      <c r="H20" s="30">
        <v>11.32</v>
      </c>
      <c r="I20" s="9">
        <f>'Macao Daily'!H23</f>
        <v>55532</v>
      </c>
      <c r="J20" s="30">
        <v>0.27</v>
      </c>
      <c r="K20" s="9">
        <f>'Macao Daily'!J23</f>
        <v>537</v>
      </c>
      <c r="L20" s="30">
        <v>7.7614000000000001</v>
      </c>
      <c r="M20" s="9">
        <f>'Macao Daily'!K23</f>
        <v>22</v>
      </c>
      <c r="N20" s="9">
        <f>'Macao Daily'!L23</f>
        <v>70</v>
      </c>
    </row>
    <row r="21" spans="1:14" ht="15" x14ac:dyDescent="0.25">
      <c r="A21" s="6" t="s">
        <v>13</v>
      </c>
      <c r="B21" s="7">
        <f t="shared" si="0"/>
        <v>20</v>
      </c>
      <c r="C21" s="8">
        <v>7</v>
      </c>
      <c r="D21" s="7">
        <v>2022</v>
      </c>
      <c r="E21" s="9">
        <f>'Macao Daily'!D24</f>
        <v>19334</v>
      </c>
      <c r="F21" s="30">
        <v>1.2539</v>
      </c>
      <c r="G21" s="9">
        <f>'Macao Daily'!F24</f>
        <v>12</v>
      </c>
      <c r="H21" s="30">
        <v>11.32</v>
      </c>
      <c r="I21" s="9">
        <f>'Macao Daily'!H24</f>
        <v>54156</v>
      </c>
      <c r="J21" s="30">
        <v>0.27</v>
      </c>
      <c r="K21" s="9">
        <f>'Macao Daily'!J24</f>
        <v>496</v>
      </c>
      <c r="L21" s="30">
        <v>7.7614000000000001</v>
      </c>
      <c r="M21" s="9">
        <f>'Macao Daily'!K24</f>
        <v>22</v>
      </c>
      <c r="N21" s="9">
        <f>'Macao Daily'!L24</f>
        <v>66</v>
      </c>
    </row>
    <row r="22" spans="1:14" ht="15" x14ac:dyDescent="0.25">
      <c r="A22" s="6" t="s">
        <v>13</v>
      </c>
      <c r="B22" s="7">
        <f t="shared" si="0"/>
        <v>21</v>
      </c>
      <c r="C22" s="8">
        <v>7</v>
      </c>
      <c r="D22" s="7">
        <v>2022</v>
      </c>
      <c r="E22" s="9">
        <f>'Macao Daily'!D25</f>
        <v>19644</v>
      </c>
      <c r="F22" s="30">
        <v>1.2539</v>
      </c>
      <c r="G22" s="9">
        <f>'Macao Daily'!F25</f>
        <v>14</v>
      </c>
      <c r="H22" s="30">
        <v>11.32</v>
      </c>
      <c r="I22" s="9">
        <f>'Macao Daily'!H25</f>
        <v>55875</v>
      </c>
      <c r="J22" s="30">
        <v>0.27</v>
      </c>
      <c r="K22" s="9">
        <f>'Macao Daily'!J25</f>
        <v>502</v>
      </c>
      <c r="L22" s="30">
        <v>7.7614000000000001</v>
      </c>
      <c r="M22" s="9">
        <f>'Macao Daily'!K25</f>
        <v>22</v>
      </c>
      <c r="N22" s="9">
        <f>'Macao Daily'!L25</f>
        <v>65</v>
      </c>
    </row>
    <row r="23" spans="1:14" ht="15" x14ac:dyDescent="0.25">
      <c r="A23" s="6" t="s">
        <v>13</v>
      </c>
      <c r="B23" s="7">
        <f t="shared" si="0"/>
        <v>22</v>
      </c>
      <c r="C23" s="8">
        <v>7</v>
      </c>
      <c r="D23" s="7">
        <v>2022</v>
      </c>
      <c r="E23" s="9">
        <f>'Macao Daily'!D26</f>
        <v>20429</v>
      </c>
      <c r="F23" s="30">
        <v>1.2539</v>
      </c>
      <c r="G23" s="9">
        <f>'Macao Daily'!F26</f>
        <v>15</v>
      </c>
      <c r="H23" s="30">
        <v>11.32</v>
      </c>
      <c r="I23" s="9">
        <f>'Macao Daily'!H26</f>
        <v>56492</v>
      </c>
      <c r="J23" s="30">
        <v>0.27</v>
      </c>
      <c r="K23" s="9">
        <f>'Macao Daily'!J26</f>
        <v>496</v>
      </c>
      <c r="L23" s="30">
        <v>7.7614000000000001</v>
      </c>
      <c r="M23" s="9">
        <f>'Macao Daily'!K26</f>
        <v>22</v>
      </c>
      <c r="N23" s="9">
        <f>'Macao Daily'!L26</f>
        <v>64</v>
      </c>
    </row>
    <row r="24" spans="1:14" ht="15" x14ac:dyDescent="0.25">
      <c r="A24" s="6" t="s">
        <v>13</v>
      </c>
      <c r="B24" s="7">
        <f t="shared" si="0"/>
        <v>23</v>
      </c>
      <c r="C24" s="8">
        <v>7</v>
      </c>
      <c r="D24" s="7">
        <v>2022</v>
      </c>
      <c r="E24" s="9">
        <f>'Macao Daily'!D27</f>
        <v>18726</v>
      </c>
      <c r="F24" s="30">
        <v>1.2539</v>
      </c>
      <c r="G24" s="9">
        <f>'Macao Daily'!F27</f>
        <v>1</v>
      </c>
      <c r="H24" s="30">
        <v>11.32</v>
      </c>
      <c r="I24" s="9">
        <f>'Macao Daily'!H27</f>
        <v>63500</v>
      </c>
      <c r="J24" s="30">
        <v>0.27</v>
      </c>
      <c r="K24" s="9">
        <f>'Macao Daily'!J27</f>
        <v>228</v>
      </c>
      <c r="L24" s="30">
        <v>7.7614000000000001</v>
      </c>
      <c r="M24" s="9">
        <f>'Macao Daily'!K27</f>
        <v>23</v>
      </c>
      <c r="N24" s="9">
        <f>'Macao Daily'!L27</f>
        <v>1</v>
      </c>
    </row>
    <row r="25" spans="1:14" ht="15" x14ac:dyDescent="0.25">
      <c r="A25" s="6" t="s">
        <v>13</v>
      </c>
      <c r="B25" s="7">
        <f t="shared" si="0"/>
        <v>24</v>
      </c>
      <c r="C25" s="8">
        <v>7</v>
      </c>
      <c r="D25" s="7">
        <v>2022</v>
      </c>
      <c r="E25" s="9">
        <f>'Macao Daily'!D28</f>
        <v>19350</v>
      </c>
      <c r="F25" s="30">
        <v>1.2539</v>
      </c>
      <c r="G25" s="9">
        <f>'Macao Daily'!F28</f>
        <v>2</v>
      </c>
      <c r="H25" s="30">
        <v>11.32</v>
      </c>
      <c r="I25" s="9">
        <f>'Macao Daily'!H28</f>
        <v>65633</v>
      </c>
      <c r="J25" s="30">
        <v>0.27</v>
      </c>
      <c r="K25" s="9">
        <f>'Macao Daily'!J28</f>
        <v>233</v>
      </c>
      <c r="L25" s="30">
        <v>7.7614000000000001</v>
      </c>
      <c r="M25" s="9">
        <f>'Macao Daily'!K28</f>
        <v>24</v>
      </c>
      <c r="N25" s="9">
        <f>'Macao Daily'!L28</f>
        <v>0</v>
      </c>
    </row>
    <row r="26" spans="1:14" ht="15" x14ac:dyDescent="0.25">
      <c r="A26" s="6" t="s">
        <v>13</v>
      </c>
      <c r="B26" s="7">
        <f>B25+1</f>
        <v>25</v>
      </c>
      <c r="C26" s="8">
        <v>7</v>
      </c>
      <c r="D26" s="7">
        <v>2022</v>
      </c>
      <c r="E26" s="9">
        <f>'Macao Daily'!D29</f>
        <v>19516</v>
      </c>
      <c r="F26" s="30">
        <v>1.2539</v>
      </c>
      <c r="G26" s="9">
        <f>'Macao Daily'!F29</f>
        <v>1</v>
      </c>
      <c r="H26" s="30">
        <v>11.32</v>
      </c>
      <c r="I26" s="9">
        <f>'Macao Daily'!H29</f>
        <v>70430</v>
      </c>
      <c r="J26" s="30">
        <v>0.27</v>
      </c>
      <c r="K26" s="9">
        <f>'Macao Daily'!J29</f>
        <v>237</v>
      </c>
      <c r="L26" s="30">
        <v>7.7614000000000001</v>
      </c>
      <c r="M26" s="9">
        <f>'Macao Daily'!K29</f>
        <v>24</v>
      </c>
      <c r="N26" s="9">
        <f>'Macao Daily'!L29</f>
        <v>0</v>
      </c>
    </row>
    <row r="27" spans="1:14" ht="15" x14ac:dyDescent="0.25">
      <c r="A27" s="6" t="s">
        <v>13</v>
      </c>
      <c r="B27" s="7">
        <f t="shared" si="0"/>
        <v>26</v>
      </c>
      <c r="C27" s="8">
        <v>7</v>
      </c>
      <c r="D27" s="7">
        <v>2022</v>
      </c>
      <c r="E27" s="9">
        <f>'Macao Daily'!D30</f>
        <v>19290</v>
      </c>
      <c r="F27" s="30">
        <v>1.2539</v>
      </c>
      <c r="G27" s="9">
        <f>'Macao Daily'!F30</f>
        <v>0</v>
      </c>
      <c r="H27" s="30">
        <v>11.32</v>
      </c>
      <c r="I27" s="9">
        <f>'Macao Daily'!H30</f>
        <v>68890</v>
      </c>
      <c r="J27" s="30">
        <v>0.27</v>
      </c>
      <c r="K27" s="9">
        <f>'Macao Daily'!J30</f>
        <v>366</v>
      </c>
      <c r="L27" s="30">
        <v>7.7614000000000001</v>
      </c>
      <c r="M27" s="9">
        <f>'Macao Daily'!K30</f>
        <v>25</v>
      </c>
      <c r="N27" s="9">
        <f>'Macao Daily'!L30</f>
        <v>0</v>
      </c>
    </row>
    <row r="28" spans="1:14" ht="15" x14ac:dyDescent="0.25">
      <c r="A28" s="6" t="s">
        <v>13</v>
      </c>
      <c r="B28" s="7">
        <f t="shared" si="0"/>
        <v>27</v>
      </c>
      <c r="C28" s="8">
        <v>7</v>
      </c>
      <c r="D28" s="7">
        <v>2022</v>
      </c>
      <c r="E28" s="9">
        <f>'Macao Daily'!D31</f>
        <v>19468</v>
      </c>
      <c r="F28" s="30">
        <v>1.2539</v>
      </c>
      <c r="G28" s="9">
        <f>'Macao Daily'!F31</f>
        <v>1</v>
      </c>
      <c r="H28" s="30">
        <v>11.32</v>
      </c>
      <c r="I28" s="9">
        <f>'Macao Daily'!H31</f>
        <v>66000</v>
      </c>
      <c r="J28" s="30">
        <v>0.27</v>
      </c>
      <c r="K28" s="9">
        <f>'Macao Daily'!J31</f>
        <v>513</v>
      </c>
      <c r="L28" s="30">
        <v>7.7614000000000001</v>
      </c>
      <c r="M28" s="9">
        <f>'Macao Daily'!K31</f>
        <v>25</v>
      </c>
      <c r="N28" s="9">
        <f>'Macao Daily'!L31</f>
        <v>0</v>
      </c>
    </row>
    <row r="29" spans="1:14" ht="15" x14ac:dyDescent="0.25">
      <c r="A29" s="6" t="s">
        <v>13</v>
      </c>
      <c r="B29" s="7">
        <f t="shared" si="0"/>
        <v>28</v>
      </c>
      <c r="C29" s="8">
        <v>7</v>
      </c>
      <c r="D29" s="7">
        <v>2022</v>
      </c>
      <c r="E29" s="9">
        <f>'Macao Daily'!D32</f>
        <v>19687</v>
      </c>
      <c r="F29" s="30">
        <v>1.2539</v>
      </c>
      <c r="G29" s="9">
        <f>'Macao Daily'!F32</f>
        <v>2</v>
      </c>
      <c r="H29" s="30">
        <v>11.32</v>
      </c>
      <c r="I29" s="9">
        <f>'Macao Daily'!H32</f>
        <v>67602</v>
      </c>
      <c r="J29" s="30">
        <v>0.27</v>
      </c>
      <c r="K29" s="9">
        <f>'Macao Daily'!J32</f>
        <v>521</v>
      </c>
      <c r="L29" s="30">
        <v>7.7614000000000001</v>
      </c>
      <c r="M29" s="9">
        <f>'Macao Daily'!K32</f>
        <v>25</v>
      </c>
      <c r="N29" s="9">
        <f>'Macao Daily'!L32</f>
        <v>0</v>
      </c>
    </row>
    <row r="30" spans="1:14" ht="15" x14ac:dyDescent="0.25">
      <c r="A30" s="6" t="s">
        <v>13</v>
      </c>
      <c r="B30" s="7">
        <f t="shared" si="0"/>
        <v>29</v>
      </c>
      <c r="C30" s="8">
        <v>7</v>
      </c>
      <c r="D30" s="7">
        <v>2022</v>
      </c>
      <c r="E30" s="9">
        <f>'Macao Daily'!D33</f>
        <v>19721</v>
      </c>
      <c r="F30" s="30">
        <v>1.2539</v>
      </c>
      <c r="G30" s="9">
        <f>'Macao Daily'!F33</f>
        <v>1</v>
      </c>
      <c r="H30" s="30">
        <v>11.32</v>
      </c>
      <c r="I30" s="9">
        <f>'Macao Daily'!H33</f>
        <v>71258</v>
      </c>
      <c r="J30" s="30">
        <v>0.27</v>
      </c>
      <c r="K30" s="9">
        <f>'Macao Daily'!J33</f>
        <v>529</v>
      </c>
      <c r="L30" s="30">
        <v>7.7614000000000001</v>
      </c>
      <c r="M30" s="9">
        <f>'Macao Daily'!K33</f>
        <v>25</v>
      </c>
      <c r="N30" s="9">
        <f>'Macao Daily'!L33</f>
        <v>0</v>
      </c>
    </row>
    <row r="31" spans="1:14" ht="15" x14ac:dyDescent="0.25">
      <c r="A31" s="6" t="s">
        <v>13</v>
      </c>
      <c r="B31" s="7">
        <f t="shared" si="0"/>
        <v>30</v>
      </c>
      <c r="C31" s="8">
        <v>7</v>
      </c>
      <c r="D31" s="7">
        <v>2022</v>
      </c>
      <c r="E31" s="9">
        <f>'Macao Daily'!D34</f>
        <v>17875</v>
      </c>
      <c r="F31" s="30">
        <v>1.2539</v>
      </c>
      <c r="G31" s="9">
        <f>'Macao Daily'!F34</f>
        <v>1</v>
      </c>
      <c r="H31" s="30">
        <v>11.32</v>
      </c>
      <c r="I31" s="9">
        <f>'Macao Daily'!H34</f>
        <v>63023</v>
      </c>
      <c r="J31" s="30">
        <v>0.27</v>
      </c>
      <c r="K31" s="9">
        <f>'Macao Daily'!J34</f>
        <v>462</v>
      </c>
      <c r="L31" s="30">
        <v>7.7614000000000001</v>
      </c>
      <c r="M31" s="9">
        <f>'Macao Daily'!K34</f>
        <v>25</v>
      </c>
      <c r="N31" s="9">
        <f>'Macao Daily'!L34</f>
        <v>0</v>
      </c>
    </row>
    <row r="32" spans="1:14" ht="15" x14ac:dyDescent="0.25">
      <c r="A32" s="6" t="s">
        <v>13</v>
      </c>
      <c r="B32" s="7">
        <f t="shared" si="0"/>
        <v>31</v>
      </c>
      <c r="C32" s="8">
        <v>7</v>
      </c>
      <c r="D32" s="7">
        <v>2022</v>
      </c>
      <c r="E32" s="9">
        <f>'Macao Daily'!D35</f>
        <v>20389</v>
      </c>
      <c r="F32" s="30">
        <v>1.2539</v>
      </c>
      <c r="G32" s="9">
        <f>'Macao Daily'!F35</f>
        <v>4</v>
      </c>
      <c r="H32" s="30">
        <v>12.32</v>
      </c>
      <c r="I32" s="9">
        <f>'Macao Daily'!H35</f>
        <v>67039</v>
      </c>
      <c r="J32" s="30">
        <v>0.27</v>
      </c>
      <c r="K32" s="9">
        <f>'Macao Daily'!J35</f>
        <v>529</v>
      </c>
      <c r="L32" s="30">
        <v>7.7614000000000001</v>
      </c>
      <c r="M32" s="9">
        <f>'Macao Daily'!K35</f>
        <v>24</v>
      </c>
      <c r="N32" s="9">
        <f>'Macao Daily'!L35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8"/>
  <sheetViews>
    <sheetView tabSelected="1" zoomScale="85" zoomScaleNormal="85" workbookViewId="0">
      <pane xSplit="1" topLeftCell="B1" activePane="topRight" state="frozen"/>
      <selection pane="topRight" activeCell="L5" sqref="L5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44742</v>
      </c>
      <c r="B4" s="36"/>
      <c r="C4" s="34">
        <v>39653079</v>
      </c>
      <c r="D4" s="24"/>
      <c r="E4" s="34">
        <v>554078</v>
      </c>
      <c r="F4" s="24"/>
      <c r="G4" s="34">
        <v>118662362</v>
      </c>
      <c r="H4" s="24"/>
      <c r="I4" s="45">
        <v>1793371</v>
      </c>
      <c r="J4" s="32">
        <v>0</v>
      </c>
      <c r="K4" s="33">
        <v>44</v>
      </c>
      <c r="L4" s="33">
        <v>18</v>
      </c>
    </row>
    <row r="5" spans="1:12" ht="33" customHeight="1" x14ac:dyDescent="0.25">
      <c r="A5" s="22">
        <v>44743</v>
      </c>
      <c r="B5" s="36"/>
      <c r="C5" s="34">
        <v>39675722</v>
      </c>
      <c r="D5" s="24">
        <f t="shared" ref="D5:D19" si="0">IF((C5-C4&lt;0), "0",C5-C4)</f>
        <v>22643</v>
      </c>
      <c r="E5" s="34">
        <v>554094</v>
      </c>
      <c r="F5" s="24">
        <f>IF((E5-E4&lt;0), "0",E5-E4)</f>
        <v>16</v>
      </c>
      <c r="G5" s="34">
        <v>118717307</v>
      </c>
      <c r="H5" s="24">
        <f>IF((G5-G4&lt;0), "0",G5-G4)</f>
        <v>54945</v>
      </c>
      <c r="I5" s="23">
        <v>1793884</v>
      </c>
      <c r="J5" s="32">
        <f>IF((I5-I4&lt;0), "0",I5-I4)</f>
        <v>513</v>
      </c>
      <c r="K5" s="33">
        <v>80</v>
      </c>
      <c r="L5" s="33">
        <v>12</v>
      </c>
    </row>
    <row r="6" spans="1:12" ht="45" customHeight="1" x14ac:dyDescent="0.25">
      <c r="A6" s="22">
        <v>44744</v>
      </c>
      <c r="B6" s="36"/>
      <c r="C6" s="34">
        <v>39693749</v>
      </c>
      <c r="D6" s="24">
        <f t="shared" si="0"/>
        <v>18027</v>
      </c>
      <c r="E6" s="34">
        <v>554100</v>
      </c>
      <c r="F6" s="24">
        <f t="shared" ref="F6:F19" si="1">IF((E6-E5&lt;0), "0",E6-E5)</f>
        <v>6</v>
      </c>
      <c r="G6" s="34">
        <v>118768151</v>
      </c>
      <c r="H6" s="24">
        <f t="shared" ref="H6:H34" si="2">IF((G6-G5&lt;0), "0",G6-G5)</f>
        <v>50844</v>
      </c>
      <c r="I6" s="23">
        <v>1794439</v>
      </c>
      <c r="J6" s="32">
        <f t="shared" ref="J6:J34" si="3">IF((I6-I5&lt;0), "0",I6-I5)</f>
        <v>555</v>
      </c>
      <c r="K6" s="33">
        <v>42</v>
      </c>
      <c r="L6" s="33">
        <v>15</v>
      </c>
    </row>
    <row r="7" spans="1:12" ht="45" customHeight="1" x14ac:dyDescent="0.25">
      <c r="A7" s="22">
        <v>44745</v>
      </c>
      <c r="B7" s="36"/>
      <c r="C7" s="34">
        <v>39714639</v>
      </c>
      <c r="D7" s="24">
        <f t="shared" si="0"/>
        <v>20890</v>
      </c>
      <c r="E7" s="34">
        <v>554114</v>
      </c>
      <c r="F7" s="24">
        <f t="shared" si="1"/>
        <v>14</v>
      </c>
      <c r="G7" s="34">
        <v>118829174</v>
      </c>
      <c r="H7" s="24">
        <f t="shared" si="2"/>
        <v>61023</v>
      </c>
      <c r="I7" s="23">
        <v>1795003</v>
      </c>
      <c r="J7" s="32">
        <f t="shared" si="3"/>
        <v>564</v>
      </c>
      <c r="K7" s="33">
        <v>40</v>
      </c>
      <c r="L7" s="33">
        <v>18</v>
      </c>
    </row>
    <row r="8" spans="1:12" ht="45" customHeight="1" x14ac:dyDescent="0.25">
      <c r="A8" s="22">
        <v>44746</v>
      </c>
      <c r="B8" s="36"/>
      <c r="C8" s="34">
        <v>39734962</v>
      </c>
      <c r="D8" s="24">
        <f t="shared" si="0"/>
        <v>20323</v>
      </c>
      <c r="E8" s="34">
        <v>554131</v>
      </c>
      <c r="F8" s="24">
        <f t="shared" si="1"/>
        <v>17</v>
      </c>
      <c r="G8" s="34">
        <v>118886763</v>
      </c>
      <c r="H8" s="24">
        <f t="shared" si="2"/>
        <v>57589</v>
      </c>
      <c r="I8" s="23">
        <v>1795548</v>
      </c>
      <c r="J8" s="32">
        <f t="shared" si="3"/>
        <v>545</v>
      </c>
      <c r="K8" s="33">
        <v>37</v>
      </c>
      <c r="L8" s="33">
        <v>11</v>
      </c>
    </row>
    <row r="9" spans="1:12" ht="45" customHeight="1" x14ac:dyDescent="0.25">
      <c r="A9" s="22">
        <v>44747</v>
      </c>
      <c r="B9" s="36"/>
      <c r="C9" s="34">
        <v>39755954</v>
      </c>
      <c r="D9" s="24">
        <f t="shared" si="0"/>
        <v>20992</v>
      </c>
      <c r="E9" s="34">
        <v>554148</v>
      </c>
      <c r="F9" s="24">
        <f t="shared" si="1"/>
        <v>17</v>
      </c>
      <c r="G9" s="34">
        <v>118945291</v>
      </c>
      <c r="H9" s="24">
        <f t="shared" si="2"/>
        <v>58528</v>
      </c>
      <c r="I9" s="23">
        <v>1796063</v>
      </c>
      <c r="J9" s="32">
        <f t="shared" si="3"/>
        <v>515</v>
      </c>
      <c r="K9" s="33">
        <v>35</v>
      </c>
      <c r="L9" s="33">
        <v>12</v>
      </c>
    </row>
    <row r="10" spans="1:12" ht="45" customHeight="1" x14ac:dyDescent="0.25">
      <c r="A10" s="22">
        <v>44748</v>
      </c>
      <c r="B10" s="36"/>
      <c r="C10" s="34">
        <v>39776940</v>
      </c>
      <c r="D10" s="24">
        <f t="shared" si="0"/>
        <v>20986</v>
      </c>
      <c r="E10" s="34">
        <v>554165</v>
      </c>
      <c r="F10" s="24">
        <f t="shared" si="1"/>
        <v>17</v>
      </c>
      <c r="G10" s="34">
        <v>119003033</v>
      </c>
      <c r="H10" s="24">
        <f t="shared" si="2"/>
        <v>57742</v>
      </c>
      <c r="I10" s="23">
        <v>1796550</v>
      </c>
      <c r="J10" s="32">
        <f t="shared" si="3"/>
        <v>487</v>
      </c>
      <c r="K10" s="33">
        <v>33</v>
      </c>
      <c r="L10" s="33">
        <v>14</v>
      </c>
    </row>
    <row r="11" spans="1:12" ht="45" customHeight="1" x14ac:dyDescent="0.25">
      <c r="A11" s="22">
        <v>44749</v>
      </c>
      <c r="B11" s="36"/>
      <c r="C11" s="34">
        <v>39797775</v>
      </c>
      <c r="D11" s="24">
        <f t="shared" si="0"/>
        <v>20835</v>
      </c>
      <c r="E11" s="34">
        <v>554177</v>
      </c>
      <c r="F11" s="24">
        <f t="shared" si="1"/>
        <v>12</v>
      </c>
      <c r="G11" s="34">
        <v>119062127</v>
      </c>
      <c r="H11" s="24">
        <f t="shared" si="2"/>
        <v>59094</v>
      </c>
      <c r="I11" s="23">
        <v>1797050</v>
      </c>
      <c r="J11" s="32">
        <f t="shared" si="3"/>
        <v>500</v>
      </c>
      <c r="K11" s="33">
        <v>30</v>
      </c>
      <c r="L11" s="33">
        <v>11</v>
      </c>
    </row>
    <row r="12" spans="1:12" ht="45" customHeight="1" x14ac:dyDescent="0.25">
      <c r="A12" s="22">
        <v>44750</v>
      </c>
      <c r="B12" s="36"/>
      <c r="C12" s="34">
        <v>39818559</v>
      </c>
      <c r="D12" s="24">
        <f t="shared" si="0"/>
        <v>20784</v>
      </c>
      <c r="E12" s="34">
        <v>554193</v>
      </c>
      <c r="F12" s="24">
        <f t="shared" si="1"/>
        <v>16</v>
      </c>
      <c r="G12" s="34">
        <v>119121533</v>
      </c>
      <c r="H12" s="24">
        <f t="shared" si="2"/>
        <v>59406</v>
      </c>
      <c r="I12" s="23">
        <v>1797537</v>
      </c>
      <c r="J12" s="32">
        <f t="shared" si="3"/>
        <v>487</v>
      </c>
      <c r="K12" s="33">
        <v>29</v>
      </c>
      <c r="L12" s="33">
        <v>10</v>
      </c>
    </row>
    <row r="13" spans="1:12" ht="45" customHeight="1" x14ac:dyDescent="0.25">
      <c r="A13" s="22">
        <v>44751</v>
      </c>
      <c r="B13" s="36"/>
      <c r="C13" s="34">
        <v>39839347</v>
      </c>
      <c r="D13" s="24">
        <f t="shared" si="0"/>
        <v>20788</v>
      </c>
      <c r="E13" s="34">
        <v>554207</v>
      </c>
      <c r="F13" s="24">
        <f t="shared" si="1"/>
        <v>14</v>
      </c>
      <c r="G13" s="34">
        <v>119181994</v>
      </c>
      <c r="H13" s="24">
        <f t="shared" si="2"/>
        <v>60461</v>
      </c>
      <c r="I13" s="23">
        <v>1798022</v>
      </c>
      <c r="J13" s="32">
        <f t="shared" si="3"/>
        <v>485</v>
      </c>
      <c r="K13" s="33">
        <v>28</v>
      </c>
      <c r="L13" s="33">
        <v>5</v>
      </c>
    </row>
    <row r="14" spans="1:12" ht="45" customHeight="1" x14ac:dyDescent="0.25">
      <c r="A14" s="22">
        <v>44752</v>
      </c>
      <c r="B14" s="36"/>
      <c r="C14" s="34">
        <v>39860051</v>
      </c>
      <c r="D14" s="24">
        <f t="shared" si="0"/>
        <v>20704</v>
      </c>
      <c r="E14" s="34">
        <v>554221</v>
      </c>
      <c r="F14" s="24">
        <f t="shared" si="1"/>
        <v>14</v>
      </c>
      <c r="G14" s="34">
        <v>119246518</v>
      </c>
      <c r="H14" s="24">
        <f t="shared" si="2"/>
        <v>64524</v>
      </c>
      <c r="I14" s="23">
        <v>1798504</v>
      </c>
      <c r="J14" s="32">
        <f t="shared" si="3"/>
        <v>482</v>
      </c>
      <c r="K14" s="33">
        <v>27</v>
      </c>
      <c r="L14" s="33">
        <v>4</v>
      </c>
    </row>
    <row r="15" spans="1:12" ht="45" customHeight="1" x14ac:dyDescent="0.25">
      <c r="A15" s="22">
        <v>44753</v>
      </c>
      <c r="B15" s="36"/>
      <c r="C15" s="34">
        <v>39879990</v>
      </c>
      <c r="D15" s="24">
        <f t="shared" si="0"/>
        <v>19939</v>
      </c>
      <c r="E15" s="34">
        <v>554234</v>
      </c>
      <c r="F15" s="24">
        <f t="shared" si="1"/>
        <v>13</v>
      </c>
      <c r="G15" s="34">
        <v>119306065</v>
      </c>
      <c r="H15" s="24">
        <f t="shared" si="2"/>
        <v>59547</v>
      </c>
      <c r="I15" s="23">
        <v>1799018</v>
      </c>
      <c r="J15" s="32">
        <f t="shared" si="3"/>
        <v>514</v>
      </c>
      <c r="K15" s="33">
        <v>26</v>
      </c>
      <c r="L15" s="33">
        <v>6</v>
      </c>
    </row>
    <row r="16" spans="1:12" ht="45" customHeight="1" x14ac:dyDescent="0.25">
      <c r="A16" s="22">
        <v>44754</v>
      </c>
      <c r="B16" s="36"/>
      <c r="C16" s="34">
        <v>39898870</v>
      </c>
      <c r="D16" s="24">
        <f t="shared" si="0"/>
        <v>18880</v>
      </c>
      <c r="E16" s="34">
        <v>554243</v>
      </c>
      <c r="F16" s="24">
        <f t="shared" si="1"/>
        <v>9</v>
      </c>
      <c r="G16" s="34">
        <v>119364635</v>
      </c>
      <c r="H16" s="24">
        <f t="shared" si="2"/>
        <v>58570</v>
      </c>
      <c r="I16" s="23">
        <v>1799495</v>
      </c>
      <c r="J16" s="32">
        <f t="shared" si="3"/>
        <v>477</v>
      </c>
      <c r="K16" s="33">
        <v>23</v>
      </c>
      <c r="L16" s="33">
        <v>1</v>
      </c>
    </row>
    <row r="17" spans="1:12" ht="45" customHeight="1" x14ac:dyDescent="0.25">
      <c r="A17" s="22">
        <v>44755</v>
      </c>
      <c r="B17" s="36"/>
      <c r="C17" s="34">
        <v>39918172</v>
      </c>
      <c r="D17" s="24">
        <f t="shared" si="0"/>
        <v>19302</v>
      </c>
      <c r="E17" s="34">
        <v>554262</v>
      </c>
      <c r="F17" s="24">
        <f t="shared" si="1"/>
        <v>19</v>
      </c>
      <c r="G17" s="34">
        <v>119415791</v>
      </c>
      <c r="H17" s="24">
        <f t="shared" si="2"/>
        <v>51156</v>
      </c>
      <c r="I17" s="23">
        <v>1799980</v>
      </c>
      <c r="J17" s="32">
        <f t="shared" si="3"/>
        <v>485</v>
      </c>
      <c r="K17" s="33">
        <v>21</v>
      </c>
      <c r="L17" s="33">
        <v>69</v>
      </c>
    </row>
    <row r="18" spans="1:12" ht="45" customHeight="1" x14ac:dyDescent="0.25">
      <c r="A18" s="22">
        <v>44756</v>
      </c>
      <c r="B18" s="36"/>
      <c r="C18" s="34">
        <v>39937858</v>
      </c>
      <c r="D18" s="24">
        <f t="shared" si="0"/>
        <v>19686</v>
      </c>
      <c r="E18" s="34">
        <v>554282</v>
      </c>
      <c r="F18" s="24">
        <f t="shared" si="1"/>
        <v>20</v>
      </c>
      <c r="G18" s="34">
        <v>119468838</v>
      </c>
      <c r="H18" s="24">
        <f t="shared" si="2"/>
        <v>53047</v>
      </c>
      <c r="I18" s="23">
        <v>1800465</v>
      </c>
      <c r="J18" s="32">
        <f t="shared" si="3"/>
        <v>485</v>
      </c>
      <c r="K18" s="33">
        <v>21</v>
      </c>
      <c r="L18" s="33">
        <v>74</v>
      </c>
    </row>
    <row r="19" spans="1:12" ht="45" customHeight="1" x14ac:dyDescent="0.25">
      <c r="A19" s="22">
        <v>44757</v>
      </c>
      <c r="B19" s="36"/>
      <c r="C19" s="34">
        <v>39957436</v>
      </c>
      <c r="D19" s="24">
        <f t="shared" si="0"/>
        <v>19578</v>
      </c>
      <c r="E19" s="34">
        <v>554296</v>
      </c>
      <c r="F19" s="24">
        <f t="shared" si="1"/>
        <v>14</v>
      </c>
      <c r="G19" s="34">
        <v>119525604</v>
      </c>
      <c r="H19" s="24">
        <f t="shared" si="2"/>
        <v>56766</v>
      </c>
      <c r="I19" s="23">
        <v>1801033</v>
      </c>
      <c r="J19" s="32">
        <f t="shared" si="3"/>
        <v>568</v>
      </c>
      <c r="K19" s="33">
        <v>21</v>
      </c>
      <c r="L19" s="33">
        <v>63</v>
      </c>
    </row>
    <row r="20" spans="1:12" ht="45" customHeight="1" x14ac:dyDescent="0.25">
      <c r="A20" s="22">
        <v>44758</v>
      </c>
      <c r="B20" s="36"/>
      <c r="C20" s="34">
        <v>39975647</v>
      </c>
      <c r="D20" s="24">
        <f t="shared" ref="D20:D34" si="4">IF((C20-C19&lt;0), "0",C20-C19)</f>
        <v>18211</v>
      </c>
      <c r="E20" s="34">
        <v>554312</v>
      </c>
      <c r="F20" s="24">
        <f t="shared" ref="F20:F34" si="5">IF((E20-E19&lt;0), "0",E20-E19)</f>
        <v>16</v>
      </c>
      <c r="G20" s="34">
        <v>119579541</v>
      </c>
      <c r="H20" s="24">
        <f t="shared" si="2"/>
        <v>53937</v>
      </c>
      <c r="I20" s="23">
        <v>1801596</v>
      </c>
      <c r="J20" s="32">
        <f t="shared" si="3"/>
        <v>563</v>
      </c>
      <c r="K20" s="33">
        <v>23</v>
      </c>
      <c r="L20" s="33">
        <v>75</v>
      </c>
    </row>
    <row r="21" spans="1:12" ht="45" customHeight="1" x14ac:dyDescent="0.25">
      <c r="A21" s="22">
        <v>44759</v>
      </c>
      <c r="B21" s="36"/>
      <c r="C21" s="34">
        <v>39995807</v>
      </c>
      <c r="D21" s="24">
        <f t="shared" si="4"/>
        <v>20160</v>
      </c>
      <c r="E21" s="34">
        <v>554329</v>
      </c>
      <c r="F21" s="24">
        <f t="shared" si="5"/>
        <v>17</v>
      </c>
      <c r="G21" s="34">
        <v>119637276</v>
      </c>
      <c r="H21" s="24">
        <f t="shared" si="2"/>
        <v>57735</v>
      </c>
      <c r="I21" s="23">
        <v>1802119</v>
      </c>
      <c r="J21" s="32">
        <f t="shared" si="3"/>
        <v>523</v>
      </c>
      <c r="K21" s="33">
        <v>23</v>
      </c>
      <c r="L21" s="33">
        <v>79</v>
      </c>
    </row>
    <row r="22" spans="1:12" ht="45" customHeight="1" x14ac:dyDescent="0.25">
      <c r="A22" s="22">
        <v>44760</v>
      </c>
      <c r="B22" s="36"/>
      <c r="C22" s="34">
        <v>40015060</v>
      </c>
      <c r="D22" s="24">
        <f t="shared" si="4"/>
        <v>19253</v>
      </c>
      <c r="E22" s="34">
        <v>554344</v>
      </c>
      <c r="F22" s="24">
        <f t="shared" si="5"/>
        <v>15</v>
      </c>
      <c r="G22" s="34">
        <v>119693283</v>
      </c>
      <c r="H22" s="24">
        <f t="shared" si="2"/>
        <v>56007</v>
      </c>
      <c r="I22" s="23">
        <v>1802627</v>
      </c>
      <c r="J22" s="32">
        <f t="shared" si="3"/>
        <v>508</v>
      </c>
      <c r="K22" s="33">
        <v>21</v>
      </c>
      <c r="L22" s="33">
        <v>70</v>
      </c>
    </row>
    <row r="23" spans="1:12" ht="45" customHeight="1" x14ac:dyDescent="0.25">
      <c r="A23" s="22">
        <v>44761</v>
      </c>
      <c r="B23" s="36"/>
      <c r="C23" s="34">
        <v>40033991</v>
      </c>
      <c r="D23" s="24">
        <f t="shared" si="4"/>
        <v>18931</v>
      </c>
      <c r="E23" s="34">
        <v>554357</v>
      </c>
      <c r="F23" s="24">
        <f t="shared" si="5"/>
        <v>13</v>
      </c>
      <c r="G23" s="34">
        <v>119748815</v>
      </c>
      <c r="H23" s="24">
        <f t="shared" si="2"/>
        <v>55532</v>
      </c>
      <c r="I23" s="23">
        <v>1803164</v>
      </c>
      <c r="J23" s="32">
        <f t="shared" si="3"/>
        <v>537</v>
      </c>
      <c r="K23" s="33">
        <v>22</v>
      </c>
      <c r="L23" s="33">
        <v>70</v>
      </c>
    </row>
    <row r="24" spans="1:12" ht="45" customHeight="1" x14ac:dyDescent="0.25">
      <c r="A24" s="22">
        <v>44762</v>
      </c>
      <c r="B24" s="36"/>
      <c r="C24" s="34">
        <v>40053325</v>
      </c>
      <c r="D24" s="24">
        <f t="shared" si="4"/>
        <v>19334</v>
      </c>
      <c r="E24" s="34">
        <v>554369</v>
      </c>
      <c r="F24" s="24">
        <f t="shared" si="5"/>
        <v>12</v>
      </c>
      <c r="G24" s="34">
        <v>119802971</v>
      </c>
      <c r="H24" s="24">
        <f t="shared" si="2"/>
        <v>54156</v>
      </c>
      <c r="I24" s="23">
        <v>1803660</v>
      </c>
      <c r="J24" s="32">
        <f t="shared" si="3"/>
        <v>496</v>
      </c>
      <c r="K24" s="33">
        <v>22</v>
      </c>
      <c r="L24" s="33">
        <v>66</v>
      </c>
    </row>
    <row r="25" spans="1:12" ht="45" customHeight="1" x14ac:dyDescent="0.25">
      <c r="A25" s="22">
        <v>44763</v>
      </c>
      <c r="B25" s="36"/>
      <c r="C25" s="34">
        <v>40072969</v>
      </c>
      <c r="D25" s="24">
        <f t="shared" si="4"/>
        <v>19644</v>
      </c>
      <c r="E25" s="34">
        <v>554383</v>
      </c>
      <c r="F25" s="24">
        <f t="shared" si="5"/>
        <v>14</v>
      </c>
      <c r="G25" s="34">
        <v>119858846</v>
      </c>
      <c r="H25" s="24">
        <f t="shared" si="2"/>
        <v>55875</v>
      </c>
      <c r="I25" s="23">
        <v>1804162</v>
      </c>
      <c r="J25" s="32">
        <f t="shared" si="3"/>
        <v>502</v>
      </c>
      <c r="K25" s="33">
        <v>22</v>
      </c>
      <c r="L25" s="33">
        <v>65</v>
      </c>
    </row>
    <row r="26" spans="1:12" ht="45" customHeight="1" x14ac:dyDescent="0.25">
      <c r="A26" s="22">
        <v>44764</v>
      </c>
      <c r="B26" s="36"/>
      <c r="C26" s="34">
        <v>40093398</v>
      </c>
      <c r="D26" s="24">
        <f t="shared" si="4"/>
        <v>20429</v>
      </c>
      <c r="E26" s="34">
        <v>554398</v>
      </c>
      <c r="F26" s="24">
        <f t="shared" si="5"/>
        <v>15</v>
      </c>
      <c r="G26" s="34">
        <v>119915338</v>
      </c>
      <c r="H26" s="24">
        <f t="shared" si="2"/>
        <v>56492</v>
      </c>
      <c r="I26" s="23">
        <v>1804658</v>
      </c>
      <c r="J26" s="32">
        <f t="shared" si="3"/>
        <v>496</v>
      </c>
      <c r="K26" s="33">
        <v>22</v>
      </c>
      <c r="L26" s="33">
        <v>64</v>
      </c>
    </row>
    <row r="27" spans="1:12" ht="45" customHeight="1" x14ac:dyDescent="0.25">
      <c r="A27" s="22">
        <v>44765</v>
      </c>
      <c r="B27" s="36"/>
      <c r="C27" s="34">
        <v>40112124</v>
      </c>
      <c r="D27" s="24">
        <f t="shared" si="4"/>
        <v>18726</v>
      </c>
      <c r="E27" s="34">
        <v>554399</v>
      </c>
      <c r="F27" s="24">
        <f t="shared" si="5"/>
        <v>1</v>
      </c>
      <c r="G27" s="34">
        <v>119978838</v>
      </c>
      <c r="H27" s="24">
        <f t="shared" si="2"/>
        <v>63500</v>
      </c>
      <c r="I27" s="23">
        <v>1804886</v>
      </c>
      <c r="J27" s="32">
        <f t="shared" si="3"/>
        <v>228</v>
      </c>
      <c r="K27" s="33">
        <v>23</v>
      </c>
      <c r="L27" s="33">
        <v>1</v>
      </c>
    </row>
    <row r="28" spans="1:12" ht="45" customHeight="1" x14ac:dyDescent="0.25">
      <c r="A28" s="22">
        <v>44766</v>
      </c>
      <c r="B28" s="36"/>
      <c r="C28" s="34">
        <v>40131474</v>
      </c>
      <c r="D28" s="24">
        <f t="shared" si="4"/>
        <v>19350</v>
      </c>
      <c r="E28" s="34">
        <v>554401</v>
      </c>
      <c r="F28" s="24">
        <f t="shared" si="5"/>
        <v>2</v>
      </c>
      <c r="G28" s="34">
        <v>120044471</v>
      </c>
      <c r="H28" s="24">
        <f t="shared" si="2"/>
        <v>65633</v>
      </c>
      <c r="I28" s="23">
        <v>1805119</v>
      </c>
      <c r="J28" s="32">
        <f t="shared" si="3"/>
        <v>233</v>
      </c>
      <c r="K28" s="33">
        <v>24</v>
      </c>
      <c r="L28" s="33">
        <v>0</v>
      </c>
    </row>
    <row r="29" spans="1:12" ht="45" customHeight="1" x14ac:dyDescent="0.25">
      <c r="A29" s="22">
        <v>44767</v>
      </c>
      <c r="B29" s="36"/>
      <c r="C29" s="34">
        <v>40150990</v>
      </c>
      <c r="D29" s="24">
        <f t="shared" si="4"/>
        <v>19516</v>
      </c>
      <c r="E29" s="34">
        <v>554402</v>
      </c>
      <c r="F29" s="24">
        <f t="shared" si="5"/>
        <v>1</v>
      </c>
      <c r="G29" s="34">
        <v>120114901</v>
      </c>
      <c r="H29" s="24">
        <f t="shared" si="2"/>
        <v>70430</v>
      </c>
      <c r="I29" s="23">
        <v>1805356</v>
      </c>
      <c r="J29" s="32">
        <f t="shared" si="3"/>
        <v>237</v>
      </c>
      <c r="K29" s="33">
        <v>24</v>
      </c>
      <c r="L29" s="33">
        <v>0</v>
      </c>
    </row>
    <row r="30" spans="1:12" ht="45" customHeight="1" x14ac:dyDescent="0.25">
      <c r="A30" s="22">
        <v>44768</v>
      </c>
      <c r="B30" s="36"/>
      <c r="C30" s="34">
        <v>40170280</v>
      </c>
      <c r="D30" s="24">
        <f t="shared" si="4"/>
        <v>19290</v>
      </c>
      <c r="E30" s="34">
        <v>554402</v>
      </c>
      <c r="F30" s="24">
        <f t="shared" si="5"/>
        <v>0</v>
      </c>
      <c r="G30" s="34">
        <v>120183791</v>
      </c>
      <c r="H30" s="24">
        <f t="shared" si="2"/>
        <v>68890</v>
      </c>
      <c r="I30" s="23">
        <v>1805722</v>
      </c>
      <c r="J30" s="32">
        <f t="shared" si="3"/>
        <v>366</v>
      </c>
      <c r="K30" s="33">
        <v>25</v>
      </c>
      <c r="L30" s="33">
        <v>0</v>
      </c>
    </row>
    <row r="31" spans="1:12" ht="45" customHeight="1" x14ac:dyDescent="0.25">
      <c r="A31" s="22">
        <v>44769</v>
      </c>
      <c r="B31" s="36"/>
      <c r="C31" s="34">
        <v>40189748</v>
      </c>
      <c r="D31" s="24">
        <f t="shared" si="4"/>
        <v>19468</v>
      </c>
      <c r="E31" s="34">
        <v>554403</v>
      </c>
      <c r="F31" s="24">
        <f t="shared" si="5"/>
        <v>1</v>
      </c>
      <c r="G31" s="34">
        <v>120249791</v>
      </c>
      <c r="H31" s="24">
        <f t="shared" si="2"/>
        <v>66000</v>
      </c>
      <c r="I31" s="23">
        <v>1806235</v>
      </c>
      <c r="J31" s="32">
        <f t="shared" si="3"/>
        <v>513</v>
      </c>
      <c r="K31" s="33">
        <v>25</v>
      </c>
      <c r="L31" s="33">
        <v>0</v>
      </c>
    </row>
    <row r="32" spans="1:12" ht="45" customHeight="1" x14ac:dyDescent="0.25">
      <c r="A32" s="22">
        <v>44770</v>
      </c>
      <c r="B32" s="36"/>
      <c r="C32" s="34">
        <v>40209435</v>
      </c>
      <c r="D32" s="24">
        <f t="shared" si="4"/>
        <v>19687</v>
      </c>
      <c r="E32" s="34">
        <v>554405</v>
      </c>
      <c r="F32" s="24">
        <f t="shared" si="5"/>
        <v>2</v>
      </c>
      <c r="G32" s="34">
        <v>120317393</v>
      </c>
      <c r="H32" s="24">
        <f t="shared" si="2"/>
        <v>67602</v>
      </c>
      <c r="I32" s="23">
        <v>1806756</v>
      </c>
      <c r="J32" s="32">
        <f t="shared" si="3"/>
        <v>521</v>
      </c>
      <c r="K32" s="33">
        <v>25</v>
      </c>
      <c r="L32" s="33">
        <v>0</v>
      </c>
    </row>
    <row r="33" spans="1:12" ht="45" customHeight="1" x14ac:dyDescent="0.25">
      <c r="A33" s="22">
        <v>44771</v>
      </c>
      <c r="C33" s="34">
        <v>40229156</v>
      </c>
      <c r="D33" s="24">
        <f t="shared" si="4"/>
        <v>19721</v>
      </c>
      <c r="E33" s="34">
        <v>554406</v>
      </c>
      <c r="F33" s="24">
        <f t="shared" si="5"/>
        <v>1</v>
      </c>
      <c r="G33" s="34">
        <v>120388651</v>
      </c>
      <c r="H33" s="24">
        <f t="shared" si="2"/>
        <v>71258</v>
      </c>
      <c r="I33" s="23">
        <v>1807285</v>
      </c>
      <c r="J33" s="32">
        <f t="shared" si="3"/>
        <v>529</v>
      </c>
      <c r="K33" s="33">
        <v>25</v>
      </c>
      <c r="L33" s="33">
        <v>0</v>
      </c>
    </row>
    <row r="34" spans="1:12" ht="45" customHeight="1" x14ac:dyDescent="0.25">
      <c r="A34" s="22">
        <v>44772</v>
      </c>
      <c r="C34" s="34">
        <v>40247031</v>
      </c>
      <c r="D34" s="24">
        <f t="shared" si="4"/>
        <v>17875</v>
      </c>
      <c r="E34" s="34">
        <v>554407</v>
      </c>
      <c r="F34" s="24">
        <f t="shared" si="5"/>
        <v>1</v>
      </c>
      <c r="G34" s="34">
        <v>120451674</v>
      </c>
      <c r="H34" s="24">
        <f t="shared" si="2"/>
        <v>63023</v>
      </c>
      <c r="I34" s="23">
        <v>1807747</v>
      </c>
      <c r="J34" s="32">
        <f t="shared" si="3"/>
        <v>462</v>
      </c>
      <c r="K34" s="33">
        <v>25</v>
      </c>
      <c r="L34" s="33">
        <v>0</v>
      </c>
    </row>
    <row r="35" spans="1:12" ht="45" customHeight="1" x14ac:dyDescent="0.25">
      <c r="A35" s="22">
        <v>44773</v>
      </c>
      <c r="C35" s="34">
        <v>40267420</v>
      </c>
      <c r="D35" s="24">
        <f t="shared" ref="D35" si="6">IF((C35-C34&lt;0), "0",C35-C34)</f>
        <v>20389</v>
      </c>
      <c r="E35" s="34">
        <v>554411</v>
      </c>
      <c r="F35" s="24">
        <f t="shared" ref="F35" si="7">IF((E35-E34&lt;0), "0",E35-E34)</f>
        <v>4</v>
      </c>
      <c r="G35" s="34">
        <v>120518713</v>
      </c>
      <c r="H35" s="24">
        <f t="shared" ref="H35" si="8">IF((G35-G34&lt;0), "0",G35-G34)</f>
        <v>67039</v>
      </c>
      <c r="I35" s="23">
        <v>1808276</v>
      </c>
      <c r="J35" s="32">
        <f t="shared" ref="J35" si="9">IF((I35-I34&lt;0), "0",I35-I34)</f>
        <v>529</v>
      </c>
      <c r="K35" s="33">
        <v>24</v>
      </c>
      <c r="L35" s="33">
        <v>0</v>
      </c>
    </row>
    <row r="38" spans="1:12" ht="15.75" customHeight="1" x14ac:dyDescent="0.25">
      <c r="C38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2023-02-16T02:52:06Z</dcterms:modified>
  <cp:category/>
  <cp:contentStatus/>
</cp:coreProperties>
</file>