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32" documentId="8_{9B439D3B-B023-4087-B27B-CB56FE35C246}" xr6:coauthVersionLast="47" xr6:coauthVersionMax="47" xr10:uidLastSave="{66194BA7-086F-4CF8-9C4F-8F82268D951A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7" i="3"/>
  <c r="M5" i="6"/>
  <c r="M2" i="6"/>
  <c r="M3" i="6"/>
  <c r="M4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AG42" i="3"/>
  <c r="AH42" i="3"/>
  <c r="AJ42" i="3"/>
  <c r="AI8" i="3"/>
  <c r="I3" i="6" s="1"/>
  <c r="AI9" i="3"/>
  <c r="I4" i="6" s="1"/>
  <c r="AI10" i="3"/>
  <c r="I5" i="6" s="1"/>
  <c r="AI11" i="3"/>
  <c r="I6" i="6" s="1"/>
  <c r="AI12" i="3"/>
  <c r="I7" i="6" s="1"/>
  <c r="AI13" i="3"/>
  <c r="I8" i="6" s="1"/>
  <c r="AI14" i="3"/>
  <c r="I9" i="6" s="1"/>
  <c r="AI15" i="3"/>
  <c r="I10" i="6" s="1"/>
  <c r="AI16" i="3"/>
  <c r="I11" i="6" s="1"/>
  <c r="AI17" i="3"/>
  <c r="I12" i="6" s="1"/>
  <c r="AI18" i="3"/>
  <c r="I13" i="6" s="1"/>
  <c r="AI19" i="3"/>
  <c r="I14" i="6" s="1"/>
  <c r="AI20" i="3"/>
  <c r="I15" i="6" s="1"/>
  <c r="AI21" i="3"/>
  <c r="I16" i="6" s="1"/>
  <c r="AI22" i="3"/>
  <c r="I17" i="6" s="1"/>
  <c r="AI23" i="3"/>
  <c r="I18" i="6" s="1"/>
  <c r="AI24" i="3"/>
  <c r="I19" i="6" s="1"/>
  <c r="AI25" i="3"/>
  <c r="I20" i="6" s="1"/>
  <c r="AI26" i="3"/>
  <c r="I21" i="6" s="1"/>
  <c r="AI27" i="3"/>
  <c r="I22" i="6" s="1"/>
  <c r="AI28" i="3"/>
  <c r="I23" i="6" s="1"/>
  <c r="AI29" i="3"/>
  <c r="I24" i="6" s="1"/>
  <c r="AI30" i="3"/>
  <c r="I25" i="6" s="1"/>
  <c r="AI31" i="3"/>
  <c r="I26" i="6" s="1"/>
  <c r="AI32" i="3"/>
  <c r="I27" i="6" s="1"/>
  <c r="AI33" i="3"/>
  <c r="I28" i="6" s="1"/>
  <c r="AI34" i="3"/>
  <c r="I29" i="6" s="1"/>
  <c r="AI35" i="3"/>
  <c r="I30" i="6" s="1"/>
  <c r="AI36" i="3"/>
  <c r="I31" i="6" s="1"/>
  <c r="AI7" i="3"/>
  <c r="W42" i="3"/>
  <c r="X42" i="3"/>
  <c r="Y42" i="3"/>
  <c r="Z42" i="3"/>
  <c r="AA42" i="3"/>
  <c r="AC42" i="3"/>
  <c r="AE42" i="3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AD42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F42" i="3"/>
  <c r="V42" i="3" l="1"/>
  <c r="Q42" i="3"/>
  <c r="K2" i="6"/>
  <c r="G2" i="6"/>
  <c r="AI42" i="3"/>
  <c r="I2" i="6"/>
  <c r="AJ44" i="3"/>
  <c r="AE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H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<sst xmlns="http://schemas.openxmlformats.org/spreadsheetml/2006/main" count="91" uniqueCount="54">
  <si>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</si>
  <si>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</si>
  <si>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</si>
  <si>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</si>
  <si>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</si>
  <si>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</si>
  <si>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</si>
  <si>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</si>
  <si>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</si>
  <si>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</si>
  <si>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</si>
  <si>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</si>
  <si>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</si>
  <si>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</si>
  <si>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</si>
  <si>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</si>
  <si>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SEPTEMBER 2022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</si>
  <si>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</si>
  <si>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</si>
  <si>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</si>
  <si>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</si>
  <si>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</si>
  <si>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</si>
  <si>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</si>
  <si>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</si>
  <si>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</si>
  <si>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</si>
  <si>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</si>
  <si>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</si>
  <si>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</si>
  <si>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</si>
  <si>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</si>
  <si>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</si>
  <si>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</si>
  <si>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</si>
  <si>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</si>
  <si>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</si>
  <si>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</si>
  <si>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</si>
  <si>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</si>
  <si>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</si>
  <si>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</si>
  <si>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</si>
  <si>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</si>
  <si>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</si>
  <si>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</si>
  <si>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</si>
  <si>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ALU 50 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</si>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</sst>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9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9</v>
      </c>
      <c r="D2" s="97">
        <v>2022</v>
      </c>
      <c r="E2" s="99">
        <f>'Localize Daily Bali Jimbaran'!P7</f>
        <v>13080.000000000184</v>
      </c>
      <c r="F2" s="100">
        <f>'Localize Daily Bali Jimbaran'!O7/'Localize Daily Bali Jimbaran'!P7</f>
        <v>1265.5046009174289</v>
      </c>
      <c r="G2" s="99">
        <f>'Localize Daily Bali Jimbaran'!AD7</f>
        <v>315.05492000000072</v>
      </c>
      <c r="H2" s="100">
        <f>'Localize Daily Bali Jimbaran'!AE7/'Localize Daily Bali Jimbaran'!AD7</f>
        <v>17060</v>
      </c>
      <c r="I2" s="99">
        <f>'Localize Daily Bali Jimbaran'!AI7</f>
        <v>900.04000000001543</v>
      </c>
      <c r="J2" s="101">
        <f>'Localize Daily Bali Jimbaran'!AJ7/'Localize Daily Bali Jimbaran'!AI7</f>
        <v>19600</v>
      </c>
      <c r="K2" s="99">
        <f>'Localize Daily Bali Jimbaran'!Q7</f>
        <v>892</v>
      </c>
      <c r="L2" s="100">
        <f>'Localize Daily Bali Jimbaran'!V7/'Localize Daily Bali Jimbaran'!Q7</f>
        <v>6918.8611098654701</v>
      </c>
      <c r="M2" s="99">
        <f>'Localize Daily Bali Jimbaran'!C7</f>
        <v>49</v>
      </c>
      <c r="N2" s="99">
        <v>259</v>
      </c>
    </row>
    <row r="3" spans="1:14" ht="15">
      <c r="A3" s="96" t="s">
        <v>14</v>
      </c>
      <c r="B3" s="97">
        <v>2</v>
      </c>
      <c r="C3" s="98">
        <v>9</v>
      </c>
      <c r="D3" s="97">
        <v>2022</v>
      </c>
      <c r="E3" s="99">
        <f>'Localize Daily Bali Jimbaran'!P8</f>
        <v>22080.000000000298</v>
      </c>
      <c r="F3" s="100">
        <f>'Localize Daily Bali Jimbaran'!O8/'Localize Daily Bali Jimbaran'!P8</f>
        <v>1198.394645380434</v>
      </c>
      <c r="G3" s="99">
        <f>'Localize Daily Bali Jimbaran'!AD8</f>
        <v>206.95864000000043</v>
      </c>
      <c r="H3" s="100">
        <f>'Localize Daily Bali Jimbaran'!AE8/'Localize Daily Bali Jimbaran'!AD8</f>
        <v>17060.000000000004</v>
      </c>
      <c r="I3" s="99">
        <f>'Localize Daily Bali Jimbaran'!AI8</f>
        <v>609.65000000000146</v>
      </c>
      <c r="J3" s="101">
        <f>'Localize Daily Bali Jimbaran'!AJ8/'Localize Daily Bali Jimbaran'!AI8</f>
        <v>19600</v>
      </c>
      <c r="K3" s="99">
        <f>'Localize Daily Bali Jimbaran'!Q8</f>
        <v>783</v>
      </c>
      <c r="L3" s="100">
        <f>'Localize Daily Bali Jimbaran'!V8/'Localize Daily Bali Jimbaran'!Q8</f>
        <v>6560.17945083014</v>
      </c>
      <c r="M3" s="99">
        <f>'Localize Daily Bali Jimbaran'!C8</f>
        <v>53</v>
      </c>
      <c r="N3" s="99">
        <v>253</v>
      </c>
    </row>
    <row r="4" spans="1:14" ht="15">
      <c r="A4" s="96" t="s">
        <v>14</v>
      </c>
      <c r="B4" s="97">
        <v>3</v>
      </c>
      <c r="C4" s="98">
        <v>9</v>
      </c>
      <c r="D4" s="97">
        <v>2022</v>
      </c>
      <c r="E4" s="99">
        <f>'Localize Daily Bali Jimbaran'!P9</f>
        <v>21820.000000000167</v>
      </c>
      <c r="F4" s="100">
        <f>'Localize Daily Bali Jimbaran'!O9/'Localize Daily Bali Jimbaran'!P9</f>
        <v>1189.746655820351</v>
      </c>
      <c r="G4" s="99">
        <f>'Localize Daily Bali Jimbaran'!AD9</f>
        <v>219.71708000000064</v>
      </c>
      <c r="H4" s="100">
        <f>'Localize Daily Bali Jimbaran'!AE9/'Localize Daily Bali Jimbaran'!AD9</f>
        <v>16841.264160255545</v>
      </c>
      <c r="I4" s="99">
        <f>'Localize Daily Bali Jimbaran'!AI9</f>
        <v>446.19999999999709</v>
      </c>
      <c r="J4" s="101">
        <f>'Localize Daily Bali Jimbaran'!AJ9/'Localize Daily Bali Jimbaran'!AI9</f>
        <v>19600</v>
      </c>
      <c r="K4" s="99">
        <f>'Localize Daily Bali Jimbaran'!Q9</f>
        <v>762</v>
      </c>
      <c r="L4" s="100">
        <f>'Localize Daily Bali Jimbaran'!V9/'Localize Daily Bali Jimbaran'!Q9</f>
        <v>6037.8970734908144</v>
      </c>
      <c r="M4" s="99">
        <f>'Localize Daily Bali Jimbaran'!C9</f>
        <v>59</v>
      </c>
      <c r="N4" s="99">
        <v>120</v>
      </c>
    </row>
    <row r="5" spans="1:14" ht="15">
      <c r="A5" s="96" t="s">
        <v>14</v>
      </c>
      <c r="B5" s="97">
        <v>4</v>
      </c>
      <c r="C5" s="98">
        <v>9</v>
      </c>
      <c r="D5" s="97">
        <v>2022</v>
      </c>
      <c r="E5" s="99">
        <f>'Localize Daily Bali Jimbaran'!P10</f>
        <v>20919.999999999472</v>
      </c>
      <c r="F5" s="100">
        <f>'Localize Daily Bali Jimbaran'!O10/'Localize Daily Bali Jimbaran'!P10</f>
        <v>1188.9437394837462</v>
      </c>
      <c r="G5" s="99">
        <f>'Localize Daily Bali Jimbaran'!AD10</f>
        <v>191.64879999999778</v>
      </c>
      <c r="H5" s="100">
        <f>'Localize Daily Bali Jimbaran'!AE10/'Localize Daily Bali Jimbaran'!AD10</f>
        <v>16976.409599225248</v>
      </c>
      <c r="I5" s="99">
        <f>'Localize Daily Bali Jimbaran'!AI10</f>
        <v>474.41999999999825</v>
      </c>
      <c r="J5" s="101">
        <f>'Localize Daily Bali Jimbaran'!AJ10/'Localize Daily Bali Jimbaran'!AI10</f>
        <v>19600</v>
      </c>
      <c r="K5" s="99">
        <f>'Localize Daily Bali Jimbaran'!Q10</f>
        <v>790</v>
      </c>
      <c r="L5" s="100">
        <f>'Localize Daily Bali Jimbaran'!V10/'Localize Daily Bali Jimbaran'!Q10</f>
        <v>6193.5463924050637</v>
      </c>
      <c r="M5" s="99">
        <f>'Localize Daily Bali Jimbaran'!C10</f>
        <v>67</v>
      </c>
      <c r="N5" s="99">
        <v>101</v>
      </c>
    </row>
    <row r="6" spans="1:14" ht="15">
      <c r="A6" s="96" t="s">
        <v>14</v>
      </c>
      <c r="B6" s="97">
        <v>5</v>
      </c>
      <c r="C6" s="98">
        <v>9</v>
      </c>
      <c r="D6" s="97">
        <v>2022</v>
      </c>
      <c r="E6" s="99">
        <f>'Localize Daily Bali Jimbaran'!P11</f>
        <v>20800.00000000004</v>
      </c>
      <c r="F6" s="100">
        <f>'Localize Daily Bali Jimbaran'!O11/'Localize Daily Bali Jimbaran'!P11</f>
        <v>1196.3259000000012</v>
      </c>
      <c r="G6" s="99">
        <f>'Localize Daily Bali Jimbaran'!AD11</f>
        <v>149.0728399999993</v>
      </c>
      <c r="H6" s="100">
        <f>'Localize Daily Bali Jimbaran'!AE11/'Localize Daily Bali Jimbaran'!AD11</f>
        <v>16952.535756345689</v>
      </c>
      <c r="I6" s="99">
        <f>'Localize Daily Bali Jimbaran'!AI11</f>
        <v>553.0199999999968</v>
      </c>
      <c r="J6" s="101">
        <f>'Localize Daily Bali Jimbaran'!AJ11/'Localize Daily Bali Jimbaran'!AI11</f>
        <v>19600</v>
      </c>
      <c r="K6" s="99">
        <f>'Localize Daily Bali Jimbaran'!Q11</f>
        <v>692</v>
      </c>
      <c r="L6" s="100">
        <f>'Localize Daily Bali Jimbaran'!V11/'Localize Daily Bali Jimbaran'!Q11</f>
        <v>6261.1384682080925</v>
      </c>
      <c r="M6" s="99">
        <f>'Localize Daily Bali Jimbaran'!C11</f>
        <v>74</v>
      </c>
      <c r="N6" s="99">
        <v>113</v>
      </c>
    </row>
    <row r="7" spans="1:14" ht="15">
      <c r="A7" s="96" t="s">
        <v>14</v>
      </c>
      <c r="B7" s="97">
        <v>6</v>
      </c>
      <c r="C7" s="98">
        <v>9</v>
      </c>
      <c r="D7" s="97">
        <v>2022</v>
      </c>
      <c r="E7" s="99">
        <f>'Localize Daily Bali Jimbaran'!P12</f>
        <v>20519.999999999924</v>
      </c>
      <c r="F7" s="100">
        <f>'Localize Daily Bali Jimbaran'!O12/'Localize Daily Bali Jimbaran'!P12</f>
        <v>1193.039872807017</v>
      </c>
      <c r="G7" s="99">
        <f>'Localize Daily Bali Jimbaran'!AD12</f>
        <v>177.82932000000369</v>
      </c>
      <c r="H7" s="100">
        <f>'Localize Daily Bali Jimbaran'!AE12/'Localize Daily Bali Jimbaran'!AD12</f>
        <v>16879.827236588433</v>
      </c>
      <c r="I7" s="99">
        <f>'Localize Daily Bali Jimbaran'!AI12</f>
        <v>375.5</v>
      </c>
      <c r="J7" s="101">
        <f>'Localize Daily Bali Jimbaran'!AJ12/'Localize Daily Bali Jimbaran'!AI12</f>
        <v>19600</v>
      </c>
      <c r="K7" s="99">
        <f>'Localize Daily Bali Jimbaran'!Q12</f>
        <v>717</v>
      </c>
      <c r="L7" s="100">
        <f>'Localize Daily Bali Jimbaran'!V12/'Localize Daily Bali Jimbaran'!Q12</f>
        <v>5951.5932914923296</v>
      </c>
      <c r="M7" s="99">
        <f>'Localize Daily Bali Jimbaran'!C12</f>
        <v>77</v>
      </c>
      <c r="N7" s="99">
        <v>135</v>
      </c>
    </row>
    <row r="8" spans="1:14" ht="15">
      <c r="A8" s="96" t="s">
        <v>14</v>
      </c>
      <c r="B8" s="97">
        <v>7</v>
      </c>
      <c r="C8" s="98">
        <v>9</v>
      </c>
      <c r="D8" s="97">
        <v>2022</v>
      </c>
      <c r="E8" s="99">
        <f>'Localize Daily Bali Jimbaran'!P13</f>
        <v>21240.000000000637</v>
      </c>
      <c r="F8" s="100">
        <f>'Localize Daily Bali Jimbaran'!O13/'Localize Daily Bali Jimbaran'!P13</f>
        <v>1192.0247796610161</v>
      </c>
      <c r="G8" s="99">
        <f>'Localize Daily Bali Jimbaran'!AD13</f>
        <v>213.19171999999779</v>
      </c>
      <c r="H8" s="100">
        <f>'Localize Daily Bali Jimbaran'!AE13/'Localize Daily Bali Jimbaran'!AD13</f>
        <v>16834.569106154777</v>
      </c>
      <c r="I8" s="99">
        <f>'Localize Daily Bali Jimbaran'!AI13</f>
        <v>599.86999999999534</v>
      </c>
      <c r="J8" s="101">
        <f>'Localize Daily Bali Jimbaran'!AJ13/'Localize Daily Bali Jimbaran'!AI13</f>
        <v>19600</v>
      </c>
      <c r="K8" s="99">
        <f>'Localize Daily Bali Jimbaran'!Q13</f>
        <v>844</v>
      </c>
      <c r="L8" s="100">
        <f>'Localize Daily Bali Jimbaran'!V13/'Localize Daily Bali Jimbaran'!Q13</f>
        <v>7087.7730805687206</v>
      </c>
      <c r="M8" s="99">
        <f>'Localize Daily Bali Jimbaran'!C13</f>
        <v>72</v>
      </c>
      <c r="N8" s="99">
        <v>163</v>
      </c>
    </row>
    <row r="9" spans="1:14" ht="15">
      <c r="A9" s="96" t="s">
        <v>14</v>
      </c>
      <c r="B9" s="97">
        <v>8</v>
      </c>
      <c r="C9" s="98">
        <v>9</v>
      </c>
      <c r="D9" s="97">
        <v>2022</v>
      </c>
      <c r="E9" s="99">
        <f>'Localize Daily Bali Jimbaran'!P14</f>
        <v>23019.999999999411</v>
      </c>
      <c r="F9" s="100">
        <f>'Localize Daily Bali Jimbaran'!O14/'Localize Daily Bali Jimbaran'!P14</f>
        <v>1201.4283088618608</v>
      </c>
      <c r="G9" s="99">
        <f>'Localize Daily Bali Jimbaran'!AD14</f>
        <v>215.77995999999871</v>
      </c>
      <c r="H9" s="100">
        <f>'Localize Daily Bali Jimbaran'!AE14/'Localize Daily Bali Jimbaran'!AD14</f>
        <v>17060.000000000004</v>
      </c>
      <c r="I9" s="99">
        <f>'Localize Daily Bali Jimbaran'!AI14</f>
        <v>537.92000000001281</v>
      </c>
      <c r="J9" s="101">
        <f>'Localize Daily Bali Jimbaran'!AJ14/'Localize Daily Bali Jimbaran'!AI14</f>
        <v>19600</v>
      </c>
      <c r="K9" s="99">
        <f>'Localize Daily Bali Jimbaran'!Q14</f>
        <v>624</v>
      </c>
      <c r="L9" s="100">
        <f>'Localize Daily Bali Jimbaran'!V14/'Localize Daily Bali Jimbaran'!Q14</f>
        <v>4773.63</v>
      </c>
      <c r="M9" s="99">
        <f>'Localize Daily Bali Jimbaran'!C14</f>
        <v>92</v>
      </c>
      <c r="N9" s="99">
        <v>165</v>
      </c>
    </row>
    <row r="10" spans="1:14" ht="15">
      <c r="A10" s="96" t="s">
        <v>14</v>
      </c>
      <c r="B10" s="97">
        <v>9</v>
      </c>
      <c r="C10" s="98">
        <v>9</v>
      </c>
      <c r="D10" s="97">
        <v>2022</v>
      </c>
      <c r="E10" s="99">
        <f>'Localize Daily Bali Jimbaran'!P15</f>
        <v>20940.00000000068</v>
      </c>
      <c r="F10" s="100">
        <f>'Localize Daily Bali Jimbaran'!O15/'Localize Daily Bali Jimbaran'!P15</f>
        <v>1194.5600286532933</v>
      </c>
      <c r="G10" s="99">
        <f>'Localize Daily Bali Jimbaran'!AD15</f>
        <v>278.19872000000061</v>
      </c>
      <c r="H10" s="100">
        <f>'Localize Daily Bali Jimbaran'!AE15/'Localize Daily Bali Jimbaran'!AD15</f>
        <v>17059.999999999996</v>
      </c>
      <c r="I10" s="99">
        <f>'Localize Daily Bali Jimbaran'!AI15</f>
        <v>623.59999999999127</v>
      </c>
      <c r="J10" s="101">
        <f>'Localize Daily Bali Jimbaran'!AJ15/'Localize Daily Bali Jimbaran'!AI15</f>
        <v>19600</v>
      </c>
      <c r="K10" s="99">
        <f>'Localize Daily Bali Jimbaran'!Q15</f>
        <v>888</v>
      </c>
      <c r="L10" s="100">
        <f>'Localize Daily Bali Jimbaran'!V15/'Localize Daily Bali Jimbaran'!Q15</f>
        <v>6601.5748310810814</v>
      </c>
      <c r="M10" s="99">
        <f>'Localize Daily Bali Jimbaran'!C15</f>
        <v>92</v>
      </c>
      <c r="N10" s="99">
        <v>160</v>
      </c>
    </row>
    <row r="11" spans="1:14" ht="15">
      <c r="A11" s="96" t="s">
        <v>14</v>
      </c>
      <c r="B11" s="97">
        <v>10</v>
      </c>
      <c r="C11" s="98">
        <v>9</v>
      </c>
      <c r="D11" s="97">
        <v>2022</v>
      </c>
      <c r="E11" s="99">
        <f>'Localize Daily Bali Jimbaran'!P16</f>
        <v>23600.000000000138</v>
      </c>
      <c r="F11" s="100">
        <f>'Localize Daily Bali Jimbaran'!O16/'Localize Daily Bali Jimbaran'!P16</f>
        <v>1179.2750300847456</v>
      </c>
      <c r="G11" s="99">
        <f>'Localize Daily Bali Jimbaran'!AD16</f>
        <v>171.10944000000018</v>
      </c>
      <c r="H11" s="100">
        <f>'Localize Daily Bali Jimbaran'!AE16/'Localize Daily Bali Jimbaran'!AD16</f>
        <v>17060</v>
      </c>
      <c r="I11" s="99">
        <f>'Localize Daily Bali Jimbaran'!AI16</f>
        <v>489.65000000002328</v>
      </c>
      <c r="J11" s="101">
        <f>'Localize Daily Bali Jimbaran'!AJ16/'Localize Daily Bali Jimbaran'!AI16</f>
        <v>19600</v>
      </c>
      <c r="K11" s="99">
        <f>'Localize Daily Bali Jimbaran'!Q16</f>
        <v>613</v>
      </c>
      <c r="L11" s="100">
        <f>'Localize Daily Bali Jimbaran'!V16/'Localize Daily Bali Jimbaran'!Q16</f>
        <v>6560.4818923327894</v>
      </c>
      <c r="M11" s="99">
        <f>'Localize Daily Bali Jimbaran'!C16</f>
        <v>69</v>
      </c>
      <c r="N11" s="99">
        <v>133</v>
      </c>
    </row>
    <row r="12" spans="1:14" ht="15">
      <c r="A12" s="96" t="s">
        <v>14</v>
      </c>
      <c r="B12" s="97">
        <v>11</v>
      </c>
      <c r="C12" s="98">
        <v>9</v>
      </c>
      <c r="D12" s="97">
        <v>2022</v>
      </c>
      <c r="E12" s="99">
        <f>'Localize Daily Bali Jimbaran'!P17</f>
        <v>17699.999999999509</v>
      </c>
      <c r="F12" s="100">
        <f>'Localize Daily Bali Jimbaran'!O17/'Localize Daily Bali Jimbaran'!P17</f>
        <v>1204.9281406779646</v>
      </c>
      <c r="G12" s="99">
        <f>'Localize Daily Bali Jimbaran'!AD17</f>
        <v>168.69264000000092</v>
      </c>
      <c r="H12" s="100">
        <f>'Localize Daily Bali Jimbaran'!AE17/'Localize Daily Bali Jimbaran'!AD17</f>
        <v>17060</v>
      </c>
      <c r="I12" s="99">
        <f>'Localize Daily Bali Jimbaran'!AI17</f>
        <v>518.34999999999127</v>
      </c>
      <c r="J12" s="101">
        <f>'Localize Daily Bali Jimbaran'!AJ17/'Localize Daily Bali Jimbaran'!AI17</f>
        <v>19600</v>
      </c>
      <c r="K12" s="99">
        <f>'Localize Daily Bali Jimbaran'!Q17</f>
        <v>788</v>
      </c>
      <c r="L12" s="100">
        <f>'Localize Daily Bali Jimbaran'!V17/'Localize Daily Bali Jimbaran'!Q17</f>
        <v>7737.901560913705</v>
      </c>
      <c r="M12" s="99">
        <f>'Localize Daily Bali Jimbaran'!C17</f>
        <v>62</v>
      </c>
      <c r="N12" s="99">
        <v>115</v>
      </c>
    </row>
    <row r="13" spans="1:14" ht="15">
      <c r="A13" s="96" t="s">
        <v>14</v>
      </c>
      <c r="B13" s="97">
        <v>12</v>
      </c>
      <c r="C13" s="98">
        <v>9</v>
      </c>
      <c r="D13" s="97">
        <v>2022</v>
      </c>
      <c r="E13" s="99">
        <f>'Localize Daily Bali Jimbaran'!P18</f>
        <v>20540.000000000135</v>
      </c>
      <c r="F13" s="100">
        <f>'Localize Daily Bali Jimbaran'!O18/'Localize Daily Bali Jimbaran'!P18</f>
        <v>1192.9371747809193</v>
      </c>
      <c r="G13" s="99">
        <f>'Localize Daily Bali Jimbaran'!AD18</f>
        <v>389.81608000002745</v>
      </c>
      <c r="H13" s="100">
        <f>'Localize Daily Bali Jimbaran'!AE18/'Localize Daily Bali Jimbaran'!AD18</f>
        <v>16433.796306159536</v>
      </c>
      <c r="I13" s="99">
        <f>'Localize Daily Bali Jimbaran'!AI18</f>
        <v>327.55000000000291</v>
      </c>
      <c r="J13" s="101">
        <f>'Localize Daily Bali Jimbaran'!AJ18/'Localize Daily Bali Jimbaran'!AI18</f>
        <v>19600</v>
      </c>
      <c r="K13" s="99">
        <f>'Localize Daily Bali Jimbaran'!Q18</f>
        <v>661</v>
      </c>
      <c r="L13" s="100">
        <f>'Localize Daily Bali Jimbaran'!V18/'Localize Daily Bali Jimbaran'!Q18</f>
        <v>7089.5708774583954</v>
      </c>
      <c r="M13" s="99">
        <f>'Localize Daily Bali Jimbaran'!C18</f>
        <v>62</v>
      </c>
      <c r="N13" s="99">
        <v>107</v>
      </c>
    </row>
    <row r="14" spans="1:14" ht="15">
      <c r="A14" s="96" t="s">
        <v>14</v>
      </c>
      <c r="B14" s="97">
        <v>13</v>
      </c>
      <c r="C14" s="98">
        <v>9</v>
      </c>
      <c r="D14" s="97">
        <v>2022</v>
      </c>
      <c r="E14" s="99">
        <f>'Localize Daily Bali Jimbaran'!P19</f>
        <v>19879.999999999964</v>
      </c>
      <c r="F14" s="100">
        <f>'Localize Daily Bali Jimbaran'!O19/'Localize Daily Bali Jimbaran'!P19</f>
        <v>1189.3234436619691</v>
      </c>
      <c r="G14" s="99">
        <f>'Localize Daily Bali Jimbaran'!AD19</f>
        <v>523.23720000000162</v>
      </c>
      <c r="H14" s="100">
        <f>'Localize Daily Bali Jimbaran'!AE19/'Localize Daily Bali Jimbaran'!AD19</f>
        <v>16385.471051578133</v>
      </c>
      <c r="I14" s="99">
        <f>'Localize Daily Bali Jimbaran'!AI19</f>
        <v>103.8700000000099</v>
      </c>
      <c r="J14" s="101">
        <f>'Localize Daily Bali Jimbaran'!AJ19/'Localize Daily Bali Jimbaran'!AI19</f>
        <v>19600</v>
      </c>
      <c r="K14" s="99">
        <f>'Localize Daily Bali Jimbaran'!Q19</f>
        <v>682</v>
      </c>
      <c r="L14" s="100">
        <f>'Localize Daily Bali Jimbaran'!V19/'Localize Daily Bali Jimbaran'!Q19</f>
        <v>5953.995205278592</v>
      </c>
      <c r="M14" s="99">
        <f>'Localize Daily Bali Jimbaran'!C19</f>
        <v>51</v>
      </c>
      <c r="N14" s="99">
        <v>102</v>
      </c>
    </row>
    <row r="15" spans="1:14" ht="15">
      <c r="A15" s="96" t="s">
        <v>14</v>
      </c>
      <c r="B15" s="97">
        <v>14</v>
      </c>
      <c r="C15" s="98">
        <v>9</v>
      </c>
      <c r="D15" s="97">
        <v>2022</v>
      </c>
      <c r="E15" s="99">
        <f>'Localize Daily Bali Jimbaran'!P20</f>
        <v>21219.999999999658</v>
      </c>
      <c r="F15" s="100">
        <f>'Localize Daily Bali Jimbaran'!O20/'Localize Daily Bali Jimbaran'!P20</f>
        <v>1196.22339585297</v>
      </c>
      <c r="G15" s="99">
        <f>'Localize Daily Bali Jimbaran'!AD20</f>
        <v>633.56411999995748</v>
      </c>
      <c r="H15" s="100">
        <f>'Localize Daily Bali Jimbaran'!AE20/'Localize Daily Bali Jimbaran'!AD20</f>
        <v>16325.395811558286</v>
      </c>
      <c r="I15" s="99">
        <f>'Localize Daily Bali Jimbaran'!AI20</f>
        <v>150.97999999999593</v>
      </c>
      <c r="J15" s="101">
        <f>'Localize Daily Bali Jimbaran'!AJ20/'Localize Daily Bali Jimbaran'!AI20</f>
        <v>19600</v>
      </c>
      <c r="K15" s="99">
        <f>'Localize Daily Bali Jimbaran'!Q20</f>
        <v>865</v>
      </c>
      <c r="L15" s="100">
        <f>'Localize Daily Bali Jimbaran'!V20/'Localize Daily Bali Jimbaran'!Q20</f>
        <v>7168.9000462427748</v>
      </c>
      <c r="M15" s="99">
        <f>'Localize Daily Bali Jimbaran'!C20</f>
        <v>71</v>
      </c>
      <c r="N15" s="99">
        <v>119</v>
      </c>
    </row>
    <row r="16" spans="1:14" ht="15">
      <c r="A16" s="96" t="s">
        <v>14</v>
      </c>
      <c r="B16" s="97">
        <v>15</v>
      </c>
      <c r="C16" s="98">
        <v>9</v>
      </c>
      <c r="D16" s="97">
        <v>2022</v>
      </c>
      <c r="E16" s="99">
        <f>'Localize Daily Bali Jimbaran'!P21</f>
        <v>21180.000000000407</v>
      </c>
      <c r="F16" s="100">
        <f>'Localize Daily Bali Jimbaran'!O21/'Localize Daily Bali Jimbaran'!P21</f>
        <v>1191.8071997167133</v>
      </c>
      <c r="G16" s="99">
        <f>'Localize Daily Bali Jimbaran'!AD21</f>
        <v>631.59040000002494</v>
      </c>
      <c r="H16" s="100">
        <f>'Localize Daily Bali Jimbaran'!AE21/'Localize Daily Bali Jimbaran'!AD21</f>
        <v>16368.44493622448</v>
      </c>
      <c r="I16" s="99">
        <f>'Localize Daily Bali Jimbaran'!AI21</f>
        <v>7.8999999999941792</v>
      </c>
      <c r="J16" s="101">
        <f>'Localize Daily Bali Jimbaran'!AJ21/'Localize Daily Bali Jimbaran'!AI21</f>
        <v>19600</v>
      </c>
      <c r="K16" s="99">
        <f>'Localize Daily Bali Jimbaran'!Q21</f>
        <v>749</v>
      </c>
      <c r="L16" s="100">
        <f>'Localize Daily Bali Jimbaran'!V21/'Localize Daily Bali Jimbaran'!Q21</f>
        <v>6376.9880373831775</v>
      </c>
      <c r="M16" s="99">
        <f>'Localize Daily Bali Jimbaran'!C21</f>
        <v>73</v>
      </c>
      <c r="N16" s="99">
        <v>126</v>
      </c>
    </row>
    <row r="17" spans="1:14" ht="15">
      <c r="A17" s="96" t="s">
        <v>14</v>
      </c>
      <c r="B17" s="97">
        <v>16</v>
      </c>
      <c r="C17" s="98">
        <v>9</v>
      </c>
      <c r="D17" s="97">
        <v>2022</v>
      </c>
      <c r="E17" s="99">
        <f>'Localize Daily Bali Jimbaran'!P22</f>
        <v>20859.999999999844</v>
      </c>
      <c r="F17" s="100">
        <f>'Localize Daily Bali Jimbaran'!O22/'Localize Daily Bali Jimbaran'!P22</f>
        <v>1196.5344463087256</v>
      </c>
      <c r="G17" s="99">
        <f>'Localize Daily Bali Jimbaran'!AD22</f>
        <v>610.43651999999884</v>
      </c>
      <c r="H17" s="100">
        <f>'Localize Daily Bali Jimbaran'!AE22/'Localize Daily Bali Jimbaran'!AD22</f>
        <v>16338.451057744709</v>
      </c>
      <c r="I17" s="99">
        <f>'Localize Daily Bali Jimbaran'!AI22</f>
        <v>80.100000000005821</v>
      </c>
      <c r="J17" s="101">
        <f>'Localize Daily Bali Jimbaran'!AJ22/'Localize Daily Bali Jimbaran'!AI22</f>
        <v>19600</v>
      </c>
      <c r="K17" s="99">
        <f>'Localize Daily Bali Jimbaran'!Q22</f>
        <v>693</v>
      </c>
      <c r="L17" s="100">
        <f>'Localize Daily Bali Jimbaran'!V22/'Localize Daily Bali Jimbaran'!Q22</f>
        <v>7725.3108802308798</v>
      </c>
      <c r="M17" s="99">
        <f>'Localize Daily Bali Jimbaran'!C22</f>
        <v>64</v>
      </c>
      <c r="N17" s="99">
        <v>151</v>
      </c>
    </row>
    <row r="18" spans="1:14" ht="15">
      <c r="A18" s="96" t="s">
        <v>14</v>
      </c>
      <c r="B18" s="97">
        <v>17</v>
      </c>
      <c r="C18" s="98">
        <v>9</v>
      </c>
      <c r="D18" s="97">
        <v>2022</v>
      </c>
      <c r="E18" s="99">
        <f>'Localize Daily Bali Jimbaran'!P23</f>
        <v>20759.999999999847</v>
      </c>
      <c r="F18" s="100">
        <f>'Localize Daily Bali Jimbaran'!O23/'Localize Daily Bali Jimbaran'!P23</f>
        <v>1192.8683106936414</v>
      </c>
      <c r="G18" s="99">
        <f>'Localize Daily Bali Jimbaran'!AD23</f>
        <v>665.56804000000648</v>
      </c>
      <c r="H18" s="100">
        <f>'Localize Daily Bali Jimbaran'!AE23/'Localize Daily Bali Jimbaran'!AD23</f>
        <v>16431.471462688623</v>
      </c>
      <c r="I18" s="99">
        <f>'Localize Daily Bali Jimbaran'!AI23</f>
        <v>51.119999999995343</v>
      </c>
      <c r="J18" s="101">
        <f>'Localize Daily Bali Jimbaran'!AJ23/'Localize Daily Bali Jimbaran'!AI23</f>
        <v>19600</v>
      </c>
      <c r="K18" s="99">
        <f>'Localize Daily Bali Jimbaran'!Q23</f>
        <v>780</v>
      </c>
      <c r="L18" s="100">
        <f>'Localize Daily Bali Jimbaran'!V23/'Localize Daily Bali Jimbaran'!Q23</f>
        <v>7260.7324230769227</v>
      </c>
      <c r="M18" s="99">
        <f>'Localize Daily Bali Jimbaran'!C23</f>
        <v>57</v>
      </c>
      <c r="N18" s="99">
        <v>170</v>
      </c>
    </row>
    <row r="19" spans="1:14" ht="15">
      <c r="A19" s="96" t="s">
        <v>14</v>
      </c>
      <c r="B19" s="97">
        <v>18</v>
      </c>
      <c r="C19" s="98">
        <v>9</v>
      </c>
      <c r="D19" s="97">
        <v>2022</v>
      </c>
      <c r="E19" s="99">
        <f>'Localize Daily Bali Jimbaran'!P24</f>
        <v>21680.00000000012</v>
      </c>
      <c r="F19" s="100">
        <f>'Localize Daily Bali Jimbaran'!O24/'Localize Daily Bali Jimbaran'!P24</f>
        <v>1192.9147057195562</v>
      </c>
      <c r="G19" s="99">
        <f>'Localize Daily Bali Jimbaran'!AD24</f>
        <v>498.53523999999106</v>
      </c>
      <c r="H19" s="100">
        <f>'Localize Daily Bali Jimbaran'!AE24/'Localize Daily Bali Jimbaran'!AD24</f>
        <v>16455.468713813694</v>
      </c>
      <c r="I19" s="99">
        <f>'Localize Daily Bali Jimbaran'!AI24</f>
        <v>186.30000000000291</v>
      </c>
      <c r="J19" s="101">
        <f>'Localize Daily Bali Jimbaran'!AJ24/'Localize Daily Bali Jimbaran'!AI24</f>
        <v>19600</v>
      </c>
      <c r="K19" s="99">
        <f>'Localize Daily Bali Jimbaran'!Q24</f>
        <v>591</v>
      </c>
      <c r="L19" s="100">
        <f>'Localize Daily Bali Jimbaran'!V24/'Localize Daily Bali Jimbaran'!Q24</f>
        <v>8725.9920812182754</v>
      </c>
      <c r="M19" s="99">
        <f>'Localize Daily Bali Jimbaran'!C24</f>
        <v>50</v>
      </c>
      <c r="N19" s="99">
        <v>147</v>
      </c>
    </row>
    <row r="20" spans="1:14" ht="15">
      <c r="A20" s="96" t="s">
        <v>14</v>
      </c>
      <c r="B20" s="97">
        <v>19</v>
      </c>
      <c r="C20" s="98">
        <v>9</v>
      </c>
      <c r="D20" s="97">
        <v>2022</v>
      </c>
      <c r="E20" s="99">
        <f>'Localize Daily Bali Jimbaran'!P25</f>
        <v>20939.999999999716</v>
      </c>
      <c r="F20" s="100">
        <f>'Localize Daily Bali Jimbaran'!O25/'Localize Daily Bali Jimbaran'!P25</f>
        <v>1199.2343939828083</v>
      </c>
      <c r="G20" s="99">
        <f>'Localize Daily Bali Jimbaran'!AD25</f>
        <v>506.15504000000283</v>
      </c>
      <c r="H20" s="100">
        <f>'Localize Daily Bali Jimbaran'!AE25/'Localize Daily Bali Jimbaran'!AD25</f>
        <v>16442.405241761502</v>
      </c>
      <c r="I20" s="99">
        <f>'Localize Daily Bali Jimbaran'!AI25</f>
        <v>129.36000000000058</v>
      </c>
      <c r="J20" s="101">
        <f>'Localize Daily Bali Jimbaran'!AJ25/'Localize Daily Bali Jimbaran'!AI25</f>
        <v>19600</v>
      </c>
      <c r="K20" s="99">
        <f>'Localize Daily Bali Jimbaran'!Q25</f>
        <v>824</v>
      </c>
      <c r="L20" s="100">
        <f>'Localize Daily Bali Jimbaran'!V25/'Localize Daily Bali Jimbaran'!Q25</f>
        <v>6951.7541747572814</v>
      </c>
      <c r="M20" s="99">
        <f>'Localize Daily Bali Jimbaran'!C25</f>
        <v>43</v>
      </c>
      <c r="N20" s="99">
        <v>159</v>
      </c>
    </row>
    <row r="21" spans="1:14" ht="15">
      <c r="A21" s="96" t="s">
        <v>14</v>
      </c>
      <c r="B21" s="97">
        <v>20</v>
      </c>
      <c r="C21" s="98">
        <v>9</v>
      </c>
      <c r="D21" s="97">
        <v>2022</v>
      </c>
      <c r="E21" s="99">
        <f>'Localize Daily Bali Jimbaran'!P26</f>
        <v>21700.000000000244</v>
      </c>
      <c r="F21" s="100">
        <f>'Localize Daily Bali Jimbaran'!O26/'Localize Daily Bali Jimbaran'!P26</f>
        <v>1188.8081419354869</v>
      </c>
      <c r="G21" s="99">
        <f>'Localize Daily Bali Jimbaran'!AD26</f>
        <v>386.99991999999116</v>
      </c>
      <c r="H21" s="100">
        <f>'Localize Daily Bali Jimbaran'!AE26/'Localize Daily Bali Jimbaran'!AD26</f>
        <v>16487.664916710062</v>
      </c>
      <c r="I21" s="99">
        <f>'Localize Daily Bali Jimbaran'!AI26</f>
        <v>372.52000000000407</v>
      </c>
      <c r="J21" s="101">
        <f>'Localize Daily Bali Jimbaran'!AJ26/'Localize Daily Bali Jimbaran'!AI26</f>
        <v>19600</v>
      </c>
      <c r="K21" s="99">
        <f>'Localize Daily Bali Jimbaran'!Q26</f>
        <v>793</v>
      </c>
      <c r="L21" s="100">
        <f>'Localize Daily Bali Jimbaran'!V26/'Localize Daily Bali Jimbaran'!Q26</f>
        <v>7136.7517402269859</v>
      </c>
      <c r="M21" s="99">
        <f>'Localize Daily Bali Jimbaran'!C26</f>
        <v>44</v>
      </c>
      <c r="N21" s="99">
        <v>151</v>
      </c>
    </row>
    <row r="22" spans="1:14" ht="15">
      <c r="A22" s="96" t="s">
        <v>14</v>
      </c>
      <c r="B22" s="97">
        <v>21</v>
      </c>
      <c r="C22" s="98">
        <v>9</v>
      </c>
      <c r="D22" s="97">
        <v>2022</v>
      </c>
      <c r="E22" s="99">
        <f>'Localize Daily Bali Jimbaran'!P27</f>
        <v>22080.000000000215</v>
      </c>
      <c r="F22" s="100">
        <f>'Localize Daily Bali Jimbaran'!O27/'Localize Daily Bali Jimbaran'!P27</f>
        <v>1192.4839442934783</v>
      </c>
      <c r="G22" s="99">
        <f>'Localize Daily Bali Jimbaran'!AD27</f>
        <v>207.95876000000095</v>
      </c>
      <c r="H22" s="100">
        <f>'Localize Daily Bali Jimbaran'!AE27/'Localize Daily Bali Jimbaran'!AD27</f>
        <v>16905.930991317702</v>
      </c>
      <c r="I22" s="99">
        <f>'Localize Daily Bali Jimbaran'!AI27</f>
        <v>197.50999999999476</v>
      </c>
      <c r="J22" s="101">
        <f>'Localize Daily Bali Jimbaran'!AJ27/'Localize Daily Bali Jimbaran'!AI27</f>
        <v>19600</v>
      </c>
      <c r="K22" s="99">
        <f>'Localize Daily Bali Jimbaran'!Q27</f>
        <v>680</v>
      </c>
      <c r="L22" s="100">
        <f>'Localize Daily Bali Jimbaran'!V27/'Localize Daily Bali Jimbaran'!Q27</f>
        <v>7607.0756176470586</v>
      </c>
      <c r="M22" s="99">
        <f>'Localize Daily Bali Jimbaran'!C27</f>
        <v>53</v>
      </c>
      <c r="N22" s="99">
        <v>155</v>
      </c>
    </row>
    <row r="23" spans="1:14" ht="15">
      <c r="A23" s="96" t="s">
        <v>14</v>
      </c>
      <c r="B23" s="97">
        <v>22</v>
      </c>
      <c r="C23" s="98">
        <v>9</v>
      </c>
      <c r="D23" s="97">
        <v>2022</v>
      </c>
      <c r="E23" s="99">
        <f>'Localize Daily Bali Jimbaran'!P28</f>
        <v>22000</v>
      </c>
      <c r="F23" s="100">
        <f>'Localize Daily Bali Jimbaran'!O28/'Localize Daily Bali Jimbaran'!P28</f>
        <v>1196.8202495454507</v>
      </c>
      <c r="G23" s="99">
        <f>'Localize Daily Bali Jimbaran'!AD28</f>
        <v>203.32999999999805</v>
      </c>
      <c r="H23" s="100">
        <f>'Localize Daily Bali Jimbaran'!AE28/'Localize Daily Bali Jimbaran'!AD28</f>
        <v>16981.211823144637</v>
      </c>
      <c r="I23" s="99">
        <f>'Localize Daily Bali Jimbaran'!AI28</f>
        <v>742.63999999999942</v>
      </c>
      <c r="J23" s="101">
        <f>'Localize Daily Bali Jimbaran'!AJ28/'Localize Daily Bali Jimbaran'!AI28</f>
        <v>19600</v>
      </c>
      <c r="K23" s="99">
        <f>'Localize Daily Bali Jimbaran'!Q28</f>
        <v>550</v>
      </c>
      <c r="L23" s="100">
        <f>'Localize Daily Bali Jimbaran'!V28/'Localize Daily Bali Jimbaran'!Q28</f>
        <v>7892.8901818181812</v>
      </c>
      <c r="M23" s="99">
        <f>'Localize Daily Bali Jimbaran'!C28</f>
        <v>59</v>
      </c>
      <c r="N23" s="99">
        <v>167</v>
      </c>
    </row>
    <row r="24" spans="1:14" ht="15">
      <c r="A24" s="96" t="s">
        <v>14</v>
      </c>
      <c r="B24" s="97">
        <v>23</v>
      </c>
      <c r="C24" s="98">
        <v>9</v>
      </c>
      <c r="D24" s="97">
        <v>2022</v>
      </c>
      <c r="E24" s="99">
        <f>'Localize Daily Bali Jimbaran'!P29</f>
        <v>22680.000000000007</v>
      </c>
      <c r="F24" s="100">
        <f>'Localize Daily Bali Jimbaran'!O29/'Localize Daily Bali Jimbaran'!P29</f>
        <v>1199.7785000000026</v>
      </c>
      <c r="G24" s="99">
        <f>'Localize Daily Bali Jimbaran'!AD29</f>
        <v>199.86936000000119</v>
      </c>
      <c r="H24" s="100">
        <f>'Localize Daily Bali Jimbaran'!AE29/'Localize Daily Bali Jimbaran'!AD29</f>
        <v>17060.000000000004</v>
      </c>
      <c r="I24" s="99">
        <f>'Localize Daily Bali Jimbaran'!AI29</f>
        <v>695.44999999998254</v>
      </c>
      <c r="J24" s="101">
        <f>'Localize Daily Bali Jimbaran'!AJ29/'Localize Daily Bali Jimbaran'!AI29</f>
        <v>19600</v>
      </c>
      <c r="K24" s="99">
        <f>'Localize Daily Bali Jimbaran'!Q29</f>
        <v>549</v>
      </c>
      <c r="L24" s="100">
        <f>'Localize Daily Bali Jimbaran'!V29/'Localize Daily Bali Jimbaran'!Q29</f>
        <v>8138.9520400728597</v>
      </c>
      <c r="M24" s="99">
        <f>'Localize Daily Bali Jimbaran'!C29</f>
        <v>63</v>
      </c>
      <c r="N24" s="99">
        <v>151</v>
      </c>
    </row>
    <row r="25" spans="1:14" ht="15">
      <c r="A25" s="96" t="s">
        <v>14</v>
      </c>
      <c r="B25" s="97">
        <v>24</v>
      </c>
      <c r="C25" s="98">
        <v>9</v>
      </c>
      <c r="D25" s="97">
        <v>2022</v>
      </c>
      <c r="E25" s="99">
        <f>'Localize Daily Bali Jimbaran'!P30</f>
        <v>23439.999999999825</v>
      </c>
      <c r="F25" s="100">
        <f>'Localize Daily Bali Jimbaran'!O30/'Localize Daily Bali Jimbaran'!P30</f>
        <v>1194.7483681740598</v>
      </c>
      <c r="G25" s="99">
        <f>'Localize Daily Bali Jimbaran'!AD30</f>
        <v>187.74163999999956</v>
      </c>
      <c r="H25" s="100">
        <f>'Localize Daily Bali Jimbaran'!AE30/'Localize Daily Bali Jimbaran'!AD30</f>
        <v>16974.669968793281</v>
      </c>
      <c r="I25" s="99">
        <f>'Localize Daily Bali Jimbaran'!AI30</f>
        <v>332.69999999999709</v>
      </c>
      <c r="J25" s="101">
        <f>'Localize Daily Bali Jimbaran'!AJ30/'Localize Daily Bali Jimbaran'!AI30</f>
        <v>19600</v>
      </c>
      <c r="K25" s="99">
        <f>'Localize Daily Bali Jimbaran'!Q30</f>
        <v>705</v>
      </c>
      <c r="L25" s="100">
        <f>'Localize Daily Bali Jimbaran'!V30/'Localize Daily Bali Jimbaran'!Q30</f>
        <v>7169.6574609929075</v>
      </c>
      <c r="M25" s="99">
        <f>'Localize Daily Bali Jimbaran'!C30</f>
        <v>67</v>
      </c>
      <c r="N25" s="99">
        <v>182</v>
      </c>
    </row>
    <row r="26" spans="1:14" ht="15">
      <c r="A26" s="96" t="s">
        <v>14</v>
      </c>
      <c r="B26" s="97">
        <v>25</v>
      </c>
      <c r="C26" s="98">
        <v>9</v>
      </c>
      <c r="D26" s="97">
        <v>2022</v>
      </c>
      <c r="E26" s="99">
        <f>'Localize Daily Bali Jimbaran'!P31</f>
        <v>22099.999999999796</v>
      </c>
      <c r="F26" s="100">
        <f>'Localize Daily Bali Jimbaran'!O31/'Localize Daily Bali Jimbaran'!P31</f>
        <v>1192.3889986425347</v>
      </c>
      <c r="G26" s="99">
        <f>'Localize Daily Bali Jimbaran'!AD31</f>
        <v>344.24759999999952</v>
      </c>
      <c r="H26" s="100">
        <f>'Localize Daily Bali Jimbaran'!AE31/'Localize Daily Bali Jimbaran'!AD31</f>
        <v>16920.39118355509</v>
      </c>
      <c r="I26" s="99">
        <f>'Localize Daily Bali Jimbaran'!AI31</f>
        <v>434.69999999999709</v>
      </c>
      <c r="J26" s="101">
        <f>'Localize Daily Bali Jimbaran'!AJ31/'Localize Daily Bali Jimbaran'!AI31</f>
        <v>19600</v>
      </c>
      <c r="K26" s="99">
        <f>'Localize Daily Bali Jimbaran'!Q31</f>
        <v>609</v>
      </c>
      <c r="L26" s="100">
        <f>'Localize Daily Bali Jimbaran'!V31/'Localize Daily Bali Jimbaran'!Q31</f>
        <v>8327.4669129720842</v>
      </c>
      <c r="M26" s="99">
        <f>'Localize Daily Bali Jimbaran'!C31</f>
        <v>55</v>
      </c>
      <c r="N26" s="99">
        <v>154</v>
      </c>
    </row>
    <row r="27" spans="1:14" ht="15">
      <c r="A27" s="96" t="s">
        <v>14</v>
      </c>
      <c r="B27" s="97">
        <v>26</v>
      </c>
      <c r="C27" s="98">
        <v>9</v>
      </c>
      <c r="D27" s="97">
        <v>2022</v>
      </c>
      <c r="E27" s="99">
        <f>'Localize Daily Bali Jimbaran'!P32</f>
        <v>21699.999999999593</v>
      </c>
      <c r="F27" s="100">
        <f>'Localize Daily Bali Jimbaran'!O32/'Localize Daily Bali Jimbaran'!P32</f>
        <v>1196.3259000000057</v>
      </c>
      <c r="G27" s="99">
        <f>'Localize Daily Bali Jimbaran'!AD32</f>
        <v>209.12000000001601</v>
      </c>
      <c r="H27" s="100">
        <f>'Localize Daily Bali Jimbaran'!AE32/'Localize Daily Bali Jimbaran'!AD32</f>
        <v>16719.764934590614</v>
      </c>
      <c r="I27" s="99">
        <f>'Localize Daily Bali Jimbaran'!AI32</f>
        <v>467.1200000000099</v>
      </c>
      <c r="J27" s="101">
        <f>'Localize Daily Bali Jimbaran'!AJ32/'Localize Daily Bali Jimbaran'!AI32</f>
        <v>19600</v>
      </c>
      <c r="K27" s="99">
        <f>'Localize Daily Bali Jimbaran'!Q32</f>
        <v>504</v>
      </c>
      <c r="L27" s="100">
        <f>'Localize Daily Bali Jimbaran'!V32/'Localize Daily Bali Jimbaran'!Q32</f>
        <v>8465.6114880952373</v>
      </c>
      <c r="M27" s="99">
        <f>'Localize Daily Bali Jimbaran'!C32</f>
        <v>53</v>
      </c>
      <c r="N27" s="99">
        <v>133</v>
      </c>
    </row>
    <row r="28" spans="1:14" ht="15">
      <c r="A28" s="96" t="s">
        <v>14</v>
      </c>
      <c r="B28" s="97">
        <v>27</v>
      </c>
      <c r="C28" s="98">
        <v>9</v>
      </c>
      <c r="D28" s="97">
        <v>2022</v>
      </c>
      <c r="E28" s="99">
        <f>'Localize Daily Bali Jimbaran'!P33</f>
        <v>20279.999999999975</v>
      </c>
      <c r="F28" s="100">
        <f>'Localize Daily Bali Jimbaran'!O33/'Localize Daily Bali Jimbaran'!P33</f>
        <v>1194.8243254437871</v>
      </c>
      <c r="G28" s="99">
        <f>'Localize Daily Bali Jimbaran'!AD33</f>
        <v>180.57524000000035</v>
      </c>
      <c r="H28" s="100">
        <f>'Localize Daily Bali Jimbaran'!AE33/'Localize Daily Bali Jimbaran'!AD33</f>
        <v>17060</v>
      </c>
      <c r="I28" s="99">
        <f>'Localize Daily Bali Jimbaran'!AI33</f>
        <v>628.75999999999476</v>
      </c>
      <c r="J28" s="101">
        <f>'Localize Daily Bali Jimbaran'!AJ33/'Localize Daily Bali Jimbaran'!AI33</f>
        <v>19600</v>
      </c>
      <c r="K28" s="99">
        <f>'Localize Daily Bali Jimbaran'!Q33</f>
        <v>745</v>
      </c>
      <c r="L28" s="100">
        <f>'Localize Daily Bali Jimbaran'!V33/'Localize Daily Bali Jimbaran'!Q33</f>
        <v>6562.7358657718132</v>
      </c>
      <c r="M28" s="99">
        <f>'Localize Daily Bali Jimbaran'!C33</f>
        <v>57</v>
      </c>
      <c r="N28" s="99">
        <v>140</v>
      </c>
    </row>
    <row r="29" spans="1:14" ht="15">
      <c r="A29" s="96" t="s">
        <v>14</v>
      </c>
      <c r="B29" s="97">
        <v>28</v>
      </c>
      <c r="C29" s="98">
        <v>9</v>
      </c>
      <c r="D29" s="97">
        <v>2022</v>
      </c>
      <c r="E29" s="99">
        <f>'Localize Daily Bali Jimbaran'!P34</f>
        <v>21020.000000001572</v>
      </c>
      <c r="F29" s="100">
        <f>'Localize Daily Bali Jimbaran'!O34/'Localize Daily Bali Jimbaran'!P34</f>
        <v>1192.6006398667844</v>
      </c>
      <c r="G29" s="99">
        <f>'Localize Daily Bali Jimbaran'!AD34</f>
        <v>204.53840000000079</v>
      </c>
      <c r="H29" s="100">
        <f>'Localize Daily Bali Jimbaran'!AE34/'Localize Daily Bali Jimbaran'!AD34</f>
        <v>16981.677298737064</v>
      </c>
      <c r="I29" s="99">
        <f>'Localize Daily Bali Jimbaran'!AI34</f>
        <v>397.94999999999709</v>
      </c>
      <c r="J29" s="101">
        <f>'Localize Daily Bali Jimbaran'!AJ34/'Localize Daily Bali Jimbaran'!AI34</f>
        <v>19600</v>
      </c>
      <c r="K29" s="99">
        <f>'Localize Daily Bali Jimbaran'!Q34</f>
        <v>811</v>
      </c>
      <c r="L29" s="100">
        <f>'Localize Daily Bali Jimbaran'!V34/'Localize Daily Bali Jimbaran'!Q34</f>
        <v>6482.2259926017268</v>
      </c>
      <c r="M29" s="99">
        <f>'Localize Daily Bali Jimbaran'!C34</f>
        <v>56</v>
      </c>
      <c r="N29" s="99">
        <v>157</v>
      </c>
    </row>
    <row r="30" spans="1:14" ht="15">
      <c r="A30" s="96" t="s">
        <v>14</v>
      </c>
      <c r="B30" s="97">
        <v>29</v>
      </c>
      <c r="C30" s="98">
        <v>9</v>
      </c>
      <c r="D30" s="97">
        <v>2022</v>
      </c>
      <c r="E30" s="99">
        <f>'Localize Daily Bali Jimbaran'!P35</f>
        <v>21519.999999999472</v>
      </c>
      <c r="F30" s="100">
        <f>'Localize Daily Bali Jimbaran'!O35/'Localize Daily Bali Jimbaran'!P35</f>
        <v>1199.7624563197023</v>
      </c>
      <c r="G30" s="99">
        <f>'Localize Daily Bali Jimbaran'!AD35</f>
        <v>217.34743999999981</v>
      </c>
      <c r="H30" s="100">
        <f>'Localize Daily Bali Jimbaran'!AE35/'Localize Daily Bali Jimbaran'!AD35</f>
        <v>16986.29312772214</v>
      </c>
      <c r="I30" s="99">
        <f>'Localize Daily Bali Jimbaran'!AI35</f>
        <v>508.29000000000815</v>
      </c>
      <c r="J30" s="101">
        <f>'Localize Daily Bali Jimbaran'!AJ35/'Localize Daily Bali Jimbaran'!AI35</f>
        <v>19600</v>
      </c>
      <c r="K30" s="99">
        <f>'Localize Daily Bali Jimbaran'!Q35</f>
        <v>793</v>
      </c>
      <c r="L30" s="100">
        <f>'Localize Daily Bali Jimbaran'!V35/'Localize Daily Bali Jimbaran'!Q35</f>
        <v>7369.735573770492</v>
      </c>
      <c r="M30" s="99">
        <f>'Localize Daily Bali Jimbaran'!C35</f>
        <v>57</v>
      </c>
      <c r="N30" s="99">
        <v>136</v>
      </c>
    </row>
    <row r="31" spans="1:14" ht="15">
      <c r="A31" s="96" t="s">
        <v>14</v>
      </c>
      <c r="B31" s="97">
        <v>30</v>
      </c>
      <c r="C31" s="98">
        <v>9</v>
      </c>
      <c r="D31" s="97">
        <v>2022</v>
      </c>
      <c r="E31" s="99">
        <f>'Localize Daily Bali Jimbaran'!P36</f>
        <v>28259.999999999025</v>
      </c>
      <c r="F31" s="100">
        <f>'Localize Daily Bali Jimbaran'!O36/'Localize Daily Bali Jimbaran'!P36</f>
        <v>1162.6135700636974</v>
      </c>
      <c r="G31" s="99">
        <f>'Localize Daily Bali Jimbaran'!AD36</f>
        <v>185.6068000000005</v>
      </c>
      <c r="H31" s="100">
        <f>'Localize Daily Bali Jimbaran'!AE36/'Localize Daily Bali Jimbaran'!AD36</f>
        <v>16973.688507102113</v>
      </c>
      <c r="I31" s="99">
        <f>'Localize Daily Bali Jimbaran'!AI36</f>
        <v>541.70000000001164</v>
      </c>
      <c r="J31" s="101">
        <f>'Localize Daily Bali Jimbaran'!AJ36/'Localize Daily Bali Jimbaran'!AI36</f>
        <v>19600</v>
      </c>
      <c r="K31" s="99">
        <f>'Localize Daily Bali Jimbaran'!Q36</f>
        <v>844</v>
      </c>
      <c r="L31" s="100">
        <f>'Localize Daily Bali Jimbaran'!V36/'Localize Daily Bali Jimbaran'!Q36</f>
        <v>7259.7702014218021</v>
      </c>
      <c r="M31" s="99">
        <f>'Localize Daily Bali Jimbaran'!C36</f>
        <v>63</v>
      </c>
      <c r="N31" s="99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K108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8" width="14.85546875" customWidth="1"/>
    <col min="29" max="29" width="14.7109375" customWidth="1"/>
    <col min="30" max="30" width="10.7109375" bestFit="1" customWidth="1"/>
    <col min="31" max="31" width="16.5703125" style="3" customWidth="1"/>
    <col min="32" max="32" width="13.28515625" style="7" bestFit="1" customWidth="1"/>
    <col min="33" max="34" width="13.28515625" style="7" customWidth="1"/>
    <col min="35" max="35" width="15.5703125" style="7" customWidth="1"/>
    <col min="36" max="36" width="20.7109375" bestFit="1" customWidth="1"/>
    <col min="37" max="37" width="2.28515625" style="2" customWidth="1"/>
  </cols>
  <sheetData>
    <row r="1" spans="1:37">
      <c r="N1" s="5"/>
      <c r="S1" s="8"/>
    </row>
    <row r="2" spans="1:37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E2" s="10"/>
      <c r="AF2" s="13"/>
      <c r="AG2" s="13"/>
      <c r="AH2" s="13"/>
      <c r="AI2" s="13"/>
    </row>
    <row r="3" spans="1:37" s="15" customFormat="1">
      <c r="A3" s="14"/>
      <c r="B3" s="157" t="s">
        <v>16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4"/>
    </row>
    <row r="4" spans="1:37" s="83" customFormat="1" ht="15.75" customHeight="1">
      <c r="A4" s="16"/>
      <c r="B4" s="158" t="s">
        <v>17</v>
      </c>
      <c r="C4" s="159" t="s">
        <v>18</v>
      </c>
      <c r="D4" s="160" t="s">
        <v>19</v>
      </c>
      <c r="E4" s="161" t="s">
        <v>20</v>
      </c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2" t="s">
        <v>21</v>
      </c>
      <c r="R4" s="162"/>
      <c r="S4" s="162"/>
      <c r="T4" s="162"/>
      <c r="U4" s="162"/>
      <c r="V4" s="162"/>
      <c r="W4" s="163" t="s">
        <v>22</v>
      </c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7"/>
    </row>
    <row r="5" spans="1:37" s="1" customFormat="1" ht="27" customHeight="1">
      <c r="A5" s="83"/>
      <c r="B5" s="158"/>
      <c r="C5" s="159"/>
      <c r="D5" s="160"/>
      <c r="E5" s="164" t="s">
        <v>23</v>
      </c>
      <c r="F5" s="164"/>
      <c r="G5" s="164"/>
      <c r="H5" s="164"/>
      <c r="I5" s="164"/>
      <c r="J5" s="165" t="s">
        <v>24</v>
      </c>
      <c r="K5" s="165"/>
      <c r="L5" s="165"/>
      <c r="M5" s="165"/>
      <c r="N5" s="165"/>
      <c r="O5" s="166" t="s">
        <v>25</v>
      </c>
      <c r="P5" s="168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3" t="s">
        <v>29</v>
      </c>
      <c r="X5" s="163"/>
      <c r="Y5" s="163"/>
      <c r="Z5" s="163"/>
      <c r="AA5" s="163"/>
      <c r="AB5" s="163"/>
      <c r="AC5" s="163"/>
      <c r="AD5" s="163"/>
      <c r="AE5" s="163"/>
      <c r="AF5" s="167" t="s">
        <v>30</v>
      </c>
      <c r="AG5" s="167"/>
      <c r="AH5" s="167"/>
      <c r="AI5" s="167"/>
      <c r="AJ5" s="167"/>
      <c r="AK5" s="83"/>
    </row>
    <row r="6" spans="1:37" s="1" customFormat="1" ht="58.5" customHeight="1">
      <c r="A6" s="86"/>
      <c r="B6" s="158"/>
      <c r="C6" s="159"/>
      <c r="D6" s="160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6"/>
      <c r="P6" s="168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3" t="s">
        <v>45</v>
      </c>
      <c r="AA6" s="123" t="s">
        <v>46</v>
      </c>
      <c r="AB6" s="123" t="s">
        <v>47</v>
      </c>
      <c r="AC6" s="89" t="s">
        <v>48</v>
      </c>
      <c r="AD6" s="89" t="s">
        <v>49</v>
      </c>
      <c r="AE6" s="90" t="s">
        <v>41</v>
      </c>
      <c r="AF6" s="125" t="s">
        <v>50</v>
      </c>
      <c r="AG6" s="125" t="s">
        <v>51</v>
      </c>
      <c r="AH6" s="125" t="s">
        <v>52</v>
      </c>
      <c r="AI6" s="125" t="s">
        <v>53</v>
      </c>
      <c r="AJ6" s="89" t="s">
        <v>41</v>
      </c>
      <c r="AK6" s="86"/>
    </row>
    <row r="7" spans="1:37" ht="15">
      <c r="A7" s="18"/>
      <c r="B7" s="81">
        <v>1</v>
      </c>
      <c r="C7" s="102">
        <v>49</v>
      </c>
      <c r="D7" s="103">
        <v>583</v>
      </c>
      <c r="E7" s="154">
        <v>7760.0000000002183</v>
      </c>
      <c r="F7" s="154">
        <v>8439535.4400002379</v>
      </c>
      <c r="G7" s="114">
        <v>3759.9999999999909</v>
      </c>
      <c r="H7" s="155">
        <v>6133889.1599999862</v>
      </c>
      <c r="I7" s="105">
        <f>F7+H7</f>
        <v>14573424.600000225</v>
      </c>
      <c r="J7" s="113">
        <v>1039.9999999999636</v>
      </c>
      <c r="K7" s="113">
        <v>1131071.7599999604</v>
      </c>
      <c r="L7" s="117">
        <v>520.00000000001023</v>
      </c>
      <c r="M7" s="119">
        <v>848303.82000001683</v>
      </c>
      <c r="N7" s="106">
        <f>K7+M7</f>
        <v>1979375.5799999773</v>
      </c>
      <c r="O7" s="105">
        <f>I7+N7</f>
        <v>16552800.180000203</v>
      </c>
      <c r="P7" s="106">
        <f>E7+G7+J7+L7</f>
        <v>13080.000000000184</v>
      </c>
      <c r="Q7" s="121">
        <f>R7+T7</f>
        <v>892</v>
      </c>
      <c r="R7" s="113">
        <v>145</v>
      </c>
      <c r="S7" s="113">
        <v>2605722.5</v>
      </c>
      <c r="T7" s="113">
        <v>747</v>
      </c>
      <c r="U7" s="113">
        <v>3565901.61</v>
      </c>
      <c r="V7" s="113">
        <f>S7+U7</f>
        <v>6171624.1099999994</v>
      </c>
      <c r="W7" s="113">
        <v>0</v>
      </c>
      <c r="X7" s="113">
        <v>126.55976000000028</v>
      </c>
      <c r="Y7" s="113">
        <v>47.852640000000434</v>
      </c>
      <c r="Z7" s="113">
        <v>100</v>
      </c>
      <c r="AA7" s="113">
        <v>40.642519999999998</v>
      </c>
      <c r="AB7" s="113">
        <v>0</v>
      </c>
      <c r="AC7" s="110">
        <v>0</v>
      </c>
      <c r="AD7" s="121">
        <f>W7+X7+Y7+Z7+AA7+AB7+AC7</f>
        <v>315.05492000000072</v>
      </c>
      <c r="AE7" s="104">
        <v>5374836.9352000123</v>
      </c>
      <c r="AF7" s="107"/>
      <c r="AG7" s="126">
        <v>620.23999999999796</v>
      </c>
      <c r="AH7" s="128">
        <v>279.80000000001746</v>
      </c>
      <c r="AI7" s="128">
        <f>AG7+AH7</f>
        <v>900.04000000001543</v>
      </c>
      <c r="AJ7" s="130">
        <v>17640784.000000302</v>
      </c>
      <c r="AK7" s="18"/>
    </row>
    <row r="8" spans="1:37" ht="15">
      <c r="A8" s="19"/>
      <c r="B8" s="64">
        <v>2</v>
      </c>
      <c r="C8" s="65">
        <v>53</v>
      </c>
      <c r="D8" s="65">
        <v>563</v>
      </c>
      <c r="E8" s="122">
        <v>15760.000000000218</v>
      </c>
      <c r="F8" s="122">
        <v>17140087.44000024</v>
      </c>
      <c r="G8" s="109">
        <v>3960.0000000000364</v>
      </c>
      <c r="H8" s="109">
        <v>6460159.8600000599</v>
      </c>
      <c r="I8" s="105">
        <f>F8+H8</f>
        <v>23600247.300000299</v>
      </c>
      <c r="J8" s="156">
        <v>1820.00000000005</v>
      </c>
      <c r="K8" s="156">
        <v>1979375.5800000546</v>
      </c>
      <c r="L8" s="118">
        <v>539.99999999999204</v>
      </c>
      <c r="M8" s="120">
        <v>880930.88999998709</v>
      </c>
      <c r="N8" s="106">
        <f>K8+M8</f>
        <v>2860306.4700000416</v>
      </c>
      <c r="O8" s="105">
        <f>I8+N8</f>
        <v>26460553.770000339</v>
      </c>
      <c r="P8" s="106">
        <f>E8+G8+J8+L8</f>
        <v>22080.000000000298</v>
      </c>
      <c r="Q8" s="121">
        <f>R8+T8</f>
        <v>783</v>
      </c>
      <c r="R8" s="122">
        <v>106</v>
      </c>
      <c r="S8" s="122">
        <v>1904873</v>
      </c>
      <c r="T8" s="115">
        <v>677</v>
      </c>
      <c r="U8" s="115">
        <v>3231747.5100000002</v>
      </c>
      <c r="V8" s="113">
        <f>S8+U8</f>
        <v>5136620.51</v>
      </c>
      <c r="W8" s="124">
        <v>0</v>
      </c>
      <c r="X8" s="124">
        <v>107.38647999999941</v>
      </c>
      <c r="Y8" s="124">
        <v>71.376160000001022</v>
      </c>
      <c r="Z8" s="124"/>
      <c r="AA8" s="124">
        <v>28.195999999999998</v>
      </c>
      <c r="AB8" s="124">
        <v>0</v>
      </c>
      <c r="AC8" s="110">
        <v>0</v>
      </c>
      <c r="AD8" s="121">
        <f t="shared" ref="AD8:AD36" si="0">W8+X8+Y8+Z8+AA8+AB8+AC8</f>
        <v>206.95864000000043</v>
      </c>
      <c r="AE8" s="108">
        <v>3530714.3984000077</v>
      </c>
      <c r="AF8" s="111"/>
      <c r="AG8" s="127">
        <v>609.65000000000146</v>
      </c>
      <c r="AH8" s="129">
        <v>0</v>
      </c>
      <c r="AI8" s="128">
        <f>AG8+AH8</f>
        <v>609.65000000000146</v>
      </c>
      <c r="AJ8" s="131">
        <v>11949140.000000028</v>
      </c>
      <c r="AK8" s="21"/>
    </row>
    <row r="9" spans="1:37" ht="15">
      <c r="A9" s="19"/>
      <c r="B9" s="81">
        <v>3</v>
      </c>
      <c r="C9" s="65">
        <v>59</v>
      </c>
      <c r="D9" s="65">
        <v>593</v>
      </c>
      <c r="E9" s="122">
        <v>15960.000000000036</v>
      </c>
      <c r="F9" s="122">
        <v>17357601.240000039</v>
      </c>
      <c r="G9" s="109">
        <v>3600.0000000001364</v>
      </c>
      <c r="H9" s="109">
        <v>5872872.6000002231</v>
      </c>
      <c r="I9" s="105">
        <f>F9+H9</f>
        <v>23230473.840000264</v>
      </c>
      <c r="J9" s="156">
        <v>1759.9999999999909</v>
      </c>
      <c r="K9" s="156">
        <v>1914121.4399999902</v>
      </c>
      <c r="L9" s="118">
        <v>500</v>
      </c>
      <c r="M9" s="120">
        <v>815676.75</v>
      </c>
      <c r="N9" s="106">
        <f>K9+M9</f>
        <v>2729798.1899999902</v>
      </c>
      <c r="O9" s="105">
        <f>I9+N9</f>
        <v>25960272.030000255</v>
      </c>
      <c r="P9" s="106">
        <f>E9+G9+J9+L9</f>
        <v>21820.000000000167</v>
      </c>
      <c r="Q9" s="121">
        <f>R9+T9</f>
        <v>762</v>
      </c>
      <c r="R9" s="122">
        <v>73</v>
      </c>
      <c r="S9" s="122">
        <v>1311846.5</v>
      </c>
      <c r="T9" s="115">
        <v>689</v>
      </c>
      <c r="U9" s="115">
        <v>3289031.0700000003</v>
      </c>
      <c r="V9" s="113">
        <f>S9+U9</f>
        <v>4600877.57</v>
      </c>
      <c r="W9" s="124">
        <v>0</v>
      </c>
      <c r="X9" s="124">
        <v>87.367320000000205</v>
      </c>
      <c r="Y9" s="124">
        <v>71.013640000000436</v>
      </c>
      <c r="Z9" s="124"/>
      <c r="AA9" s="124">
        <v>25.336119999999994</v>
      </c>
      <c r="AB9" s="124">
        <v>0</v>
      </c>
      <c r="AC9" s="110">
        <v>36</v>
      </c>
      <c r="AD9" s="121">
        <f t="shared" si="0"/>
        <v>219.71708000000064</v>
      </c>
      <c r="AE9" s="108">
        <v>3700313.3848000108</v>
      </c>
      <c r="AF9" s="111"/>
      <c r="AG9" s="127">
        <v>435.80000000000291</v>
      </c>
      <c r="AH9" s="129">
        <v>10.399999999994179</v>
      </c>
      <c r="AI9" s="128">
        <f>AG9+AH9</f>
        <v>446.19999999999709</v>
      </c>
      <c r="AJ9" s="131">
        <v>8745519.9999999423</v>
      </c>
      <c r="AK9" s="21"/>
    </row>
    <row r="10" spans="1:37" ht="15">
      <c r="A10" s="19"/>
      <c r="B10" s="64">
        <v>4</v>
      </c>
      <c r="C10" s="65">
        <v>67</v>
      </c>
      <c r="D10" s="65">
        <v>619</v>
      </c>
      <c r="E10" s="122">
        <v>15359.999999999673</v>
      </c>
      <c r="F10" s="122">
        <v>16705059.839999644</v>
      </c>
      <c r="G10" s="109">
        <v>3439.9999999998272</v>
      </c>
      <c r="H10" s="109">
        <v>5611856.0399997188</v>
      </c>
      <c r="I10" s="105">
        <f>F10+H10</f>
        <v>22316915.879999362</v>
      </c>
      <c r="J10" s="156">
        <v>1659.9999999999682</v>
      </c>
      <c r="K10" s="156">
        <v>1805364.5399999653</v>
      </c>
      <c r="L10" s="118">
        <v>460.00000000000796</v>
      </c>
      <c r="M10" s="120">
        <v>750422.61000001302</v>
      </c>
      <c r="N10" s="106">
        <f>K10+M10</f>
        <v>2555787.1499999785</v>
      </c>
      <c r="O10" s="105">
        <f>I10+N10</f>
        <v>24872703.029999342</v>
      </c>
      <c r="P10" s="106">
        <f>E10+G10+J10+L10</f>
        <v>20919.999999999472</v>
      </c>
      <c r="Q10" s="121">
        <f>R10+T10</f>
        <v>790</v>
      </c>
      <c r="R10" s="122">
        <v>85</v>
      </c>
      <c r="S10" s="122">
        <v>1527492.5</v>
      </c>
      <c r="T10" s="115">
        <v>705</v>
      </c>
      <c r="U10" s="115">
        <v>3365409.15</v>
      </c>
      <c r="V10" s="113">
        <f>S10+U10</f>
        <v>4892901.6500000004</v>
      </c>
      <c r="W10" s="124">
        <v>0</v>
      </c>
      <c r="X10" s="124">
        <v>92.482880000000137</v>
      </c>
      <c r="Y10" s="124">
        <v>60.983919999997646</v>
      </c>
      <c r="Z10" s="124"/>
      <c r="AA10" s="124">
        <v>26.181999999999999</v>
      </c>
      <c r="AB10" s="124">
        <v>0</v>
      </c>
      <c r="AC10" s="110">
        <v>12</v>
      </c>
      <c r="AD10" s="121">
        <f t="shared" si="0"/>
        <v>191.64879999999778</v>
      </c>
      <c r="AE10" s="108">
        <v>3253508.5279999622</v>
      </c>
      <c r="AF10" s="111"/>
      <c r="AG10" s="127">
        <v>474.41999999999825</v>
      </c>
      <c r="AH10" s="129">
        <v>0</v>
      </c>
      <c r="AI10" s="128">
        <f>AG10+AH10</f>
        <v>474.41999999999825</v>
      </c>
      <c r="AJ10" s="131">
        <v>9298631.9999999665</v>
      </c>
      <c r="AK10" s="21"/>
    </row>
    <row r="11" spans="1:37" ht="15">
      <c r="A11" s="19"/>
      <c r="B11" s="81">
        <v>5</v>
      </c>
      <c r="C11" s="65">
        <v>74</v>
      </c>
      <c r="D11" s="65">
        <v>681</v>
      </c>
      <c r="E11" s="122">
        <v>15079.999999999927</v>
      </c>
      <c r="F11" s="122">
        <v>16400540.519999921</v>
      </c>
      <c r="G11" s="109">
        <v>3680.0000000000637</v>
      </c>
      <c r="H11" s="109">
        <v>6003380.8800001042</v>
      </c>
      <c r="I11" s="105">
        <f>F11+H11</f>
        <v>22403921.400000025</v>
      </c>
      <c r="J11" s="156">
        <v>1560.0000000000591</v>
      </c>
      <c r="K11" s="156">
        <v>1696607.6400000644</v>
      </c>
      <c r="L11" s="118">
        <v>479.99999999998977</v>
      </c>
      <c r="M11" s="120">
        <v>783049.6799999834</v>
      </c>
      <c r="N11" s="106">
        <f>K11+M11</f>
        <v>2479657.3200000478</v>
      </c>
      <c r="O11" s="105">
        <f>I11+N11</f>
        <v>24883578.720000073</v>
      </c>
      <c r="P11" s="106">
        <f>E11+G11+J11+L11</f>
        <v>20800.00000000004</v>
      </c>
      <c r="Q11" s="121">
        <f>R11+T11</f>
        <v>692</v>
      </c>
      <c r="R11" s="122">
        <v>78</v>
      </c>
      <c r="S11" s="122">
        <v>1401699</v>
      </c>
      <c r="T11" s="115">
        <v>614</v>
      </c>
      <c r="U11" s="115">
        <v>2931008.8200000003</v>
      </c>
      <c r="V11" s="113">
        <f>S11+U11</f>
        <v>4332707.82</v>
      </c>
      <c r="W11" s="124">
        <v>0</v>
      </c>
      <c r="X11" s="124">
        <v>79.150199999999444</v>
      </c>
      <c r="Y11" s="124">
        <v>27.350119999999851</v>
      </c>
      <c r="Z11" s="124"/>
      <c r="AA11" s="124">
        <v>30.572519999999997</v>
      </c>
      <c r="AB11" s="124">
        <v>0</v>
      </c>
      <c r="AC11" s="110">
        <v>12</v>
      </c>
      <c r="AD11" s="121">
        <f t="shared" si="0"/>
        <v>149.0728399999993</v>
      </c>
      <c r="AE11" s="108">
        <v>2527162.6503999881</v>
      </c>
      <c r="AF11" s="111"/>
      <c r="AG11" s="127">
        <v>553.0199999999968</v>
      </c>
      <c r="AH11" s="129">
        <v>0</v>
      </c>
      <c r="AI11" s="128">
        <f>AG11+AH11</f>
        <v>553.0199999999968</v>
      </c>
      <c r="AJ11" s="131">
        <v>10839191.999999937</v>
      </c>
      <c r="AK11" s="21"/>
    </row>
    <row r="12" spans="1:37" ht="15">
      <c r="A12" s="19"/>
      <c r="B12" s="64">
        <v>6</v>
      </c>
      <c r="C12" s="65">
        <v>77</v>
      </c>
      <c r="D12" s="65">
        <v>609</v>
      </c>
      <c r="E12" s="122">
        <v>14960.000000000036</v>
      </c>
      <c r="F12" s="122">
        <v>16270032.240000041</v>
      </c>
      <c r="G12" s="109">
        <v>3559.9999999999454</v>
      </c>
      <c r="H12" s="109">
        <v>5807618.4599999115</v>
      </c>
      <c r="I12" s="105">
        <f>F12+H12</f>
        <v>22077650.699999951</v>
      </c>
      <c r="J12" s="156">
        <v>1579.9999999999272</v>
      </c>
      <c r="K12" s="156">
        <v>1718359.0199999211</v>
      </c>
      <c r="L12" s="118">
        <v>420.00000000001592</v>
      </c>
      <c r="M12" s="120">
        <v>685168.47000002593</v>
      </c>
      <c r="N12" s="106">
        <f>K12+M12</f>
        <v>2403527.4899999471</v>
      </c>
      <c r="O12" s="105">
        <f>I12+N12</f>
        <v>24481178.189999897</v>
      </c>
      <c r="P12" s="106">
        <f>E12+G12+J12+L12</f>
        <v>20519.999999999924</v>
      </c>
      <c r="Q12" s="121">
        <f>R12+T12</f>
        <v>717</v>
      </c>
      <c r="R12" s="122">
        <v>64</v>
      </c>
      <c r="S12" s="122">
        <v>1150112</v>
      </c>
      <c r="T12" s="115">
        <v>653</v>
      </c>
      <c r="U12" s="115">
        <v>3117180.39</v>
      </c>
      <c r="V12" s="113">
        <f>S12+U12</f>
        <v>4267292.3900000006</v>
      </c>
      <c r="W12" s="124">
        <v>0</v>
      </c>
      <c r="X12" s="124">
        <v>80.036360000000471</v>
      </c>
      <c r="Y12" s="124">
        <v>48.819360000003222</v>
      </c>
      <c r="Z12" s="124"/>
      <c r="AA12" s="124">
        <v>24.973600000000008</v>
      </c>
      <c r="AB12" s="124">
        <v>0</v>
      </c>
      <c r="AC12" s="110">
        <v>24</v>
      </c>
      <c r="AD12" s="121">
        <f t="shared" si="0"/>
        <v>177.82932000000369</v>
      </c>
      <c r="AE12" s="108">
        <v>3001728.1992000625</v>
      </c>
      <c r="AF12" s="111"/>
      <c r="AG12" s="127">
        <v>375.5</v>
      </c>
      <c r="AH12" s="129">
        <v>0</v>
      </c>
      <c r="AI12" s="128">
        <f>AG12+AH12</f>
        <v>375.5</v>
      </c>
      <c r="AJ12" s="131">
        <v>7359800</v>
      </c>
      <c r="AK12" s="21"/>
    </row>
    <row r="13" spans="1:37" ht="15">
      <c r="A13" s="19"/>
      <c r="B13" s="81">
        <v>7</v>
      </c>
      <c r="C13" s="65">
        <v>72</v>
      </c>
      <c r="D13" s="65">
        <v>616</v>
      </c>
      <c r="E13" s="122">
        <v>15480.000000000473</v>
      </c>
      <c r="F13" s="122">
        <v>16835568.120000515</v>
      </c>
      <c r="G13" s="109">
        <v>3640.0000000001</v>
      </c>
      <c r="H13" s="109">
        <v>5938126.7400001632</v>
      </c>
      <c r="I13" s="105">
        <f>F13+H13</f>
        <v>22773694.860000677</v>
      </c>
      <c r="J13" s="156">
        <v>1680.0000000000637</v>
      </c>
      <c r="K13" s="156">
        <v>1827115.9200000691</v>
      </c>
      <c r="L13" s="118">
        <v>439.99999999999773</v>
      </c>
      <c r="M13" s="120">
        <v>717795.53999999643</v>
      </c>
      <c r="N13" s="106">
        <f>K13+M13</f>
        <v>2544911.4600000656</v>
      </c>
      <c r="O13" s="105">
        <f>I13+N13</f>
        <v>25318606.320000742</v>
      </c>
      <c r="P13" s="106">
        <f>E13+G13+J13+L13</f>
        <v>21240.000000000637</v>
      </c>
      <c r="Q13" s="121">
        <f>R13+T13</f>
        <v>844</v>
      </c>
      <c r="R13" s="122">
        <v>148</v>
      </c>
      <c r="S13" s="122">
        <v>2659634</v>
      </c>
      <c r="T13" s="115">
        <v>696</v>
      </c>
      <c r="U13" s="115">
        <v>3322446.48</v>
      </c>
      <c r="V13" s="113">
        <f>S13+U13</f>
        <v>5982080.4800000004</v>
      </c>
      <c r="W13" s="124">
        <v>0</v>
      </c>
      <c r="X13" s="124">
        <v>104.72799999999999</v>
      </c>
      <c r="Y13" s="124">
        <v>52.766799999997794</v>
      </c>
      <c r="Z13" s="124"/>
      <c r="AA13" s="124">
        <v>19.696919999999999</v>
      </c>
      <c r="AB13" s="124">
        <v>0</v>
      </c>
      <c r="AC13" s="110">
        <v>36</v>
      </c>
      <c r="AD13" s="121">
        <f t="shared" si="0"/>
        <v>213.19171999999779</v>
      </c>
      <c r="AE13" s="108">
        <v>3588990.7431999622</v>
      </c>
      <c r="AF13" s="111"/>
      <c r="AG13" s="127">
        <v>599.86999999999534</v>
      </c>
      <c r="AH13" s="129">
        <v>0</v>
      </c>
      <c r="AI13" s="128">
        <f>AG13+AH13</f>
        <v>599.86999999999534</v>
      </c>
      <c r="AJ13" s="131">
        <v>11757451.999999909</v>
      </c>
      <c r="AK13" s="21"/>
    </row>
    <row r="14" spans="1:37" ht="15">
      <c r="A14" s="19"/>
      <c r="B14" s="64">
        <v>8</v>
      </c>
      <c r="C14" s="65">
        <v>92</v>
      </c>
      <c r="D14" s="65">
        <v>648</v>
      </c>
      <c r="E14" s="122">
        <v>16559.999999999491</v>
      </c>
      <c r="F14" s="122">
        <v>18010142.639999446</v>
      </c>
      <c r="G14" s="109">
        <v>4319.9999999999363</v>
      </c>
      <c r="H14" s="109">
        <v>7047447.1199998967</v>
      </c>
      <c r="I14" s="105">
        <f>F14+H14</f>
        <v>25057589.759999342</v>
      </c>
      <c r="J14" s="156">
        <v>1639.9999999999864</v>
      </c>
      <c r="K14" s="156">
        <v>1783613.159999985</v>
      </c>
      <c r="L14" s="118">
        <v>500</v>
      </c>
      <c r="M14" s="120">
        <v>815676.75</v>
      </c>
      <c r="N14" s="106">
        <f>K14+M14</f>
        <v>2599289.9099999852</v>
      </c>
      <c r="O14" s="105">
        <f>I14+N14</f>
        <v>27656879.669999328</v>
      </c>
      <c r="P14" s="106">
        <f>E14+G14+J14+L14</f>
        <v>23019.999999999411</v>
      </c>
      <c r="Q14" s="121">
        <f>R14+T14</f>
        <v>624</v>
      </c>
      <c r="R14" s="122">
        <v>0</v>
      </c>
      <c r="S14" s="122">
        <v>0</v>
      </c>
      <c r="T14" s="115">
        <v>624</v>
      </c>
      <c r="U14" s="115">
        <v>2978745.12</v>
      </c>
      <c r="V14" s="113">
        <f>S14+U14</f>
        <v>2978745.12</v>
      </c>
      <c r="W14" s="124">
        <v>0</v>
      </c>
      <c r="X14" s="124">
        <v>129.3390799999996</v>
      </c>
      <c r="Y14" s="124">
        <v>62.393719999999114</v>
      </c>
      <c r="Z14" s="124"/>
      <c r="AA14" s="124">
        <v>24.047159999999995</v>
      </c>
      <c r="AB14" s="124">
        <v>0</v>
      </c>
      <c r="AC14" s="110">
        <v>0</v>
      </c>
      <c r="AD14" s="121">
        <f t="shared" si="0"/>
        <v>215.77995999999871</v>
      </c>
      <c r="AE14" s="108">
        <v>3681206.1175999786</v>
      </c>
      <c r="AF14" s="111"/>
      <c r="AG14" s="127">
        <v>537.92000000001281</v>
      </c>
      <c r="AH14" s="129">
        <v>0</v>
      </c>
      <c r="AI14" s="128">
        <f>AG14+AH14</f>
        <v>537.92000000001281</v>
      </c>
      <c r="AJ14" s="131">
        <v>10543232.000000251</v>
      </c>
      <c r="AK14" s="21"/>
    </row>
    <row r="15" spans="1:37" ht="15">
      <c r="A15" s="19"/>
      <c r="B15" s="81">
        <v>9</v>
      </c>
      <c r="C15" s="65">
        <v>92</v>
      </c>
      <c r="D15" s="65">
        <v>727</v>
      </c>
      <c r="E15" s="122">
        <v>15280.000000000655</v>
      </c>
      <c r="F15" s="122">
        <v>16618054.320000714</v>
      </c>
      <c r="G15" s="109">
        <v>3680.0000000000637</v>
      </c>
      <c r="H15" s="109">
        <v>6003380.8800001042</v>
      </c>
      <c r="I15" s="105">
        <f>F15+H15</f>
        <v>22621435.200000819</v>
      </c>
      <c r="J15" s="156">
        <v>1539.9999999999636</v>
      </c>
      <c r="K15" s="156">
        <v>1674856.2599999604</v>
      </c>
      <c r="L15" s="118">
        <v>439.99999999999773</v>
      </c>
      <c r="M15" s="120">
        <v>717795.53999999643</v>
      </c>
      <c r="N15" s="106">
        <f>K15+M15</f>
        <v>2392651.799999957</v>
      </c>
      <c r="O15" s="105">
        <f>I15+N15</f>
        <v>25014087.000000775</v>
      </c>
      <c r="P15" s="106">
        <f>E15+G15+J15+L15</f>
        <v>20940.00000000068</v>
      </c>
      <c r="Q15" s="121">
        <f>R15+T15</f>
        <v>888</v>
      </c>
      <c r="R15" s="122">
        <v>123</v>
      </c>
      <c r="S15" s="122">
        <v>2210371.5</v>
      </c>
      <c r="T15" s="115">
        <v>765</v>
      </c>
      <c r="U15" s="115">
        <v>3651826.95</v>
      </c>
      <c r="V15" s="113">
        <f>S15+U15</f>
        <v>5862198.4500000002</v>
      </c>
      <c r="W15" s="124">
        <v>0</v>
      </c>
      <c r="X15" s="124">
        <v>103.84183999999988</v>
      </c>
      <c r="Y15" s="124">
        <v>48.53740000000073</v>
      </c>
      <c r="Z15" s="124">
        <v>100</v>
      </c>
      <c r="AA15" s="124">
        <v>25.819479999999984</v>
      </c>
      <c r="AB15" s="124">
        <v>0</v>
      </c>
      <c r="AC15" s="110">
        <v>0</v>
      </c>
      <c r="AD15" s="121">
        <f t="shared" si="0"/>
        <v>278.19872000000061</v>
      </c>
      <c r="AE15" s="108">
        <v>4746070.1632000096</v>
      </c>
      <c r="AF15" s="111"/>
      <c r="AG15" s="127">
        <v>623.59999999999127</v>
      </c>
      <c r="AH15" s="129">
        <v>0</v>
      </c>
      <c r="AI15" s="128">
        <f>AG15+AH15</f>
        <v>623.59999999999127</v>
      </c>
      <c r="AJ15" s="131">
        <v>12222559.999999829</v>
      </c>
      <c r="AK15" s="21"/>
    </row>
    <row r="16" spans="1:37" ht="15">
      <c r="A16" s="19"/>
      <c r="B16" s="64">
        <v>10</v>
      </c>
      <c r="C16" s="65">
        <v>69</v>
      </c>
      <c r="D16" s="65">
        <v>670</v>
      </c>
      <c r="E16" s="122">
        <v>17920.000000000073</v>
      </c>
      <c r="F16" s="122">
        <v>19489236.480000082</v>
      </c>
      <c r="G16" s="109">
        <v>3480.0000000000182</v>
      </c>
      <c r="H16" s="109">
        <v>5677110.1800000304</v>
      </c>
      <c r="I16" s="105">
        <f>F16+H16</f>
        <v>25166346.660000112</v>
      </c>
      <c r="J16" s="156">
        <v>1700.0000000000455</v>
      </c>
      <c r="K16" s="156">
        <v>1848867.3000000494</v>
      </c>
      <c r="L16" s="118">
        <v>500</v>
      </c>
      <c r="M16" s="120">
        <v>815676.75</v>
      </c>
      <c r="N16" s="106">
        <f>K16+M16</f>
        <v>2664544.0500000492</v>
      </c>
      <c r="O16" s="105">
        <f>I16+N16</f>
        <v>27830890.710000161</v>
      </c>
      <c r="P16" s="106">
        <f>E16+G16+J16+L16</f>
        <v>23600.000000000138</v>
      </c>
      <c r="Q16" s="121">
        <f>R16+T16</f>
        <v>613</v>
      </c>
      <c r="R16" s="122">
        <v>83</v>
      </c>
      <c r="S16" s="122">
        <v>1491551.5</v>
      </c>
      <c r="T16" s="115">
        <v>530</v>
      </c>
      <c r="U16" s="115">
        <v>2530023.9</v>
      </c>
      <c r="V16" s="113">
        <f>S16+U16</f>
        <v>4021575.4</v>
      </c>
      <c r="W16" s="124">
        <v>0</v>
      </c>
      <c r="X16" s="124">
        <v>90.428600000000174</v>
      </c>
      <c r="Y16" s="124">
        <v>63.440999999999995</v>
      </c>
      <c r="Z16" s="124"/>
      <c r="AA16" s="124">
        <v>17.239840000000004</v>
      </c>
      <c r="AB16" s="124">
        <v>0</v>
      </c>
      <c r="AC16" s="110">
        <v>0</v>
      </c>
      <c r="AD16" s="121">
        <f t="shared" si="0"/>
        <v>171.10944000000018</v>
      </c>
      <c r="AE16" s="108">
        <v>2919127.0464000031</v>
      </c>
      <c r="AF16" s="111"/>
      <c r="AG16" s="127">
        <v>425.35000000000582</v>
      </c>
      <c r="AH16" s="129">
        <v>64.300000000017462</v>
      </c>
      <c r="AI16" s="128">
        <f>AG16+AH16</f>
        <v>489.65000000002328</v>
      </c>
      <c r="AJ16" s="131">
        <v>9597140.0000004563</v>
      </c>
      <c r="AK16" s="21"/>
    </row>
    <row r="17" spans="1:37" ht="15">
      <c r="A17" s="19"/>
      <c r="B17" s="81">
        <v>11</v>
      </c>
      <c r="C17" s="65">
        <v>62</v>
      </c>
      <c r="D17" s="65">
        <v>616</v>
      </c>
      <c r="E17" s="122">
        <v>12359.999999999673</v>
      </c>
      <c r="F17" s="122">
        <v>13442352.839999644</v>
      </c>
      <c r="G17" s="109">
        <v>3399.9999999998636</v>
      </c>
      <c r="H17" s="109">
        <v>5546601.8999997787</v>
      </c>
      <c r="I17" s="105">
        <f>F17+H17</f>
        <v>18988954.739999421</v>
      </c>
      <c r="J17" s="156">
        <v>1519.9999999999818</v>
      </c>
      <c r="K17" s="156">
        <v>1653104.8799999803</v>
      </c>
      <c r="L17" s="118">
        <v>419.99999999998749</v>
      </c>
      <c r="M17" s="120">
        <v>685168.4699999796</v>
      </c>
      <c r="N17" s="106">
        <f>K17+M17</f>
        <v>2338273.34999996</v>
      </c>
      <c r="O17" s="105">
        <f>I17+N17</f>
        <v>21327228.089999381</v>
      </c>
      <c r="P17" s="106">
        <f>E17+G17+J17+L17</f>
        <v>17699.999999999509</v>
      </c>
      <c r="Q17" s="121">
        <f>R17+T17</f>
        <v>788</v>
      </c>
      <c r="R17" s="122">
        <v>177</v>
      </c>
      <c r="S17" s="122">
        <v>3180778.5</v>
      </c>
      <c r="T17" s="115">
        <v>611</v>
      </c>
      <c r="U17" s="115">
        <v>2916687.93</v>
      </c>
      <c r="V17" s="113">
        <f>S17+U17</f>
        <v>6097466.4299999997</v>
      </c>
      <c r="W17" s="124">
        <v>0</v>
      </c>
      <c r="X17" s="124">
        <v>95.423320000000203</v>
      </c>
      <c r="Y17" s="124">
        <v>55.586400000000729</v>
      </c>
      <c r="Z17" s="124"/>
      <c r="AA17" s="124">
        <v>17.682919999999999</v>
      </c>
      <c r="AB17" s="124">
        <v>0</v>
      </c>
      <c r="AC17" s="110">
        <v>0</v>
      </c>
      <c r="AD17" s="121">
        <f t="shared" si="0"/>
        <v>168.69264000000092</v>
      </c>
      <c r="AE17" s="108">
        <v>2877896.4384000157</v>
      </c>
      <c r="AF17" s="111"/>
      <c r="AG17" s="127">
        <v>518.34999999999127</v>
      </c>
      <c r="AH17" s="129">
        <v>0</v>
      </c>
      <c r="AI17" s="128">
        <f>AG17+AH17</f>
        <v>518.34999999999127</v>
      </c>
      <c r="AJ17" s="131">
        <v>10159659.999999829</v>
      </c>
      <c r="AK17" s="21"/>
    </row>
    <row r="18" spans="1:37" ht="15">
      <c r="A18" s="19"/>
      <c r="B18" s="64">
        <v>12</v>
      </c>
      <c r="C18" s="65">
        <v>62</v>
      </c>
      <c r="D18" s="65">
        <v>585</v>
      </c>
      <c r="E18" s="122">
        <v>15119.999999999891</v>
      </c>
      <c r="F18" s="122">
        <v>16444043.27999988</v>
      </c>
      <c r="G18" s="109">
        <v>3560.0000000001728</v>
      </c>
      <c r="H18" s="109">
        <v>5807618.4600002822</v>
      </c>
      <c r="I18" s="105">
        <f>F18+H18</f>
        <v>22251661.740000162</v>
      </c>
      <c r="J18" s="156">
        <v>1440.0000000000546</v>
      </c>
      <c r="K18" s="156">
        <v>1566099.3600000595</v>
      </c>
      <c r="L18" s="118">
        <v>420.00000000001592</v>
      </c>
      <c r="M18" s="120">
        <v>685168.47000002593</v>
      </c>
      <c r="N18" s="106">
        <f>K18+M18</f>
        <v>2251267.8300000853</v>
      </c>
      <c r="O18" s="105">
        <f>I18+N18</f>
        <v>24502929.570000246</v>
      </c>
      <c r="P18" s="106">
        <f>E18+G18+J18+L18</f>
        <v>20540.000000000135</v>
      </c>
      <c r="Q18" s="121">
        <f>R18+T18</f>
        <v>661</v>
      </c>
      <c r="R18" s="122">
        <v>116</v>
      </c>
      <c r="S18" s="122">
        <v>2084578</v>
      </c>
      <c r="T18" s="115">
        <v>545</v>
      </c>
      <c r="U18" s="115">
        <v>2601628.35</v>
      </c>
      <c r="V18" s="113">
        <f>S18+U18</f>
        <v>4686206.3499999996</v>
      </c>
      <c r="W18" s="124">
        <v>181.54196000002813</v>
      </c>
      <c r="X18" s="124">
        <v>96.510880000000142</v>
      </c>
      <c r="Y18" s="124">
        <v>37.057599999999262</v>
      </c>
      <c r="Z18" s="124"/>
      <c r="AA18" s="124">
        <v>26.705639999999978</v>
      </c>
      <c r="AB18" s="124">
        <v>0</v>
      </c>
      <c r="AC18" s="110">
        <v>48</v>
      </c>
      <c r="AD18" s="121">
        <f t="shared" si="0"/>
        <v>389.81608000002745</v>
      </c>
      <c r="AE18" s="108">
        <v>6406158.0555860419</v>
      </c>
      <c r="AF18" s="111"/>
      <c r="AG18" s="127">
        <v>327.55000000000291</v>
      </c>
      <c r="AH18" s="129">
        <v>0</v>
      </c>
      <c r="AI18" s="128">
        <f>AG18+AH18</f>
        <v>327.55000000000291</v>
      </c>
      <c r="AJ18" s="131">
        <v>6419980.0000000568</v>
      </c>
      <c r="AK18" s="21"/>
    </row>
    <row r="19" spans="1:37" ht="15">
      <c r="A19" s="19"/>
      <c r="B19" s="81">
        <v>13</v>
      </c>
      <c r="C19" s="65">
        <v>51</v>
      </c>
      <c r="D19" s="65">
        <v>569</v>
      </c>
      <c r="E19" s="122">
        <v>14840.000000000146</v>
      </c>
      <c r="F19" s="122">
        <v>16139523.960000159</v>
      </c>
      <c r="G19" s="109">
        <v>3359.9999999999</v>
      </c>
      <c r="H19" s="109">
        <v>5481347.7599998368</v>
      </c>
      <c r="I19" s="105">
        <f>F19+H19</f>
        <v>21620871.719999995</v>
      </c>
      <c r="J19" s="156">
        <v>1319.9999999999363</v>
      </c>
      <c r="K19" s="156">
        <v>1435591.0799999307</v>
      </c>
      <c r="L19" s="118">
        <v>359.99999999998522</v>
      </c>
      <c r="M19" s="120">
        <v>587287.25999997591</v>
      </c>
      <c r="N19" s="106">
        <f>K19+M19</f>
        <v>2022878.3399999067</v>
      </c>
      <c r="O19" s="105">
        <f>I19+N19</f>
        <v>23643750.059999902</v>
      </c>
      <c r="P19" s="106">
        <f>E19+G19+J19+L19</f>
        <v>19879.999999999964</v>
      </c>
      <c r="Q19" s="121">
        <f>R19+T19</f>
        <v>682</v>
      </c>
      <c r="R19" s="122">
        <v>61</v>
      </c>
      <c r="S19" s="122">
        <v>1096200.5</v>
      </c>
      <c r="T19" s="115">
        <v>621</v>
      </c>
      <c r="U19" s="115">
        <v>2964424.23</v>
      </c>
      <c r="V19" s="113">
        <f>S19+U19</f>
        <v>4060624.73</v>
      </c>
      <c r="W19" s="124">
        <v>355.91408000000229</v>
      </c>
      <c r="X19" s="124">
        <v>88.575720000000032</v>
      </c>
      <c r="Y19" s="124">
        <v>53.169599999999264</v>
      </c>
      <c r="Z19" s="124"/>
      <c r="AA19" s="124">
        <v>25.577800000000032</v>
      </c>
      <c r="AB19" s="124">
        <v>0</v>
      </c>
      <c r="AC19" s="110">
        <v>0</v>
      </c>
      <c r="AD19" s="121">
        <f t="shared" si="0"/>
        <v>523.23720000000162</v>
      </c>
      <c r="AE19" s="108">
        <v>8573487.9937088247</v>
      </c>
      <c r="AF19" s="111"/>
      <c r="AG19" s="127">
        <v>103.8700000000099</v>
      </c>
      <c r="AH19" s="129">
        <v>0</v>
      </c>
      <c r="AI19" s="128">
        <f>AG19+AH19</f>
        <v>103.8700000000099</v>
      </c>
      <c r="AJ19" s="131">
        <v>2035852.0000001939</v>
      </c>
      <c r="AK19" s="21"/>
    </row>
    <row r="20" spans="1:37" ht="15">
      <c r="A20" s="19"/>
      <c r="B20" s="64">
        <v>14</v>
      </c>
      <c r="C20" s="65">
        <v>71</v>
      </c>
      <c r="D20" s="65">
        <v>525</v>
      </c>
      <c r="E20" s="122">
        <v>15359.999999999673</v>
      </c>
      <c r="F20" s="122">
        <v>16705059.839999644</v>
      </c>
      <c r="G20" s="109">
        <v>3799.9999999999545</v>
      </c>
      <c r="H20" s="109">
        <v>6199143.2999999262</v>
      </c>
      <c r="I20" s="105">
        <f>F20+H20</f>
        <v>22904203.139999568</v>
      </c>
      <c r="J20" s="156">
        <v>1620.0000000000045</v>
      </c>
      <c r="K20" s="156">
        <v>1761861.7800000052</v>
      </c>
      <c r="L20" s="118">
        <v>440.00000000002615</v>
      </c>
      <c r="M20" s="120">
        <v>717795.54000004276</v>
      </c>
      <c r="N20" s="106">
        <f>K20+M20</f>
        <v>2479657.3200000478</v>
      </c>
      <c r="O20" s="105">
        <f>I20+N20</f>
        <v>25383860.459999617</v>
      </c>
      <c r="P20" s="106">
        <f>E20+G20+J20+L20</f>
        <v>21219.999999999658</v>
      </c>
      <c r="Q20" s="121">
        <f>R20+T20</f>
        <v>865</v>
      </c>
      <c r="R20" s="122">
        <v>157</v>
      </c>
      <c r="S20" s="122">
        <v>2821368.5</v>
      </c>
      <c r="T20" s="115">
        <v>708</v>
      </c>
      <c r="U20" s="115">
        <v>3379730.04</v>
      </c>
      <c r="V20" s="113">
        <f>S20+U20</f>
        <v>6201098.54</v>
      </c>
      <c r="W20" s="124">
        <v>469.34255999995776</v>
      </c>
      <c r="X20" s="124">
        <v>98.162359999999552</v>
      </c>
      <c r="Y20" s="124">
        <v>41.971760000000288</v>
      </c>
      <c r="Z20" s="124"/>
      <c r="AA20" s="124">
        <v>24.087439999999955</v>
      </c>
      <c r="AB20" s="124">
        <v>0</v>
      </c>
      <c r="AC20" s="110">
        <v>0</v>
      </c>
      <c r="AD20" s="121">
        <f t="shared" si="0"/>
        <v>633.56411999995748</v>
      </c>
      <c r="AE20" s="108">
        <v>10343185.031000918</v>
      </c>
      <c r="AF20" s="111"/>
      <c r="AG20" s="127">
        <v>150.97999999999593</v>
      </c>
      <c r="AH20" s="129">
        <v>0</v>
      </c>
      <c r="AI20" s="128">
        <f>AG20+AH20</f>
        <v>150.97999999999593</v>
      </c>
      <c r="AJ20" s="131">
        <v>2959207.9999999199</v>
      </c>
      <c r="AK20" s="21"/>
    </row>
    <row r="21" spans="1:37" ht="15">
      <c r="A21" s="19"/>
      <c r="B21" s="81">
        <v>15</v>
      </c>
      <c r="C21" s="71">
        <v>73</v>
      </c>
      <c r="D21" s="71">
        <v>667</v>
      </c>
      <c r="E21" s="115">
        <v>15640.000000000327</v>
      </c>
      <c r="F21" s="115">
        <v>17009579.160000354</v>
      </c>
      <c r="G21" s="112">
        <v>3680.0000000000637</v>
      </c>
      <c r="H21" s="112">
        <v>6003380.8800001042</v>
      </c>
      <c r="I21" s="105">
        <f>F21+H21</f>
        <v>23012960.040000457</v>
      </c>
      <c r="J21" s="112">
        <v>1480.0000000000182</v>
      </c>
      <c r="K21" s="112">
        <v>1609602.1200000197</v>
      </c>
      <c r="L21" s="112">
        <v>379.99999999999545</v>
      </c>
      <c r="M21" s="115">
        <v>619914.32999999262</v>
      </c>
      <c r="N21" s="106">
        <f>K21+M21</f>
        <v>2229516.4500000123</v>
      </c>
      <c r="O21" s="105">
        <f>I21+N21</f>
        <v>25242476.490000471</v>
      </c>
      <c r="P21" s="106">
        <f>E21+G21+J21+L21</f>
        <v>21180.000000000407</v>
      </c>
      <c r="Q21" s="121">
        <f>R21+T21</f>
        <v>749</v>
      </c>
      <c r="R21" s="122">
        <v>91</v>
      </c>
      <c r="S21" s="122">
        <v>1635315.5</v>
      </c>
      <c r="T21" s="115">
        <v>658</v>
      </c>
      <c r="U21" s="115">
        <v>3141048.54</v>
      </c>
      <c r="V21" s="113">
        <f>S21+U21</f>
        <v>4776364.04</v>
      </c>
      <c r="W21" s="124">
        <v>440.4618000000234</v>
      </c>
      <c r="X21" s="124">
        <v>104.64744000000006</v>
      </c>
      <c r="Y21" s="124">
        <v>58.808800000001462</v>
      </c>
      <c r="Z21" s="124"/>
      <c r="AA21" s="124">
        <v>27.672360000000015</v>
      </c>
      <c r="AB21" s="124">
        <v>0</v>
      </c>
      <c r="AC21" s="110">
        <v>0</v>
      </c>
      <c r="AD21" s="121">
        <f t="shared" si="0"/>
        <v>631.59040000002494</v>
      </c>
      <c r="AE21" s="108">
        <v>10338152.684648402</v>
      </c>
      <c r="AF21" s="111"/>
      <c r="AG21" s="127">
        <v>7.8999999999941792</v>
      </c>
      <c r="AH21" s="129">
        <v>0</v>
      </c>
      <c r="AI21" s="128">
        <f>AG21+AH21</f>
        <v>7.8999999999941792</v>
      </c>
      <c r="AJ21" s="131">
        <v>154839.99999988591</v>
      </c>
      <c r="AK21" s="21"/>
    </row>
    <row r="22" spans="1:37" ht="15">
      <c r="A22" s="19"/>
      <c r="B22" s="64">
        <v>16</v>
      </c>
      <c r="C22" s="71">
        <v>64</v>
      </c>
      <c r="D22" s="71">
        <v>656</v>
      </c>
      <c r="E22" s="115">
        <v>15119.999999999891</v>
      </c>
      <c r="F22" s="115">
        <v>16444043.27999988</v>
      </c>
      <c r="G22" s="112">
        <v>3720.0000000000273</v>
      </c>
      <c r="H22" s="112">
        <v>6068635.0200000443</v>
      </c>
      <c r="I22" s="105">
        <f>F22+H22</f>
        <v>22512678.299999923</v>
      </c>
      <c r="J22" s="112">
        <v>1559.9999999999454</v>
      </c>
      <c r="K22" s="112">
        <v>1696607.6399999408</v>
      </c>
      <c r="L22" s="112">
        <v>459.99999999997954</v>
      </c>
      <c r="M22" s="115">
        <v>750422.60999996669</v>
      </c>
      <c r="N22" s="106">
        <f>K22+M22</f>
        <v>2447030.2499999073</v>
      </c>
      <c r="O22" s="105">
        <f>I22+N22</f>
        <v>24959708.549999829</v>
      </c>
      <c r="P22" s="106">
        <f>E22+G22+J22+L22</f>
        <v>20859.999999999844</v>
      </c>
      <c r="Q22" s="121">
        <f>R22+T22</f>
        <v>693</v>
      </c>
      <c r="R22" s="122">
        <v>155</v>
      </c>
      <c r="S22" s="122">
        <v>2785427.5</v>
      </c>
      <c r="T22" s="115">
        <v>538</v>
      </c>
      <c r="U22" s="115">
        <v>2568212.94</v>
      </c>
      <c r="V22" s="113">
        <f>S22+U22</f>
        <v>5353640.4399999995</v>
      </c>
      <c r="W22" s="124">
        <v>411.86299999999994</v>
      </c>
      <c r="X22" s="124">
        <v>100.25692000000039</v>
      </c>
      <c r="Y22" s="124">
        <v>42.898199999998532</v>
      </c>
      <c r="Z22" s="124"/>
      <c r="AA22" s="124">
        <v>31.418399999999984</v>
      </c>
      <c r="AB22" s="124">
        <v>0</v>
      </c>
      <c r="AC22" s="110">
        <v>24</v>
      </c>
      <c r="AD22" s="121">
        <f t="shared" si="0"/>
        <v>610.43651999999884</v>
      </c>
      <c r="AE22" s="108">
        <v>9973587.2058799807</v>
      </c>
      <c r="AF22" s="111"/>
      <c r="AG22" s="127">
        <v>80.100000000005821</v>
      </c>
      <c r="AH22" s="129">
        <v>0</v>
      </c>
      <c r="AI22" s="128">
        <f>AG22+AH22</f>
        <v>80.100000000005821</v>
      </c>
      <c r="AJ22" s="131">
        <v>1569960.0000001141</v>
      </c>
      <c r="AK22" s="21"/>
    </row>
    <row r="23" spans="1:37" ht="15">
      <c r="A23" s="19"/>
      <c r="B23" s="81">
        <v>17</v>
      </c>
      <c r="C23" s="71">
        <v>57</v>
      </c>
      <c r="D23" s="71">
        <v>574</v>
      </c>
      <c r="E23" s="115">
        <v>15199.999999999818</v>
      </c>
      <c r="F23" s="115">
        <v>16531048.799999803</v>
      </c>
      <c r="G23" s="112">
        <v>3559.9999999999454</v>
      </c>
      <c r="H23" s="112">
        <v>5807618.4599999115</v>
      </c>
      <c r="I23" s="105">
        <f>F23+H23</f>
        <v>22338667.259999715</v>
      </c>
      <c r="J23" s="112">
        <v>1540.0000000000773</v>
      </c>
      <c r="K23" s="112">
        <v>1674856.2600000841</v>
      </c>
      <c r="L23" s="112">
        <v>460.00000000000796</v>
      </c>
      <c r="M23" s="115">
        <v>750422.61000001302</v>
      </c>
      <c r="N23" s="106">
        <f>K23+M23</f>
        <v>2425278.870000097</v>
      </c>
      <c r="O23" s="105">
        <f>I23+N23</f>
        <v>24763946.129999813</v>
      </c>
      <c r="P23" s="106">
        <f>E23+G23+J23+L23</f>
        <v>20759.999999999847</v>
      </c>
      <c r="Q23" s="121">
        <f>R23+T23</f>
        <v>780</v>
      </c>
      <c r="R23" s="122">
        <v>147</v>
      </c>
      <c r="S23" s="122">
        <v>2641663.5</v>
      </c>
      <c r="T23" s="115">
        <v>633</v>
      </c>
      <c r="U23" s="115">
        <v>3021707.79</v>
      </c>
      <c r="V23" s="113">
        <f>S23+U23</f>
        <v>5663371.29</v>
      </c>
      <c r="W23" s="124">
        <v>405.70016000000464</v>
      </c>
      <c r="X23" s="124">
        <v>70.32888000000014</v>
      </c>
      <c r="Y23" s="124">
        <v>58.647680000001607</v>
      </c>
      <c r="Z23" s="124">
        <v>100</v>
      </c>
      <c r="AA23" s="124">
        <v>18.891320000000047</v>
      </c>
      <c r="AB23" s="124">
        <v>0</v>
      </c>
      <c r="AC23" s="110">
        <v>12</v>
      </c>
      <c r="AD23" s="121">
        <f t="shared" si="0"/>
        <v>665.56804000000648</v>
      </c>
      <c r="AE23" s="108">
        <v>10936262.255737707</v>
      </c>
      <c r="AF23" s="111"/>
      <c r="AG23" s="127">
        <v>51.119999999995343</v>
      </c>
      <c r="AH23" s="129">
        <v>0</v>
      </c>
      <c r="AI23" s="128">
        <f>AG23+AH23</f>
        <v>51.119999999995343</v>
      </c>
      <c r="AJ23" s="131">
        <v>1001951.9999999087</v>
      </c>
      <c r="AK23" s="21"/>
    </row>
    <row r="24" spans="1:37" ht="15">
      <c r="A24" s="19"/>
      <c r="B24" s="64">
        <v>18</v>
      </c>
      <c r="C24" s="71">
        <v>50</v>
      </c>
      <c r="D24" s="71">
        <v>555</v>
      </c>
      <c r="E24" s="115">
        <v>15800.000000000182</v>
      </c>
      <c r="F24" s="115">
        <v>17183590.200000197</v>
      </c>
      <c r="G24" s="112">
        <v>3759.9999999999909</v>
      </c>
      <c r="H24" s="112">
        <v>6133889.1599999862</v>
      </c>
      <c r="I24" s="105">
        <f>F24+H24</f>
        <v>23317479.360000182</v>
      </c>
      <c r="J24" s="112">
        <v>1679.99999999995</v>
      </c>
      <c r="K24" s="116">
        <v>1827115.9199999457</v>
      </c>
      <c r="L24" s="112">
        <v>439.99999999999773</v>
      </c>
      <c r="M24" s="115">
        <v>717795.53999999643</v>
      </c>
      <c r="N24" s="106">
        <f>K24+M24</f>
        <v>2544911.4599999422</v>
      </c>
      <c r="O24" s="105">
        <f>I24+N24</f>
        <v>25862390.820000123</v>
      </c>
      <c r="P24" s="106">
        <f>E24+G24+J24+L24</f>
        <v>21680.00000000012</v>
      </c>
      <c r="Q24" s="121">
        <f>R24+T24</f>
        <v>591</v>
      </c>
      <c r="R24" s="122">
        <v>177</v>
      </c>
      <c r="S24" s="122">
        <v>3180778.5</v>
      </c>
      <c r="T24" s="115">
        <v>414</v>
      </c>
      <c r="U24" s="115">
        <v>1976282.82</v>
      </c>
      <c r="V24" s="113">
        <f>S24+U24</f>
        <v>5157061.32</v>
      </c>
      <c r="W24" s="124">
        <v>255.45575999999295</v>
      </c>
      <c r="X24" s="124">
        <v>97.235919999999481</v>
      </c>
      <c r="Y24" s="124">
        <v>87.045079999998677</v>
      </c>
      <c r="Z24" s="124"/>
      <c r="AA24" s="124">
        <v>22.798479999999984</v>
      </c>
      <c r="AB24" s="124">
        <v>0</v>
      </c>
      <c r="AC24" s="110">
        <v>36</v>
      </c>
      <c r="AD24" s="121">
        <f t="shared" si="0"/>
        <v>498.53523999999106</v>
      </c>
      <c r="AE24" s="108">
        <v>8203631.044553455</v>
      </c>
      <c r="AF24" s="111"/>
      <c r="AG24" s="127">
        <v>186.30000000000291</v>
      </c>
      <c r="AH24" s="129">
        <v>0</v>
      </c>
      <c r="AI24" s="128">
        <f>AG24+AH24</f>
        <v>186.30000000000291</v>
      </c>
      <c r="AJ24" s="131">
        <v>3651480.0000000568</v>
      </c>
      <c r="AK24" s="21"/>
    </row>
    <row r="25" spans="1:37" ht="15">
      <c r="A25" s="19"/>
      <c r="B25" s="81">
        <v>19</v>
      </c>
      <c r="C25" s="71">
        <v>43</v>
      </c>
      <c r="D25" s="71">
        <v>480</v>
      </c>
      <c r="E25" s="115">
        <v>15239.999999999782</v>
      </c>
      <c r="F25" s="115">
        <v>16574551.559999764</v>
      </c>
      <c r="G25" s="112">
        <v>3799.9999999999545</v>
      </c>
      <c r="H25" s="112">
        <v>6199143.2999999262</v>
      </c>
      <c r="I25" s="105">
        <f>F25+H25</f>
        <v>22773694.85999969</v>
      </c>
      <c r="J25" s="112">
        <v>1399.9999999999773</v>
      </c>
      <c r="K25" s="112">
        <v>1522596.5999999754</v>
      </c>
      <c r="L25" s="112">
        <v>500</v>
      </c>
      <c r="M25" s="115">
        <v>815676.75</v>
      </c>
      <c r="N25" s="106">
        <f>K25+M25</f>
        <v>2338273.3499999754</v>
      </c>
      <c r="O25" s="105">
        <f>I25+N25</f>
        <v>25111968.209999666</v>
      </c>
      <c r="P25" s="106">
        <f>E25+G25+J25+L25</f>
        <v>20939.999999999716</v>
      </c>
      <c r="Q25" s="121">
        <f>R25+T25</f>
        <v>824</v>
      </c>
      <c r="R25" s="122">
        <v>136</v>
      </c>
      <c r="S25" s="122">
        <v>2443988</v>
      </c>
      <c r="T25" s="115">
        <v>688</v>
      </c>
      <c r="U25" s="115">
        <v>3284257.44</v>
      </c>
      <c r="V25" s="113">
        <f>S25+U25</f>
        <v>5728245.4399999995</v>
      </c>
      <c r="W25" s="124">
        <v>299.07899999999995</v>
      </c>
      <c r="X25" s="124">
        <v>97.47760000000018</v>
      </c>
      <c r="Y25" s="124">
        <v>60.379720000002777</v>
      </c>
      <c r="Z25" s="124"/>
      <c r="AA25" s="124">
        <v>28.961319999999986</v>
      </c>
      <c r="AB25" s="124">
        <v>8.2573999999999881</v>
      </c>
      <c r="AC25" s="110">
        <v>12</v>
      </c>
      <c r="AD25" s="121">
        <f t="shared" si="0"/>
        <v>506.15504000000283</v>
      </c>
      <c r="AE25" s="108">
        <v>8322406.2828400489</v>
      </c>
      <c r="AF25" s="111"/>
      <c r="AG25" s="127">
        <v>129.36000000000058</v>
      </c>
      <c r="AH25" s="129">
        <v>0</v>
      </c>
      <c r="AI25" s="128">
        <f>AG25+AH25</f>
        <v>129.36000000000058</v>
      </c>
      <c r="AJ25" s="131">
        <v>2535456.0000000112</v>
      </c>
      <c r="AK25" s="21"/>
    </row>
    <row r="26" spans="1:37" ht="15">
      <c r="A26" s="19"/>
      <c r="B26" s="64">
        <v>20</v>
      </c>
      <c r="C26" s="71">
        <v>44</v>
      </c>
      <c r="D26" s="71">
        <v>400</v>
      </c>
      <c r="E26" s="115">
        <v>15960.000000000036</v>
      </c>
      <c r="F26" s="115">
        <v>17357601.240000039</v>
      </c>
      <c r="G26" s="112">
        <v>3560.0000000001728</v>
      </c>
      <c r="H26" s="112">
        <v>5807618.4600002822</v>
      </c>
      <c r="I26" s="105">
        <f>F26+H26</f>
        <v>23165219.700000323</v>
      </c>
      <c r="J26" s="112">
        <v>1700.0000000000455</v>
      </c>
      <c r="K26" s="112">
        <v>1848867.3000000494</v>
      </c>
      <c r="L26" s="112">
        <v>479.99999999998977</v>
      </c>
      <c r="M26" s="115">
        <v>783049.6799999834</v>
      </c>
      <c r="N26" s="106">
        <f>K26+M26</f>
        <v>2631916.980000033</v>
      </c>
      <c r="O26" s="105">
        <f>I26+N26</f>
        <v>25797136.680000357</v>
      </c>
      <c r="P26" s="106">
        <f>E26+G26+J26+L26</f>
        <v>21700.000000000244</v>
      </c>
      <c r="Q26" s="121">
        <f>R26+T26</f>
        <v>793</v>
      </c>
      <c r="R26" s="122">
        <v>142</v>
      </c>
      <c r="S26" s="122">
        <v>2551811</v>
      </c>
      <c r="T26" s="115">
        <v>651</v>
      </c>
      <c r="U26" s="115">
        <v>3107633.13</v>
      </c>
      <c r="V26" s="113">
        <f>S26+U26</f>
        <v>5659444.1299999999</v>
      </c>
      <c r="W26" s="124">
        <v>174.89575999999295</v>
      </c>
      <c r="X26" s="124">
        <v>95.503880000000137</v>
      </c>
      <c r="Y26" s="124">
        <v>51.437559999998086</v>
      </c>
      <c r="Z26" s="124"/>
      <c r="AA26" s="124">
        <v>21.710920000000002</v>
      </c>
      <c r="AB26" s="124">
        <v>7.4517999999999764</v>
      </c>
      <c r="AC26" s="110">
        <v>36</v>
      </c>
      <c r="AD26" s="121">
        <f t="shared" si="0"/>
        <v>386.99991999999116</v>
      </c>
      <c r="AE26" s="108">
        <v>6380725.0037534554</v>
      </c>
      <c r="AF26" s="111"/>
      <c r="AG26" s="127">
        <v>372.52000000000407</v>
      </c>
      <c r="AH26" s="129">
        <v>0</v>
      </c>
      <c r="AI26" s="128">
        <f>AG26+AH26</f>
        <v>372.52000000000407</v>
      </c>
      <c r="AJ26" s="131">
        <v>7301392.0000000801</v>
      </c>
      <c r="AK26" s="21"/>
    </row>
    <row r="27" spans="1:37" ht="15">
      <c r="A27" s="19"/>
      <c r="B27" s="81">
        <v>21</v>
      </c>
      <c r="C27" s="65">
        <v>53</v>
      </c>
      <c r="D27" s="65">
        <v>522</v>
      </c>
      <c r="E27" s="122">
        <v>15800.000000000182</v>
      </c>
      <c r="F27" s="122">
        <v>17183590.200000197</v>
      </c>
      <c r="G27" s="109">
        <v>3720.0000000000273</v>
      </c>
      <c r="H27" s="109">
        <v>6068635.0200000443</v>
      </c>
      <c r="I27" s="105">
        <f>F27+H27</f>
        <v>23252225.220000241</v>
      </c>
      <c r="J27" s="156">
        <v>2019.9999999999818</v>
      </c>
      <c r="K27" s="156">
        <v>2196889.3799999803</v>
      </c>
      <c r="L27" s="118">
        <v>540.00000000002046</v>
      </c>
      <c r="M27" s="120">
        <v>880930.89000003343</v>
      </c>
      <c r="N27" s="106">
        <f>K27+M27</f>
        <v>3077820.2700000135</v>
      </c>
      <c r="O27" s="105">
        <f>I27+N27</f>
        <v>26330045.490000255</v>
      </c>
      <c r="P27" s="106">
        <f>E27+G27+J27+L27</f>
        <v>22080.000000000215</v>
      </c>
      <c r="Q27" s="121">
        <f>R27+T27</f>
        <v>680</v>
      </c>
      <c r="R27" s="122">
        <v>146</v>
      </c>
      <c r="S27" s="122">
        <v>2623693</v>
      </c>
      <c r="T27" s="115">
        <v>534</v>
      </c>
      <c r="U27" s="115">
        <v>2549118.42</v>
      </c>
      <c r="V27" s="113">
        <f>S27+U27</f>
        <v>5172811.42</v>
      </c>
      <c r="W27" s="124">
        <v>0</v>
      </c>
      <c r="X27" s="124">
        <v>90.34803999999933</v>
      </c>
      <c r="Y27" s="124">
        <v>60.661680000001603</v>
      </c>
      <c r="Z27" s="124"/>
      <c r="AA27" s="124">
        <v>24.973600000000008</v>
      </c>
      <c r="AB27" s="124">
        <v>7.975440000000015</v>
      </c>
      <c r="AC27" s="110">
        <v>24</v>
      </c>
      <c r="AD27" s="121">
        <f t="shared" si="0"/>
        <v>207.95876000000095</v>
      </c>
      <c r="AE27" s="108">
        <v>3515736.445600016</v>
      </c>
      <c r="AF27" s="111"/>
      <c r="AG27" s="127">
        <v>197.50999999999476</v>
      </c>
      <c r="AH27" s="129">
        <v>0</v>
      </c>
      <c r="AI27" s="128">
        <f>AG27+AH27</f>
        <v>197.50999999999476</v>
      </c>
      <c r="AJ27" s="131">
        <v>3871195.9999998976</v>
      </c>
      <c r="AK27" s="21"/>
    </row>
    <row r="28" spans="1:37" ht="15">
      <c r="A28" s="19"/>
      <c r="B28" s="64">
        <v>22</v>
      </c>
      <c r="C28" s="65">
        <v>59</v>
      </c>
      <c r="D28" s="65">
        <v>560</v>
      </c>
      <c r="E28" s="122">
        <v>15840.000000000146</v>
      </c>
      <c r="F28" s="122">
        <v>17227092.960000157</v>
      </c>
      <c r="G28" s="109">
        <v>3919.9999999998454</v>
      </c>
      <c r="H28" s="109">
        <v>6394905.7199997483</v>
      </c>
      <c r="I28" s="105">
        <f>F28+H28</f>
        <v>23621998.679999907</v>
      </c>
      <c r="J28" s="156">
        <v>1740.0000000000091</v>
      </c>
      <c r="K28" s="156">
        <v>1892370.0600000098</v>
      </c>
      <c r="L28" s="118">
        <v>500</v>
      </c>
      <c r="M28" s="120">
        <v>815676.75</v>
      </c>
      <c r="N28" s="106">
        <f>K28+M28</f>
        <v>2708046.8100000098</v>
      </c>
      <c r="O28" s="105">
        <f>I28+N28</f>
        <v>26330045.489999916</v>
      </c>
      <c r="P28" s="106">
        <f>E28+G28+J28+L28</f>
        <v>22000</v>
      </c>
      <c r="Q28" s="121">
        <f>R28+T28</f>
        <v>550</v>
      </c>
      <c r="R28" s="122">
        <v>130</v>
      </c>
      <c r="S28" s="122">
        <v>2336165</v>
      </c>
      <c r="T28" s="115">
        <v>420</v>
      </c>
      <c r="U28" s="115">
        <v>2004924.6</v>
      </c>
      <c r="V28" s="113">
        <f>S28+U28</f>
        <v>4341089.5999999996</v>
      </c>
      <c r="W28" s="124">
        <v>0</v>
      </c>
      <c r="X28" s="124">
        <v>92.845400000000723</v>
      </c>
      <c r="Y28" s="124">
        <v>65.334159999997354</v>
      </c>
      <c r="Z28" s="124"/>
      <c r="AA28" s="124">
        <v>24.852759999999947</v>
      </c>
      <c r="AB28" s="124">
        <v>8.2976800000000086</v>
      </c>
      <c r="AC28" s="110">
        <v>12</v>
      </c>
      <c r="AD28" s="121">
        <f t="shared" si="0"/>
        <v>203.32999999999805</v>
      </c>
      <c r="AE28" s="108">
        <v>3452789.7999999658</v>
      </c>
      <c r="AF28" s="111"/>
      <c r="AG28" s="127">
        <v>742.63999999999942</v>
      </c>
      <c r="AH28" s="129">
        <v>0</v>
      </c>
      <c r="AI28" s="128">
        <f>AG28+AH28</f>
        <v>742.63999999999942</v>
      </c>
      <c r="AJ28" s="131">
        <v>14555743.999999989</v>
      </c>
      <c r="AK28" s="21"/>
    </row>
    <row r="29" spans="1:37" ht="15">
      <c r="A29" s="19"/>
      <c r="B29" s="81">
        <v>23</v>
      </c>
      <c r="C29" s="65">
        <v>63</v>
      </c>
      <c r="D29" s="65">
        <v>598</v>
      </c>
      <c r="E29" s="122">
        <v>16199.999999999818</v>
      </c>
      <c r="F29" s="122">
        <v>17618617.7999998</v>
      </c>
      <c r="G29" s="109">
        <v>4120.0000000001182</v>
      </c>
      <c r="H29" s="109">
        <v>6721176.4200001936</v>
      </c>
      <c r="I29" s="105">
        <f>F29+H29</f>
        <v>24339794.219999991</v>
      </c>
      <c r="J29" s="156">
        <v>1800.0000000000682</v>
      </c>
      <c r="K29" s="156">
        <v>1957624.2000000742</v>
      </c>
      <c r="L29" s="118">
        <v>560.00000000000227</v>
      </c>
      <c r="M29" s="120">
        <v>913557.9600000038</v>
      </c>
      <c r="N29" s="106">
        <f>K29+M29</f>
        <v>2871182.1600000779</v>
      </c>
      <c r="O29" s="105">
        <f>I29+N29</f>
        <v>27210976.38000007</v>
      </c>
      <c r="P29" s="106">
        <f>E29+G29+J29+L29</f>
        <v>22680.000000000007</v>
      </c>
      <c r="Q29" s="121">
        <f>R29+T29</f>
        <v>549</v>
      </c>
      <c r="R29" s="122">
        <v>140</v>
      </c>
      <c r="S29" s="122">
        <v>2515870</v>
      </c>
      <c r="T29" s="115">
        <v>409</v>
      </c>
      <c r="U29" s="115">
        <v>1952414.6700000002</v>
      </c>
      <c r="V29" s="113">
        <f>S29+U29</f>
        <v>4468284.67</v>
      </c>
      <c r="W29" s="124">
        <v>0</v>
      </c>
      <c r="X29" s="124">
        <v>120.67888000000013</v>
      </c>
      <c r="Y29" s="124">
        <v>43.180160000001024</v>
      </c>
      <c r="Z29" s="124"/>
      <c r="AA29" s="124">
        <v>27.79320000000002</v>
      </c>
      <c r="AB29" s="124">
        <v>8.2171200000000244</v>
      </c>
      <c r="AC29" s="110">
        <v>0</v>
      </c>
      <c r="AD29" s="121">
        <f t="shared" si="0"/>
        <v>199.86936000000119</v>
      </c>
      <c r="AE29" s="108">
        <v>3409771.2816000208</v>
      </c>
      <c r="AF29" s="111"/>
      <c r="AG29" s="127">
        <v>645.14999999999418</v>
      </c>
      <c r="AH29" s="129">
        <v>50.299999999988358</v>
      </c>
      <c r="AI29" s="128">
        <f>AG29+AH29</f>
        <v>695.44999999998254</v>
      </c>
      <c r="AJ29" s="131">
        <v>13630819.999999657</v>
      </c>
      <c r="AK29" s="21"/>
    </row>
    <row r="30" spans="1:37" ht="15">
      <c r="A30" s="19"/>
      <c r="B30" s="64">
        <v>24</v>
      </c>
      <c r="C30" s="65">
        <v>67</v>
      </c>
      <c r="D30" s="65">
        <v>607</v>
      </c>
      <c r="E30" s="122">
        <v>17039.999999999964</v>
      </c>
      <c r="F30" s="122">
        <v>18532175.759999961</v>
      </c>
      <c r="G30" s="109">
        <v>4119.9999999998909</v>
      </c>
      <c r="H30" s="109">
        <v>6721176.419999823</v>
      </c>
      <c r="I30" s="105">
        <f>F30+H30</f>
        <v>25253352.179999784</v>
      </c>
      <c r="J30" s="156">
        <v>1779.9999999999727</v>
      </c>
      <c r="K30" s="156">
        <v>1935872.8199999705</v>
      </c>
      <c r="L30" s="118">
        <v>500</v>
      </c>
      <c r="M30" s="120">
        <v>815676.75</v>
      </c>
      <c r="N30" s="106">
        <f>K30+M30</f>
        <v>2751549.5699999705</v>
      </c>
      <c r="O30" s="105">
        <f>I30+N30</f>
        <v>28004901.749999754</v>
      </c>
      <c r="P30" s="106">
        <f>E30+G30+J30+L30</f>
        <v>23439.999999999825</v>
      </c>
      <c r="Q30" s="121">
        <f>R30+T30</f>
        <v>705</v>
      </c>
      <c r="R30" s="122">
        <v>128</v>
      </c>
      <c r="S30" s="122">
        <v>2300224</v>
      </c>
      <c r="T30" s="115">
        <v>577</v>
      </c>
      <c r="U30" s="115">
        <v>2754384.5100000002</v>
      </c>
      <c r="V30" s="113">
        <f>S30+U30</f>
        <v>5054608.51</v>
      </c>
      <c r="W30" s="124">
        <v>0</v>
      </c>
      <c r="X30" s="124">
        <v>84.265759999999375</v>
      </c>
      <c r="Y30" s="124">
        <v>57.237880000000139</v>
      </c>
      <c r="Z30" s="124"/>
      <c r="AA30" s="124">
        <v>25.376400000000043</v>
      </c>
      <c r="AB30" s="124">
        <v>8.8616000000000099</v>
      </c>
      <c r="AC30" s="110">
        <v>12</v>
      </c>
      <c r="AD30" s="121">
        <f t="shared" si="0"/>
        <v>187.74163999999956</v>
      </c>
      <c r="AE30" s="108">
        <v>3186852.3783999924</v>
      </c>
      <c r="AF30" s="111"/>
      <c r="AG30" s="127">
        <v>332.30000000000291</v>
      </c>
      <c r="AH30" s="129">
        <v>0.39999999999417923</v>
      </c>
      <c r="AI30" s="128">
        <f>AG30+AH30</f>
        <v>332.69999999999709</v>
      </c>
      <c r="AJ30" s="131">
        <v>6520919.9999999432</v>
      </c>
      <c r="AK30" s="21"/>
    </row>
    <row r="31" spans="1:37" ht="15">
      <c r="A31" s="19"/>
      <c r="B31" s="81">
        <v>25</v>
      </c>
      <c r="C31" s="65">
        <v>55</v>
      </c>
      <c r="D31" s="65">
        <v>505</v>
      </c>
      <c r="E31" s="122">
        <v>16159.999999999854</v>
      </c>
      <c r="F31" s="122">
        <v>17575115.039999843</v>
      </c>
      <c r="G31" s="109">
        <v>3759.9999999999909</v>
      </c>
      <c r="H31" s="109">
        <v>6133889.1599999862</v>
      </c>
      <c r="I31" s="105">
        <f>F31+H31</f>
        <v>23709004.199999828</v>
      </c>
      <c r="J31" s="156">
        <v>1679.99999999995</v>
      </c>
      <c r="K31" s="156">
        <v>1827115.9199999457</v>
      </c>
      <c r="L31" s="118">
        <v>500</v>
      </c>
      <c r="M31" s="120">
        <v>815676.75</v>
      </c>
      <c r="N31" s="106">
        <f>K31+M31</f>
        <v>2642792.6699999459</v>
      </c>
      <c r="O31" s="105">
        <f>I31+N31</f>
        <v>26351796.869999774</v>
      </c>
      <c r="P31" s="106">
        <f>E31+G31+J31+L31</f>
        <v>22099.999999999796</v>
      </c>
      <c r="Q31" s="121">
        <f>R31+T31</f>
        <v>609</v>
      </c>
      <c r="R31" s="122">
        <v>164</v>
      </c>
      <c r="S31" s="122">
        <v>2947162</v>
      </c>
      <c r="T31" s="115">
        <v>445</v>
      </c>
      <c r="U31" s="115">
        <v>2124265.35</v>
      </c>
      <c r="V31" s="113">
        <f>S31+U31</f>
        <v>5071427.3499999996</v>
      </c>
      <c r="W31" s="124">
        <v>0</v>
      </c>
      <c r="X31" s="124">
        <v>94.21492000000039</v>
      </c>
      <c r="Y31" s="124">
        <v>76.49171999999912</v>
      </c>
      <c r="Z31" s="124">
        <v>100</v>
      </c>
      <c r="AA31" s="124">
        <v>29.887759999999947</v>
      </c>
      <c r="AB31" s="124">
        <v>7.6532000000000222</v>
      </c>
      <c r="AC31" s="110">
        <v>36</v>
      </c>
      <c r="AD31" s="121">
        <f t="shared" si="0"/>
        <v>344.24759999999952</v>
      </c>
      <c r="AE31" s="108">
        <v>5824804.0559999906</v>
      </c>
      <c r="AF31" s="111"/>
      <c r="AG31" s="127">
        <v>434.69999999999709</v>
      </c>
      <c r="AH31" s="129">
        <v>0</v>
      </c>
      <c r="AI31" s="128">
        <f>AG31+AH31</f>
        <v>434.69999999999709</v>
      </c>
      <c r="AJ31" s="131">
        <v>8520119.9999999423</v>
      </c>
      <c r="AK31" s="21"/>
    </row>
    <row r="32" spans="1:37" ht="15">
      <c r="A32" s="19"/>
      <c r="B32" s="64">
        <v>26</v>
      </c>
      <c r="C32" s="65">
        <v>53</v>
      </c>
      <c r="D32" s="65">
        <v>498</v>
      </c>
      <c r="E32" s="122">
        <v>15639.999999999418</v>
      </c>
      <c r="F32" s="122">
        <v>17009579.159999367</v>
      </c>
      <c r="G32" s="109">
        <v>3840.0000000001455</v>
      </c>
      <c r="H32" s="109">
        <v>6264397.4400002379</v>
      </c>
      <c r="I32" s="105">
        <f>F32+H32</f>
        <v>23273976.599999607</v>
      </c>
      <c r="J32" s="156">
        <v>1720.0000000000273</v>
      </c>
      <c r="K32" s="156">
        <v>1870618.6800000297</v>
      </c>
      <c r="L32" s="118">
        <v>500</v>
      </c>
      <c r="M32" s="120">
        <v>815676.75</v>
      </c>
      <c r="N32" s="106">
        <f>K32+M32</f>
        <v>2686295.4300000295</v>
      </c>
      <c r="O32" s="105">
        <f>I32+N32</f>
        <v>25960272.029999636</v>
      </c>
      <c r="P32" s="106">
        <f>E32+G32+J32+L32</f>
        <v>21699.999999999593</v>
      </c>
      <c r="Q32" s="121">
        <f>R32+T32</f>
        <v>504</v>
      </c>
      <c r="R32" s="122">
        <v>141</v>
      </c>
      <c r="S32" s="122">
        <v>2533840.5</v>
      </c>
      <c r="T32" s="115">
        <v>363</v>
      </c>
      <c r="U32" s="115">
        <v>1732827.69</v>
      </c>
      <c r="V32" s="113">
        <f>S32+U32</f>
        <v>4266668.1899999995</v>
      </c>
      <c r="W32" s="124">
        <v>7.1295600000164114</v>
      </c>
      <c r="X32" s="124">
        <v>65.938359999999548</v>
      </c>
      <c r="Y32" s="124">
        <v>55.384999999999991</v>
      </c>
      <c r="Z32" s="124"/>
      <c r="AA32" s="124">
        <v>24.127720000000036</v>
      </c>
      <c r="AB32" s="124">
        <v>8.539360000000018</v>
      </c>
      <c r="AC32" s="110">
        <v>48</v>
      </c>
      <c r="AD32" s="121">
        <f t="shared" si="0"/>
        <v>209.12000000001601</v>
      </c>
      <c r="AE32" s="108">
        <v>3496437.2431218568</v>
      </c>
      <c r="AF32" s="111"/>
      <c r="AG32" s="127">
        <v>467.1200000000099</v>
      </c>
      <c r="AH32" s="129">
        <v>0</v>
      </c>
      <c r="AI32" s="128">
        <f>AG32+AH32</f>
        <v>467.1200000000099</v>
      </c>
      <c r="AJ32" s="131">
        <v>9155552.0000001937</v>
      </c>
      <c r="AK32" s="21"/>
    </row>
    <row r="33" spans="1:37" ht="15">
      <c r="A33" s="19"/>
      <c r="B33" s="81">
        <v>27</v>
      </c>
      <c r="C33" s="65">
        <v>57</v>
      </c>
      <c r="D33" s="65">
        <v>524</v>
      </c>
      <c r="E33" s="122">
        <v>15000</v>
      </c>
      <c r="F33" s="122">
        <v>16313535</v>
      </c>
      <c r="G33" s="109">
        <v>3519.9999999999818</v>
      </c>
      <c r="H33" s="109">
        <v>5742364.3199999714</v>
      </c>
      <c r="I33" s="105">
        <f>F33+H33</f>
        <v>22055899.31999997</v>
      </c>
      <c r="J33" s="156">
        <v>1279.9999999999727</v>
      </c>
      <c r="K33" s="156">
        <v>1392088.3199999705</v>
      </c>
      <c r="L33" s="118">
        <v>480.00000000001819</v>
      </c>
      <c r="M33" s="120">
        <v>783049.68000002974</v>
      </c>
      <c r="N33" s="106">
        <f>K33+M33</f>
        <v>2175138</v>
      </c>
      <c r="O33" s="105">
        <f>I33+N33</f>
        <v>24231037.31999997</v>
      </c>
      <c r="P33" s="106">
        <f>E33+G33+J33+L33</f>
        <v>20279.999999999975</v>
      </c>
      <c r="Q33" s="121">
        <f>R33+T33</f>
        <v>745</v>
      </c>
      <c r="R33" s="122">
        <v>101</v>
      </c>
      <c r="S33" s="122">
        <v>1815020.5</v>
      </c>
      <c r="T33" s="115">
        <v>644</v>
      </c>
      <c r="U33" s="115">
        <v>3074217.72</v>
      </c>
      <c r="V33" s="113">
        <f>S33+U33</f>
        <v>4889238.2200000007</v>
      </c>
      <c r="W33" s="124">
        <v>0</v>
      </c>
      <c r="X33" s="124">
        <v>97.5581600000001</v>
      </c>
      <c r="Y33" s="124">
        <v>51.03476000000029</v>
      </c>
      <c r="Z33" s="124"/>
      <c r="AA33" s="124">
        <v>23.604079999999939</v>
      </c>
      <c r="AB33" s="124">
        <v>8.3782399999999928</v>
      </c>
      <c r="AC33" s="110"/>
      <c r="AD33" s="121">
        <f t="shared" si="0"/>
        <v>180.57524000000035</v>
      </c>
      <c r="AE33" s="108">
        <v>3080613.5944000059</v>
      </c>
      <c r="AF33" s="111"/>
      <c r="AG33" s="127">
        <v>628.75999999999476</v>
      </c>
      <c r="AH33" s="129">
        <v>0</v>
      </c>
      <c r="AI33" s="128">
        <f>AG33+AH33</f>
        <v>628.75999999999476</v>
      </c>
      <c r="AJ33" s="131">
        <v>12323695.999999898</v>
      </c>
      <c r="AK33" s="21"/>
    </row>
    <row r="34" spans="1:37" ht="15">
      <c r="A34" s="19"/>
      <c r="B34" s="64">
        <v>28</v>
      </c>
      <c r="C34" s="65">
        <v>56</v>
      </c>
      <c r="D34" s="65">
        <v>622</v>
      </c>
      <c r="E34" s="122">
        <v>15240.000000001601</v>
      </c>
      <c r="F34" s="122">
        <v>16574551.56000174</v>
      </c>
      <c r="G34" s="109">
        <v>3519.9999999999818</v>
      </c>
      <c r="H34" s="109">
        <v>5742364.3199999714</v>
      </c>
      <c r="I34" s="105">
        <f>F34+H34</f>
        <v>22316915.880001713</v>
      </c>
      <c r="J34" s="156">
        <v>1720.0000000000273</v>
      </c>
      <c r="K34" s="156">
        <v>1870618.6800000297</v>
      </c>
      <c r="L34" s="118">
        <v>539.99999999996362</v>
      </c>
      <c r="M34" s="120">
        <v>880930.88999994064</v>
      </c>
      <c r="N34" s="106">
        <f>K34+M34</f>
        <v>2751549.5699999705</v>
      </c>
      <c r="O34" s="105">
        <f>I34+N34</f>
        <v>25068465.450001683</v>
      </c>
      <c r="P34" s="106">
        <f>E34+G34+J34+L34</f>
        <v>21020.000000001572</v>
      </c>
      <c r="Q34" s="121">
        <f>R34+T34</f>
        <v>811</v>
      </c>
      <c r="R34" s="122">
        <v>105</v>
      </c>
      <c r="S34" s="122">
        <v>1886902.5</v>
      </c>
      <c r="T34" s="115">
        <v>706</v>
      </c>
      <c r="U34" s="115">
        <v>3370182.7800000003</v>
      </c>
      <c r="V34" s="113">
        <f>S34+U34</f>
        <v>5257085.28</v>
      </c>
      <c r="W34" s="124">
        <v>0</v>
      </c>
      <c r="X34" s="124">
        <v>93.570440000000062</v>
      </c>
      <c r="Y34" s="124">
        <v>64.649400000000725</v>
      </c>
      <c r="Z34" s="124"/>
      <c r="AA34" s="124">
        <v>25.859760000000062</v>
      </c>
      <c r="AB34" s="124">
        <v>8.458799999999977</v>
      </c>
      <c r="AC34" s="110">
        <v>12</v>
      </c>
      <c r="AD34" s="121">
        <f t="shared" si="0"/>
        <v>204.53840000000079</v>
      </c>
      <c r="AE34" s="108">
        <v>3473405.1040000143</v>
      </c>
      <c r="AF34" s="111"/>
      <c r="AG34" s="127">
        <v>397.94999999999709</v>
      </c>
      <c r="AH34" s="129">
        <v>0</v>
      </c>
      <c r="AI34" s="128">
        <f>AG34+AH34</f>
        <v>397.94999999999709</v>
      </c>
      <c r="AJ34" s="131">
        <v>7799819.9999999432</v>
      </c>
      <c r="AK34" s="21"/>
    </row>
    <row r="35" spans="1:37" ht="15">
      <c r="A35" s="19"/>
      <c r="B35" s="81">
        <v>29</v>
      </c>
      <c r="C35" s="65">
        <v>57</v>
      </c>
      <c r="D35" s="65">
        <v>548</v>
      </c>
      <c r="E35" s="122">
        <v>15479.999999999563</v>
      </c>
      <c r="F35" s="122">
        <v>16835568.119999524</v>
      </c>
      <c r="G35" s="109">
        <v>3919.9999999998454</v>
      </c>
      <c r="H35" s="109">
        <v>6394905.7199997483</v>
      </c>
      <c r="I35" s="105">
        <f>F35+H35</f>
        <v>23230473.839999273</v>
      </c>
      <c r="J35" s="156">
        <v>1600.0000000000227</v>
      </c>
      <c r="K35" s="156">
        <v>1740110.4000000248</v>
      </c>
      <c r="L35" s="118">
        <v>520.00000000003865</v>
      </c>
      <c r="M35" s="120">
        <v>848303.82000006316</v>
      </c>
      <c r="N35" s="106">
        <f>K35+M35</f>
        <v>2588414.2200000882</v>
      </c>
      <c r="O35" s="105">
        <f>I35+N35</f>
        <v>25818888.059999362</v>
      </c>
      <c r="P35" s="106">
        <f>E35+G35+J35+L35</f>
        <v>21519.999999999472</v>
      </c>
      <c r="Q35" s="121">
        <f>R35+T35</f>
        <v>793</v>
      </c>
      <c r="R35" s="122">
        <v>156</v>
      </c>
      <c r="S35" s="122">
        <v>2803398</v>
      </c>
      <c r="T35" s="115">
        <v>637</v>
      </c>
      <c r="U35" s="115">
        <v>3040802.31</v>
      </c>
      <c r="V35" s="113">
        <f>S35+U35</f>
        <v>5844200.3100000005</v>
      </c>
      <c r="W35" s="124">
        <v>0</v>
      </c>
      <c r="X35" s="124">
        <v>112.90483999999988</v>
      </c>
      <c r="Y35" s="124">
        <v>52.363999999999997</v>
      </c>
      <c r="Z35" s="124"/>
      <c r="AA35" s="124">
        <v>31.539239999999932</v>
      </c>
      <c r="AB35" s="124">
        <v>8.539360000000018</v>
      </c>
      <c r="AC35" s="110">
        <v>12</v>
      </c>
      <c r="AD35" s="121">
        <f t="shared" si="0"/>
        <v>217.34743999999981</v>
      </c>
      <c r="AE35" s="108">
        <v>3691927.3263999969</v>
      </c>
      <c r="AF35" s="111"/>
      <c r="AG35" s="127">
        <v>508.29000000000815</v>
      </c>
      <c r="AH35" s="129">
        <v>0</v>
      </c>
      <c r="AI35" s="128">
        <f>AG35+AH35</f>
        <v>508.29000000000815</v>
      </c>
      <c r="AJ35" s="131">
        <v>9962484.0000001602</v>
      </c>
      <c r="AK35" s="21"/>
    </row>
    <row r="36" spans="1:37" ht="15">
      <c r="A36" s="19"/>
      <c r="B36" s="64">
        <v>30</v>
      </c>
      <c r="C36" s="65">
        <v>63</v>
      </c>
      <c r="D36" s="65">
        <v>600</v>
      </c>
      <c r="E36" s="122">
        <v>22039.999999999054</v>
      </c>
      <c r="F36" s="122">
        <v>23970020.75999897</v>
      </c>
      <c r="G36" s="109">
        <v>3440.0000000000546</v>
      </c>
      <c r="H36" s="109">
        <v>5611856.0400000904</v>
      </c>
      <c r="I36" s="105">
        <f>F36+H36</f>
        <v>29581876.799999058</v>
      </c>
      <c r="J36" s="156">
        <v>2319.9999999999363</v>
      </c>
      <c r="K36" s="156">
        <v>2523160.0799999307</v>
      </c>
      <c r="L36" s="118">
        <v>459.99999999997954</v>
      </c>
      <c r="M36" s="120">
        <v>750422.60999996669</v>
      </c>
      <c r="N36" s="106">
        <f>K36+M36</f>
        <v>3273582.6899998975</v>
      </c>
      <c r="O36" s="105">
        <f>I36+N36</f>
        <v>32855459.489998955</v>
      </c>
      <c r="P36" s="106">
        <f>E36+G36+J36+L36</f>
        <v>28259.999999999025</v>
      </c>
      <c r="Q36" s="121">
        <f>R36+T36</f>
        <v>844</v>
      </c>
      <c r="R36" s="122">
        <v>159</v>
      </c>
      <c r="S36" s="122">
        <v>2857309.5</v>
      </c>
      <c r="T36" s="115">
        <v>685</v>
      </c>
      <c r="U36" s="115">
        <v>3269936.5500000003</v>
      </c>
      <c r="V36" s="113">
        <f>S36+U36</f>
        <v>6127246.0500000007</v>
      </c>
      <c r="W36" s="124">
        <v>0</v>
      </c>
      <c r="X36" s="124">
        <v>96.551160000000095</v>
      </c>
      <c r="Y36" s="124">
        <v>46.845640000000436</v>
      </c>
      <c r="Z36" s="124"/>
      <c r="AA36" s="124">
        <v>21.751200000000022</v>
      </c>
      <c r="AB36" s="124">
        <v>8.458799999999977</v>
      </c>
      <c r="AC36" s="110">
        <v>12</v>
      </c>
      <c r="AD36" s="121">
        <f t="shared" si="0"/>
        <v>185.6068000000005</v>
      </c>
      <c r="AE36" s="108">
        <v>3150432.0080000092</v>
      </c>
      <c r="AF36" s="111"/>
      <c r="AG36" s="127">
        <v>490.5</v>
      </c>
      <c r="AH36" s="129">
        <v>51.200000000011642</v>
      </c>
      <c r="AI36" s="128">
        <f>AG36+AH36</f>
        <v>541.70000000001164</v>
      </c>
      <c r="AJ36" s="131">
        <v>10617320.000000227</v>
      </c>
      <c r="AK36" s="21"/>
    </row>
    <row r="37" spans="1:37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66"/>
      <c r="AF37" s="72"/>
      <c r="AG37" s="72"/>
      <c r="AH37" s="72"/>
      <c r="AI37" s="72"/>
      <c r="AJ37" s="20"/>
      <c r="AK37" s="21"/>
    </row>
    <row r="38" spans="1:37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71"/>
      <c r="AE38" s="66"/>
      <c r="AF38" s="72"/>
      <c r="AG38" s="72"/>
      <c r="AH38" s="72"/>
      <c r="AI38" s="72"/>
      <c r="AJ38" s="20"/>
      <c r="AK38" s="21"/>
    </row>
    <row r="39" spans="1:37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F39" s="27"/>
      <c r="AG39" s="27"/>
      <c r="AH39" s="27"/>
      <c r="AI39" s="27"/>
    </row>
    <row r="40" spans="1:37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1"/>
      <c r="AF40" s="30"/>
      <c r="AG40" s="30"/>
      <c r="AH40" s="30"/>
      <c r="AI40" s="30"/>
      <c r="AJ40" s="31"/>
    </row>
    <row r="41" spans="1:37" s="2" customFormat="1">
      <c r="B41" s="32"/>
      <c r="C41" s="143"/>
      <c r="D41" s="143"/>
      <c r="E41" s="144"/>
      <c r="F41" s="145"/>
      <c r="G41" s="146"/>
      <c r="H41" s="145"/>
      <c r="I41" s="146"/>
      <c r="J41" s="146"/>
      <c r="K41" s="146"/>
      <c r="L41" s="145"/>
      <c r="M41" s="147"/>
      <c r="N41" s="148"/>
      <c r="O41" s="146"/>
      <c r="P41" s="148"/>
      <c r="Q41" s="149"/>
      <c r="R41" s="150"/>
      <c r="S41" s="146"/>
      <c r="T41" s="146"/>
      <c r="U41" s="146"/>
      <c r="V41" s="146"/>
      <c r="W41" s="151"/>
      <c r="X41" s="145"/>
      <c r="Y41" s="151"/>
      <c r="Z41" s="151"/>
      <c r="AA41" s="151"/>
      <c r="AB41" s="151"/>
      <c r="AC41" s="151"/>
      <c r="AD41" s="151"/>
      <c r="AE41" s="145"/>
      <c r="AF41" s="152"/>
      <c r="AG41" s="152"/>
      <c r="AH41" s="152"/>
      <c r="AI41" s="152"/>
      <c r="AJ41" s="153"/>
    </row>
    <row r="42" spans="1:37">
      <c r="A42" s="33"/>
      <c r="B42" s="142"/>
      <c r="C42" s="132">
        <f>SUM(C7:C36)</f>
        <v>1864</v>
      </c>
      <c r="D42" s="132">
        <f>SUM(D7:D36)</f>
        <v>17520</v>
      </c>
      <c r="E42" s="133">
        <f>SUM(E7:E36)</f>
        <v>465199.99999999988</v>
      </c>
      <c r="F42" s="133">
        <f>SUM(F7:F36)</f>
        <v>505937098.79999977</v>
      </c>
      <c r="G42" s="133">
        <f>SUM(G7:G36)</f>
        <v>111200.00000000003</v>
      </c>
      <c r="H42" s="133">
        <f>SUM(H7:H36)</f>
        <v>181406509.20000005</v>
      </c>
      <c r="I42" s="133">
        <f>SUM(I7:I36)</f>
        <v>687343607.99999976</v>
      </c>
      <c r="J42" s="133">
        <f>SUM(J7:J36)</f>
        <v>48899.999999999964</v>
      </c>
      <c r="K42" s="133">
        <f>SUM(K7:K36)</f>
        <v>53182124.099999979</v>
      </c>
      <c r="L42" s="133">
        <f>SUM(L7:L36)</f>
        <v>14260.000000000018</v>
      </c>
      <c r="M42" s="133">
        <f>SUM(M7:M36)</f>
        <v>23263100.91000003</v>
      </c>
      <c r="N42" s="133">
        <f>SUM(N7:N36)</f>
        <v>76445225.010000005</v>
      </c>
      <c r="O42" s="134">
        <f>SUM(O7:O36)</f>
        <v>763788833.00999987</v>
      </c>
      <c r="P42" s="135">
        <f>SUM(P7:P36)</f>
        <v>639559.99999999988</v>
      </c>
      <c r="Q42" s="136">
        <f>SUM(Q7:Q36)</f>
        <v>21821</v>
      </c>
      <c r="R42" s="133">
        <f>SUM(R7:R36)</f>
        <v>3634</v>
      </c>
      <c r="S42" s="133">
        <f>SUM(S7:S36)</f>
        <v>65304797</v>
      </c>
      <c r="T42" s="133">
        <f>SUM(T7:T36)</f>
        <v>18187</v>
      </c>
      <c r="U42" s="133">
        <f>SUM(U7:U36)</f>
        <v>86818008.809999987</v>
      </c>
      <c r="V42" s="137">
        <f>SUM(V7:V36)</f>
        <v>152122805.81000003</v>
      </c>
      <c r="W42" s="138">
        <f>SUM(W7:W36)</f>
        <v>3001.3836400000187</v>
      </c>
      <c r="X42" s="133">
        <f>SUM(X7:X36)</f>
        <v>2894.319399999999</v>
      </c>
      <c r="Y42" s="133">
        <f>SUM(Y7:Y36)</f>
        <v>1674.7215600000015</v>
      </c>
      <c r="Z42" s="133">
        <f>SUM(Z7:Z36)</f>
        <v>400</v>
      </c>
      <c r="AA42" s="133">
        <f>SUM(AA7:AA36)</f>
        <v>767.97847999999999</v>
      </c>
      <c r="AB42" s="133"/>
      <c r="AC42" s="133">
        <f>SUM(AC7:AC36)</f>
        <v>456</v>
      </c>
      <c r="AD42" s="139">
        <f>SUM(AD7:AD36)</f>
        <v>9293.4918800000196</v>
      </c>
      <c r="AE42" s="139">
        <f>SUM(AE7:AE36)</f>
        <v>154961919.40003073</v>
      </c>
      <c r="AF42" s="140">
        <f>SUM(AF8:AF38)</f>
        <v>0</v>
      </c>
      <c r="AG42" s="133">
        <f>SUM(AG7:AG36)</f>
        <v>12028.340000000004</v>
      </c>
      <c r="AH42" s="133">
        <f>SUM(AH7:AH36)</f>
        <v>456.40000000002328</v>
      </c>
      <c r="AI42" s="141">
        <f>SUM(AI7:AI36)</f>
        <v>12484.740000000027</v>
      </c>
      <c r="AJ42" s="141">
        <f>SUM(AJ7:AJ36)</f>
        <v>244700904.0000006</v>
      </c>
      <c r="AK42" s="33"/>
    </row>
    <row r="43" spans="1:37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9"/>
      <c r="AD43" s="21"/>
      <c r="AE43" s="31"/>
      <c r="AF43" s="30"/>
      <c r="AG43" s="30"/>
      <c r="AH43" s="30"/>
      <c r="AI43" s="30"/>
      <c r="AJ43" s="34"/>
      <c r="AK43" s="33"/>
    </row>
    <row r="44" spans="1:37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1194.2410923291013</v>
      </c>
      <c r="Q44" s="43"/>
      <c r="R44" s="43"/>
      <c r="S44" s="43"/>
      <c r="T44" s="36"/>
      <c r="U44" s="36"/>
      <c r="V44" s="43">
        <f>V42/Q42</f>
        <v>6971.3947944640495</v>
      </c>
      <c r="W44" s="43"/>
      <c r="X44" s="36"/>
      <c r="Y44" s="43"/>
      <c r="Z44" s="43"/>
      <c r="AA44" s="43"/>
      <c r="AB44" s="43"/>
      <c r="AC44" s="43"/>
      <c r="AD44" s="36"/>
      <c r="AE44" s="36">
        <f>AE42/AD42</f>
        <v>16674.240576194534</v>
      </c>
      <c r="AF44" s="40"/>
      <c r="AG44" s="40"/>
      <c r="AH44" s="40"/>
      <c r="AI44" s="40"/>
      <c r="AJ44" s="43">
        <f>AJ42/AI42</f>
        <v>19600.000000000004</v>
      </c>
      <c r="AK44" s="42"/>
    </row>
    <row r="45" spans="1:37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F45" s="52"/>
      <c r="AG45" s="52"/>
      <c r="AH45" s="52"/>
      <c r="AI45" s="52"/>
      <c r="AK45" s="45"/>
    </row>
    <row r="46" spans="1:37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E46" s="56"/>
      <c r="AF46" s="60"/>
      <c r="AG46" s="60"/>
      <c r="AH46" s="60"/>
      <c r="AI46" s="60"/>
      <c r="AK46" s="55"/>
    </row>
    <row r="47" spans="1:37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E47" s="56"/>
      <c r="AF47" s="60"/>
      <c r="AG47" s="60"/>
      <c r="AH47" s="60"/>
      <c r="AI47" s="60"/>
      <c r="AK47" s="55"/>
    </row>
    <row r="48" spans="1:37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E48" s="56"/>
      <c r="AF48" s="60"/>
      <c r="AG48" s="60"/>
      <c r="AH48" s="60"/>
      <c r="AI48" s="60"/>
      <c r="AK48" s="55"/>
    </row>
    <row r="49" spans="1:37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E49" s="56"/>
      <c r="AF49" s="60"/>
      <c r="AG49" s="60"/>
      <c r="AH49" s="60"/>
      <c r="AI49" s="60"/>
      <c r="AK49" s="55"/>
    </row>
    <row r="50" spans="1:37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E50" s="56"/>
      <c r="AF50" s="60"/>
      <c r="AG50" s="60"/>
      <c r="AH50" s="60"/>
      <c r="AI50" s="60"/>
      <c r="AK50" s="55"/>
    </row>
    <row r="51" spans="1:37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E51" s="56"/>
      <c r="AF51" s="60"/>
      <c r="AG51" s="60"/>
      <c r="AH51" s="60"/>
      <c r="AI51" s="60"/>
      <c r="AK51" s="55"/>
    </row>
    <row r="52" spans="1:37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E52" s="56"/>
      <c r="AF52" s="60"/>
      <c r="AG52" s="60"/>
      <c r="AH52" s="60"/>
      <c r="AI52" s="60"/>
      <c r="AK52" s="55"/>
    </row>
    <row r="53" spans="1:37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E53" s="56"/>
      <c r="AF53" s="60"/>
      <c r="AG53" s="60"/>
      <c r="AH53" s="60"/>
      <c r="AI53" s="60"/>
      <c r="AK53" s="55"/>
    </row>
    <row r="54" spans="1:37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E54" s="56"/>
      <c r="AF54" s="60"/>
      <c r="AG54" s="60"/>
      <c r="AH54" s="60"/>
      <c r="AI54" s="60"/>
      <c r="AK54" s="55"/>
    </row>
    <row r="55" spans="1:37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E55" s="56"/>
      <c r="AF55" s="60"/>
      <c r="AG55" s="60"/>
      <c r="AH55" s="60"/>
      <c r="AI55" s="60"/>
      <c r="AK55" s="55"/>
    </row>
    <row r="56" spans="1:37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E56" s="56"/>
      <c r="AF56" s="60"/>
      <c r="AG56" s="60"/>
      <c r="AH56" s="60"/>
      <c r="AI56" s="60"/>
      <c r="AK56" s="55"/>
    </row>
    <row r="57" spans="1:37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E57" s="56"/>
      <c r="AF57" s="60"/>
      <c r="AG57" s="60"/>
      <c r="AH57" s="60"/>
      <c r="AI57" s="60"/>
      <c r="AK57" s="55"/>
    </row>
    <row r="58" spans="1:37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E58" s="56"/>
      <c r="AF58" s="60"/>
      <c r="AG58" s="60"/>
      <c r="AH58" s="60"/>
      <c r="AI58" s="60"/>
      <c r="AK58" s="55"/>
    </row>
    <row r="59" spans="1:37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E59" s="56"/>
      <c r="AF59" s="60"/>
      <c r="AG59" s="60"/>
      <c r="AH59" s="60"/>
      <c r="AI59" s="60"/>
      <c r="AK59" s="55"/>
    </row>
    <row r="60" spans="1:37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E60" s="56"/>
      <c r="AF60" s="60"/>
      <c r="AG60" s="60"/>
      <c r="AH60" s="60"/>
      <c r="AI60" s="60"/>
      <c r="AK60" s="55"/>
    </row>
    <row r="61" spans="1:37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E61" s="56"/>
      <c r="AF61" s="60"/>
      <c r="AG61" s="60"/>
      <c r="AH61" s="60"/>
      <c r="AI61" s="60"/>
      <c r="AK61" s="55"/>
    </row>
    <row r="62" spans="1:37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E62" s="56"/>
      <c r="AF62" s="60"/>
      <c r="AG62" s="60"/>
      <c r="AH62" s="60"/>
      <c r="AI62" s="60"/>
      <c r="AK62" s="55"/>
    </row>
    <row r="63" spans="1:37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E63" s="56"/>
      <c r="AF63" s="60"/>
      <c r="AG63" s="60"/>
      <c r="AH63" s="60"/>
      <c r="AI63" s="60"/>
      <c r="AK63" s="55"/>
    </row>
    <row r="64" spans="1:37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E64" s="56"/>
      <c r="AF64" s="60"/>
      <c r="AG64" s="60"/>
      <c r="AH64" s="60"/>
      <c r="AI64" s="60"/>
      <c r="AK64" s="55"/>
    </row>
    <row r="65" spans="1:37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E65" s="56"/>
      <c r="AF65" s="60"/>
      <c r="AG65" s="60"/>
      <c r="AH65" s="60"/>
      <c r="AI65" s="60"/>
      <c r="AK65" s="55"/>
    </row>
    <row r="66" spans="1:37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E66" s="56"/>
      <c r="AF66" s="60"/>
      <c r="AG66" s="60"/>
      <c r="AH66" s="60"/>
      <c r="AI66" s="60"/>
      <c r="AK66" s="55"/>
    </row>
    <row r="67" spans="1:37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E67" s="56"/>
      <c r="AF67" s="60"/>
      <c r="AG67" s="60"/>
      <c r="AH67" s="60"/>
      <c r="AI67" s="60"/>
      <c r="AK67" s="55"/>
    </row>
    <row r="68" spans="1:37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E68" s="56"/>
      <c r="AF68" s="60"/>
      <c r="AG68" s="60"/>
      <c r="AH68" s="60"/>
      <c r="AI68" s="60"/>
      <c r="AK68" s="55"/>
    </row>
    <row r="69" spans="1:37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E69" s="56"/>
      <c r="AF69" s="60"/>
      <c r="AG69" s="60"/>
      <c r="AH69" s="60"/>
      <c r="AI69" s="60"/>
      <c r="AK69" s="55"/>
    </row>
    <row r="70" spans="1:37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E70" s="56"/>
      <c r="AF70" s="60"/>
      <c r="AG70" s="60"/>
      <c r="AH70" s="60"/>
      <c r="AI70" s="60"/>
      <c r="AK70" s="55"/>
    </row>
    <row r="71" spans="1:37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E71" s="56"/>
      <c r="AF71" s="60"/>
      <c r="AG71" s="60"/>
      <c r="AH71" s="60"/>
      <c r="AI71" s="60"/>
      <c r="AK71" s="55"/>
    </row>
    <row r="72" spans="1:37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E72" s="56"/>
      <c r="AF72" s="60"/>
      <c r="AG72" s="60"/>
      <c r="AH72" s="60"/>
      <c r="AI72" s="60"/>
      <c r="AK72" s="55"/>
    </row>
    <row r="73" spans="1:37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E73" s="56"/>
      <c r="AF73" s="60"/>
      <c r="AG73" s="60"/>
      <c r="AH73" s="60"/>
      <c r="AI73" s="60"/>
      <c r="AK73" s="55"/>
    </row>
    <row r="74" spans="1:37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E74" s="56"/>
      <c r="AF74" s="60"/>
      <c r="AG74" s="60"/>
      <c r="AH74" s="60"/>
      <c r="AI74" s="60"/>
      <c r="AK74" s="55"/>
    </row>
    <row r="75" spans="1:37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E75" s="56"/>
      <c r="AF75" s="60"/>
      <c r="AG75" s="60"/>
      <c r="AH75" s="60"/>
      <c r="AI75" s="60"/>
      <c r="AK75" s="55"/>
    </row>
    <row r="76" spans="1:37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E76" s="56"/>
      <c r="AF76" s="60"/>
      <c r="AG76" s="60"/>
      <c r="AH76" s="60"/>
      <c r="AI76" s="60"/>
      <c r="AK76" s="55"/>
    </row>
    <row r="77" spans="1:37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E77" s="56"/>
      <c r="AF77" s="60"/>
      <c r="AG77" s="60"/>
      <c r="AH77" s="60"/>
      <c r="AI77" s="60"/>
      <c r="AK77" s="55"/>
    </row>
    <row r="78" spans="1:37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E78" s="56"/>
      <c r="AF78" s="60"/>
      <c r="AG78" s="60"/>
      <c r="AH78" s="60"/>
      <c r="AI78" s="60"/>
      <c r="AK78" s="55"/>
    </row>
    <row r="79" spans="1:37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E79" s="56"/>
      <c r="AF79" s="60"/>
      <c r="AG79" s="60"/>
      <c r="AH79" s="60"/>
      <c r="AI79" s="60"/>
      <c r="AK79" s="55"/>
    </row>
    <row r="80" spans="1:37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E80" s="56"/>
      <c r="AF80" s="60"/>
      <c r="AG80" s="60"/>
      <c r="AH80" s="60"/>
      <c r="AI80" s="60"/>
      <c r="AK80" s="55"/>
    </row>
    <row r="81" spans="1:37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E81" s="56"/>
      <c r="AF81" s="60"/>
      <c r="AG81" s="60"/>
      <c r="AH81" s="60"/>
      <c r="AI81" s="60"/>
      <c r="AK81" s="55"/>
    </row>
    <row r="82" spans="1:37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E82" s="56"/>
      <c r="AF82" s="60"/>
      <c r="AG82" s="60"/>
      <c r="AH82" s="60"/>
      <c r="AI82" s="60"/>
      <c r="AK82" s="55"/>
    </row>
    <row r="83" spans="1:37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E83" s="56"/>
      <c r="AF83" s="60"/>
      <c r="AG83" s="60"/>
      <c r="AH83" s="60"/>
      <c r="AI83" s="60"/>
      <c r="AK83" s="55"/>
    </row>
    <row r="84" spans="1:37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E84" s="56"/>
      <c r="AF84" s="60"/>
      <c r="AG84" s="60"/>
      <c r="AH84" s="60"/>
      <c r="AI84" s="60"/>
      <c r="AK84" s="55"/>
    </row>
    <row r="85" spans="1:37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E85" s="56"/>
      <c r="AF85" s="60"/>
      <c r="AG85" s="60"/>
      <c r="AH85" s="60"/>
      <c r="AI85" s="60"/>
      <c r="AK85" s="55"/>
    </row>
    <row r="86" spans="1:37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E86" s="56"/>
      <c r="AF86" s="60"/>
      <c r="AG86" s="60"/>
      <c r="AH86" s="60"/>
      <c r="AI86" s="60"/>
      <c r="AK86" s="55"/>
    </row>
    <row r="87" spans="1:37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E87" s="56"/>
      <c r="AF87" s="60"/>
      <c r="AG87" s="60"/>
      <c r="AH87" s="60"/>
      <c r="AI87" s="60"/>
      <c r="AK87" s="55"/>
    </row>
    <row r="88" spans="1:37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E88" s="56"/>
      <c r="AF88" s="60"/>
      <c r="AG88" s="60"/>
      <c r="AH88" s="60"/>
      <c r="AI88" s="60"/>
      <c r="AK88" s="55"/>
    </row>
    <row r="89" spans="1:37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E89" s="56"/>
      <c r="AF89" s="60"/>
      <c r="AG89" s="60"/>
      <c r="AH89" s="60"/>
      <c r="AI89" s="60"/>
      <c r="AK89" s="55"/>
    </row>
    <row r="90" spans="1:37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E90" s="56"/>
      <c r="AF90" s="60"/>
      <c r="AG90" s="60"/>
      <c r="AH90" s="60"/>
      <c r="AI90" s="60"/>
      <c r="AK90" s="55"/>
    </row>
    <row r="91" spans="1:37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E91" s="56"/>
      <c r="AF91" s="60"/>
      <c r="AG91" s="60"/>
      <c r="AH91" s="60"/>
      <c r="AI91" s="60"/>
      <c r="AK91" s="55"/>
    </row>
    <row r="92" spans="1:37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E92" s="56"/>
      <c r="AF92" s="60"/>
      <c r="AG92" s="60"/>
      <c r="AH92" s="60"/>
      <c r="AI92" s="60"/>
      <c r="AK92" s="55"/>
    </row>
    <row r="93" spans="1:37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E93" s="56"/>
      <c r="AF93" s="60"/>
      <c r="AG93" s="60"/>
      <c r="AH93" s="60"/>
      <c r="AI93" s="60"/>
      <c r="AK93" s="55"/>
    </row>
    <row r="94" spans="1:37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E94" s="56"/>
      <c r="AF94" s="60"/>
      <c r="AG94" s="60"/>
      <c r="AH94" s="60"/>
      <c r="AI94" s="60"/>
      <c r="AK94" s="55"/>
    </row>
    <row r="95" spans="1:37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E95" s="56"/>
      <c r="AF95" s="60"/>
      <c r="AG95" s="60"/>
      <c r="AH95" s="60"/>
      <c r="AI95" s="60"/>
      <c r="AK95" s="55"/>
    </row>
    <row r="96" spans="1:37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E96" s="56"/>
      <c r="AF96" s="60"/>
      <c r="AG96" s="60"/>
      <c r="AH96" s="60"/>
      <c r="AI96" s="60"/>
      <c r="AK96" s="55"/>
    </row>
    <row r="97" spans="1:37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E97" s="56"/>
      <c r="AF97" s="60"/>
      <c r="AG97" s="60"/>
      <c r="AH97" s="60"/>
      <c r="AI97" s="60"/>
      <c r="AK97" s="55"/>
    </row>
    <row r="98" spans="1:37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E98" s="56"/>
      <c r="AF98" s="60"/>
      <c r="AG98" s="60"/>
      <c r="AH98" s="60"/>
      <c r="AI98" s="60"/>
      <c r="AK98" s="55"/>
    </row>
    <row r="99" spans="1:37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E99" s="56"/>
      <c r="AF99" s="60"/>
      <c r="AG99" s="60"/>
      <c r="AH99" s="60"/>
      <c r="AI99" s="60"/>
      <c r="AK99" s="55"/>
    </row>
    <row r="100" spans="1:37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E100" s="56"/>
      <c r="AF100" s="60"/>
      <c r="AG100" s="60"/>
      <c r="AH100" s="60"/>
      <c r="AI100" s="60"/>
      <c r="AK100" s="55"/>
    </row>
    <row r="101" spans="1:37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E101" s="56"/>
      <c r="AF101" s="60"/>
      <c r="AG101" s="60"/>
      <c r="AH101" s="60"/>
      <c r="AI101" s="60"/>
      <c r="AK101" s="55"/>
    </row>
    <row r="102" spans="1:37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E102" s="56"/>
      <c r="AF102" s="60"/>
      <c r="AG102" s="60"/>
      <c r="AH102" s="60"/>
      <c r="AI102" s="60"/>
      <c r="AK102" s="55"/>
    </row>
    <row r="103" spans="1:37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E103" s="56"/>
      <c r="AF103" s="60"/>
      <c r="AG103" s="60"/>
      <c r="AH103" s="60"/>
      <c r="AI103" s="60"/>
      <c r="AK103" s="55"/>
    </row>
    <row r="104" spans="1:37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E104" s="56"/>
      <c r="AF104" s="60"/>
      <c r="AG104" s="60"/>
      <c r="AH104" s="60"/>
      <c r="AI104" s="60"/>
      <c r="AK104" s="55"/>
    </row>
    <row r="105" spans="1:37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E105" s="56"/>
      <c r="AF105" s="60"/>
      <c r="AG105" s="60"/>
      <c r="AH105" s="60"/>
      <c r="AI105" s="60"/>
      <c r="AK105" s="55"/>
    </row>
    <row r="106" spans="1:37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E106" s="56"/>
      <c r="AF106" s="60"/>
      <c r="AG106" s="60"/>
      <c r="AH106" s="60"/>
      <c r="AI106" s="60"/>
      <c r="AK106" s="55"/>
    </row>
    <row r="107" spans="1:37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E107" s="56"/>
      <c r="AF107" s="60"/>
      <c r="AG107" s="60"/>
      <c r="AH107" s="60"/>
      <c r="AI107" s="60"/>
      <c r="AK107" s="55"/>
    </row>
    <row r="108" spans="1:37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E108" s="56"/>
      <c r="AF108" s="60"/>
      <c r="AG108" s="60"/>
      <c r="AH108" s="60"/>
      <c r="AI108" s="60"/>
      <c r="AK108" s="55"/>
    </row>
  </sheetData>
  <mergeCells count="13">
    <mergeCell ref="B3:AJ3"/>
    <mergeCell ref="B4:B6"/>
    <mergeCell ref="C4:C6"/>
    <mergeCell ref="D4:D6"/>
    <mergeCell ref="E4:P4"/>
    <mergeCell ref="Q4:V4"/>
    <mergeCell ref="W4:AJ4"/>
    <mergeCell ref="E5:I5"/>
    <mergeCell ref="J5:N5"/>
    <mergeCell ref="O5:O6"/>
    <mergeCell ref="W5:AE5"/>
    <mergeCell ref="AF5:AJ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