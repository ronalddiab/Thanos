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0" documentId="8_{23C101BF-DE04-4392-BCD9-78A59D16E618}" xr6:coauthVersionLast="47" xr6:coauthVersionMax="47" xr10:uidLastSave="{00000000-0000-0000-0000-000000000000}"/>
  <bookViews>
    <workbookView xWindow="-96" yWindow="-96" windowWidth="18192" windowHeight="11472" tabRatio="338" activeTab="1" xr2:uid="{00000000-000D-0000-FFFF-FFFF00000000}"/>
  </bookViews>
  <sheets>
    <sheet name="Total" sheetId="3" r:id="rId1"/>
    <sheet name="Octo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/>
  <c r="C24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2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K28" i="3" l="1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9" i="3"/>
  <c r="K30" i="3"/>
  <c r="K31" i="3"/>
  <c r="K3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S33" i="2"/>
  <c r="K33" i="2"/>
  <c r="Y32" i="2"/>
  <c r="S32" i="2"/>
  <c r="K32" i="2"/>
  <c r="G32" i="2"/>
  <c r="E32" i="2"/>
  <c r="C32" i="2"/>
  <c r="Y31" i="2"/>
  <c r="S31" i="2"/>
  <c r="K31" i="2"/>
  <c r="G31" i="2"/>
  <c r="E31" i="2"/>
  <c r="C31" i="2"/>
  <c r="Y30" i="2"/>
  <c r="S30" i="2"/>
  <c r="K30" i="2"/>
  <c r="G30" i="2"/>
  <c r="E30" i="2"/>
  <c r="C30" i="2"/>
  <c r="Y29" i="2"/>
  <c r="S29" i="2"/>
  <c r="U29" i="2" s="1"/>
  <c r="G29" i="3" s="1"/>
  <c r="K29" i="2"/>
  <c r="G29" i="2"/>
  <c r="E29" i="2"/>
  <c r="C29" i="2"/>
  <c r="Y28" i="2"/>
  <c r="S28" i="2"/>
  <c r="K28" i="2"/>
  <c r="G28" i="2"/>
  <c r="E28" i="2"/>
  <c r="C28" i="2"/>
  <c r="Y27" i="2"/>
  <c r="S27" i="2"/>
  <c r="K27" i="2"/>
  <c r="G27" i="2"/>
  <c r="E27" i="2"/>
  <c r="C27" i="2"/>
  <c r="Y26" i="2"/>
  <c r="S26" i="2"/>
  <c r="K26" i="2"/>
  <c r="G26" i="2"/>
  <c r="E26" i="2"/>
  <c r="C26" i="2"/>
  <c r="Y25" i="2"/>
  <c r="S25" i="2"/>
  <c r="K25" i="2"/>
  <c r="G25" i="2"/>
  <c r="E25" i="2"/>
  <c r="C25" i="2"/>
  <c r="Y24" i="2"/>
  <c r="S24" i="2"/>
  <c r="K24" i="2"/>
  <c r="G24" i="2"/>
  <c r="Y23" i="2"/>
  <c r="S23" i="2"/>
  <c r="K23" i="2"/>
  <c r="G23" i="2"/>
  <c r="E23" i="2"/>
  <c r="C23" i="2"/>
  <c r="Y22" i="2"/>
  <c r="S22" i="2"/>
  <c r="K22" i="2"/>
  <c r="G22" i="2"/>
  <c r="E22" i="2"/>
  <c r="C22" i="2"/>
  <c r="Y21" i="2"/>
  <c r="S21" i="2"/>
  <c r="K21" i="2"/>
  <c r="G21" i="2"/>
  <c r="E21" i="2"/>
  <c r="C21" i="2"/>
  <c r="Y20" i="2"/>
  <c r="S20" i="2"/>
  <c r="K20" i="2"/>
  <c r="G20" i="2"/>
  <c r="E20" i="2"/>
  <c r="C20" i="2"/>
  <c r="Y19" i="2"/>
  <c r="S19" i="2"/>
  <c r="K19" i="2"/>
  <c r="G19" i="2"/>
  <c r="E19" i="2"/>
  <c r="C19" i="2"/>
  <c r="Y18" i="2"/>
  <c r="S18" i="2"/>
  <c r="K18" i="2"/>
  <c r="G18" i="2"/>
  <c r="E18" i="2"/>
  <c r="C18" i="2"/>
  <c r="Y17" i="2"/>
  <c r="S17" i="2"/>
  <c r="K17" i="2"/>
  <c r="G17" i="2"/>
  <c r="E17" i="2"/>
  <c r="C17" i="2"/>
  <c r="Y16" i="2"/>
  <c r="S16" i="2"/>
  <c r="K16" i="2"/>
  <c r="G16" i="2"/>
  <c r="E16" i="2"/>
  <c r="C16" i="2"/>
  <c r="Y15" i="2"/>
  <c r="S15" i="2"/>
  <c r="K15" i="2"/>
  <c r="G15" i="2"/>
  <c r="E15" i="2"/>
  <c r="C15" i="2"/>
  <c r="Y14" i="2"/>
  <c r="S14" i="2"/>
  <c r="K14" i="2"/>
  <c r="G14" i="2"/>
  <c r="E14" i="2"/>
  <c r="C14" i="2"/>
  <c r="Y13" i="2"/>
  <c r="S13" i="2"/>
  <c r="K13" i="2"/>
  <c r="G13" i="2"/>
  <c r="E13" i="2"/>
  <c r="C13" i="2"/>
  <c r="Y12" i="2"/>
  <c r="S12" i="2"/>
  <c r="K12" i="2"/>
  <c r="G12" i="2"/>
  <c r="E12" i="2"/>
  <c r="C12" i="2"/>
  <c r="Y11" i="2"/>
  <c r="S11" i="2"/>
  <c r="K11" i="2"/>
  <c r="G11" i="2"/>
  <c r="E11" i="2"/>
  <c r="C11" i="2"/>
  <c r="Y10" i="2"/>
  <c r="S10" i="2"/>
  <c r="K10" i="2"/>
  <c r="G10" i="2"/>
  <c r="E10" i="2"/>
  <c r="C10" i="2"/>
  <c r="Y9" i="2"/>
  <c r="S9" i="2"/>
  <c r="K9" i="2"/>
  <c r="G9" i="2"/>
  <c r="E9" i="2"/>
  <c r="C9" i="2"/>
  <c r="Y8" i="2"/>
  <c r="S8" i="2"/>
  <c r="K8" i="2"/>
  <c r="G8" i="2"/>
  <c r="E8" i="2"/>
  <c r="C8" i="2"/>
  <c r="Y7" i="2"/>
  <c r="S7" i="2"/>
  <c r="K7" i="2"/>
  <c r="G7" i="2"/>
  <c r="E7" i="2"/>
  <c r="C7" i="2"/>
  <c r="Y6" i="2"/>
  <c r="S6" i="2"/>
  <c r="K6" i="2"/>
  <c r="G6" i="2"/>
  <c r="E6" i="2"/>
  <c r="C6" i="2"/>
  <c r="Y5" i="2"/>
  <c r="S5" i="2"/>
  <c r="K5" i="2"/>
  <c r="G5" i="2"/>
  <c r="E5" i="2"/>
  <c r="C5" i="2"/>
  <c r="Y4" i="2"/>
  <c r="S4" i="2"/>
  <c r="K4" i="2"/>
  <c r="G4" i="2"/>
  <c r="E4" i="2"/>
  <c r="C4" i="2"/>
  <c r="Y3" i="2"/>
  <c r="S3" i="2"/>
  <c r="K3" i="2"/>
  <c r="G3" i="2"/>
  <c r="E3" i="2"/>
  <c r="C3" i="2"/>
  <c r="Y2" i="2"/>
  <c r="S2" i="2"/>
  <c r="K2" i="2"/>
  <c r="G2" i="2"/>
  <c r="G34" i="2" s="1"/>
  <c r="E2" i="2"/>
  <c r="C2" i="2"/>
  <c r="U18" i="2" l="1"/>
  <c r="G18" i="3" s="1"/>
  <c r="U16" i="2"/>
  <c r="G16" i="3" s="1"/>
  <c r="G14" i="3"/>
  <c r="G12" i="3"/>
  <c r="G10" i="3"/>
  <c r="G8" i="3"/>
  <c r="G6" i="3"/>
  <c r="U2" i="2"/>
  <c r="G2" i="3" s="1"/>
  <c r="G4" i="3"/>
  <c r="H23" i="2"/>
  <c r="I23" i="2" s="1"/>
  <c r="U20" i="2"/>
  <c r="G20" i="3" s="1"/>
  <c r="G3" i="3"/>
  <c r="G5" i="3"/>
  <c r="G7" i="3"/>
  <c r="G9" i="3"/>
  <c r="G11" i="3"/>
  <c r="G13" i="3"/>
  <c r="G15" i="3"/>
  <c r="U17" i="2"/>
  <c r="G17" i="3" s="1"/>
  <c r="U19" i="2"/>
  <c r="G19" i="3" s="1"/>
  <c r="E20" i="3"/>
  <c r="F20" i="3"/>
  <c r="E3" i="3"/>
  <c r="F3" i="3"/>
  <c r="F7" i="3"/>
  <c r="E7" i="3"/>
  <c r="E11" i="3"/>
  <c r="F11" i="3"/>
  <c r="F13" i="3"/>
  <c r="E13" i="3"/>
  <c r="F19" i="3"/>
  <c r="E19" i="3"/>
  <c r="F2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U32" i="2"/>
  <c r="G32" i="3" s="1"/>
  <c r="F32" i="3"/>
  <c r="E32" i="3"/>
  <c r="U31" i="2"/>
  <c r="G31" i="3" s="1"/>
  <c r="U30" i="2"/>
  <c r="G30" i="3" s="1"/>
  <c r="H31" i="2"/>
  <c r="I31" i="2" s="1"/>
  <c r="E31" i="3"/>
  <c r="F31" i="3"/>
  <c r="E30" i="3"/>
  <c r="F30" i="3"/>
  <c r="U28" i="2"/>
  <c r="G28" i="3" s="1"/>
  <c r="H29" i="2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U25" i="2"/>
  <c r="G25" i="3" s="1"/>
  <c r="E26" i="3"/>
  <c r="F26" i="3"/>
  <c r="U24" i="2"/>
  <c r="G24" i="3" s="1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H5" i="2"/>
  <c r="H3" i="2"/>
  <c r="I3" i="2" s="1"/>
  <c r="AB34" i="2"/>
  <c r="Y34" i="2"/>
  <c r="W34" i="2"/>
  <c r="H2" i="2"/>
  <c r="I2" i="2" s="1"/>
  <c r="H32" i="2"/>
  <c r="I32" i="2" s="1"/>
  <c r="J32" i="2" s="1"/>
  <c r="H30" i="2"/>
  <c r="I30" i="2" s="1"/>
  <c r="J30" i="2" s="1"/>
  <c r="H20" i="2"/>
  <c r="I20" i="2" s="1"/>
  <c r="H24" i="2"/>
  <c r="I24" i="2" s="1"/>
  <c r="J23" i="2" s="1"/>
  <c r="H28" i="2"/>
  <c r="I28" i="2" s="1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I29" i="2"/>
  <c r="I6" i="2"/>
  <c r="I5" i="2"/>
  <c r="C34" i="2"/>
  <c r="J22" i="2" l="1"/>
  <c r="J11" i="2"/>
  <c r="J10" i="2"/>
  <c r="J27" i="2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<sst xmlns="http://schemas.openxmlformats.org/spreadsheetml/2006/main" count="78" uniqueCount="41">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</sst>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9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3" fontId="3" fillId="2" borderId="26" xfId="0" applyNumberFormat="1" applyFont="1" applyFill="1" applyBorder="1" applyAlignment="1">
      <alignment horizont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31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30" xfId="0" applyNumberFormat="1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1" fontId="12" fillId="3" borderId="34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9" xfId="0" applyFont="1" applyBorder="1" applyAlignment="1">
      <alignment horizontal="center"/>
    </xf>
    <xf numFmtId="0" fontId="11" fillId="5" borderId="33" xfId="0" applyFont="1" applyFill="1" applyBorder="1" applyAlignment="1">
      <alignment horizontal="center" vertical="center" wrapText="1"/>
    </xf>
    <xf numFmtId="1" fontId="12" fillId="5" borderId="34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1" fontId="29" fillId="5" borderId="35" xfId="0" applyNumberFormat="1" applyFont="1" applyFill="1" applyBorder="1" applyAlignment="1">
      <alignment horizontal="center" vertical="center" wrapText="1"/>
    </xf>
    <xf numFmtId="1" fontId="29" fillId="6" borderId="35" xfId="0" applyNumberFormat="1" applyFont="1" applyFill="1" applyBorder="1" applyAlignment="1">
      <alignment horizontal="center" vertical="center" wrapText="1"/>
    </xf>
    <xf numFmtId="0" fontId="29" fillId="7" borderId="35" xfId="0" applyFont="1" applyFill="1" applyBorder="1" applyAlignment="1">
      <alignment horizontal="center" vertical="center" wrapText="1"/>
    </xf>
    <xf numFmtId="0" fontId="30" fillId="3" borderId="35" xfId="0" applyFont="1" applyFill="1" applyBorder="1" applyAlignment="1">
      <alignment horizontal="center" vertical="center" wrapText="1"/>
    </xf>
    <xf numFmtId="0" fontId="29" fillId="8" borderId="35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5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5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5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5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5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134937</xdr:colOff>
      <xdr:row>1</xdr:row>
      <xdr:rowOff>230118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topLeftCell="C10" workbookViewId="0">
      <selection activeCell="G24" sqref="G24"/>
    </sheetView>
  </sheetViews>
  <sheetFormatPr defaultColWidth="8.86328125" defaultRowHeight="12.75" x14ac:dyDescent="0.35"/>
  <cols>
    <col min="1" max="1" width="23" style="5" customWidth="1"/>
    <col min="2" max="2" width="11.46484375" style="5" customWidth="1"/>
    <col min="3" max="3" width="8.86328125" style="129"/>
    <col min="4" max="4" width="13.46484375" style="5" customWidth="1"/>
    <col min="5" max="5" width="12.46484375" style="103" customWidth="1"/>
    <col min="6" max="6" width="12.46484375" style="118" customWidth="1"/>
    <col min="7" max="7" width="8.86328125" style="104"/>
    <col min="8" max="8" width="8.86328125" style="121"/>
    <col min="9" max="10" width="8.86328125" style="110"/>
    <col min="11" max="11" width="8.86328125" style="105"/>
    <col min="12" max="12" width="8.86328125" style="124"/>
    <col min="13" max="13" width="12.3984375" style="115" bestFit="1" customWidth="1"/>
    <col min="14" max="14" width="12.3984375" style="127" bestFit="1" customWidth="1"/>
    <col min="15" max="15" width="8.86328125" style="111"/>
    <col min="16" max="16" width="11.46484375" style="111" customWidth="1"/>
    <col min="17" max="16384" width="8.86328125" style="5"/>
  </cols>
  <sheetData>
    <row r="1" spans="1:16" ht="71.650000000000006" thickBot="1" x14ac:dyDescent="0.4">
      <c r="A1" s="96" t="s">
        <v>24</v>
      </c>
      <c r="B1" s="96" t="s">
        <v>25</v>
      </c>
      <c r="C1" s="128" t="s">
        <v>26</v>
      </c>
      <c r="D1" s="96" t="s">
        <v>27</v>
      </c>
      <c r="E1" s="97" t="s">
        <v>28</v>
      </c>
      <c r="F1" s="116" t="s">
        <v>29</v>
      </c>
      <c r="G1" s="98" t="s">
        <v>30</v>
      </c>
      <c r="H1" s="119" t="s">
        <v>31</v>
      </c>
      <c r="I1" s="99" t="s">
        <v>32</v>
      </c>
      <c r="J1" s="99" t="s">
        <v>33</v>
      </c>
      <c r="K1" s="112" t="s">
        <v>38</v>
      </c>
      <c r="L1" s="122" t="s">
        <v>39</v>
      </c>
      <c r="M1" s="100" t="s">
        <v>34</v>
      </c>
      <c r="N1" s="125" t="s">
        <v>35</v>
      </c>
      <c r="O1" s="101" t="s">
        <v>0</v>
      </c>
      <c r="P1" s="101" t="s">
        <v>36</v>
      </c>
    </row>
    <row r="2" spans="1:16" ht="14.65" thickTop="1" x14ac:dyDescent="0.45">
      <c r="A2" s="102" t="s">
        <v>37</v>
      </c>
      <c r="B2" s="5">
        <v>1</v>
      </c>
      <c r="C2" s="129">
        <v>10</v>
      </c>
      <c r="D2" s="4">
        <v>2024</v>
      </c>
      <c r="E2" s="103">
        <f>IF(October!C2&lt;0,"0",October!C2)+(IF(October!E2&lt;0,"0",October!E2)-(IF(October!G2&lt;0,"0",October!G2)))</f>
        <v>8200</v>
      </c>
      <c r="F2" s="117">
        <f>(October!C2*0.27)/(October!C2+October!E2)</f>
        <v>0.23532804878048783</v>
      </c>
      <c r="G2" s="104">
        <f>October!U2</f>
        <v>60</v>
      </c>
      <c r="H2" s="120">
        <v>0.62</v>
      </c>
      <c r="I2" s="105">
        <f>October!W2</f>
        <v>123</v>
      </c>
      <c r="J2" s="106">
        <v>2.42</v>
      </c>
      <c r="K2" s="113">
        <f>October!AB2*5.04</f>
        <v>1184.4000000000001</v>
      </c>
      <c r="L2" s="123">
        <v>0.11509999999999999</v>
      </c>
      <c r="M2" s="114">
        <f>October!M2</f>
        <v>0</v>
      </c>
      <c r="N2" s="126">
        <v>0.88</v>
      </c>
      <c r="O2" s="107">
        <f>October!AC2</f>
        <v>227</v>
      </c>
      <c r="P2" s="107">
        <f>October!AD2</f>
        <v>395</v>
      </c>
    </row>
    <row r="3" spans="1:16" ht="14.25" x14ac:dyDescent="0.45">
      <c r="A3" s="102" t="s">
        <v>37</v>
      </c>
      <c r="B3" s="5">
        <f>B2+1</f>
        <v>2</v>
      </c>
      <c r="C3" s="129">
        <v>10</v>
      </c>
      <c r="D3" s="4">
        <v>2024</v>
      </c>
      <c r="E3" s="103">
        <f>IF(October!C3&lt;0,"0",October!C3)+(IF(October!E3&lt;0,"0",October!E3)-(IF(October!G3&lt;0,"0",October!G3)))</f>
        <v>8539</v>
      </c>
      <c r="F3" s="117">
        <f>(October!C3*0.27)/(October!C3+October!E3)</f>
        <v>0.23483897411874929</v>
      </c>
      <c r="G3" s="104">
        <f>October!U3</f>
        <v>160</v>
      </c>
      <c r="H3" s="120">
        <v>0.62</v>
      </c>
      <c r="I3" s="105">
        <f>October!W3</f>
        <v>119</v>
      </c>
      <c r="J3" s="106">
        <v>2.42</v>
      </c>
      <c r="K3" s="113">
        <f>October!AB3*5.04</f>
        <v>1234.8</v>
      </c>
      <c r="L3" s="123">
        <v>0.11509999999999999</v>
      </c>
      <c r="M3" s="114">
        <f>October!M3</f>
        <v>0</v>
      </c>
      <c r="N3" s="126">
        <v>0.88</v>
      </c>
      <c r="O3" s="107">
        <f>October!AC3</f>
        <v>234</v>
      </c>
      <c r="P3" s="107">
        <f>October!AD3</f>
        <v>409</v>
      </c>
    </row>
    <row r="4" spans="1:16" ht="14.25" x14ac:dyDescent="0.45">
      <c r="A4" s="102" t="s">
        <v>37</v>
      </c>
      <c r="B4" s="5">
        <f t="shared" ref="B4:B32" si="0">B3+1</f>
        <v>3</v>
      </c>
      <c r="C4" s="129">
        <v>10</v>
      </c>
      <c r="D4" s="4">
        <v>2024</v>
      </c>
      <c r="E4" s="103">
        <f>IF(October!C4&lt;0,"0",October!C4)+(IF(October!E4&lt;0,"0",October!E4)-(IF(October!G4&lt;0,"0",October!G4)))</f>
        <v>7961</v>
      </c>
      <c r="F4" s="117">
        <f>(October!C4*0.27)/(October!C4+October!E4)</f>
        <v>0.23248963698027889</v>
      </c>
      <c r="G4" s="104">
        <f>October!U4</f>
        <v>140</v>
      </c>
      <c r="H4" s="120">
        <v>0.62</v>
      </c>
      <c r="I4" s="105">
        <f>October!W4</f>
        <v>130</v>
      </c>
      <c r="J4" s="106">
        <v>2.42</v>
      </c>
      <c r="K4" s="113">
        <f>October!AB4*5.04</f>
        <v>1335.6</v>
      </c>
      <c r="L4" s="123">
        <v>0.11509999999999999</v>
      </c>
      <c r="M4" s="114">
        <f>October!M4</f>
        <v>0</v>
      </c>
      <c r="N4" s="126">
        <v>0.88</v>
      </c>
      <c r="O4" s="107">
        <f>October!AC4</f>
        <v>236</v>
      </c>
      <c r="P4" s="107">
        <f>October!AD4</f>
        <v>417</v>
      </c>
    </row>
    <row r="5" spans="1:16" ht="14.25" x14ac:dyDescent="0.45">
      <c r="A5" s="102" t="s">
        <v>37</v>
      </c>
      <c r="B5" s="5">
        <f t="shared" si="0"/>
        <v>4</v>
      </c>
      <c r="C5" s="129">
        <v>10</v>
      </c>
      <c r="D5" s="4">
        <v>2024</v>
      </c>
      <c r="E5" s="103">
        <f>IF(October!C5&lt;0,"0",October!C5)+(IF(October!E5&lt;0,"0",October!E5)-(IF(October!G5&lt;0,"0",October!G5)))</f>
        <v>8366</v>
      </c>
      <c r="F5" s="117">
        <f>(October!C5*0.27)/(October!C5+October!E5)</f>
        <v>0.23456371025579728</v>
      </c>
      <c r="G5" s="104">
        <f>October!U5</f>
        <v>190</v>
      </c>
      <c r="H5" s="120">
        <v>0.62</v>
      </c>
      <c r="I5" s="105">
        <f>October!W5</f>
        <v>120</v>
      </c>
      <c r="J5" s="106">
        <v>2.42</v>
      </c>
      <c r="K5" s="113">
        <f>October!AB5*5.04</f>
        <v>1436.4</v>
      </c>
      <c r="L5" s="123">
        <v>0.11509999999999999</v>
      </c>
      <c r="M5" s="114">
        <f>October!M5</f>
        <v>0</v>
      </c>
      <c r="N5" s="126">
        <v>0.88</v>
      </c>
      <c r="O5" s="107">
        <f>October!AC5</f>
        <v>234</v>
      </c>
      <c r="P5" s="107">
        <f>October!AD5</f>
        <v>412</v>
      </c>
    </row>
    <row r="6" spans="1:16" ht="14.25" x14ac:dyDescent="0.45">
      <c r="A6" s="102" t="s">
        <v>37</v>
      </c>
      <c r="B6" s="5">
        <f t="shared" si="0"/>
        <v>5</v>
      </c>
      <c r="C6" s="129">
        <v>10</v>
      </c>
      <c r="D6" s="4">
        <v>2024</v>
      </c>
      <c r="E6" s="103">
        <f>IF(October!C6&lt;0,"0",October!C6)+(IF(October!E6&lt;0,"0",October!E6)-(IF(October!G6&lt;0,"0",October!G6)))</f>
        <v>8356</v>
      </c>
      <c r="F6" s="117">
        <f>(October!C6*0.27)/(October!C6+October!E6)</f>
        <v>0.23468286261369078</v>
      </c>
      <c r="G6" s="104">
        <f>October!U6</f>
        <v>25</v>
      </c>
      <c r="H6" s="120">
        <v>0.62</v>
      </c>
      <c r="I6" s="105">
        <f>October!W6</f>
        <v>121</v>
      </c>
      <c r="J6" s="106">
        <v>2.42</v>
      </c>
      <c r="K6" s="113">
        <f>October!AB6*5.04</f>
        <v>1234.8</v>
      </c>
      <c r="L6" s="123">
        <v>0.11509999999999999</v>
      </c>
      <c r="M6" s="114">
        <f>October!M6</f>
        <v>0</v>
      </c>
      <c r="N6" s="126">
        <v>0.88</v>
      </c>
      <c r="O6" s="107">
        <f>October!AC6</f>
        <v>238</v>
      </c>
      <c r="P6" s="107">
        <f>October!AD6</f>
        <v>414</v>
      </c>
    </row>
    <row r="7" spans="1:16" ht="14.25" x14ac:dyDescent="0.45">
      <c r="A7" s="102" t="s">
        <v>37</v>
      </c>
      <c r="B7" s="5">
        <f t="shared" si="0"/>
        <v>6</v>
      </c>
      <c r="C7" s="129">
        <v>10</v>
      </c>
      <c r="D7" s="4">
        <v>2024</v>
      </c>
      <c r="E7" s="103">
        <f>IF(October!C7&lt;0,"0",October!C7)+(IF(October!E7&lt;0,"0",October!E7)-(IF(October!G7&lt;0,"0",October!G7)))</f>
        <v>8218</v>
      </c>
      <c r="F7" s="117">
        <f>(October!C7*0.27)/(October!C7+October!E7)</f>
        <v>0.23451691409101974</v>
      </c>
      <c r="G7" s="104">
        <f>October!U7</f>
        <v>255</v>
      </c>
      <c r="H7" s="120">
        <v>0.62</v>
      </c>
      <c r="I7" s="105">
        <f>October!W7</f>
        <v>119</v>
      </c>
      <c r="J7" s="106">
        <v>2.42</v>
      </c>
      <c r="K7" s="113">
        <f>October!AB7*5.04</f>
        <v>1310.4000000000001</v>
      </c>
      <c r="L7" s="123">
        <v>0.11509999999999999</v>
      </c>
      <c r="M7" s="114">
        <f>October!M7</f>
        <v>0</v>
      </c>
      <c r="N7" s="126">
        <v>0.88</v>
      </c>
      <c r="O7" s="107">
        <f>October!AC7</f>
        <v>170</v>
      </c>
      <c r="P7" s="107">
        <f>October!AD7</f>
        <v>317</v>
      </c>
    </row>
    <row r="8" spans="1:16" ht="14.25" x14ac:dyDescent="0.45">
      <c r="A8" s="102" t="s">
        <v>37</v>
      </c>
      <c r="B8" s="5">
        <f t="shared" si="0"/>
        <v>7</v>
      </c>
      <c r="C8" s="129">
        <v>10</v>
      </c>
      <c r="D8" s="4">
        <v>2024</v>
      </c>
      <c r="E8" s="103">
        <f>IF(October!C8&lt;0,"0",October!C8)+(IF(October!E8&lt;0,"0",October!E8)-(IF(October!G8&lt;0,"0",October!G8)))</f>
        <v>8299</v>
      </c>
      <c r="F8" s="117">
        <f>(October!C8*0.27)/(October!C8+October!E8)</f>
        <v>0.23531871309796362</v>
      </c>
      <c r="G8" s="104" t="str">
        <f>October!U8</f>
        <v>0</v>
      </c>
      <c r="H8" s="120">
        <v>0.62</v>
      </c>
      <c r="I8" s="105">
        <f>October!W8</f>
        <v>114</v>
      </c>
      <c r="J8" s="106">
        <v>2.42</v>
      </c>
      <c r="K8" s="113">
        <f>October!AB8*5.04</f>
        <v>1159.2</v>
      </c>
      <c r="L8" s="123">
        <v>0.11509999999999999</v>
      </c>
      <c r="M8" s="114">
        <f>October!M8</f>
        <v>0</v>
      </c>
      <c r="N8" s="126">
        <v>0.88</v>
      </c>
      <c r="O8" s="107">
        <f>October!AC8</f>
        <v>183</v>
      </c>
      <c r="P8" s="107">
        <f>October!AD8</f>
        <v>344</v>
      </c>
    </row>
    <row r="9" spans="1:16" ht="14.25" x14ac:dyDescent="0.45">
      <c r="A9" s="102" t="s">
        <v>37</v>
      </c>
      <c r="B9" s="5">
        <f t="shared" si="0"/>
        <v>8</v>
      </c>
      <c r="C9" s="129">
        <v>10</v>
      </c>
      <c r="D9" s="4">
        <v>2024</v>
      </c>
      <c r="E9" s="103">
        <f>IF(October!C9&lt;0,"0",October!C9)+(IF(October!E9&lt;0,"0",October!E9)-(IF(October!G9&lt;0,"0",October!G9)))</f>
        <v>8508</v>
      </c>
      <c r="F9" s="117">
        <f>(October!C9*0.27)/(October!C9+October!E9)</f>
        <v>0.26485895627644573</v>
      </c>
      <c r="G9" s="104" t="str">
        <f>October!U9</f>
        <v>0</v>
      </c>
      <c r="H9" s="120">
        <v>0.62</v>
      </c>
      <c r="I9" s="105">
        <f>October!W9</f>
        <v>93</v>
      </c>
      <c r="J9" s="106">
        <v>2.42</v>
      </c>
      <c r="K9" s="113">
        <f>October!AB9*5.04</f>
        <v>1260</v>
      </c>
      <c r="L9" s="123">
        <v>0.11509999999999999</v>
      </c>
      <c r="M9" s="114">
        <f>October!M9</f>
        <v>0</v>
      </c>
      <c r="N9" s="126">
        <v>0.88</v>
      </c>
      <c r="O9" s="107">
        <f>October!AC9</f>
        <v>174</v>
      </c>
      <c r="P9" s="107">
        <f>October!AD9</f>
        <v>333</v>
      </c>
    </row>
    <row r="10" spans="1:16" ht="14.25" x14ac:dyDescent="0.45">
      <c r="A10" s="102" t="s">
        <v>37</v>
      </c>
      <c r="B10" s="5">
        <f t="shared" si="0"/>
        <v>9</v>
      </c>
      <c r="C10" s="129">
        <v>10</v>
      </c>
      <c r="D10" s="4">
        <v>2024</v>
      </c>
      <c r="E10" s="103">
        <f>IF(October!C10&lt;0,"0",October!C10)+(IF(October!E10&lt;0,"0",October!E10)-(IF(October!G10&lt;0,"0",October!G10)))</f>
        <v>8007</v>
      </c>
      <c r="F10" s="117">
        <f>(October!C10*0.27)/(October!C10+October!E10)</f>
        <v>0.2549269389284376</v>
      </c>
      <c r="G10" s="104">
        <f>October!U10</f>
        <v>85</v>
      </c>
      <c r="H10" s="120">
        <v>0.62</v>
      </c>
      <c r="I10" s="105">
        <f>October!W10</f>
        <v>102</v>
      </c>
      <c r="J10" s="106">
        <v>2.42</v>
      </c>
      <c r="K10" s="113">
        <f>October!AB10*5.04</f>
        <v>806.4</v>
      </c>
      <c r="L10" s="123">
        <v>0.11509999999999999</v>
      </c>
      <c r="M10" s="114">
        <f>October!M10</f>
        <v>0</v>
      </c>
      <c r="N10" s="126">
        <v>0.88</v>
      </c>
      <c r="O10" s="107">
        <f>October!AC10</f>
        <v>215</v>
      </c>
      <c r="P10" s="107">
        <f>October!AD10</f>
        <v>404</v>
      </c>
    </row>
    <row r="11" spans="1:16" ht="14.25" x14ac:dyDescent="0.45">
      <c r="A11" s="102" t="s">
        <v>37</v>
      </c>
      <c r="B11" s="5">
        <f t="shared" si="0"/>
        <v>10</v>
      </c>
      <c r="C11" s="129">
        <v>10</v>
      </c>
      <c r="D11" s="4">
        <v>2024</v>
      </c>
      <c r="E11" s="103">
        <f>IF(October!C11&lt;0,"0",October!C11)+(IF(October!E11&lt;0,"0",October!E11)-(IF(October!G11&lt;0,"0",October!G11)))</f>
        <v>8192</v>
      </c>
      <c r="F11" s="117">
        <f>(October!C11*0.27)/(October!C11+October!E11)</f>
        <v>0.23595336914062501</v>
      </c>
      <c r="G11" s="104">
        <f>October!U11</f>
        <v>45</v>
      </c>
      <c r="H11" s="120">
        <v>0.62</v>
      </c>
      <c r="I11" s="105">
        <f>October!W11</f>
        <v>118</v>
      </c>
      <c r="J11" s="106">
        <v>2.42</v>
      </c>
      <c r="K11" s="113">
        <f>October!AB11*5.04</f>
        <v>2142</v>
      </c>
      <c r="L11" s="123">
        <v>0.11509999999999999</v>
      </c>
      <c r="M11" s="114">
        <f>October!M11</f>
        <v>0</v>
      </c>
      <c r="N11" s="126">
        <v>0.88</v>
      </c>
      <c r="O11" s="107">
        <f>October!AC11</f>
        <v>216</v>
      </c>
      <c r="P11" s="107">
        <f>October!AD11</f>
        <v>408</v>
      </c>
    </row>
    <row r="12" spans="1:16" ht="14.25" x14ac:dyDescent="0.45">
      <c r="A12" s="102" t="s">
        <v>37</v>
      </c>
      <c r="B12" s="5">
        <f t="shared" si="0"/>
        <v>11</v>
      </c>
      <c r="C12" s="129">
        <v>10</v>
      </c>
      <c r="D12" s="4">
        <v>2024</v>
      </c>
      <c r="E12" s="103">
        <f>IF(October!C12&lt;0,"0",October!C12)+(IF(October!E12&lt;0,"0",October!E12)-(IF(October!G12&lt;0,"0",October!G12)))</f>
        <v>8065</v>
      </c>
      <c r="F12" s="117">
        <f>(October!C12*0.27)/(October!C12+October!E12)</f>
        <v>0.24274891506509613</v>
      </c>
      <c r="G12" s="104">
        <f>October!U12</f>
        <v>195</v>
      </c>
      <c r="H12" s="120">
        <v>0.62</v>
      </c>
      <c r="I12" s="105">
        <f>October!W12</f>
        <v>121</v>
      </c>
      <c r="J12" s="106">
        <v>2.42</v>
      </c>
      <c r="K12" s="113">
        <f>October!AB12*5.04</f>
        <v>1512</v>
      </c>
      <c r="L12" s="123">
        <v>0.11509999999999999</v>
      </c>
      <c r="M12" s="114">
        <f>October!M12</f>
        <v>0</v>
      </c>
      <c r="N12" s="126">
        <v>0.88</v>
      </c>
      <c r="O12" s="107">
        <f>October!AC12</f>
        <v>219</v>
      </c>
      <c r="P12" s="107">
        <f>October!AD12</f>
        <v>429</v>
      </c>
    </row>
    <row r="13" spans="1:16" ht="14.25" x14ac:dyDescent="0.45">
      <c r="A13" s="102" t="s">
        <v>37</v>
      </c>
      <c r="B13" s="5">
        <f t="shared" si="0"/>
        <v>12</v>
      </c>
      <c r="C13" s="129">
        <v>10</v>
      </c>
      <c r="D13" s="4">
        <v>2024</v>
      </c>
      <c r="E13" s="103">
        <f>IF(October!C13&lt;0,"0",October!C13)+(IF(October!E13&lt;0,"0",October!E13)-(IF(October!G13&lt;0,"0",October!G13)))</f>
        <v>8133</v>
      </c>
      <c r="F13" s="117">
        <f>(October!C13*0.27)/(October!C13+October!E13)</f>
        <v>0.23706750276650684</v>
      </c>
      <c r="G13" s="104">
        <f>October!U13</f>
        <v>135</v>
      </c>
      <c r="H13" s="120">
        <v>0.62</v>
      </c>
      <c r="I13" s="105">
        <f>October!W13</f>
        <v>126</v>
      </c>
      <c r="J13" s="106">
        <v>2.42</v>
      </c>
      <c r="K13" s="113">
        <f>October!AB13*5.04</f>
        <v>806.4</v>
      </c>
      <c r="L13" s="123">
        <v>0.11509999999999999</v>
      </c>
      <c r="M13" s="114">
        <f>October!M13</f>
        <v>0</v>
      </c>
      <c r="N13" s="126">
        <v>0.88</v>
      </c>
      <c r="O13" s="107">
        <f>October!AC13</f>
        <v>230</v>
      </c>
      <c r="P13" s="107">
        <f>October!AD13</f>
        <v>458</v>
      </c>
    </row>
    <row r="14" spans="1:16" ht="14.25" x14ac:dyDescent="0.45">
      <c r="A14" s="102" t="s">
        <v>37</v>
      </c>
      <c r="B14" s="5">
        <f t="shared" si="0"/>
        <v>13</v>
      </c>
      <c r="C14" s="129">
        <v>10</v>
      </c>
      <c r="D14" s="4">
        <v>2024</v>
      </c>
      <c r="E14" s="103">
        <f>IF(October!C14&lt;0,"0",October!C14)+(IF(October!E14&lt;0,"0",October!E14)-(IF(October!G14&lt;0,"0",October!G14)))</f>
        <v>8233</v>
      </c>
      <c r="F14" s="117">
        <f>(October!C14*0.27)/(October!C14+October!E14)</f>
        <v>0.23950078950564802</v>
      </c>
      <c r="G14" s="104">
        <f>October!U14</f>
        <v>20</v>
      </c>
      <c r="H14" s="120">
        <v>0.62</v>
      </c>
      <c r="I14" s="105">
        <f>October!W14</f>
        <v>116</v>
      </c>
      <c r="J14" s="106">
        <v>2.42</v>
      </c>
      <c r="K14" s="113">
        <f>October!AB14*5.04</f>
        <v>1335.6</v>
      </c>
      <c r="L14" s="123">
        <v>0.11509999999999999</v>
      </c>
      <c r="M14" s="114">
        <f>October!M14</f>
        <v>0</v>
      </c>
      <c r="N14" s="126">
        <v>0.88</v>
      </c>
      <c r="O14" s="107">
        <f>October!AC14</f>
        <v>210</v>
      </c>
      <c r="P14" s="107">
        <f>October!AD14</f>
        <v>418</v>
      </c>
    </row>
    <row r="15" spans="1:16" ht="14.25" x14ac:dyDescent="0.45">
      <c r="A15" s="102" t="s">
        <v>37</v>
      </c>
      <c r="B15" s="5">
        <f t="shared" si="0"/>
        <v>14</v>
      </c>
      <c r="C15" s="129">
        <v>10</v>
      </c>
      <c r="D15" s="4">
        <v>2024</v>
      </c>
      <c r="E15" s="103">
        <f>IF(October!C15&lt;0,"0",October!C15)+(IF(October!E15&lt;0,"0",October!E15)-(IF(October!G15&lt;0,"0",October!G15)))</f>
        <v>8334</v>
      </c>
      <c r="F15" s="117">
        <f>(October!C15*0.27)/(October!C15+October!E15)</f>
        <v>0.23812095032397412</v>
      </c>
      <c r="G15" s="104">
        <f>October!U15</f>
        <v>108</v>
      </c>
      <c r="H15" s="120">
        <v>0.62</v>
      </c>
      <c r="I15" s="105">
        <f>October!W15</f>
        <v>109</v>
      </c>
      <c r="J15" s="106">
        <v>2.42</v>
      </c>
      <c r="K15" s="113">
        <f>October!AB15*5.04</f>
        <v>2167.1999999999998</v>
      </c>
      <c r="L15" s="123">
        <v>0.11509999999999999</v>
      </c>
      <c r="M15" s="114">
        <f>October!M15</f>
        <v>0</v>
      </c>
      <c r="N15" s="126">
        <v>0.88</v>
      </c>
      <c r="O15" s="107">
        <f>October!AC15</f>
        <v>212</v>
      </c>
      <c r="P15" s="107">
        <f>October!AD15</f>
        <v>415</v>
      </c>
    </row>
    <row r="16" spans="1:16" ht="14.25" x14ac:dyDescent="0.45">
      <c r="A16" s="102" t="s">
        <v>37</v>
      </c>
      <c r="B16" s="5">
        <f t="shared" si="0"/>
        <v>15</v>
      </c>
      <c r="C16" s="129">
        <v>10</v>
      </c>
      <c r="D16" s="4">
        <v>2024</v>
      </c>
      <c r="E16" s="103">
        <f>IF(October!C16&lt;0,"0",October!C16)+(IF(October!E16&lt;0,"0",October!E16)-(IF(October!G16&lt;0,"0",October!G16)))</f>
        <v>8059</v>
      </c>
      <c r="F16" s="117">
        <f>(October!C16*0.27)/(October!C16+October!E16)</f>
        <v>0.24001489018488648</v>
      </c>
      <c r="G16" s="104" t="str">
        <f>October!U16</f>
        <v>0</v>
      </c>
      <c r="H16" s="120">
        <v>0.62</v>
      </c>
      <c r="I16" s="105">
        <f>October!W16</f>
        <v>130</v>
      </c>
      <c r="J16" s="106">
        <v>2.42</v>
      </c>
      <c r="K16" s="113">
        <f>October!AB16*5.04</f>
        <v>2167.1999999999998</v>
      </c>
      <c r="L16" s="123">
        <v>0.11509999999999999</v>
      </c>
      <c r="M16" s="114">
        <f>October!M16</f>
        <v>0</v>
      </c>
      <c r="N16" s="126">
        <v>0.88</v>
      </c>
      <c r="O16" s="107">
        <f>October!AC16</f>
        <v>218</v>
      </c>
      <c r="P16" s="107">
        <f>October!AD16</f>
        <v>430</v>
      </c>
    </row>
    <row r="17" spans="1:16" ht="14.25" x14ac:dyDescent="0.45">
      <c r="A17" s="102" t="s">
        <v>37</v>
      </c>
      <c r="B17" s="5">
        <f t="shared" si="0"/>
        <v>16</v>
      </c>
      <c r="C17" s="129">
        <v>10</v>
      </c>
      <c r="D17" s="4">
        <v>2024</v>
      </c>
      <c r="E17" s="103">
        <f>IF(October!C17&lt;0,"0",October!C17)+(IF(October!E17&lt;0,"0",October!E17)-(IF(October!G17&lt;0,"0",October!G17)))</f>
        <v>8229</v>
      </c>
      <c r="F17" s="117">
        <f>(October!C17*0.27)/(October!C17+October!E17)</f>
        <v>0.24434196135617936</v>
      </c>
      <c r="G17" s="104">
        <f>October!U17</f>
        <v>140</v>
      </c>
      <c r="H17" s="120">
        <v>0.62</v>
      </c>
      <c r="I17" s="105">
        <f>October!W17</f>
        <v>98</v>
      </c>
      <c r="J17" s="106">
        <v>2.42</v>
      </c>
      <c r="K17" s="113">
        <f>October!AB17*5.04</f>
        <v>1713.6</v>
      </c>
      <c r="L17" s="123">
        <v>0.11509999999999999</v>
      </c>
      <c r="M17" s="114">
        <f>October!M17</f>
        <v>0</v>
      </c>
      <c r="N17" s="126">
        <v>0.88</v>
      </c>
      <c r="O17" s="107">
        <f>October!AC17</f>
        <v>198</v>
      </c>
      <c r="P17" s="107">
        <f>October!AD17</f>
        <v>393</v>
      </c>
    </row>
    <row r="18" spans="1:16" ht="14.25" x14ac:dyDescent="0.45">
      <c r="A18" s="102" t="s">
        <v>37</v>
      </c>
      <c r="B18" s="5">
        <f t="shared" si="0"/>
        <v>17</v>
      </c>
      <c r="C18" s="129">
        <v>10</v>
      </c>
      <c r="D18" s="4">
        <v>2024</v>
      </c>
      <c r="E18" s="103">
        <f>IF(October!C18&lt;0,"0",October!C18)+(IF(October!E18&lt;0,"0",October!E18)-(IF(October!G18&lt;0,"0",October!G18)))</f>
        <v>8167</v>
      </c>
      <c r="F18" s="117">
        <f>(October!C18*0.27)/(October!C18+October!E18)</f>
        <v>0.2404444716542182</v>
      </c>
      <c r="G18" s="104">
        <f>October!U18</f>
        <v>185</v>
      </c>
      <c r="H18" s="120">
        <v>0.62</v>
      </c>
      <c r="I18" s="105">
        <f>October!W18</f>
        <v>79</v>
      </c>
      <c r="J18" s="106">
        <v>2.42</v>
      </c>
      <c r="K18" s="113">
        <f>October!AB18*5.04</f>
        <v>1411.2</v>
      </c>
      <c r="L18" s="123">
        <v>0.11509999999999999</v>
      </c>
      <c r="M18" s="114">
        <f>October!M18</f>
        <v>0</v>
      </c>
      <c r="N18" s="126">
        <v>0.88</v>
      </c>
      <c r="O18" s="107">
        <f>October!AC18</f>
        <v>210</v>
      </c>
      <c r="P18" s="107">
        <f>October!AD18</f>
        <v>419</v>
      </c>
    </row>
    <row r="19" spans="1:16" ht="14.25" x14ac:dyDescent="0.45">
      <c r="A19" s="102" t="s">
        <v>37</v>
      </c>
      <c r="B19" s="5">
        <f t="shared" si="0"/>
        <v>18</v>
      </c>
      <c r="C19" s="129">
        <v>10</v>
      </c>
      <c r="D19" s="4">
        <v>2024</v>
      </c>
      <c r="E19" s="103">
        <f>IF(October!C19&lt;0,"0",October!C19)+(IF(October!E19&lt;0,"0",October!E19)-(IF(October!G19&lt;0,"0",October!G19)))</f>
        <v>7426</v>
      </c>
      <c r="F19" s="117">
        <f>(October!C19*0.27)/(October!C19+October!E19)</f>
        <v>0.23600457850794507</v>
      </c>
      <c r="G19" s="104">
        <f>October!U19</f>
        <v>150</v>
      </c>
      <c r="H19" s="120">
        <v>0.62</v>
      </c>
      <c r="I19" s="105">
        <f>October!W19</f>
        <v>94</v>
      </c>
      <c r="J19" s="106">
        <v>2.42</v>
      </c>
      <c r="K19" s="113">
        <f>October!AB19*5.04</f>
        <v>2268</v>
      </c>
      <c r="L19" s="123">
        <v>0.11509999999999999</v>
      </c>
      <c r="M19" s="114">
        <f>October!M19</f>
        <v>0</v>
      </c>
      <c r="N19" s="126">
        <v>0.88</v>
      </c>
      <c r="O19" s="107">
        <f>October!AC19</f>
        <v>216</v>
      </c>
      <c r="P19" s="107">
        <f>October!AD19</f>
        <v>425</v>
      </c>
    </row>
    <row r="20" spans="1:16" ht="14.25" x14ac:dyDescent="0.45">
      <c r="A20" s="102" t="s">
        <v>37</v>
      </c>
      <c r="B20" s="5">
        <f t="shared" si="0"/>
        <v>19</v>
      </c>
      <c r="C20" s="129">
        <v>10</v>
      </c>
      <c r="D20" s="4">
        <v>2024</v>
      </c>
      <c r="E20" s="103">
        <f>IF(October!C20&lt;0,"0",October!C20)+(IF(October!E20&lt;0,"0",October!E20)-(IF(October!G20&lt;0,"0",October!G20)))</f>
        <v>7188</v>
      </c>
      <c r="F20" s="117">
        <f>(October!C20*0.27)/(October!C20+October!E20)</f>
        <v>0.23472871452420702</v>
      </c>
      <c r="G20" s="104">
        <f>October!U20</f>
        <v>120</v>
      </c>
      <c r="H20" s="120">
        <v>0.62</v>
      </c>
      <c r="I20" s="105">
        <f>October!W20</f>
        <v>94</v>
      </c>
      <c r="J20" s="106">
        <v>2.42</v>
      </c>
      <c r="K20" s="113">
        <f>October!AB20*5.04</f>
        <v>2016</v>
      </c>
      <c r="L20" s="123">
        <v>0.11509999999999999</v>
      </c>
      <c r="M20" s="114">
        <f>October!M20</f>
        <v>0</v>
      </c>
      <c r="N20" s="126">
        <v>0.88</v>
      </c>
      <c r="O20" s="107">
        <f>October!AC20</f>
        <v>238</v>
      </c>
      <c r="P20" s="107">
        <f>October!AD20</f>
        <v>473</v>
      </c>
    </row>
    <row r="21" spans="1:16" ht="14.25" x14ac:dyDescent="0.45">
      <c r="A21" s="102" t="s">
        <v>37</v>
      </c>
      <c r="B21" s="5">
        <f t="shared" si="0"/>
        <v>20</v>
      </c>
      <c r="C21" s="129">
        <v>10</v>
      </c>
      <c r="D21" s="4">
        <v>2024</v>
      </c>
      <c r="E21" s="103">
        <f>IF(October!C21&lt;0,"0",October!C21)+(IF(October!E21&lt;0,"0",October!E21)-(IF(October!G21&lt;0,"0",October!G21)))</f>
        <v>6999</v>
      </c>
      <c r="F21" s="117">
        <f>(October!C21*0.27)/(October!C21+October!E21)</f>
        <v>0.23346763823403346</v>
      </c>
      <c r="G21" s="104">
        <f>October!U21</f>
        <v>100</v>
      </c>
      <c r="H21" s="120">
        <v>0.62</v>
      </c>
      <c r="I21" s="105">
        <f>October!W21</f>
        <v>86</v>
      </c>
      <c r="J21" s="106">
        <v>2.42</v>
      </c>
      <c r="K21" s="113">
        <f>October!AB21*5.04</f>
        <v>2368.8000000000002</v>
      </c>
      <c r="L21" s="123">
        <v>0.11509999999999999</v>
      </c>
      <c r="M21" s="114">
        <f>October!M21</f>
        <v>0</v>
      </c>
      <c r="N21" s="126">
        <v>0.88</v>
      </c>
      <c r="O21" s="107">
        <f>October!AC21</f>
        <v>236</v>
      </c>
      <c r="P21" s="107">
        <f>October!AD21</f>
        <v>486</v>
      </c>
    </row>
    <row r="22" spans="1:16" ht="14.25" x14ac:dyDescent="0.45">
      <c r="A22" s="102" t="s">
        <v>37</v>
      </c>
      <c r="B22" s="5">
        <f t="shared" si="0"/>
        <v>21</v>
      </c>
      <c r="C22" s="129">
        <v>10</v>
      </c>
      <c r="D22" s="4">
        <v>2024</v>
      </c>
      <c r="E22" s="103">
        <f>IF(October!C22&lt;0,"0",October!C22)+(IF(October!E22&lt;0,"0",October!E22)-(IF(October!G22&lt;0,"0",October!G22)))</f>
        <v>6809</v>
      </c>
      <c r="F22" s="117">
        <f>(October!C22*0.27)/(October!C22+October!E22)</f>
        <v>0.23161550888529889</v>
      </c>
      <c r="G22" s="104">
        <f>October!U22</f>
        <v>211.55000000000018</v>
      </c>
      <c r="H22" s="120">
        <v>0.62</v>
      </c>
      <c r="I22" s="105">
        <f>October!W22</f>
        <v>98</v>
      </c>
      <c r="J22" s="106">
        <v>2.42</v>
      </c>
      <c r="K22" s="113">
        <f>October!AB22*5.04</f>
        <v>3754.8</v>
      </c>
      <c r="L22" s="123">
        <v>0.11509999999999999</v>
      </c>
      <c r="M22" s="114">
        <f>October!M22</f>
        <v>0</v>
      </c>
      <c r="N22" s="126">
        <v>0.88</v>
      </c>
      <c r="O22" s="107">
        <f>October!AC22</f>
        <v>0</v>
      </c>
      <c r="P22" s="107">
        <f>October!AD22</f>
        <v>0</v>
      </c>
    </row>
    <row r="23" spans="1:16" ht="14.25" x14ac:dyDescent="0.45">
      <c r="A23" s="102" t="s">
        <v>37</v>
      </c>
      <c r="B23" s="5">
        <f t="shared" si="0"/>
        <v>22</v>
      </c>
      <c r="C23" s="129">
        <v>10</v>
      </c>
      <c r="D23" s="4">
        <v>2024</v>
      </c>
      <c r="E23" s="103">
        <f>IF(October!C23&lt;0,"0",October!C23)+(IF(October!E23&lt;0,"0",October!E23)-(IF(October!G23&lt;0,"0",October!G23)))</f>
        <v>6439</v>
      </c>
      <c r="F23" s="117">
        <f>(October!C23*0.27)/(October!C23+October!E23)</f>
        <v>0.22949371020344775</v>
      </c>
      <c r="G23" s="104">
        <f>October!U23</f>
        <v>205</v>
      </c>
      <c r="H23" s="120">
        <v>0.62</v>
      </c>
      <c r="I23" s="105">
        <f>October!W23</f>
        <v>112</v>
      </c>
      <c r="J23" s="106">
        <v>2.42</v>
      </c>
      <c r="K23" s="113">
        <f>October!AB23*5.04</f>
        <v>5241.6000000000004</v>
      </c>
      <c r="L23" s="123">
        <v>0.11509999999999999</v>
      </c>
      <c r="M23" s="114">
        <f>October!M23</f>
        <v>0</v>
      </c>
      <c r="N23" s="126">
        <v>0.88</v>
      </c>
      <c r="O23" s="107">
        <f>October!AC23</f>
        <v>0</v>
      </c>
      <c r="P23" s="107">
        <f>October!AD23</f>
        <v>0</v>
      </c>
    </row>
    <row r="24" spans="1:16" ht="14.25" x14ac:dyDescent="0.45">
      <c r="A24" s="102" t="s">
        <v>37</v>
      </c>
      <c r="B24" s="5">
        <f t="shared" si="0"/>
        <v>23</v>
      </c>
      <c r="C24" s="129">
        <v>10</v>
      </c>
      <c r="D24" s="4">
        <v>2024</v>
      </c>
      <c r="E24" s="103">
        <f>IF(October!C24&lt;0,"0",October!C24)+(IF(October!E24&lt;0,"0",October!E24)-(IF(October!G24&lt;0,"0",October!G24)))</f>
        <v>0</v>
      </c>
      <c r="F24" s="117" t="e">
        <f>(October!C24*0.27)/(October!C24+October!E24)</f>
        <v>#DIV/0!</v>
      </c>
      <c r="G24" s="104">
        <f>October!U24</f>
        <v>3915</v>
      </c>
      <c r="H24" s="120">
        <v>0.62</v>
      </c>
      <c r="I24" s="105" t="str">
        <f>October!W24</f>
        <v>0</v>
      </c>
      <c r="J24" s="106">
        <v>2.42</v>
      </c>
      <c r="K24" s="113">
        <f>October!AB24*5.04</f>
        <v>15246</v>
      </c>
      <c r="L24" s="123">
        <v>0.11509999999999999</v>
      </c>
      <c r="M24" s="114">
        <f>October!M24</f>
        <v>0</v>
      </c>
      <c r="N24" s="126">
        <v>0.88</v>
      </c>
      <c r="O24" s="107">
        <f>October!AC24</f>
        <v>0</v>
      </c>
      <c r="P24" s="107">
        <f>October!AD24</f>
        <v>0</v>
      </c>
    </row>
    <row r="25" spans="1:16" ht="14.25" x14ac:dyDescent="0.45">
      <c r="A25" s="102" t="s">
        <v>37</v>
      </c>
      <c r="B25" s="5">
        <f t="shared" si="0"/>
        <v>24</v>
      </c>
      <c r="C25" s="129">
        <v>10</v>
      </c>
      <c r="D25" s="4">
        <v>2024</v>
      </c>
      <c r="E25" s="103">
        <f>IF(October!C25&lt;0,"0",October!C25)+(IF(October!E25&lt;0,"0",October!E25)-(IF(October!G25&lt;0,"0",October!G25)))</f>
        <v>0</v>
      </c>
      <c r="F25" s="117" t="e">
        <f>(October!C25*0.27)/(October!C25+October!E25)</f>
        <v>#DIV/0!</v>
      </c>
      <c r="G25" s="104">
        <f>October!U25</f>
        <v>0</v>
      </c>
      <c r="H25" s="120">
        <v>0.62</v>
      </c>
      <c r="I25" s="105">
        <f>October!W25</f>
        <v>0</v>
      </c>
      <c r="J25" s="106">
        <v>2.42</v>
      </c>
      <c r="K25" s="113">
        <f>October!AB25*5.04</f>
        <v>0</v>
      </c>
      <c r="L25" s="123">
        <v>0.11509999999999999</v>
      </c>
      <c r="M25" s="114">
        <f>October!M25</f>
        <v>0</v>
      </c>
      <c r="N25" s="126">
        <v>0.88</v>
      </c>
      <c r="O25" s="107">
        <f>October!AC25</f>
        <v>0</v>
      </c>
      <c r="P25" s="107">
        <f>October!AD25</f>
        <v>0</v>
      </c>
    </row>
    <row r="26" spans="1:16" ht="14.25" x14ac:dyDescent="0.45">
      <c r="A26" s="102" t="s">
        <v>37</v>
      </c>
      <c r="B26" s="5">
        <f>B25+1</f>
        <v>25</v>
      </c>
      <c r="C26" s="129">
        <v>10</v>
      </c>
      <c r="D26" s="4">
        <v>2024</v>
      </c>
      <c r="E26" s="103">
        <f>IF(October!C26&lt;0,"0",October!C26)+(IF(October!E26&lt;0,"0",October!E26)-(IF(October!G26&lt;0,"0",October!G26)))</f>
        <v>0</v>
      </c>
      <c r="F26" s="117" t="e">
        <f>(October!C26*0.27)/(October!C26+October!E26)</f>
        <v>#DIV/0!</v>
      </c>
      <c r="G26" s="104">
        <f>October!U26</f>
        <v>0</v>
      </c>
      <c r="H26" s="120">
        <v>0.62</v>
      </c>
      <c r="I26" s="105">
        <f>October!W26</f>
        <v>0</v>
      </c>
      <c r="J26" s="106">
        <v>2.42</v>
      </c>
      <c r="K26" s="113">
        <f>October!AB26*5.04</f>
        <v>0</v>
      </c>
      <c r="L26" s="123">
        <v>0.11509999999999999</v>
      </c>
      <c r="M26" s="114">
        <f>October!M26</f>
        <v>0</v>
      </c>
      <c r="N26" s="126">
        <v>0.88</v>
      </c>
      <c r="O26" s="107">
        <f>October!AC26</f>
        <v>0</v>
      </c>
      <c r="P26" s="107">
        <f>October!AD26</f>
        <v>0</v>
      </c>
    </row>
    <row r="27" spans="1:16" ht="14.25" x14ac:dyDescent="0.45">
      <c r="A27" s="102" t="s">
        <v>37</v>
      </c>
      <c r="B27" s="5">
        <f t="shared" si="0"/>
        <v>26</v>
      </c>
      <c r="C27" s="129">
        <v>10</v>
      </c>
      <c r="D27" s="4">
        <v>2024</v>
      </c>
      <c r="E27" s="103">
        <f>IF(October!C27&lt;0,"0",October!C27)+(IF(October!E27&lt;0,"0",October!E27)-(IF(October!G27&lt;0,"0",October!G27)))</f>
        <v>0</v>
      </c>
      <c r="F27" s="117" t="e">
        <f>(October!C27*0.27)/(October!C27+October!E27)</f>
        <v>#DIV/0!</v>
      </c>
      <c r="G27" s="104">
        <f>October!U27</f>
        <v>0</v>
      </c>
      <c r="H27" s="120">
        <v>0.62</v>
      </c>
      <c r="I27" s="105">
        <f>October!W27</f>
        <v>0</v>
      </c>
      <c r="J27" s="106">
        <v>2.42</v>
      </c>
      <c r="K27" s="113">
        <f>October!AB27*5.04</f>
        <v>0</v>
      </c>
      <c r="L27" s="123">
        <v>0.11509999999999999</v>
      </c>
      <c r="M27" s="114">
        <f>October!M27</f>
        <v>0</v>
      </c>
      <c r="N27" s="126">
        <v>0.88</v>
      </c>
      <c r="O27" s="107">
        <f>October!AC27</f>
        <v>0</v>
      </c>
      <c r="P27" s="107">
        <f>October!AD27</f>
        <v>0</v>
      </c>
    </row>
    <row r="28" spans="1:16" ht="14.25" x14ac:dyDescent="0.45">
      <c r="A28" s="102" t="s">
        <v>37</v>
      </c>
      <c r="B28" s="5">
        <f t="shared" si="0"/>
        <v>27</v>
      </c>
      <c r="C28" s="129">
        <v>10</v>
      </c>
      <c r="D28" s="4">
        <v>2024</v>
      </c>
      <c r="E28" s="103">
        <f>IF(October!C28&lt;0,"0",October!C28)+(IF(October!E28&lt;0,"0",October!E28)-(IF(October!G28&lt;0,"0",October!G28)))</f>
        <v>0</v>
      </c>
      <c r="F28" s="117" t="e">
        <f>(October!C28*0.27)/(October!C28+October!E28)</f>
        <v>#DIV/0!</v>
      </c>
      <c r="G28" s="104">
        <f>October!U28</f>
        <v>0</v>
      </c>
      <c r="H28" s="120">
        <v>0.62</v>
      </c>
      <c r="I28" s="105">
        <f>October!W28</f>
        <v>0</v>
      </c>
      <c r="J28" s="106">
        <v>2.42</v>
      </c>
      <c r="K28" s="113">
        <f>October!AB28*5.04</f>
        <v>0</v>
      </c>
      <c r="L28" s="123">
        <v>0.11509999999999999</v>
      </c>
      <c r="M28" s="114">
        <f>October!M28</f>
        <v>0</v>
      </c>
      <c r="N28" s="126">
        <v>0.88</v>
      </c>
      <c r="O28" s="107">
        <f>October!AC28</f>
        <v>0</v>
      </c>
      <c r="P28" s="107">
        <f>October!AD28</f>
        <v>0</v>
      </c>
    </row>
    <row r="29" spans="1:16" ht="14.25" x14ac:dyDescent="0.45">
      <c r="A29" s="102" t="s">
        <v>37</v>
      </c>
      <c r="B29" s="5">
        <f t="shared" si="0"/>
        <v>28</v>
      </c>
      <c r="C29" s="129">
        <v>10</v>
      </c>
      <c r="D29" s="4">
        <v>2024</v>
      </c>
      <c r="E29" s="103">
        <f>IF(October!C29&lt;0,"0",October!C29)+(IF(October!E29&lt;0,"0",October!E29)-(IF(October!G29&lt;0,"0",October!G29)))</f>
        <v>0</v>
      </c>
      <c r="F29" s="117" t="e">
        <f>(October!C29*0.27)/(October!C29+October!E29)</f>
        <v>#DIV/0!</v>
      </c>
      <c r="G29" s="104">
        <f>October!U29</f>
        <v>0</v>
      </c>
      <c r="H29" s="120">
        <v>0.62</v>
      </c>
      <c r="I29" s="105">
        <f>October!W29</f>
        <v>0</v>
      </c>
      <c r="J29" s="106">
        <v>2.42</v>
      </c>
      <c r="K29" s="113">
        <f>October!AB29*5.04</f>
        <v>0</v>
      </c>
      <c r="L29" s="123">
        <v>0.11509999999999999</v>
      </c>
      <c r="M29" s="114">
        <f>October!M29</f>
        <v>0</v>
      </c>
      <c r="N29" s="126">
        <v>0.88</v>
      </c>
      <c r="O29" s="107">
        <f>October!AC29</f>
        <v>0</v>
      </c>
      <c r="P29" s="107">
        <f>October!AD29</f>
        <v>0</v>
      </c>
    </row>
    <row r="30" spans="1:16" ht="14.25" x14ac:dyDescent="0.45">
      <c r="A30" s="102" t="s">
        <v>37</v>
      </c>
      <c r="B30" s="5">
        <f t="shared" si="0"/>
        <v>29</v>
      </c>
      <c r="C30" s="129">
        <v>10</v>
      </c>
      <c r="D30" s="4">
        <v>2024</v>
      </c>
      <c r="E30" s="103">
        <f>IF(October!C30&lt;0,"0",October!C30)+(IF(October!E30&lt;0,"0",October!E30)-(IF(October!G30&lt;0,"0",October!G30)))</f>
        <v>0</v>
      </c>
      <c r="F30" s="117" t="e">
        <f>(October!C30*0.27)/(October!C30+October!E30)</f>
        <v>#DIV/0!</v>
      </c>
      <c r="G30" s="104">
        <f>October!U30</f>
        <v>0</v>
      </c>
      <c r="H30" s="120">
        <v>0.62</v>
      </c>
      <c r="I30" s="105">
        <f>October!W30</f>
        <v>0</v>
      </c>
      <c r="J30" s="106">
        <v>2.42</v>
      </c>
      <c r="K30" s="113">
        <f>October!AB30*5.04</f>
        <v>0</v>
      </c>
      <c r="L30" s="123">
        <v>0.11509999999999999</v>
      </c>
      <c r="M30" s="114">
        <f>October!M30</f>
        <v>0</v>
      </c>
      <c r="N30" s="126">
        <v>0.88</v>
      </c>
      <c r="O30" s="107">
        <f>October!AC30</f>
        <v>0</v>
      </c>
      <c r="P30" s="107">
        <f>October!AD30</f>
        <v>0</v>
      </c>
    </row>
    <row r="31" spans="1:16" ht="14.25" x14ac:dyDescent="0.45">
      <c r="A31" s="102" t="s">
        <v>37</v>
      </c>
      <c r="B31" s="5">
        <f t="shared" si="0"/>
        <v>30</v>
      </c>
      <c r="C31" s="129">
        <v>10</v>
      </c>
      <c r="D31" s="4">
        <v>2024</v>
      </c>
      <c r="E31" s="103">
        <f>IF(October!C31&lt;0,"0",October!C31)+(IF(October!E31&lt;0,"0",October!E31)-(IF(October!G31&lt;0,"0",October!G31)))</f>
        <v>0</v>
      </c>
      <c r="F31" s="117" t="e">
        <f>(October!C31*0.27)/(October!C31+October!E31)</f>
        <v>#DIV/0!</v>
      </c>
      <c r="G31" s="104">
        <f>October!U31</f>
        <v>0</v>
      </c>
      <c r="H31" s="120">
        <v>0.62</v>
      </c>
      <c r="I31" s="105">
        <f>October!W31</f>
        <v>0</v>
      </c>
      <c r="J31" s="106">
        <v>2.42</v>
      </c>
      <c r="K31" s="113">
        <f>October!AB31*5.04</f>
        <v>0</v>
      </c>
      <c r="L31" s="123">
        <v>0.11509999999999999</v>
      </c>
      <c r="M31" s="114">
        <f>October!M31</f>
        <v>0</v>
      </c>
      <c r="N31" s="126">
        <v>0.88</v>
      </c>
      <c r="O31" s="107">
        <f>October!AC31</f>
        <v>0</v>
      </c>
      <c r="P31" s="107">
        <f>October!AD31</f>
        <v>0</v>
      </c>
    </row>
    <row r="32" spans="1:16" ht="14.25" x14ac:dyDescent="0.45">
      <c r="A32" s="102" t="s">
        <v>37</v>
      </c>
      <c r="B32" s="5">
        <f t="shared" si="0"/>
        <v>31</v>
      </c>
      <c r="C32" s="129">
        <v>10</v>
      </c>
      <c r="D32" s="4">
        <v>2024</v>
      </c>
      <c r="E32" s="103">
        <f>IF(October!C32&lt;0,"0",October!C32)+(IF(October!E32&lt;0,"0",October!E32)-(IF(October!G32&lt;0,"0",October!G32)))</f>
        <v>0</v>
      </c>
      <c r="F32" s="117" t="e">
        <f>(October!C32*0.27)/(October!C32+October!E32)</f>
        <v>#DIV/0!</v>
      </c>
      <c r="G32" s="104">
        <f>October!U32</f>
        <v>0</v>
      </c>
      <c r="H32" s="120">
        <v>0.62</v>
      </c>
      <c r="I32" s="105">
        <f>October!W32</f>
        <v>0</v>
      </c>
      <c r="J32" s="106">
        <v>2.42</v>
      </c>
      <c r="K32" s="113">
        <f>October!AB32*5.04</f>
        <v>0</v>
      </c>
      <c r="L32" s="123"/>
      <c r="M32" s="114">
        <f>October!M32</f>
        <v>0</v>
      </c>
      <c r="N32" s="126">
        <v>0.88</v>
      </c>
      <c r="O32" s="107">
        <f>October!AC32</f>
        <v>0</v>
      </c>
      <c r="P32" s="107">
        <f>October!AD32</f>
        <v>0</v>
      </c>
    </row>
    <row r="33" spans="4:16" x14ac:dyDescent="0.35">
      <c r="D33" s="108"/>
      <c r="F33" s="117"/>
      <c r="I33" s="106"/>
      <c r="J33" s="106"/>
      <c r="K33" s="113"/>
      <c r="L33" s="123"/>
      <c r="O33" s="109"/>
      <c r="P33" s="109"/>
    </row>
    <row r="34" spans="4:16" x14ac:dyDescent="0.35">
      <c r="D34" s="108"/>
      <c r="F34" s="117"/>
      <c r="I34" s="106"/>
      <c r="J34" s="106"/>
      <c r="K34" s="113"/>
      <c r="L34" s="123"/>
      <c r="O34" s="109"/>
      <c r="P34" s="109"/>
    </row>
    <row r="35" spans="4:16" x14ac:dyDescent="0.35">
      <c r="D35" s="108"/>
      <c r="F35" s="117"/>
      <c r="I35" s="106"/>
      <c r="J35" s="106"/>
      <c r="K35" s="113"/>
      <c r="L35" s="123"/>
      <c r="O35" s="109"/>
      <c r="P35" s="109"/>
    </row>
    <row r="36" spans="4:16" x14ac:dyDescent="0.35">
      <c r="D36" s="108"/>
      <c r="F36" s="117"/>
      <c r="I36" s="106"/>
      <c r="J36" s="106"/>
      <c r="K36" s="113"/>
      <c r="L36" s="123"/>
      <c r="O36" s="109"/>
      <c r="P36" s="109"/>
    </row>
    <row r="37" spans="4:16" x14ac:dyDescent="0.35">
      <c r="D37" s="108"/>
      <c r="F37" s="117"/>
      <c r="I37" s="106"/>
      <c r="J37" s="106"/>
      <c r="K37" s="113"/>
      <c r="L37" s="123"/>
      <c r="O37" s="109"/>
      <c r="P37" s="109"/>
    </row>
    <row r="38" spans="4:16" x14ac:dyDescent="0.35">
      <c r="D38" s="108"/>
      <c r="F38" s="117"/>
      <c r="I38" s="106"/>
      <c r="J38" s="106"/>
      <c r="K38" s="113"/>
      <c r="L38" s="123"/>
      <c r="O38" s="109"/>
      <c r="P38" s="109"/>
    </row>
    <row r="39" spans="4:16" x14ac:dyDescent="0.35">
      <c r="D39" s="108"/>
      <c r="F39" s="117"/>
      <c r="I39" s="106"/>
      <c r="J39" s="106"/>
      <c r="K39" s="113"/>
      <c r="L39" s="123"/>
      <c r="O39" s="109"/>
      <c r="P39" s="109"/>
    </row>
    <row r="40" spans="4:16" x14ac:dyDescent="0.35">
      <c r="F40" s="117"/>
      <c r="K40" s="113"/>
      <c r="L40" s="123"/>
    </row>
    <row r="41" spans="4:16" x14ac:dyDescent="0.35">
      <c r="F41" s="117"/>
      <c r="K41" s="113"/>
      <c r="L41" s="123"/>
    </row>
    <row r="42" spans="4:16" x14ac:dyDescent="0.35">
      <c r="F42" s="117"/>
      <c r="K42" s="113"/>
      <c r="L42" s="123"/>
    </row>
    <row r="43" spans="4:16" x14ac:dyDescent="0.35">
      <c r="F43" s="117"/>
      <c r="K43" s="113"/>
      <c r="L43" s="123"/>
    </row>
    <row r="44" spans="4:16" x14ac:dyDescent="0.35">
      <c r="K44" s="113"/>
      <c r="L44" s="1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E76"/>
  <sheetViews>
    <sheetView tabSelected="1" topLeftCell="K9" zoomScale="85" zoomScaleNormal="85" workbookViewId="0">
      <selection activeCell="K28" sqref="A28:XFD28"/>
    </sheetView>
  </sheetViews>
  <sheetFormatPr defaultColWidth="11.59765625" defaultRowHeight="13.15" x14ac:dyDescent="0.4"/>
  <cols>
    <col min="1" max="1" width="22.46484375" customWidth="1"/>
    <col min="2" max="2" width="10.86328125" customWidth="1"/>
    <col min="3" max="3" width="12.73046875" style="15" customWidth="1"/>
    <col min="4" max="4" width="10" style="5" customWidth="1"/>
    <col min="5" max="5" width="8.59765625" style="15" customWidth="1"/>
    <col min="6" max="6" width="10" style="5" customWidth="1"/>
    <col min="7" max="7" width="6.59765625" style="15" customWidth="1"/>
    <col min="8" max="9" width="9.73046875" style="5" customWidth="1"/>
    <col min="10" max="10" width="10.59765625" style="15" customWidth="1"/>
    <col min="11" max="11" width="23" customWidth="1"/>
    <col min="12" max="13" width="6.59765625" style="4" customWidth="1"/>
    <col min="14" max="14" width="4.3984375" style="15" customWidth="1"/>
    <col min="15" max="15" width="6.59765625" customWidth="1"/>
    <col min="16" max="18" width="6.3984375" customWidth="1"/>
    <col min="19" max="19" width="7.86328125" customWidth="1"/>
    <col min="20" max="20" width="7.86328125" style="4" customWidth="1"/>
    <col min="21" max="21" width="5.46484375" style="15" customWidth="1"/>
    <col min="22" max="22" width="8.3984375" customWidth="1"/>
    <col min="23" max="23" width="8.86328125" style="15" customWidth="1"/>
    <col min="24" max="24" width="8.86328125" customWidth="1"/>
    <col min="25" max="25" width="8.1328125" style="15" customWidth="1"/>
    <col min="26" max="27" width="7.59765625" style="7" customWidth="1"/>
    <col min="28" max="28" width="7.1328125" style="15" customWidth="1"/>
    <col min="29" max="29" width="6.3984375" customWidth="1"/>
    <col min="30" max="30" width="7" customWidth="1"/>
    <col min="32" max="36" width="15.265625" customWidth="1"/>
  </cols>
  <sheetData>
    <row r="1" spans="1:31" s="3" customFormat="1" ht="72" customHeight="1" thickTop="1" x14ac:dyDescent="0.35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73" t="s">
        <v>7</v>
      </c>
      <c r="H1" s="75" t="s">
        <v>18</v>
      </c>
      <c r="I1" s="79" t="s">
        <v>17</v>
      </c>
      <c r="J1" s="51" t="s">
        <v>5</v>
      </c>
      <c r="K1" s="25" t="s">
        <v>1</v>
      </c>
      <c r="L1" s="28" t="s">
        <v>2</v>
      </c>
      <c r="M1" s="81" t="s">
        <v>14</v>
      </c>
      <c r="N1" s="29" t="s">
        <v>5</v>
      </c>
      <c r="O1" s="89" t="s">
        <v>20</v>
      </c>
      <c r="P1" s="89" t="s">
        <v>21</v>
      </c>
      <c r="Q1" s="89" t="s">
        <v>22</v>
      </c>
      <c r="R1" s="89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1" ht="20.75" customHeight="1" x14ac:dyDescent="0.35">
      <c r="A2" s="19">
        <v>45566</v>
      </c>
      <c r="B2" s="8">
        <v>12940740</v>
      </c>
      <c r="C2" s="14">
        <f>B3-B2</f>
        <v>7147</v>
      </c>
      <c r="D2" s="9">
        <v>556855</v>
      </c>
      <c r="E2" s="14">
        <f>D3-D2</f>
        <v>1053</v>
      </c>
      <c r="F2" s="27">
        <v>1704</v>
      </c>
      <c r="G2" s="74">
        <f>F3-F2</f>
        <v>0</v>
      </c>
      <c r="H2" s="76">
        <f>C2+E2-G2</f>
        <v>8200</v>
      </c>
      <c r="I2" s="80">
        <f>H2-K2-M2-O2-Q2</f>
        <v>-37367.65</v>
      </c>
      <c r="J2" s="32">
        <f t="shared" ref="J2:J32" si="0">I3-I2</f>
        <v>338.04000000000087</v>
      </c>
      <c r="K2" s="19">
        <f t="shared" ref="K2:K33" si="1">A2</f>
        <v>45566</v>
      </c>
      <c r="L2" s="30">
        <v>5660</v>
      </c>
      <c r="M2" s="31">
        <v>0</v>
      </c>
      <c r="N2" s="32">
        <v>0</v>
      </c>
      <c r="O2" s="90">
        <v>0.8</v>
      </c>
      <c r="P2" s="91">
        <v>0.78</v>
      </c>
      <c r="Q2" s="90">
        <v>0.85</v>
      </c>
      <c r="R2" s="91">
        <v>0.78</v>
      </c>
      <c r="S2" s="39">
        <f>(2500*O2)+(2500*P2)+(500*Q2)+(500*R2)</f>
        <v>4765</v>
      </c>
      <c r="T2" s="130"/>
      <c r="U2" s="32">
        <f t="shared" ref="U2:U16" si="2">IF(OR((S2+T2-S3)&lt;0,S2&gt;S1),"0",(S2+T2-S3))</f>
        <v>60</v>
      </c>
      <c r="V2" s="43">
        <v>117425</v>
      </c>
      <c r="W2" s="32">
        <f>IF(V3-V2&lt;0,"0",V3-V2)</f>
        <v>123</v>
      </c>
      <c r="X2" s="46">
        <v>60866</v>
      </c>
      <c r="Y2" s="32">
        <f>X3-X2</f>
        <v>4</v>
      </c>
      <c r="Z2" s="49">
        <v>2835</v>
      </c>
      <c r="AA2" s="55">
        <v>0</v>
      </c>
      <c r="AB2" s="32">
        <f>IF((Z2-Z3+AA2)&lt;0,"0",(Z2-Z3+AA2))</f>
        <v>235</v>
      </c>
      <c r="AC2" s="12">
        <v>227</v>
      </c>
      <c r="AD2" s="17">
        <v>395</v>
      </c>
    </row>
    <row r="3" spans="1:31" ht="20.75" customHeight="1" x14ac:dyDescent="0.35">
      <c r="A3" s="20">
        <v>45567</v>
      </c>
      <c r="B3" s="10">
        <v>12947887</v>
      </c>
      <c r="C3" s="14">
        <f t="shared" ref="C3:C32" si="3">B4-B3</f>
        <v>7427</v>
      </c>
      <c r="D3" s="11">
        <v>557908</v>
      </c>
      <c r="E3" s="14">
        <f t="shared" ref="E3:E32" si="4">D4-D3</f>
        <v>1112</v>
      </c>
      <c r="F3" s="27">
        <v>1704</v>
      </c>
      <c r="G3" s="74">
        <f t="shared" ref="G3:G32" si="5">F4-F3</f>
        <v>0</v>
      </c>
      <c r="H3" s="76">
        <f t="shared" ref="H3:H32" si="6">C3+E3-G3</f>
        <v>8539</v>
      </c>
      <c r="I3" s="80">
        <f t="shared" ref="I3:I32" si="7">H3-K3-M3-O3-Q3</f>
        <v>-37029.61</v>
      </c>
      <c r="J3" s="32">
        <f t="shared" si="0"/>
        <v>-578.91000000000349</v>
      </c>
      <c r="K3" s="20">
        <f t="shared" si="1"/>
        <v>45567</v>
      </c>
      <c r="L3" s="33">
        <v>5660</v>
      </c>
      <c r="M3" s="34">
        <v>0</v>
      </c>
      <c r="N3" s="35">
        <v>0</v>
      </c>
      <c r="O3" s="92">
        <v>0.8</v>
      </c>
      <c r="P3" s="93">
        <v>0.77</v>
      </c>
      <c r="Q3" s="92">
        <v>0.81</v>
      </c>
      <c r="R3" s="93">
        <v>0.75</v>
      </c>
      <c r="S3" s="39">
        <f t="shared" ref="S3:S33" si="8">(2500*O3)+(2500*P3)+(500*Q3)+(500*R3)</f>
        <v>4705</v>
      </c>
      <c r="T3" s="130"/>
      <c r="U3" s="32">
        <f t="shared" si="2"/>
        <v>160</v>
      </c>
      <c r="V3" s="44">
        <v>117548</v>
      </c>
      <c r="W3" s="32">
        <f t="shared" ref="W3:W32" si="9">IF(V4-V3&lt;0,"0",V4-V3)</f>
        <v>119</v>
      </c>
      <c r="X3" s="47">
        <v>60870</v>
      </c>
      <c r="Y3" s="32">
        <f t="shared" ref="Y3:Y32" si="10">X4-X3</f>
        <v>9</v>
      </c>
      <c r="Z3" s="50">
        <v>2600</v>
      </c>
      <c r="AA3" s="56">
        <v>0</v>
      </c>
      <c r="AB3" s="32">
        <f t="shared" ref="AB3:AB32" si="11">IF((Z3-Z4+AA3)&lt;0,"0",(Z3-Z4+AA3))</f>
        <v>245</v>
      </c>
      <c r="AC3" s="13">
        <v>234</v>
      </c>
      <c r="AD3" s="18">
        <v>409</v>
      </c>
    </row>
    <row r="4" spans="1:31" ht="20.75" customHeight="1" x14ac:dyDescent="0.35">
      <c r="A4" s="20">
        <v>45568</v>
      </c>
      <c r="B4" s="10">
        <v>12955314</v>
      </c>
      <c r="C4" s="14">
        <f t="shared" si="3"/>
        <v>6855</v>
      </c>
      <c r="D4" s="11">
        <v>559020</v>
      </c>
      <c r="E4" s="14">
        <f t="shared" si="4"/>
        <v>1106</v>
      </c>
      <c r="F4" s="27">
        <v>1704</v>
      </c>
      <c r="G4" s="74">
        <f t="shared" si="5"/>
        <v>0</v>
      </c>
      <c r="H4" s="76">
        <f t="shared" si="6"/>
        <v>7961</v>
      </c>
      <c r="I4" s="80">
        <f t="shared" si="7"/>
        <v>-37608.520000000004</v>
      </c>
      <c r="J4" s="32">
        <f t="shared" si="0"/>
        <v>404.08000000000902</v>
      </c>
      <c r="K4" s="20">
        <f t="shared" si="1"/>
        <v>45568</v>
      </c>
      <c r="L4" s="33">
        <v>5660</v>
      </c>
      <c r="M4" s="34">
        <v>0</v>
      </c>
      <c r="N4" s="35">
        <v>0</v>
      </c>
      <c r="O4" s="92">
        <v>0.76</v>
      </c>
      <c r="P4" s="93">
        <v>0.77</v>
      </c>
      <c r="Q4" s="92">
        <v>0.76</v>
      </c>
      <c r="R4" s="93">
        <v>0.68</v>
      </c>
      <c r="S4" s="39">
        <f t="shared" si="8"/>
        <v>4545</v>
      </c>
      <c r="T4" s="130"/>
      <c r="U4" s="32">
        <f t="shared" si="2"/>
        <v>140</v>
      </c>
      <c r="V4" s="44">
        <v>117667</v>
      </c>
      <c r="W4" s="32">
        <f t="shared" si="9"/>
        <v>130</v>
      </c>
      <c r="X4" s="47">
        <v>60879</v>
      </c>
      <c r="Y4" s="32">
        <f t="shared" si="10"/>
        <v>11</v>
      </c>
      <c r="Z4" s="50">
        <v>2355</v>
      </c>
      <c r="AA4" s="56">
        <v>0</v>
      </c>
      <c r="AB4" s="32">
        <f t="shared" si="11"/>
        <v>265</v>
      </c>
      <c r="AC4" s="13">
        <v>236</v>
      </c>
      <c r="AD4" s="18">
        <v>417</v>
      </c>
    </row>
    <row r="5" spans="1:31" ht="20.75" customHeight="1" x14ac:dyDescent="0.35">
      <c r="A5" s="20">
        <v>45569</v>
      </c>
      <c r="B5" s="10">
        <v>12962169</v>
      </c>
      <c r="C5" s="14">
        <f t="shared" si="3"/>
        <v>7268</v>
      </c>
      <c r="D5" s="11">
        <v>560126</v>
      </c>
      <c r="E5" s="14">
        <f t="shared" si="4"/>
        <v>1098</v>
      </c>
      <c r="F5" s="27">
        <v>1704</v>
      </c>
      <c r="G5" s="74">
        <f t="shared" si="5"/>
        <v>0</v>
      </c>
      <c r="H5" s="76">
        <f t="shared" si="6"/>
        <v>8366</v>
      </c>
      <c r="I5" s="80">
        <f t="shared" si="7"/>
        <v>-37204.439999999995</v>
      </c>
      <c r="J5" s="32">
        <f t="shared" si="0"/>
        <v>-10.940000000002328</v>
      </c>
      <c r="K5" s="20">
        <f t="shared" si="1"/>
        <v>45569</v>
      </c>
      <c r="L5" s="33">
        <v>5660</v>
      </c>
      <c r="M5" s="34">
        <v>0</v>
      </c>
      <c r="N5" s="35">
        <v>0</v>
      </c>
      <c r="O5" s="92">
        <v>0.74</v>
      </c>
      <c r="P5" s="93">
        <v>0.75</v>
      </c>
      <c r="Q5" s="92">
        <v>0.7</v>
      </c>
      <c r="R5" s="93">
        <v>0.66</v>
      </c>
      <c r="S5" s="39">
        <f t="shared" si="8"/>
        <v>4405</v>
      </c>
      <c r="T5" s="130"/>
      <c r="U5" s="32">
        <f t="shared" si="2"/>
        <v>190</v>
      </c>
      <c r="V5" s="44">
        <v>117797</v>
      </c>
      <c r="W5" s="32">
        <f t="shared" si="9"/>
        <v>120</v>
      </c>
      <c r="X5" s="47">
        <v>60890</v>
      </c>
      <c r="Y5" s="32">
        <f t="shared" si="10"/>
        <v>10</v>
      </c>
      <c r="Z5" s="50">
        <v>2090</v>
      </c>
      <c r="AA5" s="56">
        <v>0</v>
      </c>
      <c r="AB5" s="32">
        <f t="shared" si="11"/>
        <v>285</v>
      </c>
      <c r="AC5" s="13">
        <v>234</v>
      </c>
      <c r="AD5" s="18">
        <v>412</v>
      </c>
    </row>
    <row r="6" spans="1:31" ht="20.75" customHeight="1" x14ac:dyDescent="0.35">
      <c r="A6" s="20">
        <v>45570</v>
      </c>
      <c r="B6" s="10">
        <v>12969437</v>
      </c>
      <c r="C6" s="14">
        <f t="shared" si="3"/>
        <v>7263</v>
      </c>
      <c r="D6" s="11">
        <v>561224</v>
      </c>
      <c r="E6" s="14">
        <f t="shared" si="4"/>
        <v>1093</v>
      </c>
      <c r="F6" s="27">
        <v>1704</v>
      </c>
      <c r="G6" s="74">
        <f t="shared" si="5"/>
        <v>0</v>
      </c>
      <c r="H6" s="76">
        <f t="shared" si="6"/>
        <v>8356</v>
      </c>
      <c r="I6" s="80">
        <f t="shared" si="7"/>
        <v>-37215.379999999997</v>
      </c>
      <c r="J6" s="32">
        <f t="shared" si="0"/>
        <v>-138.97000000000116</v>
      </c>
      <c r="K6" s="20">
        <f t="shared" si="1"/>
        <v>45570</v>
      </c>
      <c r="L6" s="33">
        <v>5660</v>
      </c>
      <c r="M6" s="34">
        <v>0</v>
      </c>
      <c r="N6" s="35">
        <v>0</v>
      </c>
      <c r="O6" s="92">
        <v>0.7</v>
      </c>
      <c r="P6" s="93">
        <v>0.72</v>
      </c>
      <c r="Q6" s="92">
        <v>0.68</v>
      </c>
      <c r="R6" s="93">
        <v>0.65</v>
      </c>
      <c r="S6" s="39">
        <f t="shared" si="8"/>
        <v>4215</v>
      </c>
      <c r="T6" s="130"/>
      <c r="U6" s="32">
        <f t="shared" si="2"/>
        <v>25</v>
      </c>
      <c r="V6" s="44">
        <v>117917</v>
      </c>
      <c r="W6" s="32">
        <f t="shared" si="9"/>
        <v>121</v>
      </c>
      <c r="X6" s="47">
        <v>60900</v>
      </c>
      <c r="Y6" s="32">
        <f t="shared" si="10"/>
        <v>13</v>
      </c>
      <c r="Z6" s="50">
        <v>1805</v>
      </c>
      <c r="AA6" s="56">
        <v>0</v>
      </c>
      <c r="AB6" s="32">
        <f t="shared" si="11"/>
        <v>245</v>
      </c>
      <c r="AC6" s="13">
        <v>238</v>
      </c>
      <c r="AD6" s="18">
        <v>414</v>
      </c>
    </row>
    <row r="7" spans="1:31" ht="20.75" customHeight="1" x14ac:dyDescent="0.35">
      <c r="A7" s="20">
        <v>45571</v>
      </c>
      <c r="B7" s="10">
        <v>12976700</v>
      </c>
      <c r="C7" s="14">
        <f t="shared" si="3"/>
        <v>7138</v>
      </c>
      <c r="D7" s="11">
        <v>562317</v>
      </c>
      <c r="E7" s="14">
        <f t="shared" si="4"/>
        <v>1080</v>
      </c>
      <c r="F7" s="27">
        <v>1704</v>
      </c>
      <c r="G7" s="74">
        <f t="shared" si="5"/>
        <v>0</v>
      </c>
      <c r="H7" s="76">
        <f t="shared" si="6"/>
        <v>8218</v>
      </c>
      <c r="I7" s="80">
        <f t="shared" si="7"/>
        <v>-37354.35</v>
      </c>
      <c r="J7" s="32">
        <f t="shared" si="0"/>
        <v>80.149999999994179</v>
      </c>
      <c r="K7" s="20">
        <f t="shared" si="1"/>
        <v>45571</v>
      </c>
      <c r="L7" s="33">
        <v>5660</v>
      </c>
      <c r="M7" s="34">
        <v>0</v>
      </c>
      <c r="N7" s="35">
        <v>0</v>
      </c>
      <c r="O7" s="92">
        <v>0.7</v>
      </c>
      <c r="P7" s="93">
        <v>0.72</v>
      </c>
      <c r="Q7" s="92">
        <v>0.65</v>
      </c>
      <c r="R7" s="93">
        <v>0.63</v>
      </c>
      <c r="S7" s="39">
        <f t="shared" si="8"/>
        <v>4190</v>
      </c>
      <c r="T7" s="130"/>
      <c r="U7" s="32">
        <f t="shared" si="2"/>
        <v>255</v>
      </c>
      <c r="V7" s="44">
        <v>118038</v>
      </c>
      <c r="W7" s="32">
        <f t="shared" si="9"/>
        <v>119</v>
      </c>
      <c r="X7" s="47">
        <v>60913</v>
      </c>
      <c r="Y7" s="32">
        <f t="shared" si="10"/>
        <v>6</v>
      </c>
      <c r="Z7" s="50">
        <v>1560</v>
      </c>
      <c r="AA7" s="56">
        <v>0</v>
      </c>
      <c r="AB7" s="32">
        <f t="shared" si="11"/>
        <v>260</v>
      </c>
      <c r="AC7" s="13">
        <v>170</v>
      </c>
      <c r="AD7" s="18">
        <v>317</v>
      </c>
    </row>
    <row r="8" spans="1:31" ht="20.75" customHeight="1" x14ac:dyDescent="0.35">
      <c r="A8" s="20">
        <v>45572</v>
      </c>
      <c r="B8" s="10">
        <v>12983838</v>
      </c>
      <c r="C8" s="14">
        <f t="shared" si="3"/>
        <v>7233</v>
      </c>
      <c r="D8" s="11">
        <v>563397</v>
      </c>
      <c r="E8" s="14">
        <f t="shared" si="4"/>
        <v>1066</v>
      </c>
      <c r="F8" s="27">
        <v>1704</v>
      </c>
      <c r="G8" s="74">
        <f t="shared" si="5"/>
        <v>0</v>
      </c>
      <c r="H8" s="76">
        <f t="shared" si="6"/>
        <v>8299</v>
      </c>
      <c r="I8" s="80">
        <f t="shared" si="7"/>
        <v>-37274.200000000004</v>
      </c>
      <c r="J8" s="32">
        <f t="shared" si="0"/>
        <v>207.55000000000291</v>
      </c>
      <c r="K8" s="20">
        <f t="shared" si="1"/>
        <v>45572</v>
      </c>
      <c r="L8" s="33">
        <v>5660</v>
      </c>
      <c r="M8" s="34">
        <v>0</v>
      </c>
      <c r="N8" s="35">
        <v>0</v>
      </c>
      <c r="O8" s="92">
        <v>0.65</v>
      </c>
      <c r="P8" s="93">
        <v>0.7</v>
      </c>
      <c r="Q8" s="92">
        <v>0.55000000000000004</v>
      </c>
      <c r="R8" s="93">
        <v>0.56999999999999995</v>
      </c>
      <c r="S8" s="39">
        <f t="shared" si="8"/>
        <v>3935</v>
      </c>
      <c r="T8" s="130">
        <v>796</v>
      </c>
      <c r="U8" s="32" t="str">
        <f t="shared" si="2"/>
        <v>0</v>
      </c>
      <c r="V8" s="44">
        <v>118157</v>
      </c>
      <c r="W8" s="32">
        <f t="shared" si="9"/>
        <v>114</v>
      </c>
      <c r="X8" s="47">
        <v>60919</v>
      </c>
      <c r="Y8" s="32">
        <f t="shared" si="10"/>
        <v>15</v>
      </c>
      <c r="Z8" s="50">
        <v>1300</v>
      </c>
      <c r="AA8" s="56">
        <v>0</v>
      </c>
      <c r="AB8" s="32">
        <f t="shared" si="11"/>
        <v>230</v>
      </c>
      <c r="AC8" s="13">
        <v>183</v>
      </c>
      <c r="AD8" s="18">
        <v>344</v>
      </c>
    </row>
    <row r="9" spans="1:31" ht="20.75" customHeight="1" x14ac:dyDescent="0.35">
      <c r="A9" s="20">
        <v>45573</v>
      </c>
      <c r="B9" s="10">
        <v>12991071</v>
      </c>
      <c r="C9" s="14">
        <f t="shared" si="3"/>
        <v>8346</v>
      </c>
      <c r="D9" s="11">
        <v>564463</v>
      </c>
      <c r="E9" s="14">
        <f t="shared" si="4"/>
        <v>162</v>
      </c>
      <c r="F9" s="27">
        <v>1704</v>
      </c>
      <c r="G9" s="74">
        <f t="shared" si="5"/>
        <v>0</v>
      </c>
      <c r="H9" s="76">
        <f t="shared" si="6"/>
        <v>8508</v>
      </c>
      <c r="I9" s="80">
        <f t="shared" si="7"/>
        <v>-37066.65</v>
      </c>
      <c r="J9" s="32">
        <f t="shared" si="0"/>
        <v>-501.93000000000029</v>
      </c>
      <c r="K9" s="20">
        <f t="shared" si="1"/>
        <v>45573</v>
      </c>
      <c r="L9" s="33">
        <v>5660</v>
      </c>
      <c r="M9" s="34">
        <v>0</v>
      </c>
      <c r="N9" s="35">
        <v>0</v>
      </c>
      <c r="O9" s="92">
        <v>0.8</v>
      </c>
      <c r="P9" s="93">
        <v>0.78</v>
      </c>
      <c r="Q9" s="92">
        <v>0.85</v>
      </c>
      <c r="R9" s="93">
        <v>0.77</v>
      </c>
      <c r="S9" s="39">
        <f t="shared" si="8"/>
        <v>4760</v>
      </c>
      <c r="T9" s="130"/>
      <c r="U9" s="32" t="str">
        <f t="shared" si="2"/>
        <v>0</v>
      </c>
      <c r="V9" s="44">
        <v>118271</v>
      </c>
      <c r="W9" s="32">
        <f t="shared" si="9"/>
        <v>93</v>
      </c>
      <c r="X9" s="47">
        <v>60934</v>
      </c>
      <c r="Y9" s="32">
        <f t="shared" si="10"/>
        <v>14</v>
      </c>
      <c r="Z9" s="50">
        <v>1070</v>
      </c>
      <c r="AA9" s="56">
        <v>0</v>
      </c>
      <c r="AB9" s="32">
        <f t="shared" si="11"/>
        <v>250</v>
      </c>
      <c r="AC9" s="13">
        <v>174</v>
      </c>
      <c r="AD9" s="18">
        <v>333</v>
      </c>
    </row>
    <row r="10" spans="1:31" ht="20.75" customHeight="1" x14ac:dyDescent="0.35">
      <c r="A10" s="20">
        <v>45574</v>
      </c>
      <c r="B10" s="10">
        <v>12999417</v>
      </c>
      <c r="C10" s="14">
        <f t="shared" si="3"/>
        <v>7560</v>
      </c>
      <c r="D10" s="11">
        <v>564625</v>
      </c>
      <c r="E10" s="14">
        <f t="shared" si="4"/>
        <v>447</v>
      </c>
      <c r="F10" s="27">
        <v>1704</v>
      </c>
      <c r="G10" s="74">
        <f t="shared" si="5"/>
        <v>0</v>
      </c>
      <c r="H10" s="76">
        <f t="shared" si="6"/>
        <v>8007</v>
      </c>
      <c r="I10" s="80">
        <f t="shared" si="7"/>
        <v>-37568.58</v>
      </c>
      <c r="J10" s="32">
        <f t="shared" si="0"/>
        <v>184.02999999999884</v>
      </c>
      <c r="K10" s="20">
        <f t="shared" si="1"/>
        <v>45574</v>
      </c>
      <c r="L10" s="33">
        <v>5660</v>
      </c>
      <c r="M10" s="34">
        <v>0</v>
      </c>
      <c r="N10" s="35">
        <v>0</v>
      </c>
      <c r="O10" s="92">
        <v>0.78</v>
      </c>
      <c r="P10" s="93">
        <v>0.77</v>
      </c>
      <c r="Q10" s="92">
        <v>0.8</v>
      </c>
      <c r="R10" s="93">
        <v>0.73</v>
      </c>
      <c r="S10" s="39">
        <f t="shared" si="8"/>
        <v>4640</v>
      </c>
      <c r="T10" s="130"/>
      <c r="U10" s="32">
        <f t="shared" si="2"/>
        <v>85</v>
      </c>
      <c r="V10" s="44">
        <v>118364</v>
      </c>
      <c r="W10" s="32">
        <f t="shared" si="9"/>
        <v>102</v>
      </c>
      <c r="X10" s="47">
        <v>60948</v>
      </c>
      <c r="Y10" s="32">
        <f t="shared" si="10"/>
        <v>11</v>
      </c>
      <c r="Z10" s="50">
        <v>820</v>
      </c>
      <c r="AA10" s="56">
        <v>8100</v>
      </c>
      <c r="AB10" s="32">
        <f t="shared" si="11"/>
        <v>160</v>
      </c>
      <c r="AC10" s="13">
        <v>215</v>
      </c>
      <c r="AD10" s="18">
        <v>404</v>
      </c>
      <c r="AE10" s="131" t="s">
        <v>40</v>
      </c>
    </row>
    <row r="11" spans="1:31" ht="20.75" customHeight="1" x14ac:dyDescent="0.35">
      <c r="A11" s="20">
        <v>45575</v>
      </c>
      <c r="B11" s="10">
        <v>13006977</v>
      </c>
      <c r="C11" s="14">
        <f t="shared" si="3"/>
        <v>7159</v>
      </c>
      <c r="D11" s="11">
        <v>565072</v>
      </c>
      <c r="E11" s="14">
        <f t="shared" si="4"/>
        <v>1033</v>
      </c>
      <c r="F11" s="27">
        <v>1704</v>
      </c>
      <c r="G11" s="74">
        <f t="shared" si="5"/>
        <v>0</v>
      </c>
      <c r="H11" s="76">
        <f t="shared" si="6"/>
        <v>8192</v>
      </c>
      <c r="I11" s="80">
        <f t="shared" si="7"/>
        <v>-37384.550000000003</v>
      </c>
      <c r="J11" s="32">
        <f t="shared" si="0"/>
        <v>-128</v>
      </c>
      <c r="K11" s="20">
        <f t="shared" si="1"/>
        <v>45575</v>
      </c>
      <c r="L11" s="33">
        <v>5660</v>
      </c>
      <c r="M11" s="34">
        <v>0</v>
      </c>
      <c r="N11" s="35">
        <v>0</v>
      </c>
      <c r="O11" s="92">
        <v>0.76</v>
      </c>
      <c r="P11" s="93">
        <v>0.76</v>
      </c>
      <c r="Q11" s="92">
        <v>0.79</v>
      </c>
      <c r="R11" s="93">
        <v>0.72</v>
      </c>
      <c r="S11" s="39">
        <f t="shared" si="8"/>
        <v>4555</v>
      </c>
      <c r="T11" s="130"/>
      <c r="U11" s="32">
        <f t="shared" si="2"/>
        <v>45</v>
      </c>
      <c r="V11" s="44">
        <v>118466</v>
      </c>
      <c r="W11" s="32">
        <f t="shared" si="9"/>
        <v>118</v>
      </c>
      <c r="X11" s="47">
        <v>60959</v>
      </c>
      <c r="Y11" s="32">
        <f t="shared" si="10"/>
        <v>7</v>
      </c>
      <c r="Z11" s="50">
        <v>8760</v>
      </c>
      <c r="AA11" s="56">
        <v>0</v>
      </c>
      <c r="AB11" s="32">
        <f t="shared" si="11"/>
        <v>425</v>
      </c>
      <c r="AC11" s="13">
        <v>216</v>
      </c>
      <c r="AD11" s="18">
        <v>408</v>
      </c>
    </row>
    <row r="12" spans="1:31" ht="20.75" customHeight="1" x14ac:dyDescent="0.35">
      <c r="A12" s="20">
        <v>45576</v>
      </c>
      <c r="B12" s="10">
        <v>13014136</v>
      </c>
      <c r="C12" s="14">
        <f t="shared" si="3"/>
        <v>7251</v>
      </c>
      <c r="D12" s="11">
        <v>566105</v>
      </c>
      <c r="E12" s="14">
        <f t="shared" si="4"/>
        <v>814</v>
      </c>
      <c r="F12" s="27">
        <v>1704</v>
      </c>
      <c r="G12" s="74">
        <f t="shared" si="5"/>
        <v>0</v>
      </c>
      <c r="H12" s="76">
        <f t="shared" si="6"/>
        <v>8065</v>
      </c>
      <c r="I12" s="80">
        <f t="shared" si="7"/>
        <v>-37512.550000000003</v>
      </c>
      <c r="J12" s="32">
        <f t="shared" si="0"/>
        <v>67.130000000004657</v>
      </c>
      <c r="K12" s="20">
        <f t="shared" si="1"/>
        <v>45576</v>
      </c>
      <c r="L12" s="33">
        <v>5660</v>
      </c>
      <c r="M12" s="34">
        <v>0</v>
      </c>
      <c r="N12" s="35">
        <v>0</v>
      </c>
      <c r="O12" s="92">
        <v>0.76</v>
      </c>
      <c r="P12" s="93">
        <v>0.75</v>
      </c>
      <c r="Q12" s="92">
        <v>0.79</v>
      </c>
      <c r="R12" s="93">
        <v>0.68</v>
      </c>
      <c r="S12" s="39">
        <f t="shared" si="8"/>
        <v>4510</v>
      </c>
      <c r="T12" s="130"/>
      <c r="U12" s="32">
        <f t="shared" si="2"/>
        <v>195</v>
      </c>
      <c r="V12" s="44">
        <v>118584</v>
      </c>
      <c r="W12" s="32">
        <f t="shared" si="9"/>
        <v>121</v>
      </c>
      <c r="X12" s="47">
        <v>60966</v>
      </c>
      <c r="Y12" s="32">
        <f t="shared" si="10"/>
        <v>4</v>
      </c>
      <c r="Z12" s="50">
        <v>8335</v>
      </c>
      <c r="AA12" s="56">
        <v>0</v>
      </c>
      <c r="AB12" s="32">
        <f t="shared" si="11"/>
        <v>300</v>
      </c>
      <c r="AC12" s="13">
        <v>219</v>
      </c>
      <c r="AD12" s="18">
        <v>429</v>
      </c>
    </row>
    <row r="13" spans="1:31" ht="20.75" customHeight="1" x14ac:dyDescent="0.35">
      <c r="A13" s="20">
        <v>45577</v>
      </c>
      <c r="B13" s="10">
        <v>13021387</v>
      </c>
      <c r="C13" s="14">
        <f t="shared" si="3"/>
        <v>7141</v>
      </c>
      <c r="D13" s="11">
        <v>566919</v>
      </c>
      <c r="E13" s="14">
        <f t="shared" si="4"/>
        <v>992</v>
      </c>
      <c r="F13" s="27">
        <v>1704</v>
      </c>
      <c r="G13" s="74">
        <f t="shared" si="5"/>
        <v>0</v>
      </c>
      <c r="H13" s="76">
        <f t="shared" si="6"/>
        <v>8133</v>
      </c>
      <c r="I13" s="80">
        <f t="shared" si="7"/>
        <v>-37445.42</v>
      </c>
      <c r="J13" s="32">
        <f t="shared" si="0"/>
        <v>99.059999999997672</v>
      </c>
      <c r="K13" s="20">
        <f t="shared" si="1"/>
        <v>45577</v>
      </c>
      <c r="L13" s="33">
        <v>5660</v>
      </c>
      <c r="M13" s="34">
        <v>0</v>
      </c>
      <c r="N13" s="35">
        <v>0</v>
      </c>
      <c r="O13" s="92">
        <v>0.74</v>
      </c>
      <c r="P13" s="93">
        <v>0.72</v>
      </c>
      <c r="Q13" s="92">
        <v>0.68</v>
      </c>
      <c r="R13" s="93">
        <v>0.65</v>
      </c>
      <c r="S13" s="39">
        <f t="shared" si="8"/>
        <v>4315</v>
      </c>
      <c r="T13" s="130"/>
      <c r="U13" s="32">
        <f t="shared" si="2"/>
        <v>135</v>
      </c>
      <c r="V13" s="44">
        <v>118705</v>
      </c>
      <c r="W13" s="32">
        <f t="shared" si="9"/>
        <v>126</v>
      </c>
      <c r="X13" s="47">
        <v>60970</v>
      </c>
      <c r="Y13" s="32">
        <f t="shared" si="10"/>
        <v>14</v>
      </c>
      <c r="Z13" s="50">
        <v>8035</v>
      </c>
      <c r="AA13" s="56">
        <v>0</v>
      </c>
      <c r="AB13" s="32">
        <f t="shared" si="11"/>
        <v>160</v>
      </c>
      <c r="AC13" s="13">
        <v>230</v>
      </c>
      <c r="AD13" s="18">
        <v>458</v>
      </c>
    </row>
    <row r="14" spans="1:31" ht="20.75" customHeight="1" x14ac:dyDescent="0.35">
      <c r="A14" s="20">
        <v>45578</v>
      </c>
      <c r="B14" s="10">
        <v>13028528</v>
      </c>
      <c r="C14" s="14">
        <f t="shared" si="3"/>
        <v>7303</v>
      </c>
      <c r="D14" s="11">
        <v>567911</v>
      </c>
      <c r="E14" s="14">
        <f t="shared" si="4"/>
        <v>930</v>
      </c>
      <c r="F14" s="27">
        <v>1704</v>
      </c>
      <c r="G14" s="74">
        <f t="shared" si="5"/>
        <v>0</v>
      </c>
      <c r="H14" s="76">
        <f t="shared" si="6"/>
        <v>8233</v>
      </c>
      <c r="I14" s="80">
        <f t="shared" si="7"/>
        <v>-37346.36</v>
      </c>
      <c r="J14" s="32">
        <f t="shared" si="0"/>
        <v>100.03000000000611</v>
      </c>
      <c r="K14" s="20">
        <f t="shared" si="1"/>
        <v>45578</v>
      </c>
      <c r="L14" s="33">
        <v>5660</v>
      </c>
      <c r="M14" s="34">
        <v>0</v>
      </c>
      <c r="N14" s="35">
        <v>0</v>
      </c>
      <c r="O14" s="92">
        <v>0.72</v>
      </c>
      <c r="P14" s="93">
        <v>0.7</v>
      </c>
      <c r="Q14" s="92">
        <v>0.64</v>
      </c>
      <c r="R14" s="93">
        <v>0.62</v>
      </c>
      <c r="S14" s="39">
        <f t="shared" si="8"/>
        <v>4180</v>
      </c>
      <c r="T14" s="130"/>
      <c r="U14" s="32">
        <f t="shared" si="2"/>
        <v>20</v>
      </c>
      <c r="V14" s="44">
        <v>118831</v>
      </c>
      <c r="W14" s="32">
        <f t="shared" si="9"/>
        <v>116</v>
      </c>
      <c r="X14" s="47">
        <v>60984</v>
      </c>
      <c r="Y14" s="32">
        <f t="shared" si="10"/>
        <v>7</v>
      </c>
      <c r="Z14" s="50">
        <v>7875</v>
      </c>
      <c r="AA14" s="56">
        <v>0</v>
      </c>
      <c r="AB14" s="32">
        <f t="shared" si="11"/>
        <v>265</v>
      </c>
      <c r="AC14" s="13">
        <v>210</v>
      </c>
      <c r="AD14" s="18">
        <v>418</v>
      </c>
    </row>
    <row r="15" spans="1:31" ht="20.75" customHeight="1" x14ac:dyDescent="0.35">
      <c r="A15" s="20">
        <v>45579</v>
      </c>
      <c r="B15" s="10">
        <v>13035831</v>
      </c>
      <c r="C15" s="14">
        <f t="shared" si="3"/>
        <v>7350</v>
      </c>
      <c r="D15" s="11">
        <v>568841</v>
      </c>
      <c r="E15" s="14">
        <f t="shared" si="4"/>
        <v>984</v>
      </c>
      <c r="F15" s="27">
        <v>1704</v>
      </c>
      <c r="G15" s="74">
        <f t="shared" si="5"/>
        <v>0</v>
      </c>
      <c r="H15" s="76">
        <f t="shared" si="6"/>
        <v>8334</v>
      </c>
      <c r="I15" s="80">
        <f t="shared" si="7"/>
        <v>-37246.329999999994</v>
      </c>
      <c r="J15" s="32">
        <f t="shared" si="0"/>
        <v>-276.32000000000698</v>
      </c>
      <c r="K15" s="20">
        <f t="shared" si="1"/>
        <v>45579</v>
      </c>
      <c r="L15" s="33">
        <v>5660</v>
      </c>
      <c r="M15" s="34">
        <v>0</v>
      </c>
      <c r="N15" s="35">
        <v>0</v>
      </c>
      <c r="O15" s="92">
        <v>0.7</v>
      </c>
      <c r="P15" s="93">
        <v>0.72</v>
      </c>
      <c r="Q15" s="92">
        <v>0.63</v>
      </c>
      <c r="R15" s="93">
        <v>0.59</v>
      </c>
      <c r="S15" s="39">
        <f t="shared" si="8"/>
        <v>4160</v>
      </c>
      <c r="T15" s="130">
        <v>728</v>
      </c>
      <c r="U15" s="32">
        <f t="shared" si="2"/>
        <v>108</v>
      </c>
      <c r="V15" s="44">
        <v>118947</v>
      </c>
      <c r="W15" s="32">
        <f t="shared" si="9"/>
        <v>109</v>
      </c>
      <c r="X15" s="47">
        <v>60991</v>
      </c>
      <c r="Y15" s="32">
        <f t="shared" si="10"/>
        <v>8</v>
      </c>
      <c r="Z15" s="50">
        <v>7610</v>
      </c>
      <c r="AA15" s="56">
        <v>0</v>
      </c>
      <c r="AB15" s="32">
        <f t="shared" si="11"/>
        <v>430</v>
      </c>
      <c r="AC15" s="13">
        <v>212</v>
      </c>
      <c r="AD15" s="18">
        <v>415</v>
      </c>
    </row>
    <row r="16" spans="1:31" ht="20.75" customHeight="1" x14ac:dyDescent="0.35">
      <c r="A16" s="20">
        <v>45580</v>
      </c>
      <c r="B16" s="10">
        <v>13043181</v>
      </c>
      <c r="C16" s="14">
        <f t="shared" si="3"/>
        <v>7164</v>
      </c>
      <c r="D16" s="11">
        <v>569825</v>
      </c>
      <c r="E16" s="14">
        <f t="shared" si="4"/>
        <v>895</v>
      </c>
      <c r="F16" s="27">
        <v>1704</v>
      </c>
      <c r="G16" s="74">
        <f t="shared" si="5"/>
        <v>0</v>
      </c>
      <c r="H16" s="76">
        <f t="shared" si="6"/>
        <v>8059</v>
      </c>
      <c r="I16" s="80">
        <f t="shared" si="7"/>
        <v>-37522.65</v>
      </c>
      <c r="J16" s="32">
        <f t="shared" si="0"/>
        <v>169.0199999999968</v>
      </c>
      <c r="K16" s="20">
        <f t="shared" si="1"/>
        <v>45580</v>
      </c>
      <c r="L16" s="33">
        <v>5660</v>
      </c>
      <c r="M16" s="34">
        <v>0</v>
      </c>
      <c r="N16" s="35">
        <v>0</v>
      </c>
      <c r="O16" s="92">
        <v>0.8</v>
      </c>
      <c r="P16" s="93">
        <v>0.78</v>
      </c>
      <c r="Q16" s="92">
        <v>0.85</v>
      </c>
      <c r="R16" s="93">
        <v>0.81</v>
      </c>
      <c r="S16" s="39">
        <f t="shared" si="8"/>
        <v>4780</v>
      </c>
      <c r="T16" s="130"/>
      <c r="U16" s="32" t="str">
        <f t="shared" si="2"/>
        <v>0</v>
      </c>
      <c r="V16" s="44">
        <v>119056</v>
      </c>
      <c r="W16" s="32">
        <f t="shared" si="9"/>
        <v>130</v>
      </c>
      <c r="X16" s="47">
        <v>60999</v>
      </c>
      <c r="Y16" s="32">
        <f t="shared" si="10"/>
        <v>7</v>
      </c>
      <c r="Z16" s="50">
        <v>7180</v>
      </c>
      <c r="AA16" s="56">
        <v>0</v>
      </c>
      <c r="AB16" s="32">
        <f t="shared" si="11"/>
        <v>430</v>
      </c>
      <c r="AC16" s="13">
        <v>218</v>
      </c>
      <c r="AD16" s="18">
        <v>430</v>
      </c>
    </row>
    <row r="17" spans="1:30" ht="20.75" customHeight="1" x14ac:dyDescent="0.35">
      <c r="A17" s="20">
        <v>45581</v>
      </c>
      <c r="B17" s="10">
        <v>13050345</v>
      </c>
      <c r="C17" s="14">
        <f t="shared" si="3"/>
        <v>7447</v>
      </c>
      <c r="D17" s="11">
        <v>570720</v>
      </c>
      <c r="E17" s="14">
        <f t="shared" si="4"/>
        <v>782</v>
      </c>
      <c r="F17" s="27">
        <v>1704</v>
      </c>
      <c r="G17" s="74">
        <f t="shared" si="5"/>
        <v>0</v>
      </c>
      <c r="H17" s="76">
        <f t="shared" si="6"/>
        <v>8229</v>
      </c>
      <c r="I17" s="80">
        <f t="shared" si="7"/>
        <v>-37353.630000000005</v>
      </c>
      <c r="J17" s="32">
        <f t="shared" si="0"/>
        <v>-62.939999999995052</v>
      </c>
      <c r="K17" s="20">
        <f t="shared" si="1"/>
        <v>45581</v>
      </c>
      <c r="L17" s="33">
        <v>5660</v>
      </c>
      <c r="M17" s="34">
        <v>0</v>
      </c>
      <c r="N17" s="35">
        <v>0</v>
      </c>
      <c r="O17" s="92">
        <v>0.8</v>
      </c>
      <c r="P17" s="93">
        <v>0.77</v>
      </c>
      <c r="Q17" s="92">
        <v>0.83</v>
      </c>
      <c r="R17" s="93">
        <v>0.77</v>
      </c>
      <c r="S17" s="39">
        <f t="shared" si="8"/>
        <v>4725</v>
      </c>
      <c r="T17" s="130"/>
      <c r="U17" s="32">
        <f t="shared" ref="U17:U20" si="12">IF(OR((S17+T17-S18)&lt;0,S17&gt;S16),"0",(S17+T17-S18))</f>
        <v>140</v>
      </c>
      <c r="V17" s="44">
        <v>119186</v>
      </c>
      <c r="W17" s="32">
        <f t="shared" si="9"/>
        <v>98</v>
      </c>
      <c r="X17" s="47">
        <v>61006</v>
      </c>
      <c r="Y17" s="32">
        <f t="shared" si="10"/>
        <v>2</v>
      </c>
      <c r="Z17" s="50">
        <v>6750</v>
      </c>
      <c r="AA17" s="56">
        <v>0</v>
      </c>
      <c r="AB17" s="32">
        <f t="shared" si="11"/>
        <v>340</v>
      </c>
      <c r="AC17" s="13">
        <v>198</v>
      </c>
      <c r="AD17" s="18">
        <v>393</v>
      </c>
    </row>
    <row r="18" spans="1:30" ht="20.75" customHeight="1" x14ac:dyDescent="0.35">
      <c r="A18" s="20">
        <v>45582</v>
      </c>
      <c r="B18" s="10">
        <v>13057792</v>
      </c>
      <c r="C18" s="14">
        <f t="shared" si="3"/>
        <v>7273</v>
      </c>
      <c r="D18" s="11">
        <v>571502</v>
      </c>
      <c r="E18" s="14">
        <f t="shared" si="4"/>
        <v>894</v>
      </c>
      <c r="F18" s="27">
        <v>1704</v>
      </c>
      <c r="G18" s="74">
        <f t="shared" si="5"/>
        <v>0</v>
      </c>
      <c r="H18" s="76">
        <f t="shared" si="6"/>
        <v>8167</v>
      </c>
      <c r="I18" s="80">
        <f t="shared" si="7"/>
        <v>-37416.57</v>
      </c>
      <c r="J18" s="32">
        <f t="shared" si="0"/>
        <v>-741.90000000000146</v>
      </c>
      <c r="K18" s="20">
        <f t="shared" si="1"/>
        <v>45582</v>
      </c>
      <c r="L18" s="33">
        <v>5660</v>
      </c>
      <c r="M18" s="34">
        <v>0</v>
      </c>
      <c r="N18" s="35">
        <v>0</v>
      </c>
      <c r="O18" s="92">
        <v>0.78</v>
      </c>
      <c r="P18" s="93">
        <v>0.75</v>
      </c>
      <c r="Q18" s="92">
        <v>0.79</v>
      </c>
      <c r="R18" s="93">
        <v>0.73</v>
      </c>
      <c r="S18" s="39">
        <f t="shared" si="8"/>
        <v>4585</v>
      </c>
      <c r="T18" s="130"/>
      <c r="U18" s="32">
        <f t="shared" si="12"/>
        <v>185</v>
      </c>
      <c r="V18" s="44">
        <v>119284</v>
      </c>
      <c r="W18" s="32">
        <f t="shared" si="9"/>
        <v>79</v>
      </c>
      <c r="X18" s="47">
        <v>61008</v>
      </c>
      <c r="Y18" s="32">
        <f t="shared" si="10"/>
        <v>9</v>
      </c>
      <c r="Z18" s="50">
        <v>6410</v>
      </c>
      <c r="AA18" s="56">
        <v>0</v>
      </c>
      <c r="AB18" s="32">
        <f t="shared" si="11"/>
        <v>280</v>
      </c>
      <c r="AC18" s="13">
        <v>210</v>
      </c>
      <c r="AD18" s="18">
        <v>419</v>
      </c>
    </row>
    <row r="19" spans="1:30" ht="20.75" customHeight="1" x14ac:dyDescent="0.35">
      <c r="A19" s="20">
        <v>45583</v>
      </c>
      <c r="B19" s="10">
        <v>13065065</v>
      </c>
      <c r="C19" s="14">
        <f t="shared" si="3"/>
        <v>6491</v>
      </c>
      <c r="D19" s="11">
        <v>572396</v>
      </c>
      <c r="E19" s="14">
        <f t="shared" si="4"/>
        <v>935</v>
      </c>
      <c r="F19" s="27">
        <v>1704</v>
      </c>
      <c r="G19" s="74">
        <f t="shared" si="5"/>
        <v>0</v>
      </c>
      <c r="H19" s="76">
        <f t="shared" si="6"/>
        <v>7426</v>
      </c>
      <c r="I19" s="80">
        <f t="shared" si="7"/>
        <v>-38158.47</v>
      </c>
      <c r="J19" s="32">
        <f t="shared" si="0"/>
        <v>-238.90000000000146</v>
      </c>
      <c r="K19" s="20">
        <f t="shared" si="1"/>
        <v>45583</v>
      </c>
      <c r="L19" s="33">
        <v>5660</v>
      </c>
      <c r="M19" s="34">
        <v>0</v>
      </c>
      <c r="N19" s="35">
        <v>0</v>
      </c>
      <c r="O19" s="92">
        <v>0.74</v>
      </c>
      <c r="P19" s="93">
        <v>0.74</v>
      </c>
      <c r="Q19" s="92">
        <v>0.73</v>
      </c>
      <c r="R19" s="93">
        <v>0.67</v>
      </c>
      <c r="S19" s="39">
        <f t="shared" si="8"/>
        <v>4400</v>
      </c>
      <c r="T19" s="130"/>
      <c r="U19" s="32">
        <f t="shared" si="12"/>
        <v>150</v>
      </c>
      <c r="V19" s="44">
        <v>119363</v>
      </c>
      <c r="W19" s="32">
        <f t="shared" si="9"/>
        <v>94</v>
      </c>
      <c r="X19" s="47">
        <v>61017</v>
      </c>
      <c r="Y19" s="32">
        <f t="shared" si="10"/>
        <v>20</v>
      </c>
      <c r="Z19" s="50">
        <v>6130</v>
      </c>
      <c r="AA19" s="56">
        <v>0</v>
      </c>
      <c r="AB19" s="32">
        <f t="shared" si="11"/>
        <v>450</v>
      </c>
      <c r="AC19" s="13">
        <v>216</v>
      </c>
      <c r="AD19" s="18">
        <v>425</v>
      </c>
    </row>
    <row r="20" spans="1:30" ht="20.75" customHeight="1" x14ac:dyDescent="0.35">
      <c r="A20" s="20">
        <v>45584</v>
      </c>
      <c r="B20" s="10">
        <v>13071556</v>
      </c>
      <c r="C20" s="14">
        <f t="shared" si="3"/>
        <v>6249</v>
      </c>
      <c r="D20" s="11">
        <v>573331</v>
      </c>
      <c r="E20" s="14">
        <f t="shared" si="4"/>
        <v>939</v>
      </c>
      <c r="F20" s="27">
        <v>1704</v>
      </c>
      <c r="G20" s="74">
        <f t="shared" si="5"/>
        <v>0</v>
      </c>
      <c r="H20" s="76">
        <f t="shared" si="6"/>
        <v>7188</v>
      </c>
      <c r="I20" s="80">
        <f t="shared" si="7"/>
        <v>-38397.370000000003</v>
      </c>
      <c r="J20" s="32">
        <f t="shared" si="0"/>
        <v>-189.92999999999302</v>
      </c>
      <c r="K20" s="20">
        <f t="shared" si="1"/>
        <v>45584</v>
      </c>
      <c r="L20" s="33">
        <v>5661</v>
      </c>
      <c r="M20" s="34">
        <v>0</v>
      </c>
      <c r="N20" s="35">
        <v>0</v>
      </c>
      <c r="O20" s="92">
        <v>0.72</v>
      </c>
      <c r="P20" s="93">
        <v>0.72</v>
      </c>
      <c r="Q20" s="92">
        <v>0.65</v>
      </c>
      <c r="R20" s="93">
        <v>0.65</v>
      </c>
      <c r="S20" s="39">
        <f t="shared" si="8"/>
        <v>4250</v>
      </c>
      <c r="T20" s="130"/>
      <c r="U20" s="32">
        <f t="shared" si="12"/>
        <v>120</v>
      </c>
      <c r="V20" s="44">
        <v>119457</v>
      </c>
      <c r="W20" s="32">
        <f t="shared" si="9"/>
        <v>94</v>
      </c>
      <c r="X20" s="47">
        <v>61037</v>
      </c>
      <c r="Y20" s="32">
        <f t="shared" si="10"/>
        <v>6</v>
      </c>
      <c r="Z20" s="50">
        <v>5680</v>
      </c>
      <c r="AA20" s="56">
        <v>0</v>
      </c>
      <c r="AB20" s="32">
        <f t="shared" si="11"/>
        <v>400</v>
      </c>
      <c r="AC20" s="13">
        <v>238</v>
      </c>
      <c r="AD20" s="18">
        <v>473</v>
      </c>
    </row>
    <row r="21" spans="1:30" ht="20.75" customHeight="1" x14ac:dyDescent="0.35">
      <c r="A21" s="20">
        <v>45585</v>
      </c>
      <c r="B21" s="10">
        <v>13077805</v>
      </c>
      <c r="C21" s="14">
        <f t="shared" si="3"/>
        <v>6052</v>
      </c>
      <c r="D21" s="11">
        <v>574270</v>
      </c>
      <c r="E21" s="14">
        <f t="shared" si="4"/>
        <v>947</v>
      </c>
      <c r="F21" s="27">
        <v>1704</v>
      </c>
      <c r="G21" s="74">
        <f t="shared" si="5"/>
        <v>0</v>
      </c>
      <c r="H21" s="76">
        <f t="shared" si="6"/>
        <v>6999</v>
      </c>
      <c r="I21" s="80">
        <f t="shared" si="7"/>
        <v>-38587.299999999996</v>
      </c>
      <c r="J21" s="32">
        <f t="shared" si="0"/>
        <v>-190.91999999999825</v>
      </c>
      <c r="K21" s="20">
        <f t="shared" si="1"/>
        <v>45585</v>
      </c>
      <c r="L21" s="33">
        <v>5660</v>
      </c>
      <c r="M21" s="34">
        <v>0</v>
      </c>
      <c r="N21" s="35">
        <v>0</v>
      </c>
      <c r="O21" s="92">
        <v>0.7</v>
      </c>
      <c r="P21" s="93">
        <v>0.71</v>
      </c>
      <c r="Q21" s="92">
        <v>0.6</v>
      </c>
      <c r="R21" s="93">
        <v>0.61</v>
      </c>
      <c r="S21" s="40">
        <f t="shared" si="8"/>
        <v>4130</v>
      </c>
      <c r="T21" s="130"/>
      <c r="U21" s="32">
        <f>IF(OR((S21+T21-S22)&lt;0,S21&gt;S20),"0",(S21+T21-S22))</f>
        <v>100</v>
      </c>
      <c r="V21" s="44">
        <v>119551</v>
      </c>
      <c r="W21" s="32">
        <f t="shared" si="9"/>
        <v>86</v>
      </c>
      <c r="X21" s="47">
        <v>61043</v>
      </c>
      <c r="Y21" s="32">
        <f t="shared" si="10"/>
        <v>5</v>
      </c>
      <c r="Z21" s="50">
        <v>5280</v>
      </c>
      <c r="AA21" s="56">
        <v>0</v>
      </c>
      <c r="AB21" s="32">
        <f t="shared" si="11"/>
        <v>470</v>
      </c>
      <c r="AC21" s="13">
        <v>236</v>
      </c>
      <c r="AD21" s="18">
        <v>486</v>
      </c>
    </row>
    <row r="22" spans="1:30" ht="20.75" customHeight="1" x14ac:dyDescent="0.35">
      <c r="A22" s="20">
        <v>45586</v>
      </c>
      <c r="B22" s="10">
        <v>13083857</v>
      </c>
      <c r="C22" s="14">
        <f t="shared" si="3"/>
        <v>5841</v>
      </c>
      <c r="D22" s="11">
        <v>575217</v>
      </c>
      <c r="E22" s="14">
        <f t="shared" si="4"/>
        <v>968</v>
      </c>
      <c r="F22" s="27">
        <v>1704</v>
      </c>
      <c r="G22" s="74">
        <f t="shared" si="5"/>
        <v>0</v>
      </c>
      <c r="H22" s="76">
        <f t="shared" si="6"/>
        <v>6809</v>
      </c>
      <c r="I22" s="80">
        <f t="shared" si="7"/>
        <v>-38778.219999999994</v>
      </c>
      <c r="J22" s="32">
        <f t="shared" si="0"/>
        <v>-371.29000000000087</v>
      </c>
      <c r="K22" s="20">
        <f t="shared" si="1"/>
        <v>45586</v>
      </c>
      <c r="L22" s="33">
        <v>5660</v>
      </c>
      <c r="M22" s="34">
        <v>0</v>
      </c>
      <c r="N22" s="35">
        <v>0</v>
      </c>
      <c r="O22" s="92">
        <v>0.7</v>
      </c>
      <c r="P22" s="93">
        <v>0.7</v>
      </c>
      <c r="Q22" s="92">
        <v>0.52</v>
      </c>
      <c r="R22" s="93">
        <v>0.54</v>
      </c>
      <c r="S22" s="40">
        <f t="shared" si="8"/>
        <v>4030</v>
      </c>
      <c r="T22" s="130">
        <v>301.55</v>
      </c>
      <c r="U22" s="32">
        <f t="shared" ref="U22:U32" si="13">IF((S22+T22-S23)&lt;0,"0",(S22+T22-S23))</f>
        <v>211.55000000000018</v>
      </c>
      <c r="V22" s="44">
        <v>119637</v>
      </c>
      <c r="W22" s="32">
        <f t="shared" si="9"/>
        <v>98</v>
      </c>
      <c r="X22" s="47">
        <v>61048</v>
      </c>
      <c r="Y22" s="32">
        <f t="shared" si="10"/>
        <v>14</v>
      </c>
      <c r="Z22" s="50">
        <v>4810</v>
      </c>
      <c r="AA22" s="56">
        <v>0</v>
      </c>
      <c r="AB22" s="32">
        <f t="shared" si="11"/>
        <v>745</v>
      </c>
      <c r="AC22" s="13"/>
      <c r="AD22" s="18"/>
    </row>
    <row r="23" spans="1:30" ht="20.75" customHeight="1" x14ac:dyDescent="0.35">
      <c r="A23" s="20">
        <v>45587</v>
      </c>
      <c r="B23" s="10">
        <v>13089698</v>
      </c>
      <c r="C23" s="14">
        <f t="shared" si="3"/>
        <v>5473</v>
      </c>
      <c r="D23" s="11">
        <v>576185</v>
      </c>
      <c r="E23" s="14">
        <f t="shared" si="4"/>
        <v>966</v>
      </c>
      <c r="F23" s="27">
        <v>1704</v>
      </c>
      <c r="G23" s="74">
        <f t="shared" si="5"/>
        <v>0</v>
      </c>
      <c r="H23" s="76">
        <f t="shared" si="6"/>
        <v>6439</v>
      </c>
      <c r="I23" s="80">
        <f t="shared" si="7"/>
        <v>-39149.509999999995</v>
      </c>
      <c r="J23" s="32">
        <f>I24-I23</f>
        <v>-6439.9000000000087</v>
      </c>
      <c r="K23" s="20">
        <f t="shared" si="1"/>
        <v>45587</v>
      </c>
      <c r="L23" s="33">
        <v>5660</v>
      </c>
      <c r="M23" s="34">
        <v>0</v>
      </c>
      <c r="N23" s="35">
        <v>0</v>
      </c>
      <c r="O23" s="92">
        <v>0.67</v>
      </c>
      <c r="P23" s="93">
        <v>0.65</v>
      </c>
      <c r="Q23" s="92">
        <v>0.84</v>
      </c>
      <c r="R23" s="93">
        <v>0.8</v>
      </c>
      <c r="S23" s="40">
        <f t="shared" si="8"/>
        <v>4120</v>
      </c>
      <c r="T23" s="38"/>
      <c r="U23" s="32">
        <f t="shared" si="13"/>
        <v>205</v>
      </c>
      <c r="V23" s="44">
        <v>119735</v>
      </c>
      <c r="W23" s="32">
        <f t="shared" si="9"/>
        <v>112</v>
      </c>
      <c r="X23" s="47">
        <v>61062</v>
      </c>
      <c r="Y23" s="32">
        <f t="shared" si="10"/>
        <v>9</v>
      </c>
      <c r="Z23" s="50">
        <v>4065</v>
      </c>
      <c r="AA23" s="56">
        <v>0</v>
      </c>
      <c r="AB23" s="32">
        <f t="shared" si="11"/>
        <v>1040</v>
      </c>
      <c r="AC23" s="13"/>
      <c r="AD23" s="18"/>
    </row>
    <row r="24" spans="1:30" ht="20.75" customHeight="1" x14ac:dyDescent="0.35">
      <c r="A24" s="20">
        <v>45588</v>
      </c>
      <c r="B24" s="10">
        <v>13095171</v>
      </c>
      <c r="C24" s="14" t="str">
        <f>IF(B25-B24&lt;0,"0",B25-B24)</f>
        <v>0</v>
      </c>
      <c r="D24" s="11">
        <v>577151</v>
      </c>
      <c r="E24" s="14" t="str">
        <f>IF(D25-D24&lt;0,"0",D25-D24)</f>
        <v>0</v>
      </c>
      <c r="F24" s="27">
        <v>1704</v>
      </c>
      <c r="G24" s="74">
        <f t="shared" si="5"/>
        <v>0</v>
      </c>
      <c r="H24" s="76">
        <f t="shared" si="6"/>
        <v>0</v>
      </c>
      <c r="I24" s="80">
        <f t="shared" si="7"/>
        <v>-45589.41</v>
      </c>
      <c r="J24" s="32">
        <f t="shared" si="0"/>
        <v>0.41000000000349246</v>
      </c>
      <c r="K24" s="20">
        <f t="shared" si="1"/>
        <v>45588</v>
      </c>
      <c r="L24" s="33">
        <v>5660</v>
      </c>
      <c r="M24" s="34">
        <v>0</v>
      </c>
      <c r="N24" s="35">
        <v>0</v>
      </c>
      <c r="O24" s="92">
        <v>0.62</v>
      </c>
      <c r="P24" s="93">
        <v>0.64</v>
      </c>
      <c r="Q24" s="92">
        <v>0.79</v>
      </c>
      <c r="R24" s="93">
        <v>0.74</v>
      </c>
      <c r="S24" s="40">
        <f t="shared" si="8"/>
        <v>3915</v>
      </c>
      <c r="T24" s="38"/>
      <c r="U24" s="32">
        <f t="shared" si="13"/>
        <v>3915</v>
      </c>
      <c r="V24" s="44">
        <v>119847</v>
      </c>
      <c r="W24" s="32" t="str">
        <f t="shared" si="9"/>
        <v>0</v>
      </c>
      <c r="X24" s="47">
        <v>61071</v>
      </c>
      <c r="Y24" s="32">
        <f t="shared" si="10"/>
        <v>-61071</v>
      </c>
      <c r="Z24" s="50">
        <v>3025</v>
      </c>
      <c r="AA24" s="56">
        <v>0</v>
      </c>
      <c r="AB24" s="32">
        <f t="shared" si="11"/>
        <v>3025</v>
      </c>
      <c r="AC24" s="13"/>
      <c r="AD24" s="18"/>
    </row>
    <row r="25" spans="1:30" ht="20.75" customHeight="1" x14ac:dyDescent="0.35">
      <c r="A25" s="20">
        <v>45589</v>
      </c>
      <c r="B25" s="10"/>
      <c r="C25" s="14">
        <f t="shared" si="3"/>
        <v>0</v>
      </c>
      <c r="D25" s="11"/>
      <c r="E25" s="14">
        <f t="shared" si="4"/>
        <v>0</v>
      </c>
      <c r="F25" s="27">
        <v>1704</v>
      </c>
      <c r="G25" s="74">
        <f t="shared" si="5"/>
        <v>0</v>
      </c>
      <c r="H25" s="76">
        <f t="shared" si="6"/>
        <v>0</v>
      </c>
      <c r="I25" s="80">
        <f t="shared" si="7"/>
        <v>-45589</v>
      </c>
      <c r="J25" s="32">
        <f t="shared" si="0"/>
        <v>-1</v>
      </c>
      <c r="K25" s="20">
        <f t="shared" si="1"/>
        <v>45589</v>
      </c>
      <c r="L25" s="33">
        <v>5660</v>
      </c>
      <c r="M25" s="34">
        <v>0</v>
      </c>
      <c r="N25" s="35">
        <v>0</v>
      </c>
      <c r="O25" s="92"/>
      <c r="P25" s="93"/>
      <c r="Q25" s="92"/>
      <c r="R25" s="93"/>
      <c r="S25" s="40">
        <f t="shared" si="8"/>
        <v>0</v>
      </c>
      <c r="T25" s="38"/>
      <c r="U25" s="32">
        <f t="shared" si="13"/>
        <v>0</v>
      </c>
      <c r="V25" s="44"/>
      <c r="W25" s="32">
        <f t="shared" si="9"/>
        <v>0</v>
      </c>
      <c r="X25" s="47"/>
      <c r="Y25" s="32">
        <f t="shared" si="10"/>
        <v>0</v>
      </c>
      <c r="Z25" s="50"/>
      <c r="AA25" s="56">
        <v>0</v>
      </c>
      <c r="AB25" s="32">
        <f t="shared" si="11"/>
        <v>0</v>
      </c>
      <c r="AC25" s="13"/>
      <c r="AD25" s="18"/>
    </row>
    <row r="26" spans="1:30" ht="20.75" customHeight="1" x14ac:dyDescent="0.35">
      <c r="A26" s="20">
        <v>45590</v>
      </c>
      <c r="B26" s="10"/>
      <c r="C26" s="14">
        <f t="shared" si="3"/>
        <v>0</v>
      </c>
      <c r="D26" s="11"/>
      <c r="E26" s="14">
        <f t="shared" si="4"/>
        <v>0</v>
      </c>
      <c r="F26" s="27">
        <v>1704</v>
      </c>
      <c r="G26" s="74">
        <f t="shared" si="5"/>
        <v>0</v>
      </c>
      <c r="H26" s="76">
        <f t="shared" si="6"/>
        <v>0</v>
      </c>
      <c r="I26" s="80">
        <f t="shared" si="7"/>
        <v>-45590</v>
      </c>
      <c r="J26" s="32">
        <f t="shared" si="0"/>
        <v>-1</v>
      </c>
      <c r="K26" s="20">
        <f t="shared" si="1"/>
        <v>45590</v>
      </c>
      <c r="L26" s="33">
        <v>5660</v>
      </c>
      <c r="M26" s="34">
        <v>0</v>
      </c>
      <c r="N26" s="35">
        <v>0</v>
      </c>
      <c r="O26" s="92"/>
      <c r="P26" s="93"/>
      <c r="Q26" s="92"/>
      <c r="R26" s="93"/>
      <c r="S26" s="40">
        <f t="shared" si="8"/>
        <v>0</v>
      </c>
      <c r="T26" s="38"/>
      <c r="U26" s="32">
        <f t="shared" si="13"/>
        <v>0</v>
      </c>
      <c r="V26" s="44"/>
      <c r="W26" s="32">
        <f t="shared" si="9"/>
        <v>0</v>
      </c>
      <c r="X26" s="47"/>
      <c r="Y26" s="32">
        <f t="shared" si="10"/>
        <v>0</v>
      </c>
      <c r="Z26" s="50"/>
      <c r="AA26" s="56">
        <v>0</v>
      </c>
      <c r="AB26" s="32">
        <f t="shared" si="11"/>
        <v>0</v>
      </c>
      <c r="AC26" s="13"/>
      <c r="AD26" s="18"/>
    </row>
    <row r="27" spans="1:30" ht="20.75" customHeight="1" x14ac:dyDescent="0.35">
      <c r="A27" s="20">
        <v>45591</v>
      </c>
      <c r="B27" s="10"/>
      <c r="C27" s="14">
        <f t="shared" si="3"/>
        <v>0</v>
      </c>
      <c r="D27" s="11"/>
      <c r="E27" s="14">
        <f t="shared" si="4"/>
        <v>0</v>
      </c>
      <c r="F27" s="27">
        <v>1704</v>
      </c>
      <c r="G27" s="74">
        <f t="shared" si="5"/>
        <v>0</v>
      </c>
      <c r="H27" s="76">
        <f t="shared" si="6"/>
        <v>0</v>
      </c>
      <c r="I27" s="80">
        <f t="shared" si="7"/>
        <v>-45591</v>
      </c>
      <c r="J27" s="32">
        <f t="shared" si="0"/>
        <v>-1</v>
      </c>
      <c r="K27" s="20">
        <f t="shared" si="1"/>
        <v>45591</v>
      </c>
      <c r="L27" s="33">
        <v>5660</v>
      </c>
      <c r="M27" s="34">
        <v>0</v>
      </c>
      <c r="N27" s="35">
        <v>0</v>
      </c>
      <c r="O27" s="92"/>
      <c r="P27" s="93"/>
      <c r="Q27" s="92"/>
      <c r="R27" s="93"/>
      <c r="S27" s="40">
        <f t="shared" si="8"/>
        <v>0</v>
      </c>
      <c r="T27" s="38"/>
      <c r="U27" s="32">
        <f t="shared" si="13"/>
        <v>0</v>
      </c>
      <c r="V27" s="44"/>
      <c r="W27" s="32">
        <f t="shared" si="9"/>
        <v>0</v>
      </c>
      <c r="X27" s="47"/>
      <c r="Y27" s="32">
        <f t="shared" si="10"/>
        <v>0</v>
      </c>
      <c r="Z27" s="50"/>
      <c r="AA27" s="56">
        <v>0</v>
      </c>
      <c r="AB27" s="32">
        <f t="shared" si="11"/>
        <v>0</v>
      </c>
      <c r="AC27" s="13"/>
      <c r="AD27" s="18"/>
    </row>
    <row r="28" spans="1:30" ht="20.75" customHeight="1" x14ac:dyDescent="0.35">
      <c r="A28" s="20">
        <v>45592</v>
      </c>
      <c r="B28" s="10"/>
      <c r="C28" s="14">
        <f t="shared" si="3"/>
        <v>0</v>
      </c>
      <c r="D28" s="11"/>
      <c r="E28" s="14">
        <f t="shared" si="4"/>
        <v>0</v>
      </c>
      <c r="F28" s="27">
        <v>1704</v>
      </c>
      <c r="G28" s="74">
        <f t="shared" si="5"/>
        <v>0</v>
      </c>
      <c r="H28" s="76">
        <f t="shared" si="6"/>
        <v>0</v>
      </c>
      <c r="I28" s="80">
        <f t="shared" si="7"/>
        <v>-45592</v>
      </c>
      <c r="J28" s="32">
        <f t="shared" si="0"/>
        <v>-1</v>
      </c>
      <c r="K28" s="20">
        <f t="shared" si="1"/>
        <v>45592</v>
      </c>
      <c r="L28" s="33">
        <v>5660</v>
      </c>
      <c r="M28" s="34">
        <v>0</v>
      </c>
      <c r="N28" s="35">
        <v>0</v>
      </c>
      <c r="O28" s="92"/>
      <c r="P28" s="93"/>
      <c r="Q28" s="92"/>
      <c r="R28" s="93"/>
      <c r="S28" s="40">
        <f t="shared" si="8"/>
        <v>0</v>
      </c>
      <c r="T28" s="38"/>
      <c r="U28" s="32">
        <f t="shared" si="13"/>
        <v>0</v>
      </c>
      <c r="V28" s="44"/>
      <c r="W28" s="32">
        <f t="shared" si="9"/>
        <v>0</v>
      </c>
      <c r="X28" s="47"/>
      <c r="Y28" s="32">
        <f t="shared" si="10"/>
        <v>0</v>
      </c>
      <c r="Z28" s="50"/>
      <c r="AA28" s="56">
        <v>0</v>
      </c>
      <c r="AB28" s="32">
        <f t="shared" si="11"/>
        <v>0</v>
      </c>
      <c r="AC28" s="13"/>
      <c r="AD28" s="18"/>
    </row>
    <row r="29" spans="1:30" ht="20.75" customHeight="1" x14ac:dyDescent="0.35">
      <c r="A29" s="20">
        <v>45593</v>
      </c>
      <c r="B29" s="10"/>
      <c r="C29" s="14">
        <f t="shared" si="3"/>
        <v>0</v>
      </c>
      <c r="D29" s="11"/>
      <c r="E29" s="14">
        <f t="shared" si="4"/>
        <v>0</v>
      </c>
      <c r="F29" s="27">
        <v>1704</v>
      </c>
      <c r="G29" s="74">
        <f t="shared" si="5"/>
        <v>0</v>
      </c>
      <c r="H29" s="76">
        <f t="shared" si="6"/>
        <v>0</v>
      </c>
      <c r="I29" s="80">
        <f t="shared" si="7"/>
        <v>-45593</v>
      </c>
      <c r="J29" s="32">
        <f t="shared" si="0"/>
        <v>-1</v>
      </c>
      <c r="K29" s="20">
        <f t="shared" si="1"/>
        <v>45593</v>
      </c>
      <c r="L29" s="33">
        <v>5660</v>
      </c>
      <c r="M29" s="34">
        <v>0</v>
      </c>
      <c r="N29" s="35">
        <v>0</v>
      </c>
      <c r="O29" s="92"/>
      <c r="P29" s="93"/>
      <c r="Q29" s="92"/>
      <c r="R29" s="93"/>
      <c r="S29" s="40">
        <f t="shared" si="8"/>
        <v>0</v>
      </c>
      <c r="T29" s="38"/>
      <c r="U29" s="32">
        <f t="shared" si="13"/>
        <v>0</v>
      </c>
      <c r="V29" s="44"/>
      <c r="W29" s="32">
        <f t="shared" si="9"/>
        <v>0</v>
      </c>
      <c r="X29" s="47"/>
      <c r="Y29" s="32">
        <f t="shared" si="10"/>
        <v>0</v>
      </c>
      <c r="Z29" s="50"/>
      <c r="AA29" s="56">
        <v>0</v>
      </c>
      <c r="AB29" s="32">
        <f t="shared" si="11"/>
        <v>0</v>
      </c>
      <c r="AC29" s="13"/>
      <c r="AD29" s="18"/>
    </row>
    <row r="30" spans="1:30" ht="20.75" customHeight="1" x14ac:dyDescent="0.35">
      <c r="A30" s="20">
        <v>45594</v>
      </c>
      <c r="B30" s="10"/>
      <c r="C30" s="14">
        <f t="shared" si="3"/>
        <v>0</v>
      </c>
      <c r="D30" s="11"/>
      <c r="E30" s="14">
        <f t="shared" si="4"/>
        <v>0</v>
      </c>
      <c r="F30" s="27">
        <v>1704</v>
      </c>
      <c r="G30" s="74">
        <f t="shared" si="5"/>
        <v>0</v>
      </c>
      <c r="H30" s="76">
        <f t="shared" si="6"/>
        <v>0</v>
      </c>
      <c r="I30" s="80">
        <f t="shared" si="7"/>
        <v>-45594</v>
      </c>
      <c r="J30" s="32">
        <f t="shared" si="0"/>
        <v>-1</v>
      </c>
      <c r="K30" s="20">
        <f t="shared" si="1"/>
        <v>45594</v>
      </c>
      <c r="L30" s="33">
        <v>5660</v>
      </c>
      <c r="M30" s="34">
        <v>0</v>
      </c>
      <c r="N30" s="35">
        <v>0</v>
      </c>
      <c r="O30" s="92"/>
      <c r="P30" s="93"/>
      <c r="Q30" s="92"/>
      <c r="R30" s="93"/>
      <c r="S30" s="40">
        <f t="shared" si="8"/>
        <v>0</v>
      </c>
      <c r="T30" s="38"/>
      <c r="U30" s="32">
        <f t="shared" si="13"/>
        <v>0</v>
      </c>
      <c r="V30" s="44"/>
      <c r="W30" s="32">
        <f t="shared" si="9"/>
        <v>0</v>
      </c>
      <c r="X30" s="47"/>
      <c r="Y30" s="32">
        <f t="shared" si="10"/>
        <v>0</v>
      </c>
      <c r="Z30" s="50"/>
      <c r="AA30" s="56">
        <v>0</v>
      </c>
      <c r="AB30" s="32">
        <f t="shared" si="11"/>
        <v>0</v>
      </c>
      <c r="AC30" s="13"/>
      <c r="AD30" s="18"/>
    </row>
    <row r="31" spans="1:30" ht="20.75" customHeight="1" x14ac:dyDescent="0.35">
      <c r="A31" s="20">
        <v>45595</v>
      </c>
      <c r="B31" s="10"/>
      <c r="C31" s="14">
        <f t="shared" si="3"/>
        <v>0</v>
      </c>
      <c r="D31" s="11"/>
      <c r="E31" s="14">
        <f t="shared" si="4"/>
        <v>0</v>
      </c>
      <c r="F31" s="27">
        <v>1704</v>
      </c>
      <c r="G31" s="74">
        <f t="shared" si="5"/>
        <v>0</v>
      </c>
      <c r="H31" s="76">
        <f t="shared" si="6"/>
        <v>0</v>
      </c>
      <c r="I31" s="80">
        <f t="shared" si="7"/>
        <v>-45595</v>
      </c>
      <c r="J31" s="32">
        <f t="shared" si="0"/>
        <v>-1</v>
      </c>
      <c r="K31" s="20">
        <f t="shared" si="1"/>
        <v>45595</v>
      </c>
      <c r="L31" s="33">
        <v>5660</v>
      </c>
      <c r="M31" s="34">
        <v>0</v>
      </c>
      <c r="N31" s="35">
        <v>0</v>
      </c>
      <c r="O31" s="92"/>
      <c r="P31" s="93"/>
      <c r="Q31" s="92"/>
      <c r="R31" s="93"/>
      <c r="S31" s="40">
        <f t="shared" si="8"/>
        <v>0</v>
      </c>
      <c r="T31" s="38"/>
      <c r="U31" s="32">
        <f t="shared" si="13"/>
        <v>0</v>
      </c>
      <c r="V31" s="44"/>
      <c r="W31" s="32">
        <f t="shared" si="9"/>
        <v>0</v>
      </c>
      <c r="X31" s="47"/>
      <c r="Y31" s="32">
        <f t="shared" si="10"/>
        <v>0</v>
      </c>
      <c r="Z31" s="50"/>
      <c r="AA31" s="56">
        <v>0</v>
      </c>
      <c r="AB31" s="32">
        <f t="shared" si="11"/>
        <v>0</v>
      </c>
      <c r="AC31" s="13"/>
      <c r="AD31" s="18"/>
    </row>
    <row r="32" spans="1:30" ht="20.75" customHeight="1" thickBot="1" x14ac:dyDescent="0.4">
      <c r="A32" s="20">
        <v>45596</v>
      </c>
      <c r="B32" s="10"/>
      <c r="C32" s="14">
        <f t="shared" si="3"/>
        <v>0</v>
      </c>
      <c r="D32" s="11"/>
      <c r="E32" s="14">
        <f t="shared" si="4"/>
        <v>0</v>
      </c>
      <c r="F32" s="27">
        <v>1704</v>
      </c>
      <c r="G32" s="74">
        <f t="shared" si="5"/>
        <v>0</v>
      </c>
      <c r="H32" s="76">
        <f t="shared" si="6"/>
        <v>0</v>
      </c>
      <c r="I32" s="80">
        <f t="shared" si="7"/>
        <v>-45596</v>
      </c>
      <c r="J32" s="32">
        <f t="shared" si="0"/>
        <v>45596</v>
      </c>
      <c r="K32" s="20">
        <f t="shared" si="1"/>
        <v>45596</v>
      </c>
      <c r="L32" s="33">
        <v>5660</v>
      </c>
      <c r="M32" s="34">
        <v>0</v>
      </c>
      <c r="N32" s="65">
        <v>0</v>
      </c>
      <c r="O32" s="92"/>
      <c r="P32" s="93"/>
      <c r="Q32" s="92"/>
      <c r="R32" s="93"/>
      <c r="S32" s="40">
        <f t="shared" si="8"/>
        <v>0</v>
      </c>
      <c r="T32" s="38"/>
      <c r="U32" s="32">
        <f t="shared" si="13"/>
        <v>0</v>
      </c>
      <c r="V32" s="44"/>
      <c r="W32" s="32">
        <f t="shared" si="9"/>
        <v>0</v>
      </c>
      <c r="X32" s="47"/>
      <c r="Y32" s="32">
        <f t="shared" si="10"/>
        <v>0</v>
      </c>
      <c r="Z32" s="50"/>
      <c r="AA32" s="56">
        <v>0</v>
      </c>
      <c r="AB32" s="32">
        <f t="shared" si="11"/>
        <v>0</v>
      </c>
      <c r="AC32" s="60"/>
      <c r="AD32" s="61"/>
    </row>
    <row r="33" spans="1:30" ht="20.75" customHeight="1" thickTop="1" thickBot="1" x14ac:dyDescent="0.45">
      <c r="A33" s="20">
        <v>45597</v>
      </c>
      <c r="B33" s="57"/>
      <c r="C33" s="70"/>
      <c r="D33" s="69"/>
      <c r="E33" s="70"/>
      <c r="F33" s="27">
        <v>1704</v>
      </c>
      <c r="G33" s="62"/>
      <c r="H33" s="78"/>
      <c r="I33" s="71"/>
      <c r="J33" s="70"/>
      <c r="K33" s="68">
        <f t="shared" si="1"/>
        <v>45597</v>
      </c>
      <c r="L33" s="52">
        <v>5660</v>
      </c>
      <c r="M33" s="72">
        <v>0</v>
      </c>
      <c r="N33" s="70"/>
      <c r="O33" s="94"/>
      <c r="P33" s="95"/>
      <c r="Q33" s="94"/>
      <c r="R33" s="95"/>
      <c r="S33" s="41">
        <f t="shared" si="8"/>
        <v>0</v>
      </c>
      <c r="T33" s="58"/>
      <c r="U33" s="70"/>
      <c r="V33" s="67"/>
      <c r="W33" s="70"/>
      <c r="X33" s="66"/>
      <c r="Y33" s="70"/>
      <c r="Z33" s="64"/>
      <c r="AA33" s="59">
        <v>0</v>
      </c>
      <c r="AB33" s="62"/>
      <c r="AC33" s="63">
        <v>174</v>
      </c>
      <c r="AD33" s="63">
        <v>370</v>
      </c>
    </row>
    <row r="34" spans="1:30" s="88" customFormat="1" ht="9.4" thickTop="1" x14ac:dyDescent="0.25">
      <c r="A34" s="82"/>
      <c r="B34" s="82"/>
      <c r="C34" s="83">
        <f>SUM(C2:C33)</f>
        <v>154431</v>
      </c>
      <c r="D34" s="84"/>
      <c r="E34" s="83">
        <f>SUM(E2:E33)</f>
        <v>20296</v>
      </c>
      <c r="F34" s="85"/>
      <c r="G34" s="83">
        <f>SUM(G2:G33)</f>
        <v>0</v>
      </c>
      <c r="H34" s="84">
        <f>SUM(H2:H33)</f>
        <v>174727</v>
      </c>
      <c r="I34" s="83">
        <f>SUM(I2:I32)</f>
        <v>-1238317.72</v>
      </c>
      <c r="J34" s="83">
        <f>SUM(J2:J33)</f>
        <v>37367.65</v>
      </c>
      <c r="K34" s="82"/>
      <c r="L34" s="84"/>
      <c r="M34" s="84"/>
      <c r="N34" s="83">
        <f>SUM(N2:N33)</f>
        <v>0</v>
      </c>
      <c r="O34" s="82"/>
      <c r="P34" s="82"/>
      <c r="Q34" s="82"/>
      <c r="R34" s="82"/>
      <c r="S34" s="82"/>
      <c r="T34" s="84">
        <f>SUM(T2:T33)</f>
        <v>1825.55</v>
      </c>
      <c r="U34" s="83">
        <f>SUM(U2:U33)</f>
        <v>6444.55</v>
      </c>
      <c r="V34" s="82"/>
      <c r="W34" s="83">
        <f>SUM(W2:W33)</f>
        <v>2422</v>
      </c>
      <c r="X34" s="82"/>
      <c r="Y34" s="83">
        <f>SUM(Y2:Y33)</f>
        <v>-60866</v>
      </c>
      <c r="Z34" s="82"/>
      <c r="AA34" s="82">
        <f>SUM(AA2:AA33)</f>
        <v>8100</v>
      </c>
      <c r="AB34" s="83">
        <f>SUM(AB2:AB33)</f>
        <v>10935</v>
      </c>
      <c r="AC34" s="86">
        <f>SUM(AC2:AC33)</f>
        <v>4488</v>
      </c>
      <c r="AD34" s="87">
        <f>SUM(AD2:AD33)</f>
        <v>8569</v>
      </c>
    </row>
    <row r="35" spans="1:30" x14ac:dyDescent="0.35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35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35">
      <c r="A37" s="1"/>
      <c r="B37" s="1"/>
      <c r="D37" s="4"/>
      <c r="H37" s="77"/>
      <c r="I37" s="77"/>
      <c r="J37" s="53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35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35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35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35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35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35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35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35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35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35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35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35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35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35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4">
      <c r="D52" s="4"/>
    </row>
    <row r="53" spans="1:30" x14ac:dyDescent="0.4">
      <c r="D53" s="4"/>
    </row>
    <row r="54" spans="1:30" x14ac:dyDescent="0.4">
      <c r="D54" s="4"/>
    </row>
    <row r="55" spans="1:30" x14ac:dyDescent="0.4">
      <c r="D55" s="4"/>
    </row>
    <row r="56" spans="1:30" x14ac:dyDescent="0.4">
      <c r="D56" s="4"/>
    </row>
    <row r="57" spans="1:30" x14ac:dyDescent="0.4">
      <c r="D57" s="4"/>
    </row>
    <row r="58" spans="1:30" x14ac:dyDescent="0.4">
      <c r="D58" s="4"/>
    </row>
    <row r="59" spans="1:30" x14ac:dyDescent="0.4">
      <c r="D59" s="4"/>
    </row>
    <row r="60" spans="1:30" x14ac:dyDescent="0.4">
      <c r="D60" s="4"/>
    </row>
    <row r="61" spans="1:30" x14ac:dyDescent="0.4">
      <c r="D61" s="4"/>
    </row>
    <row r="62" spans="1:30" x14ac:dyDescent="0.4">
      <c r="D62" s="4"/>
    </row>
    <row r="63" spans="1:30" x14ac:dyDescent="0.4">
      <c r="D63" s="4"/>
    </row>
    <row r="64" spans="1:30" x14ac:dyDescent="0.4">
      <c r="D64" s="4"/>
    </row>
    <row r="65" spans="4:4" x14ac:dyDescent="0.4">
      <c r="D65" s="4"/>
    </row>
    <row r="66" spans="4:4" x14ac:dyDescent="0.4">
      <c r="D66" s="4"/>
    </row>
    <row r="67" spans="4:4" x14ac:dyDescent="0.4">
      <c r="D67" s="4"/>
    </row>
    <row r="68" spans="4:4" x14ac:dyDescent="0.4">
      <c r="D68" s="4"/>
    </row>
    <row r="69" spans="4:4" x14ac:dyDescent="0.4">
      <c r="D69" s="4"/>
    </row>
    <row r="70" spans="4:4" x14ac:dyDescent="0.4">
      <c r="D70" s="4"/>
    </row>
    <row r="71" spans="4:4" x14ac:dyDescent="0.4">
      <c r="D71" s="4"/>
    </row>
    <row r="72" spans="4:4" x14ac:dyDescent="0.4">
      <c r="D72" s="4"/>
    </row>
    <row r="73" spans="4:4" x14ac:dyDescent="0.4">
      <c r="D73" s="4"/>
    </row>
    <row r="74" spans="4:4" x14ac:dyDescent="0.4">
      <c r="D74" s="4"/>
    </row>
    <row r="75" spans="4:4" x14ac:dyDescent="0.4">
      <c r="D75" s="4"/>
    </row>
    <row r="76" spans="4:4" x14ac:dyDescent="0.4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October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2024-10-25T05:44:44Z</dcterms:modified>
  <cp:category/>
  <cp:contentStatus/>
</cp:coreProperties>
</file>