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lando.malapad\Desktop\"/>
    </mc:Choice>
  </mc:AlternateContent>
  <bookViews>
    <workbookView xWindow="-105" yWindow="-105" windowWidth="19425" windowHeight="10425" firstSheet="1" activeTab="1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I32" i="5" l="1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G32" i="5" s="1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<sst xmlns="http://schemas.openxmlformats.org/spreadsheetml/2006/main" count="213" uniqueCount="134">
  <si>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</si>
  <si>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</si>
  <si>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</si>
  <si>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</si>
  <si>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</si>
  <si>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</si>
  <si>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</si>
  <si>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</si>
  <si>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</si>
  <si>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Kuwait</t>
  </si>
  <si>
    <t>HT.02.02 - KWh</t>
  </si>
  <si>
    <t>HT.02.04 - KWh</t>
  </si>
  <si>
    <t>HT.02.07 - KWh</t>
  </si>
  <si>
    <t>HT.02.03 - KWh</t>
  </si>
  <si>
    <t>HT.02.06 - KWh</t>
  </si>
  <si>
    <t>HT.03.03 - KWh</t>
  </si>
  <si>
    <t>HT.03.07 - KWh</t>
  </si>
  <si>
    <t>HT.03.05 - KWh</t>
  </si>
  <si>
    <t>HT.03.08 - KWh</t>
  </si>
  <si>
    <t>HT.03.04 - KWh</t>
  </si>
  <si>
    <t>HT.03.06 - KWh</t>
  </si>
  <si>
    <t>HT.03.01 - KWh</t>
  </si>
  <si>
    <t>HT.03.02 - KWh</t>
  </si>
  <si>
    <t>Water - 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</si>
  <si>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</si>
  <si>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</si>
  <si>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</si>
  <si>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</si>
  <si>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</si>
  <si>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</si>
  <si>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</si>
  <si>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</si>
  <si>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</si>
  <si>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</si>
  <si>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</si>
  <si>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</si>
  <si>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</si>
  <si>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</si>
  <si>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 xml:space="preserve">Room Night </t>
  </si>
  <si>
    <t>Jan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</si>
  <si>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</si>
  <si>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</si>
  <si>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</si>
  <si>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</si>
  <si>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</si>
  <si>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</si>
  <si>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</si>
  <si>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Consumption Cubic Meter</t>
  </si>
  <si>
    <t>Total KD</t>
  </si>
  <si>
    <t xml:space="preserve"> </t>
  </si>
  <si>
    <t>8811910</t>
  </si>
  <si>
    <t>8812480</t>
  </si>
  <si>
    <t>8813060</t>
  </si>
  <si>
    <t>8813640</t>
  </si>
  <si>
    <t>8814220</t>
  </si>
  <si>
    <t>8814830</t>
  </si>
  <si>
    <t>21170800</t>
  </si>
  <si>
    <t>21172610</t>
  </si>
  <si>
    <t>21174460</t>
  </si>
  <si>
    <t>21176310</t>
  </si>
  <si>
    <t>21178140</t>
  </si>
  <si>
    <t>21180080</t>
  </si>
  <si>
    <t>3927470</t>
  </si>
  <si>
    <t>3930080</t>
  </si>
  <si>
    <t>3932690</t>
  </si>
  <si>
    <t>3935410</t>
  </si>
  <si>
    <t>3938140</t>
  </si>
  <si>
    <t>3940940</t>
  </si>
  <si>
    <t>4455510</t>
  </si>
  <si>
    <t>4456930</t>
  </si>
  <si>
    <t>4458380</t>
  </si>
  <si>
    <t>4459820</t>
  </si>
  <si>
    <t>4461250</t>
  </si>
  <si>
    <t>4462750</t>
  </si>
  <si>
    <t>13230180</t>
  </si>
  <si>
    <t>13236170</t>
  </si>
  <si>
    <t>13242330</t>
  </si>
  <si>
    <t>13248390</t>
  </si>
  <si>
    <t>13254230</t>
  </si>
  <si>
    <t>13260500</t>
  </si>
  <si>
    <t>7892820</t>
  </si>
  <si>
    <t>7897070</t>
  </si>
  <si>
    <t>7901330</t>
  </si>
  <si>
    <t>7905570</t>
  </si>
  <si>
    <t>7909520</t>
  </si>
  <si>
    <t>7913930</t>
  </si>
  <si>
    <t>6806120</t>
  </si>
  <si>
    <t>6809310</t>
  </si>
  <si>
    <t>6812370</t>
  </si>
  <si>
    <t>6815740</t>
  </si>
  <si>
    <t>6818830</t>
  </si>
  <si>
    <t>6822130</t>
  </si>
  <si>
    <t>8538040</t>
  </si>
  <si>
    <t>8542440</t>
  </si>
  <si>
    <t>8546860</t>
  </si>
  <si>
    <t>8550970</t>
  </si>
  <si>
    <t>8555130</t>
  </si>
  <si>
    <t>8559530</t>
  </si>
  <si>
    <t>12325950</t>
  </si>
  <si>
    <t>12331960</t>
  </si>
  <si>
    <t>12337980</t>
  </si>
  <si>
    <t>12343650</t>
  </si>
  <si>
    <t>12349320</t>
  </si>
  <si>
    <t>12355430</t>
  </si>
  <si>
    <t>5377510</t>
  </si>
  <si>
    <t>5380120</t>
  </si>
  <si>
    <t>5382660</t>
  </si>
  <si>
    <t>5385170</t>
  </si>
  <si>
    <t>5387500</t>
  </si>
  <si>
    <t>5390070</t>
  </si>
  <si>
    <t>9742230</t>
  </si>
  <si>
    <t>9745590</t>
  </si>
  <si>
    <t>9748820</t>
  </si>
  <si>
    <t>9751820</t>
  </si>
  <si>
    <t>9754770</t>
  </si>
  <si>
    <t>9757950</t>
  </si>
  <si>
    <t>16336260</t>
  </si>
  <si>
    <t>16343630</t>
  </si>
  <si>
    <t>16351110</t>
  </si>
  <si>
    <t>16358580</t>
  </si>
  <si>
    <t>16365960</t>
  </si>
  <si>
    <t>16373790</t>
  </si>
  <si>
    <t>22989660</t>
  </si>
  <si>
    <t>23002240</t>
  </si>
  <si>
    <t>23014870</t>
  </si>
  <si>
    <t>23029720</t>
  </si>
  <si>
    <t>23042600</t>
  </si>
  <si>
    <t>23059160</t>
  </si>
  <si>
    <t>400180</t>
  </si>
  <si>
    <t>401625</t>
  </si>
  <si>
    <t>402911</t>
  </si>
  <si>
    <t>404208</t>
  </si>
  <si>
    <t>405509</t>
  </si>
  <si>
    <t>407070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</si>
</sst>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/>
    <xf numFmtId="0" fontId="0" fillId="3" borderId="2" xfId="0" quotePrefix="1" applyFill="1" applyBorder="1"/>
    <xf numFmtId="0" fontId="0" fillId="5" borderId="2" xfId="0" quotePrefix="1" applyFill="1" applyBorder="1"/>
    <xf numFmtId="0" fontId="7" fillId="4" borderId="2" xfId="0" applyFont="1" applyFill="1" applyBorder="1"/>
    <xf numFmtId="0" fontId="7" fillId="4" borderId="2" xfId="0" quotePrefix="1" applyFont="1" applyFill="1" applyBorder="1"/>
    <xf numFmtId="0" fontId="7" fillId="6" borderId="2" xfId="0" quotePrefix="1" applyFont="1" applyFill="1" applyBorder="1"/>
    <xf numFmtId="0" fontId="7" fillId="0" borderId="2" xfId="0" quotePrefix="1" applyFont="1" applyBorder="1"/>
    <xf numFmtId="0" fontId="0" fillId="3" borderId="2" xfId="0" quotePrefix="1" applyFill="1" applyBorder="1" applyAlignment="1">
      <alignment horizontal="right"/>
    </xf>
    <xf numFmtId="0" fontId="7" fillId="4" borderId="2" xfId="0" quotePrefix="1" applyFont="1" applyFill="1" applyBorder="1" applyAlignment="1">
      <alignment horizontal="right"/>
    </xf>
    <xf numFmtId="0" fontId="7" fillId="6" borderId="2" xfId="0" applyFont="1" applyFill="1" applyBorder="1" applyAlignment="1">
      <alignment horizontal="right" vertical="top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/>
    <xf numFmtId="1" fontId="7" fillId="2" borderId="7" xfId="0" applyNumberFormat="1" applyFont="1" applyFill="1" applyBorder="1" applyAlignment="1">
      <alignment horizontal="center"/>
    </xf>
    <xf numFmtId="0" fontId="0" fillId="5" borderId="2" xfId="0" quotePrefix="1" applyNumberFormat="1" applyFont="1" applyFill="1" applyBorder="1" applyAlignment="1">
      <alignment horizontal="right" vertical="center"/>
    </xf>
    <xf numFmtId="0" fontId="0" fillId="5" borderId="2" xfId="0" quotePrefix="1" applyNumberFormat="1" applyFont="1" applyFill="1" applyBorder="1"/>
    <xf numFmtId="0" fontId="0" fillId="3" borderId="2" xfId="0" quotePrefix="1" applyNumberFormat="1" applyFont="1" applyFill="1" applyBorder="1" applyAlignment="1">
      <alignment horizontal="right" vertical="center"/>
    </xf>
    <xf numFmtId="0" fontId="0" fillId="3" borderId="2" xfId="0" quotePrefix="1" applyNumberFormat="1" applyFont="1" applyFill="1" applyBorder="1"/>
    <xf numFmtId="0" fontId="7" fillId="6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G19" sqref="G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44" t="s">
        <v>8</v>
      </c>
    </row>
    <row r="2" spans="1:9" s="13" customFormat="1" x14ac:dyDescent="0.25">
      <c r="A2" s="21" t="s">
        <v>9</v>
      </c>
      <c r="B2" s="11">
        <v>1</v>
      </c>
      <c r="C2" s="3">
        <v>1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64620</v>
      </c>
      <c r="F2" s="11">
        <v>5.0000000000000001E-3</v>
      </c>
      <c r="G2" s="12">
        <f>Submetering!R2</f>
        <v>556.83381099999997</v>
      </c>
      <c r="H2" s="11">
        <v>0.52800000000000002</v>
      </c>
      <c r="I2" s="12">
        <f>Hotel!B7</f>
        <v>81</v>
      </c>
    </row>
    <row r="3" spans="1:9" s="15" customFormat="1" x14ac:dyDescent="0.25">
      <c r="A3" s="21" t="s">
        <v>9</v>
      </c>
      <c r="B3" s="14">
        <f>B2+1</f>
        <v>2</v>
      </c>
      <c r="C3" s="3">
        <v>1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59840</v>
      </c>
      <c r="F3" s="11">
        <v>5.0000000000000001E-3</v>
      </c>
      <c r="G3" s="12">
        <f>Submetering!R3</f>
        <v>526.92907200000002</v>
      </c>
      <c r="H3" s="11">
        <v>0.52800000000000002</v>
      </c>
      <c r="I3" s="12">
        <f>Hotel!B8</f>
        <v>50</v>
      </c>
    </row>
    <row r="4" spans="1:9" s="15" customFormat="1" x14ac:dyDescent="0.25">
      <c r="A4" s="21" t="s">
        <v>9</v>
      </c>
      <c r="B4" s="14">
        <f t="shared" ref="B4:B32" si="0">B3+1</f>
        <v>3</v>
      </c>
      <c r="C4" s="3">
        <v>1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58720</v>
      </c>
      <c r="F4" s="11">
        <v>5.0000000000000001E-3</v>
      </c>
      <c r="G4" s="12">
        <f>Submetering!R4</f>
        <v>453.11357699999996</v>
      </c>
      <c r="H4" s="11">
        <v>0.52800000000000002</v>
      </c>
      <c r="I4" s="12">
        <f>Hotel!B9</f>
        <v>54</v>
      </c>
    </row>
    <row r="5" spans="1:9" s="15" customFormat="1" x14ac:dyDescent="0.25">
      <c r="A5" s="21" t="s">
        <v>9</v>
      </c>
      <c r="B5" s="14">
        <f t="shared" si="0"/>
        <v>4</v>
      </c>
      <c r="C5" s="3">
        <v>1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63200</v>
      </c>
      <c r="F5" s="11">
        <v>5.0000000000000001E-3</v>
      </c>
      <c r="G5" s="12">
        <f>Submetering!R5</f>
        <v>486.04664399999996</v>
      </c>
      <c r="H5" s="11">
        <v>0.52800000000000002</v>
      </c>
      <c r="I5" s="12">
        <f>Hotel!B10</f>
        <v>63</v>
      </c>
    </row>
    <row r="6" spans="1:9" s="15" customFormat="1" x14ac:dyDescent="0.25">
      <c r="A6" s="21" t="s">
        <v>9</v>
      </c>
      <c r="B6" s="14">
        <f t="shared" si="0"/>
        <v>5</v>
      </c>
      <c r="C6" s="3">
        <v>1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61790</v>
      </c>
      <c r="F6" s="11">
        <v>5.0000000000000001E-3</v>
      </c>
      <c r="G6" s="12">
        <f>Submetering!R6</f>
        <v>242.64478099999999</v>
      </c>
      <c r="H6" s="11">
        <v>0.52800000000000002</v>
      </c>
      <c r="I6" s="12">
        <f>Hotel!B11</f>
        <v>73</v>
      </c>
    </row>
    <row r="7" spans="1:9" s="15" customFormat="1" x14ac:dyDescent="0.25">
      <c r="A7" s="21" t="s">
        <v>9</v>
      </c>
      <c r="B7" s="14">
        <f t="shared" si="0"/>
        <v>6</v>
      </c>
      <c r="C7" s="3">
        <v>1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59260</v>
      </c>
      <c r="F7" s="11">
        <v>5.0000000000000001E-3</v>
      </c>
      <c r="G7" s="12">
        <f>Submetering!R7</f>
        <v>463.71272499999998</v>
      </c>
      <c r="H7" s="11">
        <v>0.52800000000000002</v>
      </c>
      <c r="I7" s="12">
        <f>Hotel!B12</f>
        <v>94</v>
      </c>
    </row>
    <row r="8" spans="1:9" s="15" customFormat="1" x14ac:dyDescent="0.25">
      <c r="A8" s="21" t="s">
        <v>9</v>
      </c>
      <c r="B8" s="14">
        <f t="shared" si="0"/>
        <v>7</v>
      </c>
      <c r="C8" s="3">
        <v>1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60440</v>
      </c>
      <c r="F8" s="11">
        <v>5.0000000000000001E-3</v>
      </c>
      <c r="G8" s="12">
        <f>Submetering!R8</f>
        <v>570.08274600000004</v>
      </c>
      <c r="H8" s="11">
        <v>0.52800000000000002</v>
      </c>
      <c r="I8" s="12">
        <f>Hotel!B13</f>
        <v>61</v>
      </c>
    </row>
    <row r="9" spans="1:9" s="15" customFormat="1" x14ac:dyDescent="0.25">
      <c r="A9" s="21" t="s">
        <v>9</v>
      </c>
      <c r="B9" s="14">
        <f t="shared" si="0"/>
        <v>8</v>
      </c>
      <c r="C9" s="3">
        <v>1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59650</v>
      </c>
      <c r="F9" s="11">
        <v>5.0000000000000001E-3</v>
      </c>
      <c r="G9" s="12">
        <f>Submetering!R9</f>
        <v>354.69291699999997</v>
      </c>
      <c r="H9" s="11">
        <v>0.52800000000000002</v>
      </c>
      <c r="I9" s="12">
        <f>Hotel!B14</f>
        <v>64</v>
      </c>
    </row>
    <row r="10" spans="1:9" s="15" customFormat="1" x14ac:dyDescent="0.25">
      <c r="A10" s="21" t="s">
        <v>9</v>
      </c>
      <c r="B10" s="14">
        <f t="shared" si="0"/>
        <v>9</v>
      </c>
      <c r="C10" s="3">
        <v>1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58379</v>
      </c>
      <c r="F10" s="11">
        <v>5.0000000000000001E-3</v>
      </c>
      <c r="G10" s="12">
        <f>Submetering!R10</f>
        <v>557.96943399999998</v>
      </c>
      <c r="H10" s="11">
        <v>0.52800000000000002</v>
      </c>
      <c r="I10" s="12">
        <f>Hotel!B15</f>
        <v>71</v>
      </c>
    </row>
    <row r="11" spans="1:9" s="15" customFormat="1" x14ac:dyDescent="0.25">
      <c r="A11" s="21" t="s">
        <v>9</v>
      </c>
      <c r="B11" s="14">
        <f t="shared" si="0"/>
        <v>10</v>
      </c>
      <c r="C11" s="3">
        <v>1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61241</v>
      </c>
      <c r="F11" s="11">
        <v>5.0000000000000001E-3</v>
      </c>
      <c r="G11" s="12">
        <f>Submetering!R11</f>
        <v>423.58737900000006</v>
      </c>
      <c r="H11" s="11">
        <v>0.52800000000000002</v>
      </c>
      <c r="I11" s="12">
        <f>Hotel!B16</f>
        <v>71</v>
      </c>
    </row>
    <row r="12" spans="1:9" s="15" customFormat="1" x14ac:dyDescent="0.25">
      <c r="A12" s="21" t="s">
        <v>9</v>
      </c>
      <c r="B12" s="14">
        <f t="shared" si="0"/>
        <v>11</v>
      </c>
      <c r="C12" s="3">
        <v>1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64150</v>
      </c>
      <c r="F12" s="11">
        <v>5.0000000000000001E-3</v>
      </c>
      <c r="G12" s="12">
        <f>Submetering!R12</f>
        <v>515.194301</v>
      </c>
      <c r="H12" s="11">
        <v>0.52800000000000002</v>
      </c>
      <c r="I12" s="12">
        <f>Hotel!B17</f>
        <v>81</v>
      </c>
    </row>
    <row r="13" spans="1:9" s="15" customFormat="1" x14ac:dyDescent="0.25">
      <c r="A13" s="21" t="s">
        <v>9</v>
      </c>
      <c r="B13" s="14">
        <f t="shared" si="0"/>
        <v>12</v>
      </c>
      <c r="C13" s="3">
        <v>1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63460</v>
      </c>
      <c r="F13" s="11">
        <v>5.0000000000000001E-3</v>
      </c>
      <c r="G13" s="12">
        <f>Submetering!R13</f>
        <v>710.1429159999999</v>
      </c>
      <c r="H13" s="11">
        <v>0.52800000000000002</v>
      </c>
      <c r="I13" s="12">
        <f>Hotel!B18</f>
        <v>106</v>
      </c>
    </row>
    <row r="14" spans="1:9" s="15" customFormat="1" x14ac:dyDescent="0.25">
      <c r="A14" s="21" t="s">
        <v>9</v>
      </c>
      <c r="B14" s="14">
        <f t="shared" si="0"/>
        <v>13</v>
      </c>
      <c r="C14" s="3">
        <v>1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59850</v>
      </c>
      <c r="F14" s="11">
        <v>5.0000000000000001E-3</v>
      </c>
      <c r="G14" s="12">
        <f>Submetering!R14</f>
        <v>262.70745399999998</v>
      </c>
      <c r="H14" s="11">
        <v>0.52800000000000002</v>
      </c>
      <c r="I14" s="12">
        <f>Hotel!B19</f>
        <v>96</v>
      </c>
    </row>
    <row r="15" spans="1:9" s="15" customFormat="1" x14ac:dyDescent="0.25">
      <c r="A15" s="21" t="s">
        <v>9</v>
      </c>
      <c r="B15" s="14">
        <f t="shared" si="0"/>
        <v>14</v>
      </c>
      <c r="C15" s="3">
        <v>1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60200</v>
      </c>
      <c r="F15" s="11">
        <v>5.0000000000000001E-3</v>
      </c>
      <c r="G15" s="12">
        <f>Submetering!R15</f>
        <v>537.14967899999999</v>
      </c>
      <c r="H15" s="11">
        <v>0.52800000000000002</v>
      </c>
      <c r="I15" s="12">
        <f>Hotel!B20</f>
        <v>73</v>
      </c>
    </row>
    <row r="16" spans="1:9" s="15" customFormat="1" x14ac:dyDescent="0.25">
      <c r="A16" s="21" t="s">
        <v>9</v>
      </c>
      <c r="B16" s="14">
        <f t="shared" si="0"/>
        <v>15</v>
      </c>
      <c r="C16" s="3">
        <v>1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64630</v>
      </c>
      <c r="F16" s="11">
        <v>5.0000000000000001E-3</v>
      </c>
      <c r="G16" s="12">
        <f>Submetering!R16</f>
        <v>768.81677100000002</v>
      </c>
      <c r="H16" s="11">
        <v>0.52800000000000002</v>
      </c>
      <c r="I16" s="12">
        <f>Hotel!B21</f>
        <v>82</v>
      </c>
    </row>
    <row r="17" spans="1:9" s="15" customFormat="1" x14ac:dyDescent="0.25">
      <c r="A17" s="21" t="s">
        <v>9</v>
      </c>
      <c r="B17" s="14">
        <f t="shared" si="0"/>
        <v>16</v>
      </c>
      <c r="C17" s="3">
        <v>1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58290</v>
      </c>
      <c r="F17" s="11">
        <v>5.0000000000000001E-3</v>
      </c>
      <c r="G17" s="12">
        <f>Submetering!R17</f>
        <v>404.28178800000001</v>
      </c>
      <c r="H17" s="11">
        <v>0.52800000000000002</v>
      </c>
      <c r="I17" s="12">
        <f>Hotel!B22</f>
        <v>111</v>
      </c>
    </row>
    <row r="18" spans="1:9" s="15" customFormat="1" x14ac:dyDescent="0.25">
      <c r="A18" s="21" t="s">
        <v>9</v>
      </c>
      <c r="B18" s="14">
        <f t="shared" si="0"/>
        <v>17</v>
      </c>
      <c r="C18" s="3">
        <v>1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62220</v>
      </c>
      <c r="F18" s="11">
        <v>5.0000000000000001E-3</v>
      </c>
      <c r="G18" s="12">
        <f>Submetering!R18</f>
        <v>841.49664299999995</v>
      </c>
      <c r="H18" s="11">
        <v>0.52800000000000002</v>
      </c>
      <c r="I18" s="12">
        <f>Hotel!B23</f>
        <v>105</v>
      </c>
    </row>
    <row r="19" spans="1:9" s="15" customFormat="1" x14ac:dyDescent="0.25">
      <c r="A19" s="21" t="s">
        <v>9</v>
      </c>
      <c r="B19" s="14">
        <f t="shared" si="0"/>
        <v>18</v>
      </c>
      <c r="C19" s="3">
        <v>1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63450</v>
      </c>
      <c r="F19" s="11">
        <v>5.0000000000000001E-3</v>
      </c>
      <c r="G19" s="12">
        <f>Submetering!R19</f>
        <v>397.08950900000002</v>
      </c>
      <c r="H19" s="11">
        <v>0.52800000000000002</v>
      </c>
      <c r="I19" s="12">
        <f>Hotel!B24</f>
        <v>81</v>
      </c>
    </row>
    <row r="20" spans="1:9" s="15" customFormat="1" x14ac:dyDescent="0.25">
      <c r="A20" s="21" t="s">
        <v>9</v>
      </c>
      <c r="B20" s="14">
        <f t="shared" si="0"/>
        <v>19</v>
      </c>
      <c r="C20" s="3">
        <v>1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63570</v>
      </c>
      <c r="F20" s="11">
        <v>5.0000000000000001E-3</v>
      </c>
      <c r="G20" s="12">
        <f>Submetering!R20</f>
        <v>592.41666499999997</v>
      </c>
      <c r="H20" s="11">
        <v>0.52800000000000002</v>
      </c>
      <c r="I20" s="12">
        <f>Hotel!B25</f>
        <v>96</v>
      </c>
    </row>
    <row r="21" spans="1:9" s="15" customFormat="1" x14ac:dyDescent="0.25">
      <c r="A21" s="21" t="s">
        <v>9</v>
      </c>
      <c r="B21" s="14">
        <f t="shared" si="0"/>
        <v>20</v>
      </c>
      <c r="C21" s="3">
        <v>1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62080</v>
      </c>
      <c r="F21" s="11">
        <v>5.0000000000000001E-3</v>
      </c>
      <c r="G21" s="12">
        <f>Submetering!R21</f>
        <v>372.48434399999996</v>
      </c>
      <c r="H21" s="11">
        <v>0.52800000000000002</v>
      </c>
      <c r="I21" s="12">
        <f>Hotel!B26</f>
        <v>116</v>
      </c>
    </row>
    <row r="22" spans="1:9" s="15" customFormat="1" x14ac:dyDescent="0.25">
      <c r="A22" s="21" t="s">
        <v>9</v>
      </c>
      <c r="B22" s="14">
        <f t="shared" si="0"/>
        <v>21</v>
      </c>
      <c r="C22" s="3">
        <v>1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61280</v>
      </c>
      <c r="F22" s="11">
        <v>5.0000000000000001E-3</v>
      </c>
      <c r="G22" s="12">
        <f>Submetering!R22</f>
        <v>482.261234</v>
      </c>
      <c r="H22" s="11">
        <v>0.52800000000000002</v>
      </c>
      <c r="I22" s="12">
        <f>Hotel!B27</f>
        <v>162</v>
      </c>
    </row>
    <row r="23" spans="1:9" s="15" customFormat="1" x14ac:dyDescent="0.25">
      <c r="A23" s="21" t="s">
        <v>9</v>
      </c>
      <c r="B23" s="14">
        <f t="shared" si="0"/>
        <v>22</v>
      </c>
      <c r="C23" s="3">
        <v>1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60220</v>
      </c>
      <c r="F23" s="11">
        <v>5.0000000000000001E-3</v>
      </c>
      <c r="G23" s="12">
        <f>Submetering!R23</f>
        <v>1172.3414769999999</v>
      </c>
      <c r="H23" s="11">
        <v>0.52800000000000002</v>
      </c>
      <c r="I23" s="12">
        <f>Hotel!B28</f>
        <v>141</v>
      </c>
    </row>
    <row r="24" spans="1:9" s="15" customFormat="1" x14ac:dyDescent="0.25">
      <c r="A24" s="21" t="s">
        <v>9</v>
      </c>
      <c r="B24" s="14">
        <f t="shared" si="0"/>
        <v>23</v>
      </c>
      <c r="C24" s="3">
        <v>1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52180</v>
      </c>
      <c r="F24" s="11">
        <v>5.0000000000000001E-3</v>
      </c>
      <c r="G24" s="12">
        <f>Submetering!R24</f>
        <v>841.49664299999995</v>
      </c>
      <c r="H24" s="11">
        <v>0.52800000000000002</v>
      </c>
      <c r="I24" s="12">
        <f>Hotel!B29</f>
        <v>142</v>
      </c>
    </row>
    <row r="25" spans="1:9" s="15" customFormat="1" x14ac:dyDescent="0.25">
      <c r="A25" s="21" t="s">
        <v>9</v>
      </c>
      <c r="B25" s="14">
        <f t="shared" si="0"/>
        <v>24</v>
      </c>
      <c r="C25" s="3">
        <v>1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56620</v>
      </c>
      <c r="F25" s="11">
        <v>5.0000000000000001E-3</v>
      </c>
      <c r="G25" s="12">
        <f>Submetering!R25</f>
        <v>687.80899699999998</v>
      </c>
      <c r="H25" s="11">
        <v>0.52800000000000002</v>
      </c>
      <c r="I25" s="12">
        <f>Hotel!B30</f>
        <v>110</v>
      </c>
    </row>
    <row r="26" spans="1:9" s="15" customFormat="1" x14ac:dyDescent="0.25">
      <c r="A26" s="21" t="s">
        <v>9</v>
      </c>
      <c r="B26" s="14">
        <f>B25+1</f>
        <v>25</v>
      </c>
      <c r="C26" s="3">
        <v>1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56840</v>
      </c>
      <c r="F26" s="11">
        <v>5.0000000000000001E-3</v>
      </c>
      <c r="G26" s="12">
        <f>Submetering!R26</f>
        <v>517.08700599999997</v>
      </c>
      <c r="H26" s="11">
        <v>0.52800000000000002</v>
      </c>
      <c r="I26" s="12">
        <f>Hotel!B31</f>
        <v>129</v>
      </c>
    </row>
    <row r="27" spans="1:9" s="15" customFormat="1" x14ac:dyDescent="0.25">
      <c r="A27" s="21" t="s">
        <v>9</v>
      </c>
      <c r="B27" s="14">
        <f t="shared" si="0"/>
        <v>26</v>
      </c>
      <c r="C27" s="3">
        <v>1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55920</v>
      </c>
      <c r="F27" s="11">
        <v>5.0000000000000001E-3</v>
      </c>
      <c r="G27" s="12">
        <f>Submetering!R27</f>
        <v>539.04238399999997</v>
      </c>
      <c r="H27" s="11">
        <v>0.52800000000000002</v>
      </c>
      <c r="I27" s="12">
        <f>Hotel!B32</f>
        <v>131</v>
      </c>
    </row>
    <row r="28" spans="1:9" s="15" customFormat="1" x14ac:dyDescent="0.25">
      <c r="A28" s="21" t="s">
        <v>9</v>
      </c>
      <c r="B28" s="14">
        <f t="shared" si="0"/>
        <v>27</v>
      </c>
      <c r="C28" s="3">
        <v>1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56170</v>
      </c>
      <c r="F28" s="11">
        <v>5.0000000000000001E-3</v>
      </c>
      <c r="G28" s="12">
        <f>Submetering!R28</f>
        <v>546.99174499999992</v>
      </c>
      <c r="H28" s="11">
        <v>0.52800000000000002</v>
      </c>
      <c r="I28" s="12">
        <f>Hotel!B33</f>
        <v>123</v>
      </c>
    </row>
    <row r="29" spans="1:9" s="15" customFormat="1" x14ac:dyDescent="0.25">
      <c r="A29" s="21" t="s">
        <v>9</v>
      </c>
      <c r="B29" s="14">
        <f t="shared" si="0"/>
        <v>28</v>
      </c>
      <c r="C29" s="3">
        <v>1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56290</v>
      </c>
      <c r="F29" s="11">
        <v>5.0000000000000001E-3</v>
      </c>
      <c r="G29" s="12">
        <f>Submetering!R29</f>
        <v>486.80372599999993</v>
      </c>
      <c r="H29" s="11">
        <v>0.52800000000000002</v>
      </c>
      <c r="I29" s="12">
        <f>Hotel!B34</f>
        <v>83</v>
      </c>
    </row>
    <row r="30" spans="1:9" s="15" customFormat="1" x14ac:dyDescent="0.25">
      <c r="A30" s="21" t="s">
        <v>9</v>
      </c>
      <c r="B30" s="14">
        <f t="shared" si="0"/>
        <v>29</v>
      </c>
      <c r="C30" s="3">
        <v>1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57870</v>
      </c>
      <c r="F30" s="11">
        <v>5.0000000000000001E-3</v>
      </c>
      <c r="G30" s="12">
        <f>Submetering!R30</f>
        <v>490.96767699999998</v>
      </c>
      <c r="H30" s="11">
        <v>0.52800000000000002</v>
      </c>
      <c r="I30" s="12">
        <f>Hotel!B35</f>
        <v>87</v>
      </c>
    </row>
    <row r="31" spans="1:9" s="13" customFormat="1" x14ac:dyDescent="0.25">
      <c r="A31" s="21" t="s">
        <v>9</v>
      </c>
      <c r="B31" s="14">
        <f t="shared" si="0"/>
        <v>30</v>
      </c>
      <c r="C31" s="3">
        <v>1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54820</v>
      </c>
      <c r="F31" s="11">
        <v>5.0000000000000001E-3</v>
      </c>
      <c r="G31" s="12">
        <f>Submetering!R31</f>
        <v>492.48184100000003</v>
      </c>
      <c r="H31" s="11">
        <v>0.52800000000000002</v>
      </c>
      <c r="I31" s="12">
        <f>Hotel!B36</f>
        <v>110</v>
      </c>
    </row>
    <row r="32" spans="1:9" x14ac:dyDescent="0.25">
      <c r="A32" s="21" t="s">
        <v>9</v>
      </c>
      <c r="B32" s="14">
        <f t="shared" si="0"/>
        <v>31</v>
      </c>
      <c r="C32" s="3">
        <v>1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61480</v>
      </c>
      <c r="F32" s="11">
        <v>5.0000000000000001E-3</v>
      </c>
      <c r="G32" s="12">
        <f>Submetering!R32</f>
        <v>590.90250099999992</v>
      </c>
      <c r="H32" s="11">
        <v>0.52800000000000002</v>
      </c>
      <c r="I32" s="12">
        <f>Hotel!B37</f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abSelected="1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10</v>
      </c>
      <c r="F1" s="17" t="s">
        <v>11</v>
      </c>
      <c r="G1" s="17" t="s">
        <v>12</v>
      </c>
      <c r="H1" s="17" t="s">
        <v>13</v>
      </c>
      <c r="I1" s="17" t="s">
        <v>14</v>
      </c>
      <c r="J1" s="17" t="s">
        <v>15</v>
      </c>
      <c r="K1" s="17" t="s">
        <v>16</v>
      </c>
      <c r="L1" s="17" t="s">
        <v>17</v>
      </c>
      <c r="M1" s="17" t="s">
        <v>18</v>
      </c>
      <c r="N1" s="17" t="s">
        <v>19</v>
      </c>
      <c r="O1" s="17" t="s">
        <v>20</v>
      </c>
      <c r="P1" s="17" t="s">
        <v>21</v>
      </c>
      <c r="Q1" s="17" t="s">
        <v>22</v>
      </c>
      <c r="R1" s="17" t="s">
        <v>23</v>
      </c>
      <c r="S1" s="18" t="s">
        <v>8</v>
      </c>
    </row>
    <row r="2" spans="1:19" x14ac:dyDescent="0.25">
      <c r="A2" s="21" t="s">
        <v>9</v>
      </c>
      <c r="B2" s="2">
        <v>1</v>
      </c>
      <c r="C2" s="3">
        <v>1</v>
      </c>
      <c r="D2" s="11">
        <v>2023</v>
      </c>
      <c r="E2" s="4">
        <f>Hotel!Q7</f>
        <v>560</v>
      </c>
      <c r="F2" s="4">
        <f>Hotel!R7</f>
        <v>8850</v>
      </c>
      <c r="G2" s="4" t="str">
        <f>Hotel!S7</f>
        <v>0</v>
      </c>
      <c r="H2" s="4">
        <f>Hotel!T7</f>
        <v>1400</v>
      </c>
      <c r="I2" s="4">
        <f>Hotel!U7</f>
        <v>6470</v>
      </c>
      <c r="J2" s="4">
        <f>Hotel!V7</f>
        <v>4390</v>
      </c>
      <c r="K2" s="4">
        <f>Hotel!W7</f>
        <v>2580</v>
      </c>
      <c r="L2" s="4">
        <f>Hotel!X7</f>
        <v>5850</v>
      </c>
      <c r="M2" s="4">
        <f>Hotel!Y7</f>
        <v>6710</v>
      </c>
      <c r="N2" s="4">
        <f>Hotel!Z7</f>
        <v>2710</v>
      </c>
      <c r="O2" s="4">
        <f>Hotel!AA7</f>
        <v>3620</v>
      </c>
      <c r="P2" s="4">
        <f>Hotel!AB7</f>
        <v>7630</v>
      </c>
      <c r="Q2" s="4">
        <f>Hotel!AC7</f>
        <v>13850</v>
      </c>
      <c r="R2" s="4">
        <f>Hotel!AV7*0.00378541*100</f>
        <v>556.83381099999997</v>
      </c>
      <c r="S2" s="4">
        <f>Hotel!B7</f>
        <v>81</v>
      </c>
    </row>
    <row r="3" spans="1:19" x14ac:dyDescent="0.25">
      <c r="A3" s="21" t="s">
        <v>9</v>
      </c>
      <c r="B3" s="2">
        <f>B2+1</f>
        <v>2</v>
      </c>
      <c r="C3" s="3">
        <v>1</v>
      </c>
      <c r="D3" s="11">
        <v>2023</v>
      </c>
      <c r="E3" s="4">
        <f>Hotel!Q8</f>
        <v>800</v>
      </c>
      <c r="F3" s="4">
        <f>Hotel!R8</f>
        <v>8080</v>
      </c>
      <c r="G3" s="4">
        <f>Hotel!S8</f>
        <v>0</v>
      </c>
      <c r="H3" s="4">
        <f>Hotel!T8</f>
        <v>1380</v>
      </c>
      <c r="I3" s="4">
        <f>Hotel!U8</f>
        <v>5820</v>
      </c>
      <c r="J3" s="4">
        <f>Hotel!V8</f>
        <v>4150</v>
      </c>
      <c r="K3" s="4">
        <f>Hotel!W8</f>
        <v>2610</v>
      </c>
      <c r="L3" s="4">
        <f>Hotel!X8</f>
        <v>5060</v>
      </c>
      <c r="M3" s="4">
        <f>Hotel!Y8</f>
        <v>5690</v>
      </c>
      <c r="N3" s="4">
        <f>Hotel!Z8</f>
        <v>2440</v>
      </c>
      <c r="O3" s="4">
        <f>Hotel!AA8</f>
        <v>3370</v>
      </c>
      <c r="P3" s="4">
        <f>Hotel!AB8</f>
        <v>7240</v>
      </c>
      <c r="Q3" s="4">
        <f>Hotel!AC8</f>
        <v>13200</v>
      </c>
      <c r="R3" s="4">
        <f>Hotel!AV8*0.00378541*100</f>
        <v>526.92907200000002</v>
      </c>
      <c r="S3" s="4">
        <f>Hotel!B8</f>
        <v>50</v>
      </c>
    </row>
    <row r="4" spans="1:19" x14ac:dyDescent="0.25">
      <c r="A4" s="21" t="s">
        <v>9</v>
      </c>
      <c r="B4" s="2">
        <f t="shared" ref="B4:B29" si="0">B3+1</f>
        <v>3</v>
      </c>
      <c r="C4" s="3">
        <v>1</v>
      </c>
      <c r="D4" s="11">
        <v>2023</v>
      </c>
      <c r="E4" s="4">
        <f>Hotel!Q9</f>
        <v>8070</v>
      </c>
      <c r="F4" s="4">
        <f>Hotel!R9</f>
        <v>1850</v>
      </c>
      <c r="G4" s="4">
        <f>Hotel!S9</f>
        <v>0</v>
      </c>
      <c r="H4" s="4">
        <f>Hotel!T9</f>
        <v>1440</v>
      </c>
      <c r="I4" s="4">
        <f>Hotel!U9</f>
        <v>5350</v>
      </c>
      <c r="J4" s="4">
        <f>Hotel!V9</f>
        <v>4150</v>
      </c>
      <c r="K4" s="4">
        <f>Hotel!W9</f>
        <v>2840</v>
      </c>
      <c r="L4" s="4">
        <f>Hotel!X9</f>
        <v>4880</v>
      </c>
      <c r="M4" s="4">
        <f>Hotel!Y9</f>
        <v>5530</v>
      </c>
      <c r="N4" s="4">
        <f>Hotel!Z9</f>
        <v>2400</v>
      </c>
      <c r="O4" s="4">
        <f>Hotel!AA9</f>
        <v>2680</v>
      </c>
      <c r="P4" s="4">
        <f>Hotel!AB9</f>
        <v>7190</v>
      </c>
      <c r="Q4" s="4">
        <f>Hotel!AC9</f>
        <v>12340</v>
      </c>
      <c r="R4" s="4">
        <f>Hotel!AV9*0.00378541*100</f>
        <v>453.11357699999996</v>
      </c>
      <c r="S4" s="4">
        <f>Hotel!B9</f>
        <v>54</v>
      </c>
    </row>
    <row r="5" spans="1:19" x14ac:dyDescent="0.25">
      <c r="A5" s="21" t="s">
        <v>9</v>
      </c>
      <c r="B5" s="2">
        <f t="shared" si="0"/>
        <v>4</v>
      </c>
      <c r="C5" s="3">
        <v>1</v>
      </c>
      <c r="D5" s="11">
        <v>2023</v>
      </c>
      <c r="E5" s="4">
        <f>Hotel!Q10</f>
        <v>8360</v>
      </c>
      <c r="F5" s="4">
        <f>Hotel!R10</f>
        <v>1890</v>
      </c>
      <c r="G5" s="4">
        <f>Hotel!S10</f>
        <v>10</v>
      </c>
      <c r="H5" s="4">
        <f>Hotel!T10</f>
        <v>1460</v>
      </c>
      <c r="I5" s="4">
        <f>Hotel!U10</f>
        <v>5890</v>
      </c>
      <c r="J5" s="4">
        <f>Hotel!V10</f>
        <v>4250</v>
      </c>
      <c r="K5" s="4">
        <f>Hotel!W10</f>
        <v>3280</v>
      </c>
      <c r="L5" s="4">
        <f>Hotel!X10</f>
        <v>5150</v>
      </c>
      <c r="M5" s="4">
        <f>Hotel!Y10</f>
        <v>5840</v>
      </c>
      <c r="N5" s="4">
        <f>Hotel!Z10</f>
        <v>2400</v>
      </c>
      <c r="O5" s="4">
        <f>Hotel!AA10</f>
        <v>3310</v>
      </c>
      <c r="P5" s="4">
        <f>Hotel!AB10</f>
        <v>7400</v>
      </c>
      <c r="Q5" s="4">
        <f>Hotel!AC10</f>
        <v>13960</v>
      </c>
      <c r="R5" s="4">
        <f>Hotel!AV10*0.00378541*100</f>
        <v>486.04664399999996</v>
      </c>
      <c r="S5" s="4">
        <f>Hotel!B10</f>
        <v>63</v>
      </c>
    </row>
    <row r="6" spans="1:19" x14ac:dyDescent="0.25">
      <c r="A6" s="21" t="s">
        <v>9</v>
      </c>
      <c r="B6" s="2">
        <f t="shared" si="0"/>
        <v>5</v>
      </c>
      <c r="C6" s="3">
        <v>1</v>
      </c>
      <c r="D6" s="11">
        <v>2023</v>
      </c>
      <c r="E6" s="4">
        <f>Hotel!Q11</f>
        <v>8020</v>
      </c>
      <c r="F6" s="4">
        <f>Hotel!R11</f>
        <v>1830</v>
      </c>
      <c r="G6" s="4">
        <f>Hotel!S11</f>
        <v>0</v>
      </c>
      <c r="H6" s="4">
        <f>Hotel!T11</f>
        <v>1420</v>
      </c>
      <c r="I6" s="4">
        <f>Hotel!U11</f>
        <v>5540</v>
      </c>
      <c r="J6" s="4">
        <f>Hotel!V11</f>
        <v>4060</v>
      </c>
      <c r="K6" s="4">
        <f>Hotel!W11</f>
        <v>2910</v>
      </c>
      <c r="L6" s="4">
        <f>Hotel!X11</f>
        <v>5070</v>
      </c>
      <c r="M6" s="4">
        <f>Hotel!Y11</f>
        <v>5450</v>
      </c>
      <c r="N6" s="4">
        <f>Hotel!Z11</f>
        <v>2390</v>
      </c>
      <c r="O6" s="4">
        <f>Hotel!AA11</f>
        <v>3110</v>
      </c>
      <c r="P6" s="4">
        <f>Hotel!AB11</f>
        <v>7450</v>
      </c>
      <c r="Q6" s="4">
        <f>Hotel!AC11</f>
        <v>14540</v>
      </c>
      <c r="R6" s="4">
        <f>Hotel!AV11*0.00378541*100</f>
        <v>242.64478099999999</v>
      </c>
      <c r="S6" s="4">
        <f>Hotel!B11</f>
        <v>73</v>
      </c>
    </row>
    <row r="7" spans="1:19" x14ac:dyDescent="0.25">
      <c r="A7" s="21" t="s">
        <v>9</v>
      </c>
      <c r="B7" s="2">
        <f t="shared" si="0"/>
        <v>6</v>
      </c>
      <c r="C7" s="3">
        <v>1</v>
      </c>
      <c r="D7" s="11">
        <v>2023</v>
      </c>
      <c r="E7" s="4">
        <f>Hotel!Q12</f>
        <v>8080</v>
      </c>
      <c r="F7" s="4">
        <f>Hotel!R12</f>
        <v>1840</v>
      </c>
      <c r="G7" s="4">
        <f>Hotel!S12</f>
        <v>0</v>
      </c>
      <c r="H7" s="4">
        <f>Hotel!T12</f>
        <v>1420</v>
      </c>
      <c r="I7" s="4">
        <f>Hotel!U12</f>
        <v>5580</v>
      </c>
      <c r="J7" s="4">
        <f>Hotel!V12</f>
        <v>4130</v>
      </c>
      <c r="K7" s="4">
        <f>Hotel!W12</f>
        <v>3040</v>
      </c>
      <c r="L7" s="4">
        <f>Hotel!X12</f>
        <v>4690</v>
      </c>
      <c r="M7" s="4">
        <f>Hotel!Y12</f>
        <v>5820</v>
      </c>
      <c r="N7" s="4">
        <f>Hotel!Z12</f>
        <v>2400</v>
      </c>
      <c r="O7" s="4">
        <f>Hotel!AA12</f>
        <v>3050</v>
      </c>
      <c r="P7" s="4">
        <f>Hotel!AB12</f>
        <v>7330</v>
      </c>
      <c r="Q7" s="4">
        <f>Hotel!AC12</f>
        <v>11880</v>
      </c>
      <c r="R7" s="4">
        <f>Hotel!AV12*0.00378541*100</f>
        <v>463.71272499999998</v>
      </c>
      <c r="S7" s="4">
        <f>Hotel!B12</f>
        <v>94</v>
      </c>
    </row>
    <row r="8" spans="1:19" x14ac:dyDescent="0.25">
      <c r="A8" s="21" t="s">
        <v>9</v>
      </c>
      <c r="B8" s="2">
        <f t="shared" si="0"/>
        <v>7</v>
      </c>
      <c r="C8" s="3">
        <v>1</v>
      </c>
      <c r="D8" s="11">
        <v>2023</v>
      </c>
      <c r="E8" s="4">
        <f>Hotel!Q13</f>
        <v>8450</v>
      </c>
      <c r="F8" s="4">
        <f>Hotel!R13</f>
        <v>1860</v>
      </c>
      <c r="G8" s="4">
        <f>Hotel!S13</f>
        <v>0</v>
      </c>
      <c r="H8" s="4">
        <f>Hotel!T13</f>
        <v>1450</v>
      </c>
      <c r="I8" s="4">
        <f>Hotel!U13</f>
        <v>5840</v>
      </c>
      <c r="J8" s="4">
        <f>Hotel!V13</f>
        <v>4270</v>
      </c>
      <c r="K8" s="4">
        <f>Hotel!W13</f>
        <v>2850</v>
      </c>
      <c r="L8" s="4">
        <f>Hotel!X13</f>
        <v>4590</v>
      </c>
      <c r="M8" s="4">
        <f>Hotel!Y13</f>
        <v>5970</v>
      </c>
      <c r="N8" s="4">
        <f>Hotel!Z13</f>
        <v>2350</v>
      </c>
      <c r="O8" s="4">
        <f>Hotel!AA13</f>
        <v>3160</v>
      </c>
      <c r="P8" s="4">
        <f>Hotel!AB13</f>
        <v>7570</v>
      </c>
      <c r="Q8" s="4">
        <f>Hotel!AC13</f>
        <v>12080</v>
      </c>
      <c r="R8" s="4">
        <f>Hotel!AV13*0.00378541*100</f>
        <v>570.08274600000004</v>
      </c>
      <c r="S8" s="4">
        <f>Hotel!B13</f>
        <v>61</v>
      </c>
    </row>
    <row r="9" spans="1:19" x14ac:dyDescent="0.25">
      <c r="A9" s="21" t="s">
        <v>9</v>
      </c>
      <c r="B9" s="2">
        <f t="shared" si="0"/>
        <v>8</v>
      </c>
      <c r="C9" s="3">
        <v>1</v>
      </c>
      <c r="D9" s="11">
        <v>2023</v>
      </c>
      <c r="E9" s="4">
        <f>Hotel!Q14</f>
        <v>8630</v>
      </c>
      <c r="F9" s="4">
        <f>Hotel!R14</f>
        <v>1900</v>
      </c>
      <c r="G9" s="4">
        <f>Hotel!S14</f>
        <v>0</v>
      </c>
      <c r="H9" s="4">
        <f>Hotel!T14</f>
        <v>1480</v>
      </c>
      <c r="I9" s="4">
        <f>Hotel!U14</f>
        <v>5440</v>
      </c>
      <c r="J9" s="4">
        <f>Hotel!V14</f>
        <v>4130</v>
      </c>
      <c r="K9" s="4">
        <f>Hotel!W14</f>
        <v>2790</v>
      </c>
      <c r="L9" s="4">
        <f>Hotel!X14</f>
        <v>4110</v>
      </c>
      <c r="M9" s="4">
        <f>Hotel!Y14</f>
        <v>5720</v>
      </c>
      <c r="N9" s="4">
        <f>Hotel!Z14</f>
        <v>2350</v>
      </c>
      <c r="O9" s="4">
        <f>Hotel!AA14</f>
        <v>2840</v>
      </c>
      <c r="P9" s="4">
        <f>Hotel!AB14</f>
        <v>7680</v>
      </c>
      <c r="Q9" s="4">
        <f>Hotel!AC14</f>
        <v>12580</v>
      </c>
      <c r="R9" s="4">
        <f>Hotel!AV14*0.00378541*100</f>
        <v>354.69291699999997</v>
      </c>
      <c r="S9" s="4">
        <f>Hotel!B14</f>
        <v>64</v>
      </c>
    </row>
    <row r="10" spans="1:19" x14ac:dyDescent="0.25">
      <c r="A10" s="21" t="s">
        <v>9</v>
      </c>
      <c r="B10" s="2">
        <f t="shared" si="0"/>
        <v>9</v>
      </c>
      <c r="C10" s="3">
        <v>1</v>
      </c>
      <c r="D10" s="11">
        <v>2023</v>
      </c>
      <c r="E10" s="4">
        <f>Hotel!Q15</f>
        <v>7460</v>
      </c>
      <c r="F10" s="4">
        <f>Hotel!R15</f>
        <v>1640</v>
      </c>
      <c r="G10" s="4">
        <f>Hotel!S15</f>
        <v>0</v>
      </c>
      <c r="H10" s="4">
        <f>Hotel!T15</f>
        <v>1420</v>
      </c>
      <c r="I10" s="4">
        <f>Hotel!U15</f>
        <v>5230</v>
      </c>
      <c r="J10" s="4">
        <f>Hotel!V15</f>
        <v>4070</v>
      </c>
      <c r="K10" s="4">
        <f>Hotel!W15</f>
        <v>2750</v>
      </c>
      <c r="L10" s="4">
        <f>Hotel!X15</f>
        <v>4409</v>
      </c>
      <c r="M10" s="4">
        <f>Hotel!Y15</f>
        <v>5700</v>
      </c>
      <c r="N10" s="4">
        <f>Hotel!Z15</f>
        <v>2100</v>
      </c>
      <c r="O10" s="4">
        <f>Hotel!AA15</f>
        <v>3050</v>
      </c>
      <c r="P10" s="4">
        <f>Hotel!AB15</f>
        <v>7530</v>
      </c>
      <c r="Q10" s="4">
        <f>Hotel!AC15</f>
        <v>13020</v>
      </c>
      <c r="R10" s="4">
        <f>Hotel!AV15*0.00378541*100</f>
        <v>557.96943399999998</v>
      </c>
      <c r="S10" s="4">
        <f>Hotel!B15</f>
        <v>71</v>
      </c>
    </row>
    <row r="11" spans="1:19" x14ac:dyDescent="0.25">
      <c r="A11" s="21" t="s">
        <v>9</v>
      </c>
      <c r="B11" s="2">
        <f t="shared" si="0"/>
        <v>10</v>
      </c>
      <c r="C11" s="3">
        <v>1</v>
      </c>
      <c r="D11" s="11">
        <v>2023</v>
      </c>
      <c r="E11" s="4">
        <f>Hotel!Q16</f>
        <v>7670</v>
      </c>
      <c r="F11" s="4">
        <f>Hotel!R16</f>
        <v>1840</v>
      </c>
      <c r="G11" s="4">
        <f>Hotel!S16</f>
        <v>0</v>
      </c>
      <c r="H11" s="4">
        <f>Hotel!T16</f>
        <v>1430</v>
      </c>
      <c r="I11" s="4">
        <f>Hotel!U16</f>
        <v>5070</v>
      </c>
      <c r="J11" s="4">
        <f>Hotel!V16</f>
        <v>4200</v>
      </c>
      <c r="K11" s="4">
        <f>Hotel!W16</f>
        <v>3020</v>
      </c>
      <c r="L11" s="4">
        <f>Hotel!X16</f>
        <v>4691</v>
      </c>
      <c r="M11" s="4">
        <f>Hotel!Y16</f>
        <v>5810</v>
      </c>
      <c r="N11" s="4">
        <f>Hotel!Z16</f>
        <v>2130</v>
      </c>
      <c r="O11" s="4">
        <f>Hotel!AA16</f>
        <v>2720</v>
      </c>
      <c r="P11" s="4">
        <f>Hotel!AB16</f>
        <v>7200</v>
      </c>
      <c r="Q11" s="4">
        <f>Hotel!AC16</f>
        <v>15460</v>
      </c>
      <c r="R11" s="4">
        <f>Hotel!AV16*0.00378541*100</f>
        <v>423.58737900000006</v>
      </c>
      <c r="S11" s="4">
        <f>Hotel!B16</f>
        <v>71</v>
      </c>
    </row>
    <row r="12" spans="1:19" x14ac:dyDescent="0.25">
      <c r="A12" s="21" t="s">
        <v>9</v>
      </c>
      <c r="B12" s="2">
        <f t="shared" si="0"/>
        <v>11</v>
      </c>
      <c r="C12" s="3">
        <v>1</v>
      </c>
      <c r="D12" s="11">
        <v>2023</v>
      </c>
      <c r="E12" s="4">
        <f>Hotel!Q17</f>
        <v>7740</v>
      </c>
      <c r="F12" s="4">
        <f>Hotel!R17</f>
        <v>1770</v>
      </c>
      <c r="G12" s="4">
        <f>Hotel!S17</f>
        <v>0</v>
      </c>
      <c r="H12" s="4">
        <f>Hotel!T17</f>
        <v>1510</v>
      </c>
      <c r="I12" s="4">
        <f>Hotel!U17</f>
        <v>5650</v>
      </c>
      <c r="J12" s="4">
        <f>Hotel!V17</f>
        <v>4450</v>
      </c>
      <c r="K12" s="4">
        <f>Hotel!W17</f>
        <v>3070</v>
      </c>
      <c r="L12" s="4">
        <f>Hotel!X17</f>
        <v>4640</v>
      </c>
      <c r="M12" s="4">
        <f>Hotel!Y17</f>
        <v>5810</v>
      </c>
      <c r="N12" s="4">
        <f>Hotel!Z17</f>
        <v>2360</v>
      </c>
      <c r="O12" s="4">
        <f>Hotel!AA17</f>
        <v>3330</v>
      </c>
      <c r="P12" s="4">
        <f>Hotel!AB17</f>
        <v>7780</v>
      </c>
      <c r="Q12" s="4">
        <f>Hotel!AC17</f>
        <v>16040</v>
      </c>
      <c r="R12" s="4">
        <f>Hotel!AV17*0.00378541*100</f>
        <v>515.194301</v>
      </c>
      <c r="S12" s="4">
        <f>Hotel!B17</f>
        <v>81</v>
      </c>
    </row>
    <row r="13" spans="1:19" x14ac:dyDescent="0.25">
      <c r="A13" s="21" t="s">
        <v>9</v>
      </c>
      <c r="B13" s="2">
        <f t="shared" si="0"/>
        <v>12</v>
      </c>
      <c r="C13" s="3">
        <v>1</v>
      </c>
      <c r="D13" s="11">
        <v>2023</v>
      </c>
      <c r="E13" s="4">
        <f>Hotel!Q18</f>
        <v>7880</v>
      </c>
      <c r="F13" s="4">
        <f>Hotel!R18</f>
        <v>1870</v>
      </c>
      <c r="G13" s="4">
        <f>Hotel!S18</f>
        <v>10</v>
      </c>
      <c r="H13" s="4">
        <f>Hotel!T18</f>
        <v>1520</v>
      </c>
      <c r="I13" s="4">
        <f>Hotel!U18</f>
        <v>5830</v>
      </c>
      <c r="J13" s="4">
        <f>Hotel!V18</f>
        <v>4480</v>
      </c>
      <c r="K13" s="4">
        <f>Hotel!W18</f>
        <v>3280</v>
      </c>
      <c r="L13" s="4">
        <f>Hotel!X18</f>
        <v>4810</v>
      </c>
      <c r="M13" s="4">
        <f>Hotel!Y18</f>
        <v>5770</v>
      </c>
      <c r="N13" s="4">
        <f>Hotel!Z18</f>
        <v>2470</v>
      </c>
      <c r="O13" s="4">
        <f>Hotel!AA18</f>
        <v>3320</v>
      </c>
      <c r="P13" s="4">
        <f>Hotel!AB18</f>
        <v>7730</v>
      </c>
      <c r="Q13" s="4">
        <f>Hotel!AC18</f>
        <v>14490</v>
      </c>
      <c r="R13" s="4">
        <f>Hotel!AV18*0.00378541*100</f>
        <v>710.1429159999999</v>
      </c>
      <c r="S13" s="4">
        <f>Hotel!B18</f>
        <v>106</v>
      </c>
    </row>
    <row r="14" spans="1:19" x14ac:dyDescent="0.25">
      <c r="A14" s="21" t="s">
        <v>9</v>
      </c>
      <c r="B14" s="2">
        <f t="shared" si="0"/>
        <v>13</v>
      </c>
      <c r="C14" s="3">
        <v>1</v>
      </c>
      <c r="D14" s="11">
        <v>2023</v>
      </c>
      <c r="E14" s="4">
        <f>Hotel!Q19</f>
        <v>7890</v>
      </c>
      <c r="F14" s="4">
        <f>Hotel!R19</f>
        <v>1840</v>
      </c>
      <c r="G14" s="4">
        <f>Hotel!S19</f>
        <v>0</v>
      </c>
      <c r="H14" s="4">
        <f>Hotel!T19</f>
        <v>1480</v>
      </c>
      <c r="I14" s="4">
        <f>Hotel!U19</f>
        <v>5780</v>
      </c>
      <c r="J14" s="4">
        <f>Hotel!V19</f>
        <v>4220</v>
      </c>
      <c r="K14" s="4">
        <f>Hotel!W19</f>
        <v>2790</v>
      </c>
      <c r="L14" s="4">
        <f>Hotel!X19</f>
        <v>4500</v>
      </c>
      <c r="M14" s="4">
        <f>Hotel!Y19</f>
        <v>5810</v>
      </c>
      <c r="N14" s="4">
        <f>Hotel!Z19</f>
        <v>2360</v>
      </c>
      <c r="O14" s="4">
        <f>Hotel!AA19</f>
        <v>3290</v>
      </c>
      <c r="P14" s="4">
        <f>Hotel!AB19</f>
        <v>7530</v>
      </c>
      <c r="Q14" s="4">
        <f>Hotel!AC19</f>
        <v>12360</v>
      </c>
      <c r="R14" s="4">
        <f>Hotel!AV19*0.00378541*100</f>
        <v>262.70745399999998</v>
      </c>
      <c r="S14" s="4">
        <f>Hotel!B19</f>
        <v>96</v>
      </c>
    </row>
    <row r="15" spans="1:19" x14ac:dyDescent="0.25">
      <c r="A15" s="21" t="s">
        <v>9</v>
      </c>
      <c r="B15" s="2">
        <f t="shared" si="0"/>
        <v>14</v>
      </c>
      <c r="C15" s="3">
        <v>1</v>
      </c>
      <c r="D15" s="11">
        <v>2023</v>
      </c>
      <c r="E15" s="4">
        <f>Hotel!Q20</f>
        <v>8400</v>
      </c>
      <c r="F15" s="4">
        <f>Hotel!R20</f>
        <v>1820</v>
      </c>
      <c r="G15" s="4">
        <f>Hotel!S20</f>
        <v>20</v>
      </c>
      <c r="H15" s="4">
        <f>Hotel!T20</f>
        <v>1490</v>
      </c>
      <c r="I15" s="4">
        <f>Hotel!U20</f>
        <v>5610</v>
      </c>
      <c r="J15" s="4">
        <f>Hotel!V20</f>
        <v>4200</v>
      </c>
      <c r="K15" s="4">
        <f>Hotel!W20</f>
        <v>2840</v>
      </c>
      <c r="L15" s="4">
        <f>Hotel!X20</f>
        <v>4370</v>
      </c>
      <c r="M15" s="4">
        <f>Hotel!Y20</f>
        <v>5480</v>
      </c>
      <c r="N15" s="4">
        <f>Hotel!Z20</f>
        <v>2430</v>
      </c>
      <c r="O15" s="4">
        <f>Hotel!AA20</f>
        <v>2920</v>
      </c>
      <c r="P15" s="4">
        <f>Hotel!AB20</f>
        <v>7430</v>
      </c>
      <c r="Q15" s="4">
        <f>Hotel!AC20</f>
        <v>13190</v>
      </c>
      <c r="R15" s="4">
        <f>Hotel!AV20*0.00378541*100</f>
        <v>537.14967899999999</v>
      </c>
      <c r="S15" s="4">
        <f>Hotel!B20</f>
        <v>73</v>
      </c>
    </row>
    <row r="16" spans="1:19" x14ac:dyDescent="0.25">
      <c r="A16" s="21" t="s">
        <v>9</v>
      </c>
      <c r="B16" s="2">
        <f t="shared" si="0"/>
        <v>15</v>
      </c>
      <c r="C16" s="3">
        <v>1</v>
      </c>
      <c r="D16" s="11">
        <v>2023</v>
      </c>
      <c r="E16" s="4">
        <f>Hotel!Q21</f>
        <v>8810</v>
      </c>
      <c r="F16" s="4">
        <f>Hotel!R21</f>
        <v>1960</v>
      </c>
      <c r="G16" s="4">
        <f>Hotel!S21</f>
        <v>0</v>
      </c>
      <c r="H16" s="4">
        <f>Hotel!T21</f>
        <v>1590</v>
      </c>
      <c r="I16" s="4">
        <f>Hotel!U21</f>
        <v>5840</v>
      </c>
      <c r="J16" s="4">
        <f>Hotel!V21</f>
        <v>4390</v>
      </c>
      <c r="K16" s="4">
        <f>Hotel!W21</f>
        <v>3110</v>
      </c>
      <c r="L16" s="4">
        <f>Hotel!X21</f>
        <v>4440</v>
      </c>
      <c r="M16" s="4">
        <f>Hotel!Y21</f>
        <v>5880</v>
      </c>
      <c r="N16" s="4">
        <f>Hotel!Z21</f>
        <v>2660</v>
      </c>
      <c r="O16" s="4">
        <f>Hotel!AA21</f>
        <v>2730</v>
      </c>
      <c r="P16" s="4">
        <f>Hotel!AB21</f>
        <v>8020</v>
      </c>
      <c r="Q16" s="4">
        <f>Hotel!AC21</f>
        <v>15200</v>
      </c>
      <c r="R16" s="4">
        <f>Hotel!AV21*0.00378541*100</f>
        <v>768.81677100000002</v>
      </c>
      <c r="S16" s="4">
        <f>Hotel!B21</f>
        <v>82</v>
      </c>
    </row>
    <row r="17" spans="1:19" x14ac:dyDescent="0.25">
      <c r="A17" s="21" t="s">
        <v>9</v>
      </c>
      <c r="B17" s="2">
        <f t="shared" si="0"/>
        <v>16</v>
      </c>
      <c r="C17" s="3">
        <v>1</v>
      </c>
      <c r="D17" s="11">
        <v>2023</v>
      </c>
      <c r="E17" s="4">
        <f>Hotel!Q22</f>
        <v>7450</v>
      </c>
      <c r="F17" s="4">
        <f>Hotel!R22</f>
        <v>1770</v>
      </c>
      <c r="G17" s="4">
        <f>Hotel!S22</f>
        <v>0</v>
      </c>
      <c r="H17" s="4">
        <f>Hotel!T22</f>
        <v>1430</v>
      </c>
      <c r="I17" s="4">
        <f>Hotel!U22</f>
        <v>5630</v>
      </c>
      <c r="J17" s="4">
        <f>Hotel!V22</f>
        <v>4130</v>
      </c>
      <c r="K17" s="4">
        <f>Hotel!W22</f>
        <v>2790</v>
      </c>
      <c r="L17" s="4">
        <f>Hotel!X22</f>
        <v>4560</v>
      </c>
      <c r="M17" s="4">
        <f>Hotel!Y22</f>
        <v>5570</v>
      </c>
      <c r="N17" s="4">
        <f>Hotel!Z22</f>
        <v>2510</v>
      </c>
      <c r="O17" s="4">
        <f>Hotel!AA22</f>
        <v>3010</v>
      </c>
      <c r="P17" s="4">
        <f>Hotel!AB22</f>
        <v>7380</v>
      </c>
      <c r="Q17" s="4">
        <f>Hotel!AC22</f>
        <v>12060</v>
      </c>
      <c r="R17" s="4">
        <f>Hotel!AV22*0.00378541*100</f>
        <v>404.28178800000001</v>
      </c>
      <c r="S17" s="4">
        <f>Hotel!B22</f>
        <v>111</v>
      </c>
    </row>
    <row r="18" spans="1:19" x14ac:dyDescent="0.25">
      <c r="A18" s="21" t="s">
        <v>9</v>
      </c>
      <c r="B18" s="2">
        <f t="shared" si="0"/>
        <v>17</v>
      </c>
      <c r="C18" s="3">
        <v>1</v>
      </c>
      <c r="D18" s="11">
        <v>2023</v>
      </c>
      <c r="E18" s="4">
        <f>Hotel!Q23</f>
        <v>7700</v>
      </c>
      <c r="F18" s="4">
        <f>Hotel!R23</f>
        <v>1830</v>
      </c>
      <c r="G18" s="4">
        <f>Hotel!S23</f>
        <v>10</v>
      </c>
      <c r="H18" s="4">
        <f>Hotel!T23</f>
        <v>1470</v>
      </c>
      <c r="I18" s="4">
        <f>Hotel!U23</f>
        <v>5420</v>
      </c>
      <c r="J18" s="4">
        <f>Hotel!V23</f>
        <v>4240</v>
      </c>
      <c r="K18" s="4">
        <f>Hotel!W23</f>
        <v>2840</v>
      </c>
      <c r="L18" s="4">
        <f>Hotel!X23</f>
        <v>4790</v>
      </c>
      <c r="M18" s="4">
        <f>Hotel!Y23</f>
        <v>5900</v>
      </c>
      <c r="N18" s="4">
        <f>Hotel!Z23</f>
        <v>2630</v>
      </c>
      <c r="O18" s="4">
        <f>Hotel!AA23</f>
        <v>2830</v>
      </c>
      <c r="P18" s="4">
        <f>Hotel!AB23</f>
        <v>7620</v>
      </c>
      <c r="Q18" s="4">
        <f>Hotel!AC23</f>
        <v>14940</v>
      </c>
      <c r="R18" s="4">
        <f>Hotel!AV23*0.00378541*100</f>
        <v>841.49664299999995</v>
      </c>
      <c r="S18" s="4">
        <f>Hotel!B23</f>
        <v>105</v>
      </c>
    </row>
    <row r="19" spans="1:19" x14ac:dyDescent="0.25">
      <c r="A19" s="21" t="s">
        <v>9</v>
      </c>
      <c r="B19" s="2">
        <f t="shared" si="0"/>
        <v>18</v>
      </c>
      <c r="C19" s="3">
        <v>1</v>
      </c>
      <c r="D19" s="11">
        <v>2023</v>
      </c>
      <c r="E19" s="4">
        <f>Hotel!Q24</f>
        <v>7750</v>
      </c>
      <c r="F19" s="4">
        <f>Hotel!R24</f>
        <v>1850</v>
      </c>
      <c r="G19" s="4">
        <f>Hotel!S24</f>
        <v>0</v>
      </c>
      <c r="H19" s="4">
        <f>Hotel!T24</f>
        <v>1480</v>
      </c>
      <c r="I19" s="4">
        <f>Hotel!U24</f>
        <v>5840</v>
      </c>
      <c r="J19" s="4">
        <f>Hotel!V24</f>
        <v>4280</v>
      </c>
      <c r="K19" s="4">
        <f>Hotel!W24</f>
        <v>2920</v>
      </c>
      <c r="L19" s="4">
        <f>Hotel!X24</f>
        <v>4700</v>
      </c>
      <c r="M19" s="4">
        <f>Hotel!Y24</f>
        <v>5840</v>
      </c>
      <c r="N19" s="4">
        <f>Hotel!Z24</f>
        <v>2620</v>
      </c>
      <c r="O19" s="4">
        <f>Hotel!AA24</f>
        <v>3320</v>
      </c>
      <c r="P19" s="4">
        <f>Hotel!AB24</f>
        <v>7820</v>
      </c>
      <c r="Q19" s="4">
        <f>Hotel!AC24</f>
        <v>15030</v>
      </c>
      <c r="R19" s="4">
        <f>Hotel!AV24*0.00378541*100</f>
        <v>397.08950900000002</v>
      </c>
      <c r="S19" s="4">
        <f>Hotel!B24</f>
        <v>81</v>
      </c>
    </row>
    <row r="20" spans="1:19" x14ac:dyDescent="0.25">
      <c r="A20" s="21" t="s">
        <v>9</v>
      </c>
      <c r="B20" s="2">
        <f t="shared" si="0"/>
        <v>19</v>
      </c>
      <c r="C20" s="3">
        <v>1</v>
      </c>
      <c r="D20" s="11">
        <v>2023</v>
      </c>
      <c r="E20" s="4">
        <f>Hotel!Q25</f>
        <v>8150</v>
      </c>
      <c r="F20" s="4">
        <f>Hotel!R25</f>
        <v>1870</v>
      </c>
      <c r="G20" s="4">
        <f>Hotel!S25</f>
        <v>10</v>
      </c>
      <c r="H20" s="4">
        <f>Hotel!T25</f>
        <v>1510</v>
      </c>
      <c r="I20" s="4">
        <f>Hotel!U25</f>
        <v>5910</v>
      </c>
      <c r="J20" s="4">
        <f>Hotel!V25</f>
        <v>4390</v>
      </c>
      <c r="K20" s="4">
        <f>Hotel!W25</f>
        <v>3100</v>
      </c>
      <c r="L20" s="4">
        <f>Hotel!X25</f>
        <v>4600</v>
      </c>
      <c r="M20" s="4">
        <f>Hotel!Y25</f>
        <v>5900</v>
      </c>
      <c r="N20" s="4">
        <f>Hotel!Z25</f>
        <v>2450</v>
      </c>
      <c r="O20" s="4">
        <f>Hotel!AA25</f>
        <v>3250</v>
      </c>
      <c r="P20" s="4">
        <f>Hotel!AB25</f>
        <v>7780</v>
      </c>
      <c r="Q20" s="4">
        <f>Hotel!AC25</f>
        <v>14650</v>
      </c>
      <c r="R20" s="4">
        <f>Hotel!AV25*0.00378541*100</f>
        <v>592.41666499999997</v>
      </c>
      <c r="S20" s="4">
        <f>Hotel!B25</f>
        <v>96</v>
      </c>
    </row>
    <row r="21" spans="1:19" x14ac:dyDescent="0.25">
      <c r="A21" s="21" t="s">
        <v>9</v>
      </c>
      <c r="B21" s="2">
        <f t="shared" si="0"/>
        <v>20</v>
      </c>
      <c r="C21" s="3">
        <v>1</v>
      </c>
      <c r="D21" s="11">
        <v>2023</v>
      </c>
      <c r="E21" s="4">
        <f>Hotel!Q26</f>
        <v>8460</v>
      </c>
      <c r="F21" s="4">
        <f>Hotel!R26</f>
        <v>1850</v>
      </c>
      <c r="G21" s="4">
        <f>Hotel!S26</f>
        <v>0</v>
      </c>
      <c r="H21" s="4">
        <f>Hotel!T26</f>
        <v>1500</v>
      </c>
      <c r="I21" s="4">
        <f>Hotel!U26</f>
        <v>6090</v>
      </c>
      <c r="J21" s="4">
        <f>Hotel!V26</f>
        <v>4330</v>
      </c>
      <c r="K21" s="4">
        <f>Hotel!W26</f>
        <v>3230</v>
      </c>
      <c r="L21" s="4">
        <f>Hotel!X26</f>
        <v>4690</v>
      </c>
      <c r="M21" s="4">
        <f>Hotel!Y26</f>
        <v>6060</v>
      </c>
      <c r="N21" s="4">
        <f>Hotel!Z26</f>
        <v>2550</v>
      </c>
      <c r="O21" s="4">
        <f>Hotel!AA26</f>
        <v>3310</v>
      </c>
      <c r="P21" s="4">
        <f>Hotel!AB26</f>
        <v>7450</v>
      </c>
      <c r="Q21" s="4">
        <f>Hotel!AC26</f>
        <v>12560</v>
      </c>
      <c r="R21" s="4">
        <f>Hotel!AV26*0.00378541*100</f>
        <v>372.48434399999996</v>
      </c>
      <c r="S21" s="4">
        <f>Hotel!B26</f>
        <v>116</v>
      </c>
    </row>
    <row r="22" spans="1:19" x14ac:dyDescent="0.25">
      <c r="A22" s="21" t="s">
        <v>9</v>
      </c>
      <c r="B22" s="2">
        <f t="shared" si="0"/>
        <v>21</v>
      </c>
      <c r="C22" s="3">
        <v>1</v>
      </c>
      <c r="D22" s="11">
        <v>2023</v>
      </c>
      <c r="E22" s="4">
        <f>Hotel!Q27</f>
        <v>5840</v>
      </c>
      <c r="F22" s="4">
        <f>Hotel!R27</f>
        <v>1850</v>
      </c>
      <c r="G22" s="4">
        <f>Hotel!S27</f>
        <v>800</v>
      </c>
      <c r="H22" s="4">
        <f>Hotel!T27</f>
        <v>1470</v>
      </c>
      <c r="I22" s="4">
        <f>Hotel!U27</f>
        <v>6390</v>
      </c>
      <c r="J22" s="4">
        <f>Hotel!V27</f>
        <v>4360</v>
      </c>
      <c r="K22" s="4">
        <f>Hotel!W27</f>
        <v>3430</v>
      </c>
      <c r="L22" s="4">
        <f>Hotel!X27</f>
        <v>4710</v>
      </c>
      <c r="M22" s="4">
        <f>Hotel!Y27</f>
        <v>6090</v>
      </c>
      <c r="N22" s="4">
        <f>Hotel!Z27</f>
        <v>2750</v>
      </c>
      <c r="O22" s="4">
        <f>Hotel!AA27</f>
        <v>3440</v>
      </c>
      <c r="P22" s="4">
        <f>Hotel!AB27</f>
        <v>7830</v>
      </c>
      <c r="Q22" s="4">
        <f>Hotel!AC27</f>
        <v>12320</v>
      </c>
      <c r="R22" s="4">
        <f>Hotel!AV27*0.00378541*100</f>
        <v>482.261234</v>
      </c>
      <c r="S22" s="4">
        <f>Hotel!B27</f>
        <v>162</v>
      </c>
    </row>
    <row r="23" spans="1:19" x14ac:dyDescent="0.25">
      <c r="A23" s="21" t="s">
        <v>9</v>
      </c>
      <c r="B23" s="2">
        <f t="shared" si="0"/>
        <v>22</v>
      </c>
      <c r="C23" s="3">
        <v>1</v>
      </c>
      <c r="D23" s="11">
        <v>2023</v>
      </c>
      <c r="E23" s="4">
        <f>Hotel!Q28</f>
        <v>630</v>
      </c>
      <c r="F23" s="4">
        <f>Hotel!R28</f>
        <v>1980</v>
      </c>
      <c r="G23" s="4">
        <f>Hotel!S28</f>
        <v>2700</v>
      </c>
      <c r="H23" s="4">
        <f>Hotel!T28</f>
        <v>1550</v>
      </c>
      <c r="I23" s="4">
        <f>Hotel!U28</f>
        <v>6340</v>
      </c>
      <c r="J23" s="4">
        <f>Hotel!V28</f>
        <v>4680</v>
      </c>
      <c r="K23" s="4">
        <f>Hotel!W28</f>
        <v>3400</v>
      </c>
      <c r="L23" s="4">
        <f>Hotel!X28</f>
        <v>4600</v>
      </c>
      <c r="M23" s="4">
        <f>Hotel!Y28</f>
        <v>6270</v>
      </c>
      <c r="N23" s="4">
        <f>Hotel!Z28</f>
        <v>2840</v>
      </c>
      <c r="O23" s="4">
        <f>Hotel!AA28</f>
        <v>3590</v>
      </c>
      <c r="P23" s="4">
        <f>Hotel!AB28</f>
        <v>8370</v>
      </c>
      <c r="Q23" s="4">
        <f>Hotel!AC28</f>
        <v>13270</v>
      </c>
      <c r="R23" s="4">
        <f>Hotel!AV28*0.00378541*100</f>
        <v>1172.3414769999999</v>
      </c>
      <c r="S23" s="4">
        <f>Hotel!B28</f>
        <v>141</v>
      </c>
    </row>
    <row r="24" spans="1:19" x14ac:dyDescent="0.25">
      <c r="A24" s="21" t="s">
        <v>9</v>
      </c>
      <c r="B24" s="2">
        <f t="shared" si="0"/>
        <v>23</v>
      </c>
      <c r="C24" s="3">
        <v>1</v>
      </c>
      <c r="D24" s="11">
        <v>2023</v>
      </c>
      <c r="E24" s="4">
        <f>Hotel!Q29</f>
        <v>530</v>
      </c>
      <c r="F24" s="4">
        <f>Hotel!R29</f>
        <v>1700</v>
      </c>
      <c r="G24" s="4">
        <f>Hotel!S29</f>
        <v>2370</v>
      </c>
      <c r="H24" s="4">
        <f>Hotel!T29</f>
        <v>1340</v>
      </c>
      <c r="I24" s="4">
        <f>Hotel!U29</f>
        <v>5610</v>
      </c>
      <c r="J24" s="4">
        <f>Hotel!V29</f>
        <v>4060</v>
      </c>
      <c r="K24" s="4">
        <f>Hotel!W29</f>
        <v>2920</v>
      </c>
      <c r="L24" s="4">
        <f>Hotel!X29</f>
        <v>4280</v>
      </c>
      <c r="M24" s="4">
        <f>Hotel!Y29</f>
        <v>5290</v>
      </c>
      <c r="N24" s="4">
        <f>Hotel!Z29</f>
        <v>2400</v>
      </c>
      <c r="O24" s="4">
        <f>Hotel!AA29</f>
        <v>2960</v>
      </c>
      <c r="P24" s="4">
        <f>Hotel!AB29</f>
        <v>7060</v>
      </c>
      <c r="Q24" s="4">
        <f>Hotel!AC29</f>
        <v>11660</v>
      </c>
      <c r="R24" s="4">
        <f>Hotel!AV29*0.00378541*100</f>
        <v>841.49664299999995</v>
      </c>
      <c r="S24" s="4">
        <f>Hotel!B29</f>
        <v>142</v>
      </c>
    </row>
    <row r="25" spans="1:19" x14ac:dyDescent="0.25">
      <c r="A25" s="21" t="s">
        <v>9</v>
      </c>
      <c r="B25" s="2">
        <f t="shared" si="0"/>
        <v>24</v>
      </c>
      <c r="C25" s="3">
        <v>1</v>
      </c>
      <c r="D25" s="11">
        <v>2023</v>
      </c>
      <c r="E25" s="4">
        <f>Hotel!Q30</f>
        <v>590</v>
      </c>
      <c r="F25" s="4">
        <f>Hotel!R30</f>
        <v>1860</v>
      </c>
      <c r="G25" s="4">
        <f>Hotel!S30</f>
        <v>2610</v>
      </c>
      <c r="H25" s="4">
        <f>Hotel!T30</f>
        <v>1460</v>
      </c>
      <c r="I25" s="4">
        <f>Hotel!U30</f>
        <v>6000</v>
      </c>
      <c r="J25" s="4">
        <f>Hotel!V30</f>
        <v>4260</v>
      </c>
      <c r="K25" s="4">
        <f>Hotel!W30</f>
        <v>3270</v>
      </c>
      <c r="L25" s="4">
        <f>Hotel!X30</f>
        <v>4530</v>
      </c>
      <c r="M25" s="4">
        <f>Hotel!Y30</f>
        <v>6040</v>
      </c>
      <c r="N25" s="4">
        <f>Hotel!Z30</f>
        <v>2570</v>
      </c>
      <c r="O25" s="4">
        <f>Hotel!AA30</f>
        <v>3270</v>
      </c>
      <c r="P25" s="4">
        <f>Hotel!AB30</f>
        <v>7530</v>
      </c>
      <c r="Q25" s="4">
        <f>Hotel!AC30</f>
        <v>12630</v>
      </c>
      <c r="R25" s="4">
        <f>Hotel!AV30*0.00378541*100</f>
        <v>687.80899699999998</v>
      </c>
      <c r="S25" s="4">
        <f>Hotel!B30</f>
        <v>110</v>
      </c>
    </row>
    <row r="26" spans="1:19" x14ac:dyDescent="0.25">
      <c r="A26" s="21" t="s">
        <v>9</v>
      </c>
      <c r="B26" s="2">
        <f>B25+1</f>
        <v>25</v>
      </c>
      <c r="C26" s="3">
        <v>1</v>
      </c>
      <c r="D26" s="11">
        <v>2023</v>
      </c>
      <c r="E26" s="4">
        <f>Hotel!Q31</f>
        <v>600</v>
      </c>
      <c r="F26" s="4">
        <f>Hotel!R31</f>
        <v>1920</v>
      </c>
      <c r="G26" s="4">
        <f>Hotel!S31</f>
        <v>2740</v>
      </c>
      <c r="H26" s="4">
        <f>Hotel!T31</f>
        <v>1510</v>
      </c>
      <c r="I26" s="4">
        <f>Hotel!U31</f>
        <v>5710</v>
      </c>
      <c r="J26" s="4">
        <f>Hotel!V31</f>
        <v>4340</v>
      </c>
      <c r="K26" s="4">
        <f>Hotel!W31</f>
        <v>3200</v>
      </c>
      <c r="L26" s="4">
        <f>Hotel!X31</f>
        <v>4740</v>
      </c>
      <c r="M26" s="4">
        <f>Hotel!Y31</f>
        <v>6140</v>
      </c>
      <c r="N26" s="4">
        <f>Hotel!Z31</f>
        <v>2670</v>
      </c>
      <c r="O26" s="4">
        <f>Hotel!AA31</f>
        <v>2850</v>
      </c>
      <c r="P26" s="4">
        <f>Hotel!AB31</f>
        <v>7780</v>
      </c>
      <c r="Q26" s="4">
        <f>Hotel!AC31</f>
        <v>12640</v>
      </c>
      <c r="R26" s="4">
        <f>Hotel!AV31*0.00378541*100</f>
        <v>517.08700599999997</v>
      </c>
      <c r="S26" s="4">
        <f>Hotel!B31</f>
        <v>129</v>
      </c>
    </row>
    <row r="27" spans="1:19" x14ac:dyDescent="0.25">
      <c r="A27" s="21" t="s">
        <v>9</v>
      </c>
      <c r="B27" s="2">
        <f t="shared" si="0"/>
        <v>26</v>
      </c>
      <c r="C27" s="3">
        <v>1</v>
      </c>
      <c r="D27" s="11">
        <v>2023</v>
      </c>
      <c r="E27" s="4">
        <f>Hotel!Q32</f>
        <v>580</v>
      </c>
      <c r="F27" s="4">
        <f>Hotel!R32</f>
        <v>1810</v>
      </c>
      <c r="G27" s="4">
        <f>Hotel!S32</f>
        <v>2550</v>
      </c>
      <c r="H27" s="4">
        <f>Hotel!T32</f>
        <v>1430</v>
      </c>
      <c r="I27" s="4">
        <f>Hotel!U32</f>
        <v>5720</v>
      </c>
      <c r="J27" s="4">
        <f>Hotel!V32</f>
        <v>4260</v>
      </c>
      <c r="K27" s="4">
        <f>Hotel!W32</f>
        <v>3410</v>
      </c>
      <c r="L27" s="4">
        <f>Hotel!X32</f>
        <v>4400</v>
      </c>
      <c r="M27" s="4">
        <f>Hotel!Y32</f>
        <v>5920</v>
      </c>
      <c r="N27" s="4">
        <f>Hotel!Z32</f>
        <v>2620</v>
      </c>
      <c r="O27" s="4">
        <f>Hotel!AA32</f>
        <v>3180</v>
      </c>
      <c r="P27" s="4">
        <f>Hotel!AB32</f>
        <v>7330</v>
      </c>
      <c r="Q27" s="4">
        <f>Hotel!AC32</f>
        <v>12710</v>
      </c>
      <c r="R27" s="4">
        <f>Hotel!AV32*0.00378541*100</f>
        <v>539.04238399999997</v>
      </c>
      <c r="S27" s="4">
        <f>Hotel!B32</f>
        <v>131</v>
      </c>
    </row>
    <row r="28" spans="1:19" x14ac:dyDescent="0.25">
      <c r="A28" s="21" t="s">
        <v>9</v>
      </c>
      <c r="B28" s="2">
        <f t="shared" si="0"/>
        <v>27</v>
      </c>
      <c r="C28" s="3">
        <v>1</v>
      </c>
      <c r="D28" s="11">
        <v>2023</v>
      </c>
      <c r="E28" s="4">
        <f>Hotel!Q33</f>
        <v>570</v>
      </c>
      <c r="F28" s="4">
        <f>Hotel!R33</f>
        <v>1810</v>
      </c>
      <c r="G28" s="4">
        <f>Hotel!S33</f>
        <v>2610</v>
      </c>
      <c r="H28" s="4">
        <f>Hotel!T33</f>
        <v>1420</v>
      </c>
      <c r="I28" s="4">
        <f>Hotel!U33</f>
        <v>5990</v>
      </c>
      <c r="J28" s="4">
        <f>Hotel!V33</f>
        <v>4250</v>
      </c>
      <c r="K28" s="4">
        <f>Hotel!W33</f>
        <v>3190</v>
      </c>
      <c r="L28" s="4">
        <f>Hotel!X33</f>
        <v>4400</v>
      </c>
      <c r="M28" s="4">
        <f>Hotel!Y33</f>
        <v>6010</v>
      </c>
      <c r="N28" s="4">
        <f>Hotel!Z33</f>
        <v>2610</v>
      </c>
      <c r="O28" s="4">
        <f>Hotel!AA33</f>
        <v>3360</v>
      </c>
      <c r="P28" s="4">
        <f>Hotel!AB33</f>
        <v>7370</v>
      </c>
      <c r="Q28" s="4">
        <f>Hotel!AC33</f>
        <v>12580</v>
      </c>
      <c r="R28" s="4">
        <f>Hotel!AV33*0.00378541*100</f>
        <v>546.99174499999992</v>
      </c>
      <c r="S28" s="4">
        <f>Hotel!B33</f>
        <v>123</v>
      </c>
    </row>
    <row r="29" spans="1:19" x14ac:dyDescent="0.25">
      <c r="A29" s="21" t="s">
        <v>9</v>
      </c>
      <c r="B29" s="2">
        <f t="shared" si="0"/>
        <v>28</v>
      </c>
      <c r="C29" s="3">
        <v>1</v>
      </c>
      <c r="D29" s="11">
        <v>2023</v>
      </c>
      <c r="E29" s="4">
        <f>Hotel!Q34</f>
        <v>580</v>
      </c>
      <c r="F29" s="4">
        <f>Hotel!R34</f>
        <v>1850</v>
      </c>
      <c r="G29" s="4">
        <f>Hotel!S34</f>
        <v>2610</v>
      </c>
      <c r="H29" s="4">
        <f>Hotel!T34</f>
        <v>1450</v>
      </c>
      <c r="I29" s="4">
        <f>Hotel!U34</f>
        <v>6160</v>
      </c>
      <c r="J29" s="4">
        <f>Hotel!V34</f>
        <v>4260</v>
      </c>
      <c r="K29" s="4">
        <f>Hotel!W34</f>
        <v>3060</v>
      </c>
      <c r="L29" s="4">
        <f>Hotel!X34</f>
        <v>4420</v>
      </c>
      <c r="M29" s="4">
        <f>Hotel!Y34</f>
        <v>6020</v>
      </c>
      <c r="N29" s="4">
        <f>Hotel!Z34</f>
        <v>2540</v>
      </c>
      <c r="O29" s="4">
        <f>Hotel!AA34</f>
        <v>3230</v>
      </c>
      <c r="P29" s="4">
        <f>Hotel!AB34</f>
        <v>7480</v>
      </c>
      <c r="Q29" s="4">
        <f>Hotel!AC34</f>
        <v>12630</v>
      </c>
      <c r="R29" s="4">
        <f>Hotel!AV34*0.00378541*100</f>
        <v>486.80372599999993</v>
      </c>
      <c r="S29" s="4">
        <f>Hotel!B34</f>
        <v>83</v>
      </c>
    </row>
    <row r="30" spans="1:19" x14ac:dyDescent="0.25">
      <c r="A30" s="21" t="s">
        <v>9</v>
      </c>
      <c r="B30" s="2">
        <f>B29+1</f>
        <v>29</v>
      </c>
      <c r="C30" s="3">
        <v>1</v>
      </c>
      <c r="D30" s="11">
        <v>2023</v>
      </c>
      <c r="E30" s="4">
        <f>Hotel!Q35</f>
        <v>580</v>
      </c>
      <c r="F30" s="4">
        <f>Hotel!R35</f>
        <v>1850</v>
      </c>
      <c r="G30" s="4">
        <f>Hotel!S35</f>
        <v>2720</v>
      </c>
      <c r="H30" s="4">
        <f>Hotel!T35</f>
        <v>1440</v>
      </c>
      <c r="I30" s="4">
        <f>Hotel!U35</f>
        <v>6060</v>
      </c>
      <c r="J30" s="4">
        <f>Hotel!V35</f>
        <v>4240</v>
      </c>
      <c r="K30" s="4">
        <f>Hotel!W35</f>
        <v>3370</v>
      </c>
      <c r="L30" s="4">
        <f>Hotel!X35</f>
        <v>4110</v>
      </c>
      <c r="M30" s="4">
        <f>Hotel!Y35</f>
        <v>5670</v>
      </c>
      <c r="N30" s="4">
        <f>Hotel!Z35</f>
        <v>2510</v>
      </c>
      <c r="O30" s="4">
        <f>Hotel!AA35</f>
        <v>3000</v>
      </c>
      <c r="P30" s="4">
        <f>Hotel!AB35</f>
        <v>7470</v>
      </c>
      <c r="Q30" s="4">
        <f>Hotel!AC35</f>
        <v>14850</v>
      </c>
      <c r="R30" s="4">
        <f>Hotel!AV35*0.00378541*100</f>
        <v>490.96767699999998</v>
      </c>
      <c r="S30" s="4">
        <f>Hotel!B35</f>
        <v>87</v>
      </c>
    </row>
    <row r="31" spans="1:19" x14ac:dyDescent="0.25">
      <c r="A31" s="21" t="s">
        <v>9</v>
      </c>
      <c r="B31" s="2">
        <f>B30+1</f>
        <v>30</v>
      </c>
      <c r="C31" s="3">
        <v>1</v>
      </c>
      <c r="D31" s="11">
        <v>2023</v>
      </c>
      <c r="E31" s="4">
        <f>Hotel!Q36</f>
        <v>580</v>
      </c>
      <c r="F31" s="4">
        <f>Hotel!R36</f>
        <v>1830</v>
      </c>
      <c r="G31" s="4">
        <f>Hotel!S36</f>
        <v>2730</v>
      </c>
      <c r="H31" s="4">
        <f>Hotel!T36</f>
        <v>1430</v>
      </c>
      <c r="I31" s="4">
        <f>Hotel!U36</f>
        <v>5840</v>
      </c>
      <c r="J31" s="4">
        <f>Hotel!V36</f>
        <v>3950</v>
      </c>
      <c r="K31" s="4">
        <f>Hotel!W36</f>
        <v>3090</v>
      </c>
      <c r="L31" s="4">
        <f>Hotel!X36</f>
        <v>4160</v>
      </c>
      <c r="M31" s="4">
        <f>Hotel!Y36</f>
        <v>5670</v>
      </c>
      <c r="N31" s="4">
        <f>Hotel!Z36</f>
        <v>2330</v>
      </c>
      <c r="O31" s="4">
        <f>Hotel!AA36</f>
        <v>2950</v>
      </c>
      <c r="P31" s="4">
        <f>Hotel!AB36</f>
        <v>7380</v>
      </c>
      <c r="Q31" s="4">
        <f>Hotel!AC36</f>
        <v>12880</v>
      </c>
      <c r="R31" s="4">
        <f>Hotel!AV36*0.00378541*100</f>
        <v>492.48184100000003</v>
      </c>
      <c r="S31" s="4">
        <f>Hotel!B36</f>
        <v>110</v>
      </c>
    </row>
    <row r="32" spans="1:19" x14ac:dyDescent="0.25">
      <c r="A32" s="21" t="s">
        <v>9</v>
      </c>
      <c r="B32" s="2">
        <f>B31+1</f>
        <v>31</v>
      </c>
      <c r="C32" s="3">
        <v>1</v>
      </c>
      <c r="D32" s="11">
        <v>2023</v>
      </c>
      <c r="E32" s="4">
        <f>Hotel!Q37</f>
        <v>610</v>
      </c>
      <c r="F32" s="4">
        <f>Hotel!R37</f>
        <v>1940</v>
      </c>
      <c r="G32" s="4">
        <f>Hotel!S37</f>
        <v>2800</v>
      </c>
      <c r="H32" s="4">
        <f>Hotel!T37</f>
        <v>1500</v>
      </c>
      <c r="I32" s="4">
        <f>Hotel!U37</f>
        <v>6270</v>
      </c>
      <c r="J32" s="4">
        <f>Hotel!V37</f>
        <v>4410</v>
      </c>
      <c r="K32" s="4">
        <f>Hotel!W37</f>
        <v>3300</v>
      </c>
      <c r="L32" s="4">
        <f>Hotel!X37</f>
        <v>4400</v>
      </c>
      <c r="M32" s="4">
        <f>Hotel!Y37</f>
        <v>6110</v>
      </c>
      <c r="N32" s="4">
        <f>Hotel!Z37</f>
        <v>2570</v>
      </c>
      <c r="O32" s="4">
        <f>Hotel!AA37</f>
        <v>3180</v>
      </c>
      <c r="P32" s="4">
        <f>Hotel!AB37</f>
        <v>7830</v>
      </c>
      <c r="Q32" s="4">
        <f>Hotel!AC37</f>
        <v>16560</v>
      </c>
      <c r="R32" s="4">
        <f>Hotel!AV37*0.00378541*100</f>
        <v>590.90250099999992</v>
      </c>
      <c r="S32" s="4">
        <f>Hotel!B37</f>
        <v>116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opLeftCell="A4" zoomScale="93" zoomScaleNormal="93" workbookViewId="0">
      <selection activeCell="AO38" sqref="AO3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44926</v>
      </c>
      <c r="B2" s="40">
        <v>250</v>
      </c>
      <c r="C2" s="24">
        <v>8656810</v>
      </c>
      <c r="D2" s="24">
        <v>21109670</v>
      </c>
      <c r="E2" s="24">
        <v>3913650</v>
      </c>
      <c r="F2" s="24">
        <v>4417470</v>
      </c>
      <c r="G2" s="24">
        <v>13080580</v>
      </c>
      <c r="H2" s="24">
        <v>7781950</v>
      </c>
      <c r="I2" s="24">
        <v>6727850</v>
      </c>
      <c r="J2" s="24">
        <v>8416180</v>
      </c>
      <c r="K2" s="24">
        <v>12173940</v>
      </c>
      <c r="L2" s="24">
        <v>5312950</v>
      </c>
      <c r="M2" s="24">
        <v>9660720</v>
      </c>
      <c r="N2" s="24">
        <v>16139600</v>
      </c>
      <c r="O2" s="24">
        <v>22641000</v>
      </c>
      <c r="Q2" s="25" t="s">
        <v>24</v>
      </c>
      <c r="R2" s="25" t="s">
        <v>25</v>
      </c>
      <c r="S2" s="25" t="s">
        <v>26</v>
      </c>
      <c r="T2" s="25" t="s">
        <v>27</v>
      </c>
      <c r="U2" s="25" t="s">
        <v>28</v>
      </c>
      <c r="V2" s="25" t="s">
        <v>29</v>
      </c>
      <c r="W2" s="25" t="s">
        <v>30</v>
      </c>
      <c r="X2" s="25" t="s">
        <v>31</v>
      </c>
      <c r="Y2" s="25" t="s">
        <v>32</v>
      </c>
      <c r="Z2" s="25" t="s">
        <v>33</v>
      </c>
      <c r="AA2" s="25" t="s">
        <v>34</v>
      </c>
      <c r="AB2" s="25" t="s">
        <v>35</v>
      </c>
      <c r="AC2" s="25" t="s">
        <v>36</v>
      </c>
      <c r="AU2" s="52">
        <v>362463</v>
      </c>
    </row>
    <row r="4" spans="1:50" ht="20.25" customHeight="1" x14ac:dyDescent="0.25">
      <c r="A4" s="26" t="s">
        <v>37</v>
      </c>
      <c r="B4" s="41" t="s">
        <v>38</v>
      </c>
      <c r="C4" s="27" t="s">
        <v>39</v>
      </c>
      <c r="D4" s="63" t="s">
        <v>40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Q4" s="65" t="s">
        <v>41</v>
      </c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7"/>
      <c r="AD4" s="28" t="s">
        <v>42</v>
      </c>
      <c r="AF4" s="68" t="s">
        <v>43</v>
      </c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29" t="s">
        <v>44</v>
      </c>
      <c r="AU4" s="59" t="s">
        <v>45</v>
      </c>
      <c r="AV4" s="60" t="s">
        <v>46</v>
      </c>
      <c r="AW4" s="60" t="s">
        <v>47</v>
      </c>
      <c r="AX4" s="62" t="s">
        <v>48</v>
      </c>
    </row>
    <row r="5" spans="1:50" ht="15.75" x14ac:dyDescent="0.25">
      <c r="A5" s="30">
        <v>2023</v>
      </c>
      <c r="B5" s="42" t="s">
        <v>49</v>
      </c>
      <c r="C5" s="25" t="s">
        <v>24</v>
      </c>
      <c r="D5" s="25" t="s">
        <v>25</v>
      </c>
      <c r="E5" s="25" t="s">
        <v>26</v>
      </c>
      <c r="F5" s="25" t="s">
        <v>27</v>
      </c>
      <c r="G5" s="25" t="s">
        <v>28</v>
      </c>
      <c r="H5" s="25" t="s">
        <v>29</v>
      </c>
      <c r="I5" s="25" t="s">
        <v>30</v>
      </c>
      <c r="J5" s="25" t="s">
        <v>31</v>
      </c>
      <c r="K5" s="25" t="s">
        <v>32</v>
      </c>
      <c r="L5" s="25" t="s">
        <v>33</v>
      </c>
      <c r="M5" s="25" t="s">
        <v>34</v>
      </c>
      <c r="N5" s="25" t="s">
        <v>35</v>
      </c>
      <c r="O5" s="25" t="s">
        <v>36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9"/>
      <c r="AV5" s="61"/>
      <c r="AW5" s="61"/>
      <c r="AX5" s="62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2">
        <v>362463</v>
      </c>
    </row>
    <row r="7" spans="1:50" x14ac:dyDescent="0.25">
      <c r="A7" s="23">
        <v>44927</v>
      </c>
      <c r="B7" s="40">
        <v>81</v>
      </c>
      <c r="C7" s="50">
        <v>8657370</v>
      </c>
      <c r="D7" s="50">
        <v>21118520</v>
      </c>
      <c r="E7" s="50">
        <v>3913640</v>
      </c>
      <c r="F7" s="50">
        <v>4418870</v>
      </c>
      <c r="G7" s="50">
        <v>13087050</v>
      </c>
      <c r="H7" s="50">
        <v>7786340</v>
      </c>
      <c r="I7" s="50">
        <v>6730430</v>
      </c>
      <c r="J7" s="50">
        <v>8422030</v>
      </c>
      <c r="K7" s="50">
        <v>12180650</v>
      </c>
      <c r="L7" s="50">
        <v>5315660</v>
      </c>
      <c r="M7" s="50">
        <v>9664340</v>
      </c>
      <c r="N7" s="50">
        <v>16147230</v>
      </c>
      <c r="O7" s="50">
        <v>22654850</v>
      </c>
      <c r="Q7" s="37">
        <f t="shared" ref="Q7:AC7" si="0">IF((C7-C2&lt;0), "0",C7-C2)</f>
        <v>560</v>
      </c>
      <c r="R7" s="37">
        <f t="shared" si="0"/>
        <v>8850</v>
      </c>
      <c r="S7" s="37" t="str">
        <f t="shared" si="0"/>
        <v>0</v>
      </c>
      <c r="T7" s="37">
        <f t="shared" si="0"/>
        <v>1400</v>
      </c>
      <c r="U7" s="37">
        <f t="shared" si="0"/>
        <v>6470</v>
      </c>
      <c r="V7" s="37">
        <f t="shared" si="0"/>
        <v>4390</v>
      </c>
      <c r="W7" s="37">
        <f t="shared" si="0"/>
        <v>2580</v>
      </c>
      <c r="X7" s="37">
        <f t="shared" si="0"/>
        <v>5850</v>
      </c>
      <c r="Y7" s="37">
        <f t="shared" si="0"/>
        <v>6710</v>
      </c>
      <c r="Z7" s="37">
        <f t="shared" si="0"/>
        <v>2710</v>
      </c>
      <c r="AA7" s="37">
        <f t="shared" si="0"/>
        <v>3620</v>
      </c>
      <c r="AB7" s="37">
        <f t="shared" si="0"/>
        <v>7630</v>
      </c>
      <c r="AC7" s="37">
        <f t="shared" si="0"/>
        <v>13850</v>
      </c>
      <c r="AD7" s="34">
        <f>SUM(Q7:AC7)</f>
        <v>64620</v>
      </c>
      <c r="AF7" s="20">
        <f t="shared" ref="AF7:AF36" si="1">Q7*$D$39</f>
        <v>2.8000000000000003</v>
      </c>
      <c r="AG7" s="20">
        <f t="shared" ref="AG7:AG36" si="2">R7*$D$39</f>
        <v>44.25</v>
      </c>
      <c r="AH7" s="20">
        <f t="shared" ref="AH7:AH36" si="3">S7*$D$39</f>
        <v>0</v>
      </c>
      <c r="AI7" s="20">
        <f t="shared" ref="AI7:AI36" si="4">T7*$D$39</f>
        <v>7</v>
      </c>
      <c r="AJ7" s="20">
        <f t="shared" ref="AJ7:AJ36" si="5">U7*$D$39</f>
        <v>32.35</v>
      </c>
      <c r="AK7" s="20">
        <f t="shared" ref="AK7:AK36" si="6">V7*$D$39</f>
        <v>21.95</v>
      </c>
      <c r="AL7" s="20">
        <f t="shared" ref="AL7:AL36" si="7">W7*$D$39</f>
        <v>12.9</v>
      </c>
      <c r="AM7" s="20">
        <f t="shared" ref="AM7:AM36" si="8">X7*$D$39</f>
        <v>29.25</v>
      </c>
      <c r="AN7" s="20">
        <f t="shared" ref="AN7:AN36" si="9">Y7*$D$39</f>
        <v>33.549999999999997</v>
      </c>
      <c r="AO7" s="20">
        <f t="shared" ref="AO7:AO36" si="10">Z7*$D$39</f>
        <v>13.55</v>
      </c>
      <c r="AP7" s="20">
        <f t="shared" ref="AP7:AP36" si="11">AA7*$D$39</f>
        <v>18.100000000000001</v>
      </c>
      <c r="AQ7" s="20">
        <f t="shared" ref="AQ7:AQ36" si="12">AB7*$D$39</f>
        <v>38.15</v>
      </c>
      <c r="AR7" s="20">
        <f t="shared" ref="AR7:AR36" si="13">AC7*$D$39</f>
        <v>69.25</v>
      </c>
      <c r="AS7" s="35">
        <f>SUM(AF7:AR7)</f>
        <v>323.10000000000002</v>
      </c>
      <c r="AU7" s="53">
        <v>363934</v>
      </c>
      <c r="AV7" s="37">
        <f>IF((AU7-AU6&lt;0),"0",AU7-AU6)</f>
        <v>1471</v>
      </c>
      <c r="AW7" s="37">
        <f>AV7*100*AV44</f>
        <v>556.83381099999997</v>
      </c>
      <c r="AX7" s="35">
        <f t="shared" ref="AX7:AX35" si="14">AV7*$D$40</f>
        <v>2.9420000000000002</v>
      </c>
    </row>
    <row r="8" spans="1:50" x14ac:dyDescent="0.25">
      <c r="A8" s="23">
        <v>44928</v>
      </c>
      <c r="B8" s="40">
        <v>50</v>
      </c>
      <c r="C8" s="51">
        <v>8658170</v>
      </c>
      <c r="D8" s="51">
        <v>21126600</v>
      </c>
      <c r="E8" s="51">
        <v>3913640</v>
      </c>
      <c r="F8" s="51">
        <v>4420250</v>
      </c>
      <c r="G8" s="51">
        <v>13092870</v>
      </c>
      <c r="H8" s="51">
        <v>7790490</v>
      </c>
      <c r="I8" s="51">
        <v>6733040</v>
      </c>
      <c r="J8" s="51">
        <v>8427090</v>
      </c>
      <c r="K8" s="51">
        <v>12186340</v>
      </c>
      <c r="L8" s="51">
        <v>5318100</v>
      </c>
      <c r="M8" s="51">
        <v>9667710</v>
      </c>
      <c r="N8" s="51">
        <v>16154470</v>
      </c>
      <c r="O8" s="51">
        <v>22668050</v>
      </c>
      <c r="Q8" s="37">
        <f>IF((C8-C7&lt;0), "0",C8-C7)</f>
        <v>800</v>
      </c>
      <c r="R8" s="37">
        <f t="shared" ref="R8:AC8" si="15">IF((D8-D7&lt;0), "0",D8-D7)</f>
        <v>8080</v>
      </c>
      <c r="S8" s="37">
        <f t="shared" ref="S8:S35" si="16">IF((E8-E7&lt;0), "0",E8-E7)</f>
        <v>0</v>
      </c>
      <c r="T8" s="37">
        <f t="shared" si="15"/>
        <v>1380</v>
      </c>
      <c r="U8" s="37">
        <f t="shared" si="15"/>
        <v>5820</v>
      </c>
      <c r="V8" s="37">
        <f t="shared" si="15"/>
        <v>4150</v>
      </c>
      <c r="W8" s="37">
        <f t="shared" si="15"/>
        <v>2610</v>
      </c>
      <c r="X8" s="37">
        <f t="shared" si="15"/>
        <v>5060</v>
      </c>
      <c r="Y8" s="37">
        <f t="shared" si="15"/>
        <v>5690</v>
      </c>
      <c r="Z8" s="37">
        <f t="shared" si="15"/>
        <v>2440</v>
      </c>
      <c r="AA8" s="37">
        <f t="shared" si="15"/>
        <v>3370</v>
      </c>
      <c r="AB8" s="37">
        <f t="shared" si="15"/>
        <v>7240</v>
      </c>
      <c r="AC8" s="37">
        <f t="shared" si="15"/>
        <v>13200</v>
      </c>
      <c r="AD8" s="35">
        <f>SUM(Q8:AC8)</f>
        <v>59840</v>
      </c>
      <c r="AF8" s="20">
        <f t="shared" si="1"/>
        <v>4</v>
      </c>
      <c r="AG8" s="20">
        <f t="shared" si="2"/>
        <v>40.4</v>
      </c>
      <c r="AH8" s="20">
        <f t="shared" si="3"/>
        <v>0</v>
      </c>
      <c r="AI8" s="20">
        <f t="shared" si="4"/>
        <v>6.9</v>
      </c>
      <c r="AJ8" s="20">
        <f t="shared" si="5"/>
        <v>29.1</v>
      </c>
      <c r="AK8" s="20">
        <f t="shared" si="6"/>
        <v>20.75</v>
      </c>
      <c r="AL8" s="20">
        <f t="shared" si="7"/>
        <v>13.05</v>
      </c>
      <c r="AM8" s="20">
        <f t="shared" si="8"/>
        <v>25.3</v>
      </c>
      <c r="AN8" s="20">
        <f t="shared" si="9"/>
        <v>28.45</v>
      </c>
      <c r="AO8" s="20">
        <f t="shared" si="10"/>
        <v>12.200000000000001</v>
      </c>
      <c r="AP8" s="20">
        <f t="shared" si="11"/>
        <v>16.850000000000001</v>
      </c>
      <c r="AQ8" s="20">
        <f t="shared" si="12"/>
        <v>36.200000000000003</v>
      </c>
      <c r="AR8" s="20">
        <f t="shared" si="13"/>
        <v>66</v>
      </c>
      <c r="AS8" s="35">
        <f>SUM(AF8:AR8)</f>
        <v>299.2</v>
      </c>
      <c r="AU8" s="54">
        <v>365326</v>
      </c>
      <c r="AV8" s="37">
        <f>IF((AU8-AU7&lt;0),"0",AU8-AU7)</f>
        <v>1392</v>
      </c>
      <c r="AW8" s="37">
        <f>AV8*100*AV44</f>
        <v>526.92907200000002</v>
      </c>
      <c r="AX8" s="35">
        <f t="shared" si="14"/>
        <v>2.7840000000000003</v>
      </c>
    </row>
    <row r="9" spans="1:50" x14ac:dyDescent="0.25">
      <c r="A9" s="23">
        <v>44929</v>
      </c>
      <c r="B9" s="40">
        <v>54</v>
      </c>
      <c r="C9" s="51">
        <v>8666240</v>
      </c>
      <c r="D9" s="51">
        <v>21128450</v>
      </c>
      <c r="E9" s="51">
        <v>3913640</v>
      </c>
      <c r="F9" s="51">
        <v>4421690</v>
      </c>
      <c r="G9" s="51">
        <v>13098220</v>
      </c>
      <c r="H9" s="51">
        <v>7794640</v>
      </c>
      <c r="I9" s="51">
        <v>6735880</v>
      </c>
      <c r="J9" s="51">
        <v>8431970</v>
      </c>
      <c r="K9" s="51">
        <v>12191870</v>
      </c>
      <c r="L9" s="51">
        <v>5320500</v>
      </c>
      <c r="M9" s="51">
        <v>9670390</v>
      </c>
      <c r="N9" s="51">
        <v>16161660</v>
      </c>
      <c r="O9" s="51">
        <v>22680390</v>
      </c>
      <c r="Q9" s="37">
        <f t="shared" ref="Q9:Q30" si="17">IF((C9-C8&lt;0), "0",C9-C8)</f>
        <v>8070</v>
      </c>
      <c r="R9" s="37">
        <f t="shared" ref="R9:R37" si="18">IF((D9-D8&lt;0), "0",D9-D8)</f>
        <v>1850</v>
      </c>
      <c r="S9" s="37">
        <f t="shared" si="16"/>
        <v>0</v>
      </c>
      <c r="T9" s="37">
        <f t="shared" ref="T9:T35" si="19">IF((F9-F8&lt;0), "0",F9-F8)</f>
        <v>1440</v>
      </c>
      <c r="U9" s="37">
        <f t="shared" ref="U9:U35" si="20">IF((G9-G8&lt;0), "0",G9-G8)</f>
        <v>5350</v>
      </c>
      <c r="V9" s="37">
        <f t="shared" ref="V9:V35" si="21">IF((H9-H8&lt;0), "0",H9-H8)</f>
        <v>4150</v>
      </c>
      <c r="W9" s="37">
        <f t="shared" ref="W9:W35" si="22">IF((I9-I8&lt;0), "0",I9-I8)</f>
        <v>2840</v>
      </c>
      <c r="X9" s="37">
        <f t="shared" ref="X9:X37" si="23">IF((J9-J8&lt;0), "0",J9-J8)</f>
        <v>4880</v>
      </c>
      <c r="Y9" s="37">
        <f t="shared" ref="Y9:Y35" si="24">IF((K9-K8&lt;0), "0",K9-K8)</f>
        <v>5530</v>
      </c>
      <c r="Z9" s="37">
        <f t="shared" ref="Z9:Z35" si="25">IF((L9-L8&lt;0), "0",L9-L8)</f>
        <v>2400</v>
      </c>
      <c r="AA9" s="37">
        <f t="shared" ref="AA9:AA35" si="26">IF((M9-M8&lt;0), "0",M9-M8)</f>
        <v>2680</v>
      </c>
      <c r="AB9" s="37">
        <f t="shared" ref="AB9:AB37" si="27">IF((N9-N8&lt;0), "0",N9-N8)</f>
        <v>7190</v>
      </c>
      <c r="AC9" s="37">
        <f t="shared" ref="AC9:AC37" si="28">IF((O9-O8&lt;0), "0",O9-O8)</f>
        <v>12340</v>
      </c>
      <c r="AD9" s="35">
        <f t="shared" ref="AD9:AD37" si="29">SUM(Q9:AC9)</f>
        <v>58720</v>
      </c>
      <c r="AF9" s="20">
        <f t="shared" si="1"/>
        <v>40.35</v>
      </c>
      <c r="AG9" s="20">
        <f t="shared" si="2"/>
        <v>9.25</v>
      </c>
      <c r="AH9" s="20">
        <f t="shared" si="3"/>
        <v>0</v>
      </c>
      <c r="AI9" s="20">
        <f t="shared" si="4"/>
        <v>7.2</v>
      </c>
      <c r="AJ9" s="20">
        <f t="shared" si="5"/>
        <v>26.75</v>
      </c>
      <c r="AK9" s="20">
        <f t="shared" si="6"/>
        <v>20.75</v>
      </c>
      <c r="AL9" s="20">
        <f t="shared" si="7"/>
        <v>14.200000000000001</v>
      </c>
      <c r="AM9" s="20">
        <f t="shared" si="8"/>
        <v>24.400000000000002</v>
      </c>
      <c r="AN9" s="20">
        <f t="shared" si="9"/>
        <v>27.650000000000002</v>
      </c>
      <c r="AO9" s="20">
        <f t="shared" si="10"/>
        <v>12</v>
      </c>
      <c r="AP9" s="20">
        <f t="shared" si="11"/>
        <v>13.4</v>
      </c>
      <c r="AQ9" s="20">
        <f t="shared" si="12"/>
        <v>35.950000000000003</v>
      </c>
      <c r="AR9" s="20">
        <f t="shared" si="13"/>
        <v>61.7</v>
      </c>
      <c r="AS9" s="35">
        <f t="shared" ref="AS9:AS33" si="30">SUM(AF9:AR9)</f>
        <v>293.60000000000002</v>
      </c>
      <c r="AU9" s="54">
        <v>366523</v>
      </c>
      <c r="AV9" s="37">
        <f>IF((AU9-AU8&lt;0),"0",AU9-AU8)</f>
        <v>1197</v>
      </c>
      <c r="AW9" s="37">
        <f>AV9*100*AV44</f>
        <v>453.11357699999996</v>
      </c>
      <c r="AX9" s="35">
        <f t="shared" si="14"/>
        <v>2.3940000000000001</v>
      </c>
    </row>
    <row r="10" spans="1:50" x14ac:dyDescent="0.25">
      <c r="A10" s="23">
        <v>44930</v>
      </c>
      <c r="B10" s="40">
        <v>63</v>
      </c>
      <c r="C10" s="50">
        <v>8674600</v>
      </c>
      <c r="D10" s="50">
        <v>21130340</v>
      </c>
      <c r="E10" s="50">
        <v>3913650</v>
      </c>
      <c r="F10" s="50">
        <v>4423150</v>
      </c>
      <c r="G10" s="50">
        <v>13104110</v>
      </c>
      <c r="H10" s="50">
        <v>7798890</v>
      </c>
      <c r="I10" s="50">
        <v>6739160</v>
      </c>
      <c r="J10" s="50">
        <v>8437120</v>
      </c>
      <c r="K10" s="50">
        <v>12197710</v>
      </c>
      <c r="L10" s="50">
        <v>5322900</v>
      </c>
      <c r="M10" s="50">
        <v>9673700</v>
      </c>
      <c r="N10" s="50">
        <v>16169060</v>
      </c>
      <c r="O10" s="50">
        <v>22694350</v>
      </c>
      <c r="Q10" s="37">
        <f t="shared" si="17"/>
        <v>8360</v>
      </c>
      <c r="R10" s="37">
        <f t="shared" si="18"/>
        <v>1890</v>
      </c>
      <c r="S10" s="37">
        <f t="shared" si="16"/>
        <v>10</v>
      </c>
      <c r="T10" s="37">
        <f t="shared" si="19"/>
        <v>1460</v>
      </c>
      <c r="U10" s="37">
        <f t="shared" si="20"/>
        <v>5890</v>
      </c>
      <c r="V10" s="37">
        <f t="shared" si="21"/>
        <v>4250</v>
      </c>
      <c r="W10" s="37">
        <f t="shared" si="22"/>
        <v>3280</v>
      </c>
      <c r="X10" s="37">
        <f t="shared" si="23"/>
        <v>5150</v>
      </c>
      <c r="Y10" s="37">
        <f t="shared" si="24"/>
        <v>5840</v>
      </c>
      <c r="Z10" s="37">
        <f t="shared" si="25"/>
        <v>2400</v>
      </c>
      <c r="AA10" s="37">
        <f t="shared" si="26"/>
        <v>3310</v>
      </c>
      <c r="AB10" s="37">
        <f t="shared" si="27"/>
        <v>7400</v>
      </c>
      <c r="AC10" s="37">
        <f t="shared" si="28"/>
        <v>13960</v>
      </c>
      <c r="AD10" s="35">
        <f t="shared" si="29"/>
        <v>63200</v>
      </c>
      <c r="AF10" s="20">
        <f t="shared" si="1"/>
        <v>41.800000000000004</v>
      </c>
      <c r="AG10" s="20">
        <f t="shared" si="2"/>
        <v>9.4500000000000011</v>
      </c>
      <c r="AH10" s="20">
        <f t="shared" si="3"/>
        <v>0.05</v>
      </c>
      <c r="AI10" s="20">
        <f t="shared" si="4"/>
        <v>7.3</v>
      </c>
      <c r="AJ10" s="20">
        <f t="shared" si="5"/>
        <v>29.45</v>
      </c>
      <c r="AK10" s="20">
        <f t="shared" si="6"/>
        <v>21.25</v>
      </c>
      <c r="AL10" s="20">
        <f t="shared" si="7"/>
        <v>16.399999999999999</v>
      </c>
      <c r="AM10" s="20">
        <f t="shared" si="8"/>
        <v>25.75</v>
      </c>
      <c r="AN10" s="20">
        <f t="shared" si="9"/>
        <v>29.2</v>
      </c>
      <c r="AO10" s="20">
        <f t="shared" si="10"/>
        <v>12</v>
      </c>
      <c r="AP10" s="20">
        <f t="shared" si="11"/>
        <v>16.55</v>
      </c>
      <c r="AQ10" s="20">
        <f t="shared" si="12"/>
        <v>37</v>
      </c>
      <c r="AR10" s="20">
        <f t="shared" si="13"/>
        <v>69.8</v>
      </c>
      <c r="AS10" s="35">
        <f t="shared" si="30"/>
        <v>316</v>
      </c>
      <c r="AU10" s="53">
        <v>367807</v>
      </c>
      <c r="AV10" s="37">
        <f t="shared" ref="AV10:AV26" si="31">IF((AU10-AU9&lt;0),"0",AU10-AU9)</f>
        <v>1284</v>
      </c>
      <c r="AW10" s="37">
        <f>AV10*100*AV44</f>
        <v>486.04664400000001</v>
      </c>
      <c r="AX10" s="35">
        <f t="shared" si="14"/>
        <v>2.5680000000000001</v>
      </c>
    </row>
    <row r="11" spans="1:50" x14ac:dyDescent="0.25">
      <c r="A11" s="23">
        <v>44931</v>
      </c>
      <c r="B11" s="40">
        <v>73</v>
      </c>
      <c r="C11" s="50">
        <v>8682620</v>
      </c>
      <c r="D11" s="50">
        <v>21132170</v>
      </c>
      <c r="E11" s="50">
        <v>3913650</v>
      </c>
      <c r="F11" s="50">
        <v>4424570</v>
      </c>
      <c r="G11" s="50">
        <v>13109650</v>
      </c>
      <c r="H11" s="50">
        <v>7802950</v>
      </c>
      <c r="I11" s="50">
        <v>6742070</v>
      </c>
      <c r="J11" s="50">
        <v>8442190</v>
      </c>
      <c r="K11" s="50">
        <v>12203160</v>
      </c>
      <c r="L11" s="50">
        <v>5325290</v>
      </c>
      <c r="M11" s="50">
        <v>9676810</v>
      </c>
      <c r="N11" s="50">
        <v>16176510</v>
      </c>
      <c r="O11" s="50">
        <v>22708890</v>
      </c>
      <c r="Q11" s="37">
        <f t="shared" si="17"/>
        <v>8020</v>
      </c>
      <c r="R11" s="37">
        <f t="shared" si="18"/>
        <v>1830</v>
      </c>
      <c r="S11" s="37">
        <f t="shared" si="16"/>
        <v>0</v>
      </c>
      <c r="T11" s="37">
        <f t="shared" si="19"/>
        <v>1420</v>
      </c>
      <c r="U11" s="37">
        <f t="shared" si="20"/>
        <v>5540</v>
      </c>
      <c r="V11" s="37">
        <f t="shared" si="21"/>
        <v>4060</v>
      </c>
      <c r="W11" s="37">
        <f t="shared" si="22"/>
        <v>2910</v>
      </c>
      <c r="X11" s="37">
        <f t="shared" si="23"/>
        <v>5070</v>
      </c>
      <c r="Y11" s="37">
        <f t="shared" si="24"/>
        <v>5450</v>
      </c>
      <c r="Z11" s="37">
        <f t="shared" si="25"/>
        <v>2390</v>
      </c>
      <c r="AA11" s="37">
        <f t="shared" si="26"/>
        <v>3110</v>
      </c>
      <c r="AB11" s="37">
        <f t="shared" si="27"/>
        <v>7450</v>
      </c>
      <c r="AC11" s="37">
        <f t="shared" si="28"/>
        <v>14540</v>
      </c>
      <c r="AD11" s="35">
        <f t="shared" si="29"/>
        <v>61790</v>
      </c>
      <c r="AF11" s="20">
        <f t="shared" si="1"/>
        <v>40.1</v>
      </c>
      <c r="AG11" s="20">
        <f t="shared" si="2"/>
        <v>9.15</v>
      </c>
      <c r="AH11" s="20">
        <f t="shared" si="3"/>
        <v>0</v>
      </c>
      <c r="AI11" s="20">
        <f t="shared" si="4"/>
        <v>7.1000000000000005</v>
      </c>
      <c r="AJ11" s="20">
        <f t="shared" si="5"/>
        <v>27.7</v>
      </c>
      <c r="AK11" s="20">
        <f t="shared" si="6"/>
        <v>20.3</v>
      </c>
      <c r="AL11" s="20">
        <f t="shared" si="7"/>
        <v>14.55</v>
      </c>
      <c r="AM11" s="20">
        <f t="shared" si="8"/>
        <v>25.35</v>
      </c>
      <c r="AN11" s="20">
        <f t="shared" si="9"/>
        <v>27.25</v>
      </c>
      <c r="AO11" s="20">
        <f t="shared" si="10"/>
        <v>11.950000000000001</v>
      </c>
      <c r="AP11" s="20">
        <f t="shared" si="11"/>
        <v>15.55</v>
      </c>
      <c r="AQ11" s="20">
        <f t="shared" si="12"/>
        <v>37.25</v>
      </c>
      <c r="AR11" s="20">
        <f t="shared" si="13"/>
        <v>72.7</v>
      </c>
      <c r="AS11" s="35">
        <f t="shared" si="30"/>
        <v>308.95</v>
      </c>
      <c r="AU11" s="53">
        <v>368448</v>
      </c>
      <c r="AV11" s="37">
        <f t="shared" si="31"/>
        <v>641</v>
      </c>
      <c r="AW11" s="37">
        <f>AV11*100*AV44</f>
        <v>242.64478099999999</v>
      </c>
      <c r="AX11" s="35">
        <f t="shared" si="14"/>
        <v>1.282</v>
      </c>
    </row>
    <row r="12" spans="1:50" x14ac:dyDescent="0.25">
      <c r="A12" s="23">
        <v>44932</v>
      </c>
      <c r="B12" s="40">
        <v>94</v>
      </c>
      <c r="C12" s="51">
        <v>8690700</v>
      </c>
      <c r="D12" s="51">
        <v>21134010</v>
      </c>
      <c r="E12" s="51">
        <v>3913650</v>
      </c>
      <c r="F12" s="51">
        <v>4425990</v>
      </c>
      <c r="G12" s="51">
        <v>13115230</v>
      </c>
      <c r="H12" s="51">
        <v>7807080</v>
      </c>
      <c r="I12" s="51">
        <v>6745110</v>
      </c>
      <c r="J12" s="51">
        <v>8446880</v>
      </c>
      <c r="K12" s="51">
        <v>12208980</v>
      </c>
      <c r="L12" s="51">
        <v>5327690</v>
      </c>
      <c r="M12" s="51">
        <v>9679860</v>
      </c>
      <c r="N12" s="51">
        <v>16183840</v>
      </c>
      <c r="O12" s="51">
        <v>22720770</v>
      </c>
      <c r="Q12" s="37">
        <f t="shared" si="17"/>
        <v>8080</v>
      </c>
      <c r="R12" s="37">
        <f t="shared" si="18"/>
        <v>1840</v>
      </c>
      <c r="S12" s="37">
        <f t="shared" si="16"/>
        <v>0</v>
      </c>
      <c r="T12" s="37">
        <f t="shared" ref="T12:W14" si="32">IF((F12-F11&lt;0), "0",F12-F11)</f>
        <v>1420</v>
      </c>
      <c r="U12" s="37">
        <f t="shared" si="32"/>
        <v>5580</v>
      </c>
      <c r="V12" s="37">
        <f t="shared" si="32"/>
        <v>4130</v>
      </c>
      <c r="W12" s="37">
        <f t="shared" si="32"/>
        <v>3040</v>
      </c>
      <c r="X12" s="37">
        <f t="shared" si="23"/>
        <v>4690</v>
      </c>
      <c r="Y12" s="37">
        <f t="shared" si="24"/>
        <v>5820</v>
      </c>
      <c r="Z12" s="37">
        <f>IF((L12-L11&lt;0), "0",L12-L11)</f>
        <v>2400</v>
      </c>
      <c r="AA12" s="37">
        <f t="shared" si="26"/>
        <v>3050</v>
      </c>
      <c r="AB12" s="37">
        <f t="shared" si="27"/>
        <v>7330</v>
      </c>
      <c r="AC12" s="37">
        <f t="shared" si="28"/>
        <v>11880</v>
      </c>
      <c r="AD12" s="35">
        <f t="shared" si="29"/>
        <v>59260</v>
      </c>
      <c r="AF12" s="20">
        <f t="shared" si="1"/>
        <v>40.4</v>
      </c>
      <c r="AG12" s="20">
        <f t="shared" si="2"/>
        <v>9.2000000000000011</v>
      </c>
      <c r="AH12" s="20">
        <f t="shared" si="3"/>
        <v>0</v>
      </c>
      <c r="AI12" s="20">
        <f t="shared" si="4"/>
        <v>7.1000000000000005</v>
      </c>
      <c r="AJ12" s="20">
        <f t="shared" si="5"/>
        <v>27.900000000000002</v>
      </c>
      <c r="AK12" s="20">
        <f t="shared" si="6"/>
        <v>20.650000000000002</v>
      </c>
      <c r="AL12" s="20">
        <f t="shared" si="7"/>
        <v>15.200000000000001</v>
      </c>
      <c r="AM12" s="20">
        <f t="shared" si="8"/>
        <v>23.45</v>
      </c>
      <c r="AN12" s="20">
        <f t="shared" si="9"/>
        <v>29.1</v>
      </c>
      <c r="AO12" s="20">
        <f t="shared" si="10"/>
        <v>12</v>
      </c>
      <c r="AP12" s="20">
        <f t="shared" si="11"/>
        <v>15.25</v>
      </c>
      <c r="AQ12" s="20">
        <f t="shared" si="12"/>
        <v>36.65</v>
      </c>
      <c r="AR12" s="20">
        <f t="shared" si="13"/>
        <v>59.4</v>
      </c>
      <c r="AS12" s="35">
        <f t="shared" si="30"/>
        <v>296.3</v>
      </c>
      <c r="AU12" s="54">
        <v>369673</v>
      </c>
      <c r="AV12" s="37">
        <f t="shared" si="31"/>
        <v>1225</v>
      </c>
      <c r="AW12" s="37">
        <f>AV12*100*AV44</f>
        <v>463.71272499999998</v>
      </c>
      <c r="AX12" s="35">
        <f t="shared" si="14"/>
        <v>2.4500000000000002</v>
      </c>
    </row>
    <row r="13" spans="1:50" x14ac:dyDescent="0.25">
      <c r="A13" s="23">
        <v>44933</v>
      </c>
      <c r="B13" s="40">
        <v>61</v>
      </c>
      <c r="C13" s="51">
        <v>8699150</v>
      </c>
      <c r="D13" s="51">
        <v>21135870</v>
      </c>
      <c r="E13" s="51">
        <v>3913650</v>
      </c>
      <c r="F13" s="51">
        <v>4427440</v>
      </c>
      <c r="G13" s="51">
        <v>13121070</v>
      </c>
      <c r="H13" s="51">
        <v>7811350</v>
      </c>
      <c r="I13" s="51">
        <v>6747960</v>
      </c>
      <c r="J13" s="51">
        <v>8451470</v>
      </c>
      <c r="K13" s="51">
        <v>12214950</v>
      </c>
      <c r="L13" s="51">
        <v>5330040</v>
      </c>
      <c r="M13" s="51">
        <v>9683020</v>
      </c>
      <c r="N13" s="51">
        <v>16191410</v>
      </c>
      <c r="O13" s="51">
        <v>22732850</v>
      </c>
      <c r="Q13" s="37">
        <f t="shared" si="17"/>
        <v>8450</v>
      </c>
      <c r="R13" s="37">
        <f t="shared" si="18"/>
        <v>1860</v>
      </c>
      <c r="S13" s="37">
        <f t="shared" si="16"/>
        <v>0</v>
      </c>
      <c r="T13" s="37">
        <f t="shared" si="32"/>
        <v>1450</v>
      </c>
      <c r="U13" s="37">
        <f t="shared" si="32"/>
        <v>5840</v>
      </c>
      <c r="V13" s="37">
        <f t="shared" si="32"/>
        <v>4270</v>
      </c>
      <c r="W13" s="37">
        <f t="shared" si="32"/>
        <v>2850</v>
      </c>
      <c r="X13" s="37">
        <f t="shared" si="23"/>
        <v>4590</v>
      </c>
      <c r="Y13" s="37">
        <f t="shared" si="24"/>
        <v>5970</v>
      </c>
      <c r="Z13" s="37">
        <f>IF((L13-L12&lt;0), "0",L13-L12)</f>
        <v>2350</v>
      </c>
      <c r="AA13" s="37">
        <f t="shared" si="26"/>
        <v>3160</v>
      </c>
      <c r="AB13" s="37">
        <f t="shared" si="27"/>
        <v>7570</v>
      </c>
      <c r="AC13" s="37">
        <f t="shared" si="28"/>
        <v>12080</v>
      </c>
      <c r="AD13" s="35">
        <f t="shared" si="29"/>
        <v>60440</v>
      </c>
      <c r="AF13" s="20">
        <f t="shared" si="1"/>
        <v>42.25</v>
      </c>
      <c r="AG13" s="20">
        <f t="shared" si="2"/>
        <v>9.3000000000000007</v>
      </c>
      <c r="AH13" s="20">
        <f t="shared" si="3"/>
        <v>0</v>
      </c>
      <c r="AI13" s="20">
        <f t="shared" si="4"/>
        <v>7.25</v>
      </c>
      <c r="AJ13" s="20">
        <f t="shared" si="5"/>
        <v>29.2</v>
      </c>
      <c r="AK13" s="20">
        <f t="shared" si="6"/>
        <v>21.35</v>
      </c>
      <c r="AL13" s="20">
        <f t="shared" si="7"/>
        <v>14.25</v>
      </c>
      <c r="AM13" s="20">
        <f t="shared" si="8"/>
        <v>22.95</v>
      </c>
      <c r="AN13" s="20">
        <f t="shared" si="9"/>
        <v>29.85</v>
      </c>
      <c r="AO13" s="20">
        <f t="shared" si="10"/>
        <v>11.75</v>
      </c>
      <c r="AP13" s="20">
        <f t="shared" si="11"/>
        <v>15.8</v>
      </c>
      <c r="AQ13" s="20">
        <f t="shared" si="12"/>
        <v>37.85</v>
      </c>
      <c r="AR13" s="20">
        <f t="shared" si="13"/>
        <v>60.4</v>
      </c>
      <c r="AS13" s="35">
        <f t="shared" si="30"/>
        <v>302.2</v>
      </c>
      <c r="AU13" s="58">
        <v>371179</v>
      </c>
      <c r="AV13" s="37">
        <f t="shared" si="31"/>
        <v>1506</v>
      </c>
      <c r="AW13" s="37">
        <f>AV13*100*AV44</f>
        <v>570.08274599999993</v>
      </c>
      <c r="AX13" s="35">
        <f t="shared" si="14"/>
        <v>3.012</v>
      </c>
    </row>
    <row r="14" spans="1:50" x14ac:dyDescent="0.25">
      <c r="A14" s="23">
        <v>44934</v>
      </c>
      <c r="B14" s="40">
        <v>64</v>
      </c>
      <c r="C14" s="50">
        <v>8707780</v>
      </c>
      <c r="D14" s="50">
        <v>21137770</v>
      </c>
      <c r="E14" s="50">
        <v>3913650</v>
      </c>
      <c r="F14" s="50">
        <v>4428920</v>
      </c>
      <c r="G14" s="50">
        <v>13126510</v>
      </c>
      <c r="H14" s="50">
        <v>7815480</v>
      </c>
      <c r="I14" s="50">
        <v>6750750</v>
      </c>
      <c r="J14" s="50">
        <v>8455580</v>
      </c>
      <c r="K14" s="50">
        <v>12220670</v>
      </c>
      <c r="L14" s="50">
        <v>5332390</v>
      </c>
      <c r="M14" s="50">
        <v>9685860</v>
      </c>
      <c r="N14" s="50">
        <v>16199090</v>
      </c>
      <c r="O14" s="50">
        <v>22745430</v>
      </c>
      <c r="P14" s="48"/>
      <c r="Q14" s="37">
        <f t="shared" si="17"/>
        <v>8630</v>
      </c>
      <c r="R14" s="37">
        <f t="shared" si="18"/>
        <v>1900</v>
      </c>
      <c r="S14" s="37">
        <f t="shared" si="16"/>
        <v>0</v>
      </c>
      <c r="T14" s="37">
        <f t="shared" si="32"/>
        <v>1480</v>
      </c>
      <c r="U14" s="37">
        <f t="shared" si="32"/>
        <v>5440</v>
      </c>
      <c r="V14" s="37">
        <f t="shared" si="32"/>
        <v>4130</v>
      </c>
      <c r="W14" s="37">
        <f t="shared" si="32"/>
        <v>2790</v>
      </c>
      <c r="X14" s="37">
        <f t="shared" si="23"/>
        <v>4110</v>
      </c>
      <c r="Y14" s="37">
        <f t="shared" si="24"/>
        <v>5720</v>
      </c>
      <c r="Z14" s="37">
        <f>IF((L14-L13&lt;0), "0",L14-L13)</f>
        <v>2350</v>
      </c>
      <c r="AA14" s="37">
        <f t="shared" si="26"/>
        <v>2840</v>
      </c>
      <c r="AB14" s="37">
        <f t="shared" si="27"/>
        <v>7680</v>
      </c>
      <c r="AC14" s="37">
        <f t="shared" si="28"/>
        <v>12580</v>
      </c>
      <c r="AD14" s="35">
        <f t="shared" si="29"/>
        <v>59650</v>
      </c>
      <c r="AF14" s="20">
        <f t="shared" si="1"/>
        <v>43.15</v>
      </c>
      <c r="AG14" s="20">
        <f t="shared" si="2"/>
        <v>9.5</v>
      </c>
      <c r="AH14" s="20">
        <f t="shared" si="3"/>
        <v>0</v>
      </c>
      <c r="AI14" s="20">
        <f t="shared" si="4"/>
        <v>7.4</v>
      </c>
      <c r="AJ14" s="20">
        <f t="shared" si="5"/>
        <v>27.2</v>
      </c>
      <c r="AK14" s="20">
        <f t="shared" si="6"/>
        <v>20.650000000000002</v>
      </c>
      <c r="AL14" s="20">
        <f t="shared" si="7"/>
        <v>13.950000000000001</v>
      </c>
      <c r="AM14" s="20">
        <f t="shared" si="8"/>
        <v>20.55</v>
      </c>
      <c r="AN14" s="20">
        <f t="shared" si="9"/>
        <v>28.6</v>
      </c>
      <c r="AO14" s="20">
        <f t="shared" si="10"/>
        <v>11.75</v>
      </c>
      <c r="AP14" s="20">
        <f t="shared" si="11"/>
        <v>14.200000000000001</v>
      </c>
      <c r="AQ14" s="20">
        <f t="shared" si="12"/>
        <v>38.4</v>
      </c>
      <c r="AR14" s="20">
        <f t="shared" si="13"/>
        <v>62.9</v>
      </c>
      <c r="AS14" s="35">
        <f t="shared" si="30"/>
        <v>298.25</v>
      </c>
      <c r="AU14" s="53">
        <v>372116</v>
      </c>
      <c r="AV14" s="37">
        <f t="shared" si="31"/>
        <v>937</v>
      </c>
      <c r="AW14" s="37">
        <f>AV14*100*AV44</f>
        <v>354.69291699999997</v>
      </c>
      <c r="AX14" s="35">
        <f t="shared" si="14"/>
        <v>1.8740000000000001</v>
      </c>
    </row>
    <row r="15" spans="1:50" x14ac:dyDescent="0.25">
      <c r="A15" s="23">
        <v>44935</v>
      </c>
      <c r="B15" s="40">
        <v>71</v>
      </c>
      <c r="C15" s="51">
        <v>8715240</v>
      </c>
      <c r="D15" s="51">
        <v>21139410</v>
      </c>
      <c r="E15" s="51">
        <v>3913650</v>
      </c>
      <c r="F15" s="51">
        <v>4430340</v>
      </c>
      <c r="G15" s="51">
        <v>13131740</v>
      </c>
      <c r="H15" s="51">
        <v>7819550</v>
      </c>
      <c r="I15" s="51">
        <v>6753500</v>
      </c>
      <c r="J15" s="51">
        <v>8459989</v>
      </c>
      <c r="K15" s="51">
        <v>12226370</v>
      </c>
      <c r="L15" s="51">
        <v>5334490</v>
      </c>
      <c r="M15" s="51">
        <v>9688910</v>
      </c>
      <c r="N15" s="51">
        <v>16206620</v>
      </c>
      <c r="O15" s="51">
        <v>22758450</v>
      </c>
      <c r="Q15" s="37">
        <f t="shared" si="17"/>
        <v>7460</v>
      </c>
      <c r="R15" s="37">
        <f t="shared" si="18"/>
        <v>1640</v>
      </c>
      <c r="S15" s="37">
        <f t="shared" si="16"/>
        <v>0</v>
      </c>
      <c r="T15" s="37">
        <f t="shared" si="19"/>
        <v>1420</v>
      </c>
      <c r="U15" s="37">
        <f t="shared" si="20"/>
        <v>5230</v>
      </c>
      <c r="V15" s="37">
        <f t="shared" si="21"/>
        <v>4070</v>
      </c>
      <c r="W15" s="37">
        <f t="shared" si="22"/>
        <v>2750</v>
      </c>
      <c r="X15" s="37">
        <f t="shared" si="23"/>
        <v>4409</v>
      </c>
      <c r="Y15" s="37">
        <f t="shared" si="24"/>
        <v>5700</v>
      </c>
      <c r="Z15" s="37">
        <f t="shared" si="25"/>
        <v>2100</v>
      </c>
      <c r="AA15" s="37">
        <f t="shared" si="26"/>
        <v>3050</v>
      </c>
      <c r="AB15" s="37">
        <f t="shared" si="27"/>
        <v>7530</v>
      </c>
      <c r="AC15" s="37">
        <f t="shared" si="28"/>
        <v>13020</v>
      </c>
      <c r="AD15" s="35">
        <f t="shared" si="29"/>
        <v>58379</v>
      </c>
      <c r="AF15" s="20">
        <f t="shared" si="1"/>
        <v>37.300000000000004</v>
      </c>
      <c r="AG15" s="20">
        <f t="shared" si="2"/>
        <v>8.1999999999999993</v>
      </c>
      <c r="AH15" s="20">
        <f t="shared" si="3"/>
        <v>0</v>
      </c>
      <c r="AI15" s="20">
        <f t="shared" si="4"/>
        <v>7.1000000000000005</v>
      </c>
      <c r="AJ15" s="20">
        <f t="shared" si="5"/>
        <v>26.150000000000002</v>
      </c>
      <c r="AK15" s="20">
        <f t="shared" si="6"/>
        <v>20.350000000000001</v>
      </c>
      <c r="AL15" s="20">
        <f t="shared" si="7"/>
        <v>13.75</v>
      </c>
      <c r="AM15" s="20">
        <f t="shared" si="8"/>
        <v>22.045000000000002</v>
      </c>
      <c r="AN15" s="20">
        <f t="shared" si="9"/>
        <v>28.5</v>
      </c>
      <c r="AO15" s="20">
        <f t="shared" si="10"/>
        <v>10.5</v>
      </c>
      <c r="AP15" s="20">
        <f t="shared" si="11"/>
        <v>15.25</v>
      </c>
      <c r="AQ15" s="20">
        <f t="shared" si="12"/>
        <v>37.65</v>
      </c>
      <c r="AR15" s="20">
        <f t="shared" si="13"/>
        <v>65.099999999999994</v>
      </c>
      <c r="AS15" s="35">
        <f t="shared" si="30"/>
        <v>291.89499999999998</v>
      </c>
      <c r="AU15" s="54">
        <v>373590</v>
      </c>
      <c r="AV15" s="37">
        <f t="shared" si="31"/>
        <v>1474</v>
      </c>
      <c r="AW15" s="37">
        <f>AV15*100*AV44</f>
        <v>557.96943399999998</v>
      </c>
      <c r="AX15" s="35">
        <f t="shared" si="14"/>
        <v>2.948</v>
      </c>
    </row>
    <row r="16" spans="1:50" x14ac:dyDescent="0.25">
      <c r="A16" s="23">
        <v>44936</v>
      </c>
      <c r="B16" s="40">
        <v>71</v>
      </c>
      <c r="C16" s="51">
        <v>8722910</v>
      </c>
      <c r="D16" s="51">
        <v>21141250</v>
      </c>
      <c r="E16" s="51">
        <v>3913650</v>
      </c>
      <c r="F16" s="51">
        <v>4431770</v>
      </c>
      <c r="G16" s="51">
        <v>13136810</v>
      </c>
      <c r="H16" s="51">
        <v>7823750</v>
      </c>
      <c r="I16" s="51">
        <v>6756520</v>
      </c>
      <c r="J16" s="51">
        <v>8464680</v>
      </c>
      <c r="K16" s="51">
        <v>12232180</v>
      </c>
      <c r="L16" s="51">
        <v>5336620</v>
      </c>
      <c r="M16" s="51">
        <v>9691630</v>
      </c>
      <c r="N16" s="51">
        <v>16213820</v>
      </c>
      <c r="O16" s="51">
        <v>22773910</v>
      </c>
      <c r="Q16" s="37">
        <f t="shared" si="17"/>
        <v>7670</v>
      </c>
      <c r="R16" s="37">
        <f t="shared" si="18"/>
        <v>1840</v>
      </c>
      <c r="S16" s="37">
        <f t="shared" si="16"/>
        <v>0</v>
      </c>
      <c r="T16" s="37">
        <f t="shared" si="19"/>
        <v>1430</v>
      </c>
      <c r="U16" s="37">
        <f>IF((G16-G15&lt;0), "0",G16-G15)</f>
        <v>5070</v>
      </c>
      <c r="V16" s="37">
        <f>IF((H16-H15&lt;0), "0",H16-H15)</f>
        <v>4200</v>
      </c>
      <c r="W16" s="37">
        <f t="shared" si="22"/>
        <v>3020</v>
      </c>
      <c r="X16" s="37">
        <f t="shared" si="23"/>
        <v>4691</v>
      </c>
      <c r="Y16" s="37">
        <f t="shared" si="24"/>
        <v>5810</v>
      </c>
      <c r="Z16" s="37">
        <f t="shared" si="25"/>
        <v>2130</v>
      </c>
      <c r="AA16" s="37">
        <f t="shared" si="26"/>
        <v>2720</v>
      </c>
      <c r="AB16" s="37">
        <f t="shared" si="27"/>
        <v>7200</v>
      </c>
      <c r="AC16" s="37">
        <f t="shared" si="28"/>
        <v>15460</v>
      </c>
      <c r="AD16" s="35">
        <f t="shared" si="29"/>
        <v>61241</v>
      </c>
      <c r="AF16" s="20">
        <f t="shared" si="1"/>
        <v>38.35</v>
      </c>
      <c r="AG16" s="20">
        <f t="shared" si="2"/>
        <v>9.2000000000000011</v>
      </c>
      <c r="AH16" s="20">
        <f t="shared" si="3"/>
        <v>0</v>
      </c>
      <c r="AI16" s="20">
        <f t="shared" si="4"/>
        <v>7.15</v>
      </c>
      <c r="AJ16" s="20">
        <f t="shared" si="5"/>
        <v>25.35</v>
      </c>
      <c r="AK16" s="20">
        <f t="shared" si="6"/>
        <v>21</v>
      </c>
      <c r="AL16" s="20">
        <f t="shared" si="7"/>
        <v>15.1</v>
      </c>
      <c r="AM16" s="20">
        <f t="shared" si="8"/>
        <v>23.455000000000002</v>
      </c>
      <c r="AN16" s="20">
        <f t="shared" si="9"/>
        <v>29.05</v>
      </c>
      <c r="AO16" s="20">
        <f t="shared" si="10"/>
        <v>10.65</v>
      </c>
      <c r="AP16" s="20">
        <f t="shared" si="11"/>
        <v>13.6</v>
      </c>
      <c r="AQ16" s="20">
        <f t="shared" si="12"/>
        <v>36</v>
      </c>
      <c r="AR16" s="20">
        <f t="shared" si="13"/>
        <v>77.3</v>
      </c>
      <c r="AS16" s="35">
        <f t="shared" si="30"/>
        <v>306.20500000000004</v>
      </c>
      <c r="AU16" s="54">
        <v>374709</v>
      </c>
      <c r="AV16" s="37">
        <f t="shared" si="31"/>
        <v>1119</v>
      </c>
      <c r="AW16" s="37">
        <f>AV16*100*AV44</f>
        <v>423.587379</v>
      </c>
      <c r="AX16" s="35">
        <f t="shared" si="14"/>
        <v>2.238</v>
      </c>
    </row>
    <row r="17" spans="1:50" x14ac:dyDescent="0.25">
      <c r="A17" s="23">
        <v>44937</v>
      </c>
      <c r="B17" s="40">
        <v>81</v>
      </c>
      <c r="C17" s="50">
        <v>8730650</v>
      </c>
      <c r="D17" s="50">
        <v>21143020</v>
      </c>
      <c r="E17" s="50">
        <v>3913650</v>
      </c>
      <c r="F17" s="50">
        <v>4433280</v>
      </c>
      <c r="G17" s="50">
        <v>13142460</v>
      </c>
      <c r="H17" s="50">
        <v>7828200</v>
      </c>
      <c r="I17" s="50">
        <v>6759590</v>
      </c>
      <c r="J17" s="50">
        <v>8469320</v>
      </c>
      <c r="K17" s="50">
        <v>12237990</v>
      </c>
      <c r="L17" s="50">
        <v>5338980</v>
      </c>
      <c r="M17" s="50">
        <v>9694960</v>
      </c>
      <c r="N17" s="50">
        <v>16221600</v>
      </c>
      <c r="O17" s="50">
        <v>22789950</v>
      </c>
      <c r="Q17" s="37">
        <f t="shared" si="17"/>
        <v>7740</v>
      </c>
      <c r="R17" s="37">
        <f t="shared" si="18"/>
        <v>1770</v>
      </c>
      <c r="S17" s="37">
        <f t="shared" si="16"/>
        <v>0</v>
      </c>
      <c r="T17" s="37">
        <f t="shared" si="19"/>
        <v>1510</v>
      </c>
      <c r="U17" s="37">
        <f>IF((G17-G16&lt;0), "0",G17-G16)</f>
        <v>5650</v>
      </c>
      <c r="V17" s="37">
        <f>IF((H17-H16&lt;0), "0",H17-H16)</f>
        <v>4450</v>
      </c>
      <c r="W17" s="37">
        <f t="shared" si="22"/>
        <v>3070</v>
      </c>
      <c r="X17" s="37">
        <f t="shared" si="23"/>
        <v>4640</v>
      </c>
      <c r="Y17" s="37">
        <f t="shared" si="24"/>
        <v>5810</v>
      </c>
      <c r="Z17" s="37">
        <f t="shared" si="25"/>
        <v>2360</v>
      </c>
      <c r="AA17" s="37">
        <f t="shared" si="26"/>
        <v>3330</v>
      </c>
      <c r="AB17" s="37">
        <f t="shared" si="27"/>
        <v>7780</v>
      </c>
      <c r="AC17" s="37">
        <f t="shared" si="28"/>
        <v>16040</v>
      </c>
      <c r="AD17" s="35">
        <f t="shared" si="29"/>
        <v>64150</v>
      </c>
      <c r="AF17" s="20">
        <f t="shared" si="1"/>
        <v>38.700000000000003</v>
      </c>
      <c r="AG17" s="20">
        <f t="shared" si="2"/>
        <v>8.85</v>
      </c>
      <c r="AH17" s="20">
        <f t="shared" si="3"/>
        <v>0</v>
      </c>
      <c r="AI17" s="20">
        <f t="shared" si="4"/>
        <v>7.55</v>
      </c>
      <c r="AJ17" s="20">
        <f t="shared" si="5"/>
        <v>28.25</v>
      </c>
      <c r="AK17" s="20">
        <f t="shared" si="6"/>
        <v>22.25</v>
      </c>
      <c r="AL17" s="20">
        <f t="shared" si="7"/>
        <v>15.35</v>
      </c>
      <c r="AM17" s="20">
        <f t="shared" si="8"/>
        <v>23.2</v>
      </c>
      <c r="AN17" s="20">
        <f t="shared" si="9"/>
        <v>29.05</v>
      </c>
      <c r="AO17" s="20">
        <f t="shared" si="10"/>
        <v>11.8</v>
      </c>
      <c r="AP17" s="20">
        <f t="shared" si="11"/>
        <v>16.649999999999999</v>
      </c>
      <c r="AQ17" s="20">
        <f t="shared" si="12"/>
        <v>38.9</v>
      </c>
      <c r="AR17" s="20">
        <f t="shared" si="13"/>
        <v>80.2</v>
      </c>
      <c r="AS17" s="35">
        <f t="shared" si="30"/>
        <v>320.75</v>
      </c>
      <c r="AU17" s="54">
        <v>376070</v>
      </c>
      <c r="AV17" s="37">
        <f t="shared" si="31"/>
        <v>1361</v>
      </c>
      <c r="AW17" s="37">
        <f>AV17*100*AV44</f>
        <v>515.194301</v>
      </c>
      <c r="AX17" s="35">
        <f t="shared" si="14"/>
        <v>2.722</v>
      </c>
    </row>
    <row r="18" spans="1:50" x14ac:dyDescent="0.25">
      <c r="A18" s="23">
        <v>44938</v>
      </c>
      <c r="B18" s="40">
        <v>106</v>
      </c>
      <c r="C18" s="51">
        <v>8738530</v>
      </c>
      <c r="D18" s="51">
        <v>21144890</v>
      </c>
      <c r="E18" s="51">
        <v>3913660</v>
      </c>
      <c r="F18" s="51">
        <v>4434800</v>
      </c>
      <c r="G18" s="51">
        <v>13148290</v>
      </c>
      <c r="H18" s="51">
        <v>7832680</v>
      </c>
      <c r="I18" s="51">
        <v>6762870</v>
      </c>
      <c r="J18" s="51">
        <v>8474130</v>
      </c>
      <c r="K18" s="51">
        <v>12243760</v>
      </c>
      <c r="L18" s="51">
        <v>5341450</v>
      </c>
      <c r="M18" s="51">
        <v>9698280</v>
      </c>
      <c r="N18" s="51">
        <v>16229330</v>
      </c>
      <c r="O18" s="51">
        <v>22804440</v>
      </c>
      <c r="Q18" s="37">
        <f t="shared" si="17"/>
        <v>7880</v>
      </c>
      <c r="R18" s="37">
        <f t="shared" si="18"/>
        <v>1870</v>
      </c>
      <c r="S18" s="37">
        <f t="shared" si="16"/>
        <v>10</v>
      </c>
      <c r="T18" s="37">
        <f t="shared" si="19"/>
        <v>1520</v>
      </c>
      <c r="U18" s="37">
        <f t="shared" si="20"/>
        <v>5830</v>
      </c>
      <c r="V18" s="37">
        <f t="shared" si="21"/>
        <v>4480</v>
      </c>
      <c r="W18" s="37">
        <f t="shared" si="22"/>
        <v>3280</v>
      </c>
      <c r="X18" s="37">
        <f t="shared" si="23"/>
        <v>4810</v>
      </c>
      <c r="Y18" s="37">
        <f t="shared" si="24"/>
        <v>5770</v>
      </c>
      <c r="Z18" s="37">
        <f t="shared" si="25"/>
        <v>2470</v>
      </c>
      <c r="AA18" s="37">
        <f t="shared" si="26"/>
        <v>3320</v>
      </c>
      <c r="AB18" s="37">
        <f t="shared" si="27"/>
        <v>7730</v>
      </c>
      <c r="AC18" s="37">
        <f t="shared" si="28"/>
        <v>14490</v>
      </c>
      <c r="AD18" s="35">
        <f t="shared" si="29"/>
        <v>63460</v>
      </c>
      <c r="AF18" s="20">
        <f t="shared" si="1"/>
        <v>39.4</v>
      </c>
      <c r="AG18" s="20">
        <f t="shared" si="2"/>
        <v>9.35</v>
      </c>
      <c r="AH18" s="20">
        <f t="shared" si="3"/>
        <v>0.05</v>
      </c>
      <c r="AI18" s="20">
        <f t="shared" si="4"/>
        <v>7.6000000000000005</v>
      </c>
      <c r="AJ18" s="20">
        <f t="shared" si="5"/>
        <v>29.150000000000002</v>
      </c>
      <c r="AK18" s="20">
        <f t="shared" si="6"/>
        <v>22.400000000000002</v>
      </c>
      <c r="AL18" s="20">
        <f t="shared" si="7"/>
        <v>16.399999999999999</v>
      </c>
      <c r="AM18" s="20">
        <f t="shared" si="8"/>
        <v>24.05</v>
      </c>
      <c r="AN18" s="20">
        <f t="shared" si="9"/>
        <v>28.85</v>
      </c>
      <c r="AO18" s="20">
        <f t="shared" si="10"/>
        <v>12.35</v>
      </c>
      <c r="AP18" s="20">
        <f t="shared" si="11"/>
        <v>16.600000000000001</v>
      </c>
      <c r="AQ18" s="20">
        <f t="shared" si="12"/>
        <v>38.65</v>
      </c>
      <c r="AR18" s="20">
        <f t="shared" si="13"/>
        <v>72.45</v>
      </c>
      <c r="AS18" s="35">
        <f t="shared" si="30"/>
        <v>317.3</v>
      </c>
      <c r="AU18" s="54">
        <v>377946</v>
      </c>
      <c r="AV18" s="37">
        <f t="shared" si="31"/>
        <v>1876</v>
      </c>
      <c r="AW18" s="37">
        <f>AV18*100*AV44</f>
        <v>710.14291600000001</v>
      </c>
      <c r="AX18" s="35">
        <f t="shared" si="14"/>
        <v>3.7520000000000002</v>
      </c>
    </row>
    <row r="19" spans="1:50" x14ac:dyDescent="0.25">
      <c r="A19" s="23">
        <v>44939</v>
      </c>
      <c r="B19" s="40">
        <v>96</v>
      </c>
      <c r="C19" s="50">
        <v>8746420</v>
      </c>
      <c r="D19" s="50">
        <v>21146730</v>
      </c>
      <c r="E19" s="50">
        <v>3913660</v>
      </c>
      <c r="F19" s="50">
        <v>4436280</v>
      </c>
      <c r="G19" s="50">
        <v>13154070</v>
      </c>
      <c r="H19" s="50">
        <v>7836900</v>
      </c>
      <c r="I19" s="50">
        <v>6765660</v>
      </c>
      <c r="J19" s="50">
        <v>8478630</v>
      </c>
      <c r="K19" s="50">
        <v>12249570</v>
      </c>
      <c r="L19" s="50">
        <v>5343810</v>
      </c>
      <c r="M19" s="50">
        <v>9701570</v>
      </c>
      <c r="N19" s="50">
        <v>16236860</v>
      </c>
      <c r="O19" s="50">
        <v>22816800</v>
      </c>
      <c r="Q19" s="37">
        <f t="shared" si="17"/>
        <v>7890</v>
      </c>
      <c r="R19" s="37">
        <f t="shared" si="18"/>
        <v>1840</v>
      </c>
      <c r="S19" s="37">
        <f t="shared" si="16"/>
        <v>0</v>
      </c>
      <c r="T19" s="37">
        <f t="shared" si="19"/>
        <v>1480</v>
      </c>
      <c r="U19" s="37">
        <f t="shared" si="20"/>
        <v>5780</v>
      </c>
      <c r="V19" s="37">
        <f t="shared" si="21"/>
        <v>4220</v>
      </c>
      <c r="W19" s="37">
        <f t="shared" si="22"/>
        <v>2790</v>
      </c>
      <c r="X19" s="37">
        <f t="shared" si="23"/>
        <v>4500</v>
      </c>
      <c r="Y19" s="37">
        <f t="shared" si="24"/>
        <v>5810</v>
      </c>
      <c r="Z19" s="37">
        <f t="shared" si="25"/>
        <v>2360</v>
      </c>
      <c r="AA19" s="37">
        <f t="shared" si="26"/>
        <v>3290</v>
      </c>
      <c r="AB19" s="37">
        <f t="shared" si="27"/>
        <v>7530</v>
      </c>
      <c r="AC19" s="37">
        <f t="shared" si="28"/>
        <v>12360</v>
      </c>
      <c r="AD19" s="35">
        <f t="shared" si="29"/>
        <v>59850</v>
      </c>
      <c r="AF19" s="20">
        <f t="shared" si="1"/>
        <v>39.450000000000003</v>
      </c>
      <c r="AG19" s="20">
        <f t="shared" si="2"/>
        <v>9.2000000000000011</v>
      </c>
      <c r="AH19" s="20">
        <f t="shared" si="3"/>
        <v>0</v>
      </c>
      <c r="AI19" s="20">
        <f t="shared" si="4"/>
        <v>7.4</v>
      </c>
      <c r="AJ19" s="20">
        <f t="shared" si="5"/>
        <v>28.900000000000002</v>
      </c>
      <c r="AK19" s="20">
        <f t="shared" si="6"/>
        <v>21.1</v>
      </c>
      <c r="AL19" s="20">
        <f t="shared" si="7"/>
        <v>13.950000000000001</v>
      </c>
      <c r="AM19" s="20">
        <f t="shared" si="8"/>
        <v>22.5</v>
      </c>
      <c r="AN19" s="20">
        <f t="shared" si="9"/>
        <v>29.05</v>
      </c>
      <c r="AO19" s="20">
        <f t="shared" si="10"/>
        <v>11.8</v>
      </c>
      <c r="AP19" s="20">
        <f t="shared" si="11"/>
        <v>16.45</v>
      </c>
      <c r="AQ19" s="20">
        <f t="shared" si="12"/>
        <v>37.65</v>
      </c>
      <c r="AR19" s="20">
        <f t="shared" si="13"/>
        <v>61.800000000000004</v>
      </c>
      <c r="AS19" s="35">
        <f t="shared" si="30"/>
        <v>299.25</v>
      </c>
      <c r="AU19" s="54">
        <v>378640</v>
      </c>
      <c r="AV19" s="37">
        <f t="shared" si="31"/>
        <v>694</v>
      </c>
      <c r="AW19" s="37">
        <f>AV19*100*AV44</f>
        <v>262.70745399999998</v>
      </c>
      <c r="AX19" s="35">
        <f t="shared" si="14"/>
        <v>1.3880000000000001</v>
      </c>
    </row>
    <row r="20" spans="1:50" x14ac:dyDescent="0.25">
      <c r="A20" s="23">
        <v>44940</v>
      </c>
      <c r="B20" s="40">
        <v>73</v>
      </c>
      <c r="C20" s="51">
        <v>8754820</v>
      </c>
      <c r="D20" s="51">
        <v>21148550</v>
      </c>
      <c r="E20" s="51">
        <v>3913680</v>
      </c>
      <c r="F20" s="51">
        <v>4437770</v>
      </c>
      <c r="G20" s="51">
        <v>13159680</v>
      </c>
      <c r="H20" s="51">
        <v>7841100</v>
      </c>
      <c r="I20" s="51">
        <v>6768500</v>
      </c>
      <c r="J20" s="51">
        <v>8483000</v>
      </c>
      <c r="K20" s="51">
        <v>12255050</v>
      </c>
      <c r="L20" s="51">
        <v>5346240</v>
      </c>
      <c r="M20" s="51">
        <v>9704490</v>
      </c>
      <c r="N20" s="51">
        <v>16244290</v>
      </c>
      <c r="O20" s="51">
        <v>22829990</v>
      </c>
      <c r="Q20" s="37">
        <f t="shared" si="17"/>
        <v>8400</v>
      </c>
      <c r="R20" s="37">
        <f t="shared" si="18"/>
        <v>1820</v>
      </c>
      <c r="S20" s="37">
        <f t="shared" si="16"/>
        <v>20</v>
      </c>
      <c r="T20" s="37">
        <f t="shared" si="19"/>
        <v>1490</v>
      </c>
      <c r="U20" s="37">
        <f t="shared" si="20"/>
        <v>5610</v>
      </c>
      <c r="V20" s="37">
        <f t="shared" si="21"/>
        <v>4200</v>
      </c>
      <c r="W20" s="37">
        <f t="shared" si="22"/>
        <v>2840</v>
      </c>
      <c r="X20" s="37">
        <f t="shared" si="23"/>
        <v>4370</v>
      </c>
      <c r="Y20" s="37">
        <f t="shared" si="24"/>
        <v>5480</v>
      </c>
      <c r="Z20" s="37">
        <f t="shared" si="25"/>
        <v>2430</v>
      </c>
      <c r="AA20" s="37">
        <f t="shared" si="26"/>
        <v>2920</v>
      </c>
      <c r="AB20" s="37">
        <f t="shared" si="27"/>
        <v>7430</v>
      </c>
      <c r="AC20" s="37">
        <f t="shared" si="28"/>
        <v>13190</v>
      </c>
      <c r="AD20" s="35">
        <f t="shared" si="29"/>
        <v>60200</v>
      </c>
      <c r="AF20" s="20">
        <f t="shared" si="1"/>
        <v>42</v>
      </c>
      <c r="AG20" s="20">
        <f t="shared" si="2"/>
        <v>9.1</v>
      </c>
      <c r="AH20" s="20">
        <f t="shared" si="3"/>
        <v>0.1</v>
      </c>
      <c r="AI20" s="20">
        <f t="shared" si="4"/>
        <v>7.45</v>
      </c>
      <c r="AJ20" s="20">
        <f t="shared" si="5"/>
        <v>28.05</v>
      </c>
      <c r="AK20" s="20">
        <f t="shared" si="6"/>
        <v>21</v>
      </c>
      <c r="AL20" s="20">
        <f t="shared" si="7"/>
        <v>14.200000000000001</v>
      </c>
      <c r="AM20" s="20">
        <f t="shared" si="8"/>
        <v>21.85</v>
      </c>
      <c r="AN20" s="20">
        <f t="shared" si="9"/>
        <v>27.400000000000002</v>
      </c>
      <c r="AO20" s="20">
        <f t="shared" si="10"/>
        <v>12.15</v>
      </c>
      <c r="AP20" s="20">
        <f t="shared" si="11"/>
        <v>14.6</v>
      </c>
      <c r="AQ20" s="20">
        <f t="shared" si="12"/>
        <v>37.15</v>
      </c>
      <c r="AR20" s="20">
        <f t="shared" si="13"/>
        <v>65.95</v>
      </c>
      <c r="AS20" s="35">
        <f t="shared" si="30"/>
        <v>301</v>
      </c>
      <c r="AU20" s="54">
        <v>380059</v>
      </c>
      <c r="AV20" s="37">
        <f t="shared" si="31"/>
        <v>1419</v>
      </c>
      <c r="AW20" s="37">
        <f>AV20*100*AV44</f>
        <v>537.14967899999999</v>
      </c>
      <c r="AX20" s="35">
        <f t="shared" si="14"/>
        <v>2.8380000000000001</v>
      </c>
    </row>
    <row r="21" spans="1:50" x14ac:dyDescent="0.25">
      <c r="A21" s="23">
        <v>44941</v>
      </c>
      <c r="B21" s="40">
        <v>82</v>
      </c>
      <c r="C21" s="50">
        <v>8763630</v>
      </c>
      <c r="D21" s="50">
        <v>21150510</v>
      </c>
      <c r="E21" s="50">
        <v>3913680</v>
      </c>
      <c r="F21" s="50">
        <v>4439360</v>
      </c>
      <c r="G21" s="50">
        <v>13165520</v>
      </c>
      <c r="H21" s="50">
        <v>7845490</v>
      </c>
      <c r="I21" s="50">
        <v>6771610</v>
      </c>
      <c r="J21" s="50">
        <v>8487440</v>
      </c>
      <c r="K21" s="50">
        <v>12260930</v>
      </c>
      <c r="L21" s="50">
        <v>5348900</v>
      </c>
      <c r="M21" s="50">
        <v>9707220</v>
      </c>
      <c r="N21" s="50">
        <v>16252310</v>
      </c>
      <c r="O21" s="50">
        <v>22845190</v>
      </c>
      <c r="Q21" s="37">
        <f t="shared" si="17"/>
        <v>8810</v>
      </c>
      <c r="R21" s="37">
        <f t="shared" si="18"/>
        <v>1960</v>
      </c>
      <c r="S21" s="37">
        <f t="shared" si="16"/>
        <v>0</v>
      </c>
      <c r="T21" s="37">
        <f t="shared" si="19"/>
        <v>1590</v>
      </c>
      <c r="U21" s="37">
        <f t="shared" si="20"/>
        <v>5840</v>
      </c>
      <c r="V21" s="37">
        <f t="shared" si="21"/>
        <v>4390</v>
      </c>
      <c r="W21" s="37">
        <f t="shared" si="22"/>
        <v>3110</v>
      </c>
      <c r="X21" s="37">
        <f t="shared" si="23"/>
        <v>4440</v>
      </c>
      <c r="Y21" s="37">
        <f t="shared" si="24"/>
        <v>5880</v>
      </c>
      <c r="Z21" s="37">
        <f t="shared" si="25"/>
        <v>2660</v>
      </c>
      <c r="AA21" s="37">
        <f t="shared" si="26"/>
        <v>2730</v>
      </c>
      <c r="AB21" s="37">
        <f t="shared" si="27"/>
        <v>8020</v>
      </c>
      <c r="AC21" s="37">
        <f t="shared" si="28"/>
        <v>15200</v>
      </c>
      <c r="AD21" s="35">
        <f t="shared" si="29"/>
        <v>64630</v>
      </c>
      <c r="AF21" s="20">
        <f t="shared" si="1"/>
        <v>44.050000000000004</v>
      </c>
      <c r="AG21" s="20">
        <f t="shared" si="2"/>
        <v>9.8000000000000007</v>
      </c>
      <c r="AH21" s="20">
        <f t="shared" si="3"/>
        <v>0</v>
      </c>
      <c r="AI21" s="20">
        <f t="shared" si="4"/>
        <v>7.95</v>
      </c>
      <c r="AJ21" s="20">
        <f t="shared" si="5"/>
        <v>29.2</v>
      </c>
      <c r="AK21" s="20">
        <f t="shared" si="6"/>
        <v>21.95</v>
      </c>
      <c r="AL21" s="20">
        <f t="shared" si="7"/>
        <v>15.55</v>
      </c>
      <c r="AM21" s="20">
        <f t="shared" si="8"/>
        <v>22.2</v>
      </c>
      <c r="AN21" s="20">
        <f t="shared" si="9"/>
        <v>29.400000000000002</v>
      </c>
      <c r="AO21" s="20">
        <f t="shared" si="10"/>
        <v>13.3</v>
      </c>
      <c r="AP21" s="20">
        <f t="shared" si="11"/>
        <v>13.65</v>
      </c>
      <c r="AQ21" s="20">
        <f t="shared" si="12"/>
        <v>40.1</v>
      </c>
      <c r="AR21" s="20">
        <f t="shared" si="13"/>
        <v>76</v>
      </c>
      <c r="AS21" s="35">
        <f t="shared" si="30"/>
        <v>323.15000000000003</v>
      </c>
      <c r="AU21" s="54">
        <v>382090</v>
      </c>
      <c r="AV21" s="37">
        <f>IF((AU21-AU20&lt;0),"0",AU21-AU20)</f>
        <v>2031</v>
      </c>
      <c r="AW21" s="37">
        <f>AV21*100*AV44</f>
        <v>768.81677100000002</v>
      </c>
      <c r="AX21" s="35">
        <f t="shared" si="14"/>
        <v>4.0620000000000003</v>
      </c>
    </row>
    <row r="22" spans="1:50" x14ac:dyDescent="0.25">
      <c r="A22" s="23">
        <v>44942</v>
      </c>
      <c r="B22" s="40">
        <v>111</v>
      </c>
      <c r="C22" s="51">
        <v>8771080</v>
      </c>
      <c r="D22" s="51">
        <v>21152280</v>
      </c>
      <c r="E22" s="51">
        <v>3913680</v>
      </c>
      <c r="F22" s="51">
        <v>4440790</v>
      </c>
      <c r="G22" s="51">
        <v>13171150</v>
      </c>
      <c r="H22" s="51">
        <v>7849620</v>
      </c>
      <c r="I22" s="51">
        <v>6774400</v>
      </c>
      <c r="J22" s="51">
        <v>8492000</v>
      </c>
      <c r="K22" s="51">
        <v>12266500</v>
      </c>
      <c r="L22" s="51">
        <v>5351410</v>
      </c>
      <c r="M22" s="51">
        <v>9710230</v>
      </c>
      <c r="N22" s="51">
        <v>16259690</v>
      </c>
      <c r="O22" s="51">
        <v>22857250</v>
      </c>
      <c r="Q22" s="37">
        <f t="shared" si="17"/>
        <v>7450</v>
      </c>
      <c r="R22" s="37">
        <f t="shared" si="18"/>
        <v>1770</v>
      </c>
      <c r="S22" s="37">
        <f t="shared" si="16"/>
        <v>0</v>
      </c>
      <c r="T22" s="37">
        <f t="shared" si="19"/>
        <v>1430</v>
      </c>
      <c r="U22" s="37">
        <f t="shared" si="20"/>
        <v>5630</v>
      </c>
      <c r="V22" s="37">
        <f t="shared" si="21"/>
        <v>4130</v>
      </c>
      <c r="W22" s="37">
        <f t="shared" si="22"/>
        <v>2790</v>
      </c>
      <c r="X22" s="37">
        <f t="shared" si="23"/>
        <v>4560</v>
      </c>
      <c r="Y22" s="37">
        <f t="shared" si="24"/>
        <v>5570</v>
      </c>
      <c r="Z22" s="37">
        <f t="shared" si="25"/>
        <v>2510</v>
      </c>
      <c r="AA22" s="37">
        <f t="shared" si="26"/>
        <v>3010</v>
      </c>
      <c r="AB22" s="37">
        <f t="shared" si="27"/>
        <v>7380</v>
      </c>
      <c r="AC22" s="37">
        <f t="shared" si="28"/>
        <v>12060</v>
      </c>
      <c r="AD22" s="35">
        <f t="shared" si="29"/>
        <v>58290</v>
      </c>
      <c r="AF22" s="20">
        <f t="shared" si="1"/>
        <v>37.25</v>
      </c>
      <c r="AG22" s="20">
        <f t="shared" si="2"/>
        <v>8.85</v>
      </c>
      <c r="AH22" s="20">
        <f t="shared" si="3"/>
        <v>0</v>
      </c>
      <c r="AI22" s="20">
        <f t="shared" si="4"/>
        <v>7.15</v>
      </c>
      <c r="AJ22" s="20">
        <f t="shared" si="5"/>
        <v>28.150000000000002</v>
      </c>
      <c r="AK22" s="20">
        <f t="shared" si="6"/>
        <v>20.650000000000002</v>
      </c>
      <c r="AL22" s="20">
        <f t="shared" si="7"/>
        <v>13.950000000000001</v>
      </c>
      <c r="AM22" s="20">
        <f t="shared" si="8"/>
        <v>22.8</v>
      </c>
      <c r="AN22" s="20">
        <f t="shared" si="9"/>
        <v>27.85</v>
      </c>
      <c r="AO22" s="20">
        <f t="shared" si="10"/>
        <v>12.55</v>
      </c>
      <c r="AP22" s="20">
        <f t="shared" si="11"/>
        <v>15.05</v>
      </c>
      <c r="AQ22" s="20">
        <f t="shared" si="12"/>
        <v>36.9</v>
      </c>
      <c r="AR22" s="20">
        <f t="shared" si="13"/>
        <v>60.300000000000004</v>
      </c>
      <c r="AS22" s="35">
        <f t="shared" si="30"/>
        <v>291.45000000000005</v>
      </c>
      <c r="AU22" s="54">
        <v>383158</v>
      </c>
      <c r="AV22" s="37">
        <f>IF((AU22-AU21&lt;0),"0",AU22-AU21)</f>
        <v>1068</v>
      </c>
      <c r="AW22" s="37">
        <f>AV22*100*AV44</f>
        <v>404.28178800000001</v>
      </c>
      <c r="AX22" s="35">
        <f t="shared" si="14"/>
        <v>2.1360000000000001</v>
      </c>
    </row>
    <row r="23" spans="1:50" x14ac:dyDescent="0.25">
      <c r="A23" s="23">
        <v>44943</v>
      </c>
      <c r="B23" s="40">
        <v>105</v>
      </c>
      <c r="C23" s="24">
        <v>8778780</v>
      </c>
      <c r="D23" s="24">
        <v>21154110</v>
      </c>
      <c r="E23" s="24">
        <v>3913690</v>
      </c>
      <c r="F23" s="24">
        <v>4442260</v>
      </c>
      <c r="G23" s="24">
        <v>13176570</v>
      </c>
      <c r="H23" s="24">
        <v>7853860</v>
      </c>
      <c r="I23" s="24">
        <v>6777240</v>
      </c>
      <c r="J23" s="24">
        <v>8496790</v>
      </c>
      <c r="K23" s="24">
        <v>12272400</v>
      </c>
      <c r="L23" s="24">
        <v>5354040</v>
      </c>
      <c r="M23" s="24">
        <v>9713060</v>
      </c>
      <c r="N23" s="24">
        <v>16267310</v>
      </c>
      <c r="O23" s="24">
        <v>22872190</v>
      </c>
      <c r="Q23" s="37">
        <f t="shared" si="17"/>
        <v>7700</v>
      </c>
      <c r="R23" s="37">
        <f t="shared" si="18"/>
        <v>1830</v>
      </c>
      <c r="S23" s="37">
        <f t="shared" si="16"/>
        <v>10</v>
      </c>
      <c r="T23" s="37">
        <f t="shared" si="19"/>
        <v>1470</v>
      </c>
      <c r="U23" s="37">
        <f t="shared" si="20"/>
        <v>5420</v>
      </c>
      <c r="V23" s="37">
        <f t="shared" si="21"/>
        <v>4240</v>
      </c>
      <c r="W23" s="37">
        <f t="shared" si="22"/>
        <v>2840</v>
      </c>
      <c r="X23" s="37">
        <f t="shared" si="23"/>
        <v>4790</v>
      </c>
      <c r="Y23" s="37">
        <f t="shared" si="24"/>
        <v>5900</v>
      </c>
      <c r="Z23" s="37">
        <f t="shared" si="25"/>
        <v>2630</v>
      </c>
      <c r="AA23" s="37">
        <f t="shared" si="26"/>
        <v>2830</v>
      </c>
      <c r="AB23" s="37">
        <f t="shared" si="27"/>
        <v>7620</v>
      </c>
      <c r="AC23" s="37">
        <f t="shared" si="28"/>
        <v>14940</v>
      </c>
      <c r="AD23" s="35">
        <f t="shared" si="29"/>
        <v>62220</v>
      </c>
      <c r="AF23" s="20">
        <f t="shared" si="1"/>
        <v>38.5</v>
      </c>
      <c r="AG23" s="20">
        <f t="shared" si="2"/>
        <v>9.15</v>
      </c>
      <c r="AH23" s="20">
        <f t="shared" si="3"/>
        <v>0.05</v>
      </c>
      <c r="AI23" s="20">
        <f t="shared" si="4"/>
        <v>7.3500000000000005</v>
      </c>
      <c r="AJ23" s="20">
        <f t="shared" si="5"/>
        <v>27.1</v>
      </c>
      <c r="AK23" s="20">
        <f t="shared" si="6"/>
        <v>21.2</v>
      </c>
      <c r="AL23" s="20">
        <f t="shared" si="7"/>
        <v>14.200000000000001</v>
      </c>
      <c r="AM23" s="20">
        <f t="shared" si="8"/>
        <v>23.95</v>
      </c>
      <c r="AN23" s="20">
        <f t="shared" si="9"/>
        <v>29.5</v>
      </c>
      <c r="AO23" s="20">
        <f t="shared" si="10"/>
        <v>13.15</v>
      </c>
      <c r="AP23" s="20">
        <f t="shared" si="11"/>
        <v>14.15</v>
      </c>
      <c r="AQ23" s="20">
        <f t="shared" si="12"/>
        <v>38.1</v>
      </c>
      <c r="AR23" s="20">
        <f t="shared" si="13"/>
        <v>74.7</v>
      </c>
      <c r="AS23" s="35">
        <f t="shared" si="30"/>
        <v>311.10000000000002</v>
      </c>
      <c r="AU23" s="54">
        <v>385381</v>
      </c>
      <c r="AV23" s="37">
        <f t="shared" si="31"/>
        <v>2223</v>
      </c>
      <c r="AW23" s="37">
        <f>AV23*100*AV44</f>
        <v>841.49664299999995</v>
      </c>
      <c r="AX23" s="35">
        <f t="shared" si="14"/>
        <v>4.4459999999999997</v>
      </c>
    </row>
    <row r="24" spans="1:50" x14ac:dyDescent="0.25">
      <c r="A24" s="23">
        <v>44944</v>
      </c>
      <c r="B24" s="40">
        <v>81</v>
      </c>
      <c r="C24" s="51">
        <v>8786530</v>
      </c>
      <c r="D24" s="51">
        <v>21155960</v>
      </c>
      <c r="E24" s="51">
        <v>3913690</v>
      </c>
      <c r="F24" s="51">
        <v>4443740</v>
      </c>
      <c r="G24" s="51">
        <v>13182410</v>
      </c>
      <c r="H24" s="51">
        <v>7858140</v>
      </c>
      <c r="I24" s="51">
        <v>6780160</v>
      </c>
      <c r="J24" s="51">
        <v>8501490</v>
      </c>
      <c r="K24" s="51">
        <v>12278240</v>
      </c>
      <c r="L24" s="51">
        <v>5356660</v>
      </c>
      <c r="M24" s="51">
        <v>9716380</v>
      </c>
      <c r="N24" s="51">
        <v>16275130</v>
      </c>
      <c r="O24" s="51">
        <v>22887220</v>
      </c>
      <c r="Q24" s="37">
        <f t="shared" si="17"/>
        <v>7750</v>
      </c>
      <c r="R24" s="37">
        <f t="shared" si="18"/>
        <v>1850</v>
      </c>
      <c r="S24" s="37">
        <f t="shared" si="16"/>
        <v>0</v>
      </c>
      <c r="T24" s="37">
        <f t="shared" si="19"/>
        <v>1480</v>
      </c>
      <c r="U24" s="37">
        <f t="shared" si="20"/>
        <v>5840</v>
      </c>
      <c r="V24" s="37">
        <f t="shared" si="21"/>
        <v>4280</v>
      </c>
      <c r="W24" s="37">
        <f t="shared" si="22"/>
        <v>2920</v>
      </c>
      <c r="X24" s="37">
        <f t="shared" si="23"/>
        <v>4700</v>
      </c>
      <c r="Y24" s="37">
        <f t="shared" si="24"/>
        <v>5840</v>
      </c>
      <c r="Z24" s="37">
        <f t="shared" si="25"/>
        <v>2620</v>
      </c>
      <c r="AA24" s="37">
        <f t="shared" si="26"/>
        <v>3320</v>
      </c>
      <c r="AB24" s="37">
        <f t="shared" si="27"/>
        <v>7820</v>
      </c>
      <c r="AC24" s="37">
        <f t="shared" si="28"/>
        <v>15030</v>
      </c>
      <c r="AD24" s="35">
        <f t="shared" si="29"/>
        <v>63450</v>
      </c>
      <c r="AF24" s="20">
        <f t="shared" si="1"/>
        <v>38.75</v>
      </c>
      <c r="AG24" s="20">
        <f t="shared" si="2"/>
        <v>9.25</v>
      </c>
      <c r="AH24" s="20">
        <f t="shared" si="3"/>
        <v>0</v>
      </c>
      <c r="AI24" s="20">
        <f t="shared" si="4"/>
        <v>7.4</v>
      </c>
      <c r="AJ24" s="20">
        <f t="shared" si="5"/>
        <v>29.2</v>
      </c>
      <c r="AK24" s="20">
        <f t="shared" si="6"/>
        <v>21.400000000000002</v>
      </c>
      <c r="AL24" s="20">
        <f t="shared" si="7"/>
        <v>14.6</v>
      </c>
      <c r="AM24" s="20">
        <f t="shared" si="8"/>
        <v>23.5</v>
      </c>
      <c r="AN24" s="20">
        <f t="shared" si="9"/>
        <v>29.2</v>
      </c>
      <c r="AO24" s="20">
        <f t="shared" si="10"/>
        <v>13.1</v>
      </c>
      <c r="AP24" s="20">
        <f t="shared" si="11"/>
        <v>16.600000000000001</v>
      </c>
      <c r="AQ24" s="20">
        <f t="shared" si="12"/>
        <v>39.1</v>
      </c>
      <c r="AR24" s="20">
        <f t="shared" si="13"/>
        <v>75.150000000000006</v>
      </c>
      <c r="AS24" s="35">
        <f t="shared" si="30"/>
        <v>317.25</v>
      </c>
      <c r="AU24" s="54">
        <v>386430</v>
      </c>
      <c r="AV24" s="37">
        <f t="shared" si="31"/>
        <v>1049</v>
      </c>
      <c r="AW24" s="37">
        <f>AV24*100*AV44</f>
        <v>397.08950899999996</v>
      </c>
      <c r="AX24" s="35">
        <f t="shared" si="14"/>
        <v>2.0979999999999999</v>
      </c>
    </row>
    <row r="25" spans="1:50" x14ac:dyDescent="0.25">
      <c r="A25" s="23">
        <v>44945</v>
      </c>
      <c r="B25" s="40">
        <v>96</v>
      </c>
      <c r="C25" s="24">
        <v>8794680</v>
      </c>
      <c r="D25" s="24">
        <v>21157830</v>
      </c>
      <c r="E25" s="24">
        <v>3913700</v>
      </c>
      <c r="F25" s="24">
        <v>4445250</v>
      </c>
      <c r="G25" s="24">
        <v>13188320</v>
      </c>
      <c r="H25" s="24">
        <v>7862530</v>
      </c>
      <c r="I25" s="24">
        <v>6783260</v>
      </c>
      <c r="J25" s="24">
        <v>8506090</v>
      </c>
      <c r="K25" s="24">
        <v>12284140</v>
      </c>
      <c r="L25" s="24">
        <v>5359110</v>
      </c>
      <c r="M25" s="24">
        <v>9719630</v>
      </c>
      <c r="N25" s="24">
        <v>16282910</v>
      </c>
      <c r="O25" s="24">
        <v>22901870</v>
      </c>
      <c r="Q25" s="37">
        <f t="shared" ref="Q25:AC27" si="33">IF((C25-C24&lt;0), "0",C25-C24)</f>
        <v>8150</v>
      </c>
      <c r="R25" s="37">
        <f t="shared" si="18"/>
        <v>1870</v>
      </c>
      <c r="S25" s="37">
        <f t="shared" si="33"/>
        <v>10</v>
      </c>
      <c r="T25" s="37">
        <f t="shared" si="33"/>
        <v>1510</v>
      </c>
      <c r="U25" s="37">
        <f t="shared" si="33"/>
        <v>5910</v>
      </c>
      <c r="V25" s="37">
        <f t="shared" si="33"/>
        <v>4390</v>
      </c>
      <c r="W25" s="37">
        <f t="shared" si="33"/>
        <v>3100</v>
      </c>
      <c r="X25" s="37">
        <f t="shared" si="33"/>
        <v>4600</v>
      </c>
      <c r="Y25" s="37">
        <f t="shared" si="33"/>
        <v>5900</v>
      </c>
      <c r="Z25" s="37">
        <f t="shared" si="33"/>
        <v>2450</v>
      </c>
      <c r="AA25" s="37">
        <f t="shared" si="33"/>
        <v>3250</v>
      </c>
      <c r="AB25" s="37">
        <f t="shared" si="33"/>
        <v>7780</v>
      </c>
      <c r="AC25" s="37">
        <f t="shared" si="33"/>
        <v>14650</v>
      </c>
      <c r="AD25" s="35">
        <f t="shared" si="29"/>
        <v>63570</v>
      </c>
      <c r="AF25" s="20">
        <f t="shared" si="1"/>
        <v>40.75</v>
      </c>
      <c r="AG25" s="20">
        <f t="shared" si="2"/>
        <v>9.35</v>
      </c>
      <c r="AH25" s="20">
        <f t="shared" si="3"/>
        <v>0.05</v>
      </c>
      <c r="AI25" s="20">
        <f t="shared" si="4"/>
        <v>7.55</v>
      </c>
      <c r="AJ25" s="20">
        <f t="shared" si="5"/>
        <v>29.55</v>
      </c>
      <c r="AK25" s="20">
        <f t="shared" si="6"/>
        <v>21.95</v>
      </c>
      <c r="AL25" s="20">
        <f t="shared" si="7"/>
        <v>15.5</v>
      </c>
      <c r="AM25" s="20">
        <f t="shared" si="8"/>
        <v>23</v>
      </c>
      <c r="AN25" s="20">
        <f t="shared" si="9"/>
        <v>29.5</v>
      </c>
      <c r="AO25" s="20">
        <f t="shared" si="10"/>
        <v>12.25</v>
      </c>
      <c r="AP25" s="20">
        <f t="shared" si="11"/>
        <v>16.25</v>
      </c>
      <c r="AQ25" s="20">
        <f t="shared" si="12"/>
        <v>38.9</v>
      </c>
      <c r="AR25" s="20">
        <f t="shared" si="13"/>
        <v>73.25</v>
      </c>
      <c r="AS25" s="35">
        <f t="shared" si="30"/>
        <v>317.85000000000002</v>
      </c>
      <c r="AU25" s="54">
        <v>387995</v>
      </c>
      <c r="AV25" s="37">
        <f t="shared" si="31"/>
        <v>1565</v>
      </c>
      <c r="AW25" s="37">
        <f>AV25*100*AV44</f>
        <v>592.41666499999997</v>
      </c>
      <c r="AX25" s="35">
        <f t="shared" si="14"/>
        <v>3.13</v>
      </c>
    </row>
    <row r="26" spans="1:50" x14ac:dyDescent="0.25">
      <c r="A26" s="23">
        <v>44946</v>
      </c>
      <c r="B26" s="40">
        <v>116</v>
      </c>
      <c r="C26" s="51">
        <v>8803140</v>
      </c>
      <c r="D26" s="51">
        <v>21159680</v>
      </c>
      <c r="E26" s="51">
        <v>3913700</v>
      </c>
      <c r="F26" s="51">
        <v>4446750</v>
      </c>
      <c r="G26" s="51">
        <v>13194410</v>
      </c>
      <c r="H26" s="51">
        <v>7866860</v>
      </c>
      <c r="I26" s="51">
        <v>6786490</v>
      </c>
      <c r="J26" s="51">
        <v>8510780</v>
      </c>
      <c r="K26" s="51">
        <v>12290200</v>
      </c>
      <c r="L26" s="51">
        <v>5361660</v>
      </c>
      <c r="M26" s="51">
        <v>9722940</v>
      </c>
      <c r="N26" s="51">
        <v>16290360</v>
      </c>
      <c r="O26" s="51">
        <v>22914430</v>
      </c>
      <c r="Q26" s="37">
        <f t="shared" si="33"/>
        <v>8460</v>
      </c>
      <c r="R26" s="37">
        <f t="shared" si="18"/>
        <v>1850</v>
      </c>
      <c r="S26" s="37">
        <f t="shared" si="33"/>
        <v>0</v>
      </c>
      <c r="T26" s="37">
        <f t="shared" si="33"/>
        <v>1500</v>
      </c>
      <c r="U26" s="37">
        <f t="shared" si="33"/>
        <v>6090</v>
      </c>
      <c r="V26" s="37">
        <f t="shared" si="33"/>
        <v>4330</v>
      </c>
      <c r="W26" s="37">
        <f t="shared" si="33"/>
        <v>3230</v>
      </c>
      <c r="X26" s="37">
        <f t="shared" si="33"/>
        <v>4690</v>
      </c>
      <c r="Y26" s="37">
        <f t="shared" si="33"/>
        <v>6060</v>
      </c>
      <c r="Z26" s="37">
        <f t="shared" si="33"/>
        <v>2550</v>
      </c>
      <c r="AA26" s="37">
        <f t="shared" si="33"/>
        <v>3310</v>
      </c>
      <c r="AB26" s="37">
        <f t="shared" si="33"/>
        <v>7450</v>
      </c>
      <c r="AC26" s="37">
        <f t="shared" si="33"/>
        <v>12560</v>
      </c>
      <c r="AD26" s="35">
        <f t="shared" si="29"/>
        <v>62080</v>
      </c>
      <c r="AF26" s="20">
        <f t="shared" si="1"/>
        <v>42.300000000000004</v>
      </c>
      <c r="AG26" s="20">
        <f t="shared" si="2"/>
        <v>9.25</v>
      </c>
      <c r="AH26" s="20">
        <f t="shared" si="3"/>
        <v>0</v>
      </c>
      <c r="AI26" s="20">
        <f t="shared" si="4"/>
        <v>7.5</v>
      </c>
      <c r="AJ26" s="20">
        <f t="shared" si="5"/>
        <v>30.45</v>
      </c>
      <c r="AK26" s="20">
        <f t="shared" si="6"/>
        <v>21.650000000000002</v>
      </c>
      <c r="AL26" s="20">
        <f t="shared" si="7"/>
        <v>16.149999999999999</v>
      </c>
      <c r="AM26" s="20">
        <f t="shared" si="8"/>
        <v>23.45</v>
      </c>
      <c r="AN26" s="20">
        <f t="shared" si="9"/>
        <v>30.3</v>
      </c>
      <c r="AO26" s="20">
        <f t="shared" si="10"/>
        <v>12.75</v>
      </c>
      <c r="AP26" s="20">
        <f t="shared" si="11"/>
        <v>16.55</v>
      </c>
      <c r="AQ26" s="20">
        <f t="shared" si="12"/>
        <v>37.25</v>
      </c>
      <c r="AR26" s="20">
        <f t="shared" si="13"/>
        <v>62.800000000000004</v>
      </c>
      <c r="AS26" s="35">
        <f t="shared" si="30"/>
        <v>310.40000000000003</v>
      </c>
      <c r="AU26" s="54">
        <v>388979</v>
      </c>
      <c r="AV26" s="37">
        <f t="shared" si="31"/>
        <v>984</v>
      </c>
      <c r="AW26" s="37">
        <f>AV26*100*AV44</f>
        <v>372.48434399999996</v>
      </c>
      <c r="AX26" s="35">
        <f t="shared" si="14"/>
        <v>1.968</v>
      </c>
    </row>
    <row r="27" spans="1:50" x14ac:dyDescent="0.25">
      <c r="A27" s="23">
        <v>44947</v>
      </c>
      <c r="B27" s="40">
        <v>162</v>
      </c>
      <c r="C27" s="24">
        <v>8808980</v>
      </c>
      <c r="D27" s="24">
        <v>21161530</v>
      </c>
      <c r="E27" s="24">
        <v>3914500</v>
      </c>
      <c r="F27" s="24">
        <v>4448220</v>
      </c>
      <c r="G27" s="24">
        <v>13200800</v>
      </c>
      <c r="H27" s="24">
        <v>7871220</v>
      </c>
      <c r="I27" s="24">
        <v>6789920</v>
      </c>
      <c r="J27" s="24">
        <v>8515490</v>
      </c>
      <c r="K27" s="24">
        <v>12296290</v>
      </c>
      <c r="L27" s="24">
        <v>5364410</v>
      </c>
      <c r="M27" s="24">
        <v>9726380</v>
      </c>
      <c r="N27" s="24">
        <v>16298190</v>
      </c>
      <c r="O27" s="24">
        <v>22926750</v>
      </c>
      <c r="Q27" s="37">
        <f t="shared" si="33"/>
        <v>5840</v>
      </c>
      <c r="R27" s="37">
        <f t="shared" si="18"/>
        <v>1850</v>
      </c>
      <c r="S27" s="37">
        <f t="shared" si="33"/>
        <v>800</v>
      </c>
      <c r="T27" s="37">
        <f t="shared" si="33"/>
        <v>1470</v>
      </c>
      <c r="U27" s="37">
        <f t="shared" si="33"/>
        <v>6390</v>
      </c>
      <c r="V27" s="37">
        <f t="shared" si="33"/>
        <v>4360</v>
      </c>
      <c r="W27" s="37">
        <f t="shared" si="33"/>
        <v>3430</v>
      </c>
      <c r="X27" s="37">
        <f t="shared" si="33"/>
        <v>4710</v>
      </c>
      <c r="Y27" s="37">
        <f t="shared" si="33"/>
        <v>6090</v>
      </c>
      <c r="Z27" s="37">
        <f t="shared" si="33"/>
        <v>2750</v>
      </c>
      <c r="AA27" s="37">
        <f t="shared" si="33"/>
        <v>3440</v>
      </c>
      <c r="AB27" s="37">
        <f t="shared" si="33"/>
        <v>7830</v>
      </c>
      <c r="AC27" s="37">
        <f t="shared" si="33"/>
        <v>12320</v>
      </c>
      <c r="AD27" s="35">
        <f t="shared" si="29"/>
        <v>61280</v>
      </c>
      <c r="AF27" s="20">
        <f t="shared" si="1"/>
        <v>29.2</v>
      </c>
      <c r="AG27" s="20">
        <f t="shared" si="2"/>
        <v>9.25</v>
      </c>
      <c r="AH27" s="20">
        <f t="shared" si="3"/>
        <v>4</v>
      </c>
      <c r="AI27" s="20">
        <f t="shared" si="4"/>
        <v>7.3500000000000005</v>
      </c>
      <c r="AJ27" s="20">
        <f t="shared" si="5"/>
        <v>31.95</v>
      </c>
      <c r="AK27" s="20">
        <f t="shared" si="6"/>
        <v>21.8</v>
      </c>
      <c r="AL27" s="20">
        <f t="shared" si="7"/>
        <v>17.150000000000002</v>
      </c>
      <c r="AM27" s="20">
        <f t="shared" si="8"/>
        <v>23.55</v>
      </c>
      <c r="AN27" s="20">
        <f t="shared" si="9"/>
        <v>30.45</v>
      </c>
      <c r="AO27" s="20">
        <f t="shared" si="10"/>
        <v>13.75</v>
      </c>
      <c r="AP27" s="20">
        <f t="shared" si="11"/>
        <v>17.2</v>
      </c>
      <c r="AQ27" s="20">
        <f t="shared" si="12"/>
        <v>39.15</v>
      </c>
      <c r="AR27" s="20">
        <f t="shared" si="13"/>
        <v>61.6</v>
      </c>
      <c r="AS27" s="35">
        <f t="shared" si="30"/>
        <v>306.39999999999998</v>
      </c>
      <c r="AU27" s="52">
        <v>390253</v>
      </c>
      <c r="AV27" s="37">
        <f>IF((AU27-AU26&lt;0),"0",AU27-AU26)</f>
        <v>1274</v>
      </c>
      <c r="AW27" s="37">
        <f>AV27*100*AV44</f>
        <v>482.261234</v>
      </c>
      <c r="AX27" s="35">
        <f t="shared" si="14"/>
        <v>2.548</v>
      </c>
    </row>
    <row r="28" spans="1:50" x14ac:dyDescent="0.25">
      <c r="A28" s="23">
        <v>44948</v>
      </c>
      <c r="B28" s="40">
        <v>141</v>
      </c>
      <c r="C28" s="24">
        <v>8809610</v>
      </c>
      <c r="D28" s="24">
        <v>21163510</v>
      </c>
      <c r="E28" s="24">
        <v>3917200</v>
      </c>
      <c r="F28" s="24">
        <v>4449770</v>
      </c>
      <c r="G28" s="24">
        <v>13207140</v>
      </c>
      <c r="H28" s="24">
        <v>7875900</v>
      </c>
      <c r="I28" s="24">
        <v>6793320</v>
      </c>
      <c r="J28" s="24">
        <v>8520090</v>
      </c>
      <c r="K28" s="24">
        <v>12302560</v>
      </c>
      <c r="L28" s="24">
        <v>5367250</v>
      </c>
      <c r="M28" s="24">
        <v>9729970</v>
      </c>
      <c r="N28" s="24">
        <v>16306560</v>
      </c>
      <c r="O28" s="24">
        <v>22940020</v>
      </c>
      <c r="Q28" s="37">
        <f t="shared" si="17"/>
        <v>630</v>
      </c>
      <c r="R28" s="37">
        <f t="shared" si="18"/>
        <v>1980</v>
      </c>
      <c r="S28" s="37">
        <f t="shared" si="16"/>
        <v>2700</v>
      </c>
      <c r="T28" s="37">
        <f t="shared" si="19"/>
        <v>1550</v>
      </c>
      <c r="U28" s="37">
        <f t="shared" si="20"/>
        <v>6340</v>
      </c>
      <c r="V28" s="37">
        <f t="shared" si="21"/>
        <v>4680</v>
      </c>
      <c r="W28" s="37">
        <f t="shared" si="22"/>
        <v>3400</v>
      </c>
      <c r="X28" s="37">
        <f t="shared" si="23"/>
        <v>4600</v>
      </c>
      <c r="Y28" s="37">
        <f t="shared" si="24"/>
        <v>6270</v>
      </c>
      <c r="Z28" s="37">
        <f t="shared" si="25"/>
        <v>2840</v>
      </c>
      <c r="AA28" s="37">
        <f t="shared" si="26"/>
        <v>3590</v>
      </c>
      <c r="AB28" s="37">
        <f t="shared" si="27"/>
        <v>8370</v>
      </c>
      <c r="AC28" s="37">
        <f t="shared" si="28"/>
        <v>13270</v>
      </c>
      <c r="AD28" s="35">
        <f t="shared" si="29"/>
        <v>60220</v>
      </c>
      <c r="AF28" s="20">
        <f t="shared" si="1"/>
        <v>3.15</v>
      </c>
      <c r="AG28" s="20">
        <f t="shared" si="2"/>
        <v>9.9</v>
      </c>
      <c r="AH28" s="20">
        <f t="shared" si="3"/>
        <v>13.5</v>
      </c>
      <c r="AI28" s="20">
        <f t="shared" si="4"/>
        <v>7.75</v>
      </c>
      <c r="AJ28" s="20">
        <f t="shared" si="5"/>
        <v>31.7</v>
      </c>
      <c r="AK28" s="20">
        <f t="shared" si="6"/>
        <v>23.400000000000002</v>
      </c>
      <c r="AL28" s="20">
        <f t="shared" si="7"/>
        <v>17</v>
      </c>
      <c r="AM28" s="20">
        <f t="shared" si="8"/>
        <v>23</v>
      </c>
      <c r="AN28" s="20">
        <f t="shared" si="9"/>
        <v>31.35</v>
      </c>
      <c r="AO28" s="20">
        <f t="shared" si="10"/>
        <v>14.200000000000001</v>
      </c>
      <c r="AP28" s="20">
        <f t="shared" si="11"/>
        <v>17.95</v>
      </c>
      <c r="AQ28" s="20">
        <f t="shared" si="12"/>
        <v>41.85</v>
      </c>
      <c r="AR28" s="20">
        <f t="shared" si="13"/>
        <v>66.349999999999994</v>
      </c>
      <c r="AS28" s="35">
        <f t="shared" si="30"/>
        <v>301.09999999999997</v>
      </c>
      <c r="AU28" s="52">
        <v>393350</v>
      </c>
      <c r="AV28" s="37">
        <f>IF((AU28-AU27&lt;0),"0",AU28-AU27)</f>
        <v>3097</v>
      </c>
      <c r="AW28" s="37">
        <f>AV28*100*AV44</f>
        <v>1172.3414769999999</v>
      </c>
      <c r="AX28" s="35">
        <f t="shared" si="14"/>
        <v>6.194</v>
      </c>
    </row>
    <row r="29" spans="1:50" x14ac:dyDescent="0.25">
      <c r="A29" s="23">
        <v>44949</v>
      </c>
      <c r="B29" s="40">
        <v>142</v>
      </c>
      <c r="C29" s="56">
        <v>8810140</v>
      </c>
      <c r="D29" s="56">
        <v>21165210</v>
      </c>
      <c r="E29" s="56">
        <v>3919570</v>
      </c>
      <c r="F29" s="56">
        <v>4451110</v>
      </c>
      <c r="G29" s="56">
        <v>13212750</v>
      </c>
      <c r="H29" s="56">
        <v>7879960</v>
      </c>
      <c r="I29" s="56">
        <v>6796240</v>
      </c>
      <c r="J29" s="56">
        <v>8524370</v>
      </c>
      <c r="K29" s="56">
        <v>12307850</v>
      </c>
      <c r="L29" s="56">
        <v>5369650</v>
      </c>
      <c r="M29" s="56">
        <v>9732930</v>
      </c>
      <c r="N29" s="56">
        <v>16313620</v>
      </c>
      <c r="O29" s="56">
        <v>22951680</v>
      </c>
      <c r="Q29" s="37">
        <f t="shared" si="17"/>
        <v>530</v>
      </c>
      <c r="R29" s="37">
        <f t="shared" si="18"/>
        <v>1700</v>
      </c>
      <c r="S29" s="37">
        <f t="shared" si="16"/>
        <v>2370</v>
      </c>
      <c r="T29" s="37">
        <f t="shared" si="19"/>
        <v>1340</v>
      </c>
      <c r="U29" s="37">
        <f t="shared" si="20"/>
        <v>5610</v>
      </c>
      <c r="V29" s="37">
        <f t="shared" si="21"/>
        <v>4060</v>
      </c>
      <c r="W29" s="37">
        <f t="shared" si="22"/>
        <v>2920</v>
      </c>
      <c r="X29" s="37">
        <f t="shared" si="23"/>
        <v>4280</v>
      </c>
      <c r="Y29" s="37">
        <f t="shared" si="24"/>
        <v>5290</v>
      </c>
      <c r="Z29" s="37">
        <f t="shared" si="25"/>
        <v>2400</v>
      </c>
      <c r="AA29" s="37">
        <f t="shared" si="26"/>
        <v>2960</v>
      </c>
      <c r="AB29" s="37">
        <f t="shared" si="27"/>
        <v>7060</v>
      </c>
      <c r="AC29" s="37">
        <f t="shared" si="28"/>
        <v>11660</v>
      </c>
      <c r="AD29" s="35">
        <f t="shared" si="29"/>
        <v>52180</v>
      </c>
      <c r="AF29" s="20">
        <f t="shared" si="1"/>
        <v>2.65</v>
      </c>
      <c r="AG29" s="20">
        <f t="shared" si="2"/>
        <v>8.5</v>
      </c>
      <c r="AH29" s="20">
        <f t="shared" si="3"/>
        <v>11.85</v>
      </c>
      <c r="AI29" s="20">
        <f t="shared" si="4"/>
        <v>6.7</v>
      </c>
      <c r="AJ29" s="20">
        <f t="shared" si="5"/>
        <v>28.05</v>
      </c>
      <c r="AK29" s="20">
        <f t="shared" si="6"/>
        <v>20.3</v>
      </c>
      <c r="AL29" s="20">
        <f t="shared" si="7"/>
        <v>14.6</v>
      </c>
      <c r="AM29" s="20">
        <f t="shared" si="8"/>
        <v>21.400000000000002</v>
      </c>
      <c r="AN29" s="20">
        <f t="shared" si="9"/>
        <v>26.45</v>
      </c>
      <c r="AO29" s="20">
        <f t="shared" si="10"/>
        <v>12</v>
      </c>
      <c r="AP29" s="20">
        <f t="shared" si="11"/>
        <v>14.8</v>
      </c>
      <c r="AQ29" s="20">
        <f t="shared" si="12"/>
        <v>35.300000000000004</v>
      </c>
      <c r="AR29" s="20">
        <f t="shared" si="13"/>
        <v>58.300000000000004</v>
      </c>
      <c r="AS29" s="35">
        <f t="shared" si="30"/>
        <v>260.90000000000003</v>
      </c>
      <c r="AU29" s="57">
        <v>395573</v>
      </c>
      <c r="AV29" s="37">
        <f>IF((AU29-AU28&lt;0),"0",AU29-AU28)</f>
        <v>2223</v>
      </c>
      <c r="AW29" s="37">
        <f>AV29*100*AV44</f>
        <v>841.49664299999995</v>
      </c>
      <c r="AX29" s="35">
        <f t="shared" si="14"/>
        <v>4.4459999999999997</v>
      </c>
    </row>
    <row r="30" spans="1:50" x14ac:dyDescent="0.25">
      <c r="A30" s="23">
        <v>44950</v>
      </c>
      <c r="B30" s="40">
        <v>110</v>
      </c>
      <c r="C30" s="51">
        <v>8810730</v>
      </c>
      <c r="D30" s="51">
        <v>21167070</v>
      </c>
      <c r="E30" s="51">
        <v>3922180</v>
      </c>
      <c r="F30" s="51">
        <v>4452570</v>
      </c>
      <c r="G30" s="51">
        <v>13218750</v>
      </c>
      <c r="H30" s="51">
        <v>7884220</v>
      </c>
      <c r="I30" s="51">
        <v>6799510</v>
      </c>
      <c r="J30" s="51">
        <v>8528900</v>
      </c>
      <c r="K30" s="51">
        <v>12313890</v>
      </c>
      <c r="L30" s="51">
        <v>5372220</v>
      </c>
      <c r="M30" s="51">
        <v>9736200</v>
      </c>
      <c r="N30" s="51">
        <v>16321150</v>
      </c>
      <c r="O30" s="51">
        <v>22964310</v>
      </c>
      <c r="Q30" s="37">
        <f t="shared" si="17"/>
        <v>590</v>
      </c>
      <c r="R30" s="37">
        <f t="shared" si="18"/>
        <v>1860</v>
      </c>
      <c r="S30" s="37">
        <f t="shared" si="16"/>
        <v>2610</v>
      </c>
      <c r="T30" s="37">
        <f t="shared" si="19"/>
        <v>1460</v>
      </c>
      <c r="U30" s="37">
        <f t="shared" si="20"/>
        <v>6000</v>
      </c>
      <c r="V30" s="37">
        <f t="shared" si="21"/>
        <v>4260</v>
      </c>
      <c r="W30" s="37">
        <f t="shared" si="22"/>
        <v>3270</v>
      </c>
      <c r="X30" s="37">
        <f t="shared" si="23"/>
        <v>4530</v>
      </c>
      <c r="Y30" s="37">
        <f t="shared" si="24"/>
        <v>6040</v>
      </c>
      <c r="Z30" s="37">
        <f t="shared" si="25"/>
        <v>2570</v>
      </c>
      <c r="AA30" s="37">
        <f t="shared" si="26"/>
        <v>3270</v>
      </c>
      <c r="AB30" s="37">
        <f t="shared" si="27"/>
        <v>7530</v>
      </c>
      <c r="AC30" s="37">
        <f t="shared" si="28"/>
        <v>12630</v>
      </c>
      <c r="AD30" s="35">
        <f t="shared" si="29"/>
        <v>56620</v>
      </c>
      <c r="AF30" s="20">
        <f t="shared" si="1"/>
        <v>2.95</v>
      </c>
      <c r="AG30" s="20">
        <f t="shared" si="2"/>
        <v>9.3000000000000007</v>
      </c>
      <c r="AH30" s="20">
        <f t="shared" si="3"/>
        <v>13.05</v>
      </c>
      <c r="AI30" s="20">
        <f t="shared" si="4"/>
        <v>7.3</v>
      </c>
      <c r="AJ30" s="20">
        <f t="shared" si="5"/>
        <v>30</v>
      </c>
      <c r="AK30" s="20">
        <f t="shared" si="6"/>
        <v>21.3</v>
      </c>
      <c r="AL30" s="20">
        <f t="shared" si="7"/>
        <v>16.350000000000001</v>
      </c>
      <c r="AM30" s="20">
        <f t="shared" si="8"/>
        <v>22.650000000000002</v>
      </c>
      <c r="AN30" s="20">
        <f t="shared" si="9"/>
        <v>30.2</v>
      </c>
      <c r="AO30" s="20">
        <f t="shared" si="10"/>
        <v>12.85</v>
      </c>
      <c r="AP30" s="20">
        <f t="shared" si="11"/>
        <v>16.350000000000001</v>
      </c>
      <c r="AQ30" s="20">
        <f t="shared" si="12"/>
        <v>37.65</v>
      </c>
      <c r="AR30" s="20">
        <f t="shared" si="13"/>
        <v>63.15</v>
      </c>
      <c r="AS30" s="35">
        <f t="shared" si="30"/>
        <v>283.09999999999997</v>
      </c>
      <c r="AU30" s="54">
        <v>397390</v>
      </c>
      <c r="AV30" s="37">
        <f t="shared" ref="AV30:AV36" si="34">IF((AU30-AU29&lt;0),"0",AU30-AU29)</f>
        <v>1817</v>
      </c>
      <c r="AW30" s="37">
        <f>AV30*100*AV44</f>
        <v>687.80899699999998</v>
      </c>
      <c r="AX30" s="35">
        <f t="shared" si="14"/>
        <v>3.6339999999999999</v>
      </c>
    </row>
    <row r="31" spans="1:50" x14ac:dyDescent="0.25">
      <c r="A31" s="23">
        <v>44951</v>
      </c>
      <c r="B31" s="40">
        <v>129</v>
      </c>
      <c r="C31" s="50">
        <v>8811330</v>
      </c>
      <c r="D31" s="50">
        <v>21168990</v>
      </c>
      <c r="E31" s="50">
        <v>3924920</v>
      </c>
      <c r="F31" s="50">
        <v>4454080</v>
      </c>
      <c r="G31" s="50">
        <v>13224460</v>
      </c>
      <c r="H31" s="50">
        <v>7888560</v>
      </c>
      <c r="I31" s="50">
        <v>6802710</v>
      </c>
      <c r="J31" s="50">
        <v>8533640</v>
      </c>
      <c r="K31" s="50">
        <v>12320030</v>
      </c>
      <c r="L31" s="50">
        <v>5374890</v>
      </c>
      <c r="M31" s="50">
        <v>9739050</v>
      </c>
      <c r="N31" s="50">
        <v>16328930</v>
      </c>
      <c r="O31" s="50">
        <v>22976950</v>
      </c>
      <c r="Q31" s="37">
        <f>IF((C31-C30&lt;0), "0",C31-C30)</f>
        <v>600</v>
      </c>
      <c r="R31" s="37">
        <f t="shared" si="18"/>
        <v>1920</v>
      </c>
      <c r="S31" s="37">
        <f t="shared" si="16"/>
        <v>2740</v>
      </c>
      <c r="T31" s="37">
        <f t="shared" si="19"/>
        <v>1510</v>
      </c>
      <c r="U31" s="37">
        <f t="shared" si="20"/>
        <v>5710</v>
      </c>
      <c r="V31" s="37">
        <f t="shared" si="21"/>
        <v>4340</v>
      </c>
      <c r="W31" s="37">
        <f t="shared" si="22"/>
        <v>3200</v>
      </c>
      <c r="X31" s="37">
        <f t="shared" si="23"/>
        <v>4740</v>
      </c>
      <c r="Y31" s="37">
        <f t="shared" si="24"/>
        <v>6140</v>
      </c>
      <c r="Z31" s="37">
        <f t="shared" si="25"/>
        <v>2670</v>
      </c>
      <c r="AA31" s="37">
        <f t="shared" si="26"/>
        <v>2850</v>
      </c>
      <c r="AB31" s="37">
        <f t="shared" si="27"/>
        <v>7780</v>
      </c>
      <c r="AC31" s="37">
        <f t="shared" si="28"/>
        <v>12640</v>
      </c>
      <c r="AD31" s="35">
        <f t="shared" si="29"/>
        <v>56840</v>
      </c>
      <c r="AF31" s="20">
        <f t="shared" si="1"/>
        <v>3</v>
      </c>
      <c r="AG31" s="20">
        <f t="shared" si="2"/>
        <v>9.6</v>
      </c>
      <c r="AH31" s="20">
        <f t="shared" si="3"/>
        <v>13.700000000000001</v>
      </c>
      <c r="AI31" s="20">
        <f t="shared" si="4"/>
        <v>7.55</v>
      </c>
      <c r="AJ31" s="20">
        <f t="shared" si="5"/>
        <v>28.55</v>
      </c>
      <c r="AK31" s="20">
        <f t="shared" si="6"/>
        <v>21.7</v>
      </c>
      <c r="AL31" s="20">
        <f t="shared" si="7"/>
        <v>16</v>
      </c>
      <c r="AM31" s="20">
        <f t="shared" si="8"/>
        <v>23.7</v>
      </c>
      <c r="AN31" s="20">
        <f t="shared" si="9"/>
        <v>30.7</v>
      </c>
      <c r="AO31" s="20">
        <f t="shared" si="10"/>
        <v>13.35</v>
      </c>
      <c r="AP31" s="20">
        <f t="shared" si="11"/>
        <v>14.25</v>
      </c>
      <c r="AQ31" s="20">
        <f t="shared" si="12"/>
        <v>38.9</v>
      </c>
      <c r="AR31" s="20">
        <f t="shared" si="13"/>
        <v>63.2</v>
      </c>
      <c r="AS31" s="35">
        <f t="shared" si="30"/>
        <v>284.2</v>
      </c>
      <c r="AU31" s="55">
        <v>398756</v>
      </c>
      <c r="AV31" s="37">
        <f t="shared" si="34"/>
        <v>1366</v>
      </c>
      <c r="AW31" s="37">
        <f>AV31*100*AV44</f>
        <v>517.08700599999997</v>
      </c>
      <c r="AX31" s="35">
        <f t="shared" si="14"/>
        <v>2.7320000000000002</v>
      </c>
    </row>
    <row r="32" spans="1:50" x14ac:dyDescent="0.25">
      <c r="A32" s="23">
        <v>44952</v>
      </c>
      <c r="B32" s="69">
        <v>131</v>
      </c>
      <c r="C32" s="70" t="s">
        <v>50</v>
      </c>
      <c r="D32" s="71" t="s">
        <v>56</v>
      </c>
      <c r="E32" s="71" t="s">
        <v>62</v>
      </c>
      <c r="F32" s="71" t="s">
        <v>68</v>
      </c>
      <c r="G32" s="71" t="s">
        <v>74</v>
      </c>
      <c r="H32" s="71" t="s">
        <v>80</v>
      </c>
      <c r="I32" s="71" t="s">
        <v>86</v>
      </c>
      <c r="J32" s="71" t="s">
        <v>92</v>
      </c>
      <c r="K32" s="71" t="s">
        <v>98</v>
      </c>
      <c r="L32" s="71" t="s">
        <v>104</v>
      </c>
      <c r="M32" s="71" t="s">
        <v>110</v>
      </c>
      <c r="N32" s="71" t="s">
        <v>116</v>
      </c>
      <c r="O32" s="71" t="s">
        <v>122</v>
      </c>
      <c r="Q32" s="37">
        <f>IF((C32-C31&lt;0), "0",C32-C31)</f>
        <v>580</v>
      </c>
      <c r="R32" s="37">
        <f t="shared" si="18"/>
        <v>1810</v>
      </c>
      <c r="S32" s="37">
        <f t="shared" si="16"/>
        <v>2550</v>
      </c>
      <c r="T32" s="37">
        <f t="shared" si="19"/>
        <v>1430</v>
      </c>
      <c r="U32" s="37">
        <f t="shared" si="20"/>
        <v>5720</v>
      </c>
      <c r="V32" s="37">
        <f t="shared" si="21"/>
        <v>4260</v>
      </c>
      <c r="W32" s="37">
        <f t="shared" si="22"/>
        <v>3410</v>
      </c>
      <c r="X32" s="37">
        <f t="shared" si="23"/>
        <v>4400</v>
      </c>
      <c r="Y32" s="37">
        <f t="shared" si="24"/>
        <v>5920</v>
      </c>
      <c r="Z32" s="37">
        <f t="shared" si="25"/>
        <v>2620</v>
      </c>
      <c r="AA32" s="37">
        <f t="shared" si="26"/>
        <v>3180</v>
      </c>
      <c r="AB32" s="37">
        <f t="shared" si="27"/>
        <v>7330</v>
      </c>
      <c r="AC32" s="37">
        <f t="shared" si="28"/>
        <v>12710</v>
      </c>
      <c r="AD32" s="35">
        <f t="shared" si="29"/>
        <v>55920</v>
      </c>
      <c r="AF32" s="20">
        <f t="shared" si="1"/>
        <v>2.9</v>
      </c>
      <c r="AG32" s="20">
        <f t="shared" si="2"/>
        <v>9.0500000000000007</v>
      </c>
      <c r="AH32" s="20">
        <f t="shared" si="3"/>
        <v>12.75</v>
      </c>
      <c r="AI32" s="20">
        <f t="shared" si="4"/>
        <v>7.15</v>
      </c>
      <c r="AJ32" s="20">
        <f t="shared" si="5"/>
        <v>28.6</v>
      </c>
      <c r="AK32" s="20">
        <f t="shared" si="6"/>
        <v>21.3</v>
      </c>
      <c r="AL32" s="20">
        <f t="shared" si="7"/>
        <v>17.05</v>
      </c>
      <c r="AM32" s="20">
        <f t="shared" si="8"/>
        <v>22</v>
      </c>
      <c r="AN32" s="20">
        <f t="shared" si="9"/>
        <v>29.6</v>
      </c>
      <c r="AO32" s="20">
        <f t="shared" si="10"/>
        <v>13.1</v>
      </c>
      <c r="AP32" s="20">
        <f t="shared" si="11"/>
        <v>15.9</v>
      </c>
      <c r="AQ32" s="20">
        <f t="shared" si="12"/>
        <v>36.65</v>
      </c>
      <c r="AR32" s="20">
        <f t="shared" si="13"/>
        <v>63.550000000000004</v>
      </c>
      <c r="AS32" s="35">
        <f t="shared" si="30"/>
        <v>279.60000000000002</v>
      </c>
      <c r="AU32" s="74" t="s">
        <v>128</v>
      </c>
      <c r="AV32" s="37">
        <f t="shared" si="34"/>
        <v>1424</v>
      </c>
      <c r="AW32" s="37">
        <f>AV32*100*AV44</f>
        <v>539.04238399999997</v>
      </c>
      <c r="AX32" s="35">
        <f t="shared" si="14"/>
        <v>2.8479999999999999</v>
      </c>
    </row>
    <row r="33" spans="1:50" x14ac:dyDescent="0.25">
      <c r="A33" s="23">
        <v>44953</v>
      </c>
      <c r="B33" s="69">
        <v>123</v>
      </c>
      <c r="C33" s="72" t="s">
        <v>51</v>
      </c>
      <c r="D33" s="73" t="s">
        <v>57</v>
      </c>
      <c r="E33" s="73" t="s">
        <v>63</v>
      </c>
      <c r="F33" s="73" t="s">
        <v>69</v>
      </c>
      <c r="G33" s="73" t="s">
        <v>75</v>
      </c>
      <c r="H33" s="73" t="s">
        <v>81</v>
      </c>
      <c r="I33" s="73" t="s">
        <v>87</v>
      </c>
      <c r="J33" s="73" t="s">
        <v>93</v>
      </c>
      <c r="K33" s="73" t="s">
        <v>99</v>
      </c>
      <c r="L33" s="73" t="s">
        <v>105</v>
      </c>
      <c r="M33" s="73" t="s">
        <v>111</v>
      </c>
      <c r="N33" s="73" t="s">
        <v>117</v>
      </c>
      <c r="O33" s="73" t="s">
        <v>123</v>
      </c>
      <c r="Q33" s="37">
        <f>IF((C33-C32&lt;0), "0",C33-C32)</f>
        <v>570</v>
      </c>
      <c r="R33" s="37">
        <f t="shared" si="18"/>
        <v>1810</v>
      </c>
      <c r="S33" s="37">
        <f t="shared" si="16"/>
        <v>2610</v>
      </c>
      <c r="T33" s="37">
        <f t="shared" si="19"/>
        <v>1420</v>
      </c>
      <c r="U33" s="37">
        <f t="shared" si="20"/>
        <v>5990</v>
      </c>
      <c r="V33" s="37">
        <f t="shared" si="21"/>
        <v>4250</v>
      </c>
      <c r="W33" s="37">
        <f t="shared" si="22"/>
        <v>3190</v>
      </c>
      <c r="X33" s="37">
        <f t="shared" si="23"/>
        <v>4400</v>
      </c>
      <c r="Y33" s="37">
        <f t="shared" si="24"/>
        <v>6010</v>
      </c>
      <c r="Z33" s="37">
        <f t="shared" si="25"/>
        <v>2610</v>
      </c>
      <c r="AA33" s="37">
        <f t="shared" si="26"/>
        <v>3360</v>
      </c>
      <c r="AB33" s="37">
        <f t="shared" si="27"/>
        <v>7370</v>
      </c>
      <c r="AC33" s="37">
        <f t="shared" si="28"/>
        <v>12580</v>
      </c>
      <c r="AD33" s="35">
        <f t="shared" si="29"/>
        <v>56170</v>
      </c>
      <c r="AF33" s="20">
        <f t="shared" si="1"/>
        <v>2.85</v>
      </c>
      <c r="AG33" s="20">
        <f t="shared" si="2"/>
        <v>9.0500000000000007</v>
      </c>
      <c r="AH33" s="20">
        <f t="shared" si="3"/>
        <v>13.05</v>
      </c>
      <c r="AI33" s="20">
        <f t="shared" si="4"/>
        <v>7.1000000000000005</v>
      </c>
      <c r="AJ33" s="20">
        <f t="shared" si="5"/>
        <v>29.95</v>
      </c>
      <c r="AK33" s="20">
        <f t="shared" si="6"/>
        <v>21.25</v>
      </c>
      <c r="AL33" s="20">
        <f t="shared" si="7"/>
        <v>15.950000000000001</v>
      </c>
      <c r="AM33" s="20">
        <f t="shared" si="8"/>
        <v>22</v>
      </c>
      <c r="AN33" s="20">
        <f t="shared" si="9"/>
        <v>30.05</v>
      </c>
      <c r="AO33" s="20">
        <f t="shared" si="10"/>
        <v>13.05</v>
      </c>
      <c r="AP33" s="20">
        <f t="shared" si="11"/>
        <v>16.8</v>
      </c>
      <c r="AQ33" s="20">
        <f t="shared" si="12"/>
        <v>36.85</v>
      </c>
      <c r="AR33" s="20">
        <f t="shared" si="13"/>
        <v>62.9</v>
      </c>
      <c r="AS33" s="35">
        <f t="shared" si="30"/>
        <v>280.85000000000002</v>
      </c>
      <c r="AU33" s="75" t="s">
        <v>129</v>
      </c>
      <c r="AV33" s="37">
        <f t="shared" si="34"/>
        <v>1445</v>
      </c>
      <c r="AW33" s="37">
        <f>AV33*100*AV44</f>
        <v>546.99174500000004</v>
      </c>
      <c r="AX33" s="35">
        <f t="shared" si="14"/>
        <v>2.89</v>
      </c>
    </row>
    <row r="34" spans="1:50" x14ac:dyDescent="0.25">
      <c r="A34" s="23">
        <v>44954</v>
      </c>
      <c r="B34" s="47">
        <v>83</v>
      </c>
      <c r="C34" s="70" t="s">
        <v>52</v>
      </c>
      <c r="D34" s="71" t="s">
        <v>58</v>
      </c>
      <c r="E34" s="71" t="s">
        <v>64</v>
      </c>
      <c r="F34" s="71" t="s">
        <v>70</v>
      </c>
      <c r="G34" s="71" t="s">
        <v>76</v>
      </c>
      <c r="H34" s="71" t="s">
        <v>82</v>
      </c>
      <c r="I34" s="71" t="s">
        <v>88</v>
      </c>
      <c r="J34" s="71" t="s">
        <v>94</v>
      </c>
      <c r="K34" s="71" t="s">
        <v>100</v>
      </c>
      <c r="L34" s="71" t="s">
        <v>106</v>
      </c>
      <c r="M34" s="71" t="s">
        <v>112</v>
      </c>
      <c r="N34" s="71" t="s">
        <v>118</v>
      </c>
      <c r="O34" s="71" t="s">
        <v>124</v>
      </c>
      <c r="Q34" s="37">
        <f>IF((C34-C33&lt;0), "0",C34-C33)</f>
        <v>580</v>
      </c>
      <c r="R34" s="37">
        <f t="shared" si="18"/>
        <v>1850</v>
      </c>
      <c r="S34" s="37">
        <f t="shared" si="16"/>
        <v>2610</v>
      </c>
      <c r="T34" s="37">
        <f t="shared" si="19"/>
        <v>1450</v>
      </c>
      <c r="U34" s="37">
        <f t="shared" si="20"/>
        <v>6160</v>
      </c>
      <c r="V34" s="37">
        <f t="shared" si="21"/>
        <v>4260</v>
      </c>
      <c r="W34" s="37">
        <f t="shared" si="22"/>
        <v>3060</v>
      </c>
      <c r="X34" s="37">
        <f t="shared" si="23"/>
        <v>4420</v>
      </c>
      <c r="Y34" s="37">
        <f t="shared" si="24"/>
        <v>6020</v>
      </c>
      <c r="Z34" s="37">
        <f t="shared" si="25"/>
        <v>2540</v>
      </c>
      <c r="AA34" s="37">
        <f t="shared" si="26"/>
        <v>3230</v>
      </c>
      <c r="AB34" s="37">
        <f t="shared" si="27"/>
        <v>7480</v>
      </c>
      <c r="AC34" s="37">
        <f t="shared" si="28"/>
        <v>12630</v>
      </c>
      <c r="AD34" s="35">
        <f t="shared" si="29"/>
        <v>56290</v>
      </c>
      <c r="AF34" s="20">
        <f>Q34*$D$39</f>
        <v>2.9</v>
      </c>
      <c r="AG34" s="20">
        <f t="shared" si="2"/>
        <v>9.25</v>
      </c>
      <c r="AH34" s="20">
        <f t="shared" si="3"/>
        <v>13.05</v>
      </c>
      <c r="AI34" s="20">
        <f t="shared" si="4"/>
        <v>7.25</v>
      </c>
      <c r="AJ34" s="20">
        <f t="shared" si="5"/>
        <v>30.8</v>
      </c>
      <c r="AK34" s="20">
        <f t="shared" si="6"/>
        <v>21.3</v>
      </c>
      <c r="AL34" s="20">
        <f t="shared" si="7"/>
        <v>15.3</v>
      </c>
      <c r="AM34" s="20">
        <f t="shared" si="8"/>
        <v>22.1</v>
      </c>
      <c r="AN34" s="20">
        <f t="shared" si="9"/>
        <v>30.1</v>
      </c>
      <c r="AO34" s="20">
        <f t="shared" si="10"/>
        <v>12.700000000000001</v>
      </c>
      <c r="AP34" s="20">
        <f t="shared" si="11"/>
        <v>16.149999999999999</v>
      </c>
      <c r="AQ34" s="20">
        <f t="shared" si="12"/>
        <v>37.4</v>
      </c>
      <c r="AR34" s="20">
        <f t="shared" si="13"/>
        <v>63.15</v>
      </c>
      <c r="AS34" s="35">
        <f>SUM(AF34:AR34)</f>
        <v>281.45</v>
      </c>
      <c r="AU34" s="74" t="s">
        <v>130</v>
      </c>
      <c r="AV34" s="37">
        <f t="shared" si="34"/>
        <v>1286</v>
      </c>
      <c r="AW34" s="37">
        <f>AV34*100*AV44</f>
        <v>486.80372599999998</v>
      </c>
      <c r="AX34" s="35">
        <f t="shared" si="14"/>
        <v>2.5720000000000001</v>
      </c>
    </row>
    <row r="35" spans="1:50" x14ac:dyDescent="0.25">
      <c r="A35" s="23">
        <v>44955</v>
      </c>
      <c r="B35" s="69">
        <v>87</v>
      </c>
      <c r="C35" s="72" t="s">
        <v>53</v>
      </c>
      <c r="D35" s="73" t="s">
        <v>59</v>
      </c>
      <c r="E35" s="73" t="s">
        <v>65</v>
      </c>
      <c r="F35" s="73" t="s">
        <v>71</v>
      </c>
      <c r="G35" s="73" t="s">
        <v>77</v>
      </c>
      <c r="H35" s="73" t="s">
        <v>83</v>
      </c>
      <c r="I35" s="73" t="s">
        <v>89</v>
      </c>
      <c r="J35" s="73" t="s">
        <v>95</v>
      </c>
      <c r="K35" s="73" t="s">
        <v>101</v>
      </c>
      <c r="L35" s="73" t="s">
        <v>107</v>
      </c>
      <c r="M35" s="73" t="s">
        <v>113</v>
      </c>
      <c r="N35" s="73" t="s">
        <v>119</v>
      </c>
      <c r="O35" s="73" t="s">
        <v>125</v>
      </c>
      <c r="Q35" s="37">
        <f>IF((C35-C34&lt;0), "0",C35-C34)</f>
        <v>580</v>
      </c>
      <c r="R35" s="37">
        <f t="shared" si="18"/>
        <v>1850</v>
      </c>
      <c r="S35" s="37">
        <f t="shared" si="16"/>
        <v>2720</v>
      </c>
      <c r="T35" s="37">
        <f t="shared" si="19"/>
        <v>1440</v>
      </c>
      <c r="U35" s="37">
        <f t="shared" si="20"/>
        <v>6060</v>
      </c>
      <c r="V35" s="37">
        <f t="shared" si="21"/>
        <v>4240</v>
      </c>
      <c r="W35" s="37">
        <f t="shared" si="22"/>
        <v>3370</v>
      </c>
      <c r="X35" s="37">
        <f t="shared" si="23"/>
        <v>4110</v>
      </c>
      <c r="Y35" s="37">
        <f t="shared" si="24"/>
        <v>5670</v>
      </c>
      <c r="Z35" s="37">
        <f t="shared" si="25"/>
        <v>2510</v>
      </c>
      <c r="AA35" s="37">
        <f t="shared" si="26"/>
        <v>3000</v>
      </c>
      <c r="AB35" s="37">
        <f t="shared" si="27"/>
        <v>7470</v>
      </c>
      <c r="AC35" s="37">
        <f t="shared" si="28"/>
        <v>14850</v>
      </c>
      <c r="AD35" s="35">
        <f t="shared" si="29"/>
        <v>57870</v>
      </c>
      <c r="AF35" s="20">
        <f t="shared" si="1"/>
        <v>2.9</v>
      </c>
      <c r="AG35" s="20">
        <f t="shared" si="2"/>
        <v>9.25</v>
      </c>
      <c r="AH35" s="20">
        <f t="shared" si="3"/>
        <v>13.6</v>
      </c>
      <c r="AI35" s="20">
        <f t="shared" si="4"/>
        <v>7.2</v>
      </c>
      <c r="AJ35" s="20">
        <f t="shared" si="5"/>
        <v>30.3</v>
      </c>
      <c r="AK35" s="20">
        <f t="shared" si="6"/>
        <v>21.2</v>
      </c>
      <c r="AL35" s="20">
        <f t="shared" si="7"/>
        <v>16.850000000000001</v>
      </c>
      <c r="AM35" s="20">
        <f t="shared" si="8"/>
        <v>20.55</v>
      </c>
      <c r="AN35" s="20">
        <f t="shared" si="9"/>
        <v>28.35</v>
      </c>
      <c r="AO35" s="20">
        <f t="shared" si="10"/>
        <v>12.55</v>
      </c>
      <c r="AP35" s="20">
        <f t="shared" si="11"/>
        <v>15</v>
      </c>
      <c r="AQ35" s="20">
        <f t="shared" si="12"/>
        <v>37.35</v>
      </c>
      <c r="AR35" s="20">
        <f t="shared" si="13"/>
        <v>74.25</v>
      </c>
      <c r="AS35" s="35">
        <f>SUM(AF35:AR35)</f>
        <v>289.35000000000002</v>
      </c>
      <c r="AU35" s="75" t="s">
        <v>131</v>
      </c>
      <c r="AV35" s="37">
        <f t="shared" si="34"/>
        <v>1297</v>
      </c>
      <c r="AW35" s="37">
        <f>AV35*100*AV44</f>
        <v>490.96767699999998</v>
      </c>
      <c r="AX35" s="35">
        <f t="shared" si="14"/>
        <v>2.5939999999999999</v>
      </c>
    </row>
    <row r="36" spans="1:50" x14ac:dyDescent="0.25">
      <c r="A36" s="23">
        <v>44956</v>
      </c>
      <c r="B36" s="69">
        <v>110</v>
      </c>
      <c r="C36" s="70" t="s">
        <v>54</v>
      </c>
      <c r="D36" s="71" t="s">
        <v>60</v>
      </c>
      <c r="E36" s="71" t="s">
        <v>66</v>
      </c>
      <c r="F36" s="71" t="s">
        <v>72</v>
      </c>
      <c r="G36" s="71" t="s">
        <v>78</v>
      </c>
      <c r="H36" s="71" t="s">
        <v>84</v>
      </c>
      <c r="I36" s="71" t="s">
        <v>90</v>
      </c>
      <c r="J36" s="71" t="s">
        <v>96</v>
      </c>
      <c r="K36" s="71" t="s">
        <v>102</v>
      </c>
      <c r="L36" s="71" t="s">
        <v>108</v>
      </c>
      <c r="M36" s="71" t="s">
        <v>114</v>
      </c>
      <c r="N36" s="71" t="s">
        <v>120</v>
      </c>
      <c r="O36" s="71" t="s">
        <v>126</v>
      </c>
      <c r="Q36" s="37">
        <f t="shared" ref="Q36:AA36" si="35">IF((C36-C35&lt;0), "0",C36-C35)</f>
        <v>580</v>
      </c>
      <c r="R36" s="37">
        <f t="shared" si="18"/>
        <v>1830</v>
      </c>
      <c r="S36" s="37">
        <f t="shared" si="35"/>
        <v>2730</v>
      </c>
      <c r="T36" s="37">
        <f t="shared" si="35"/>
        <v>1430</v>
      </c>
      <c r="U36" s="37">
        <f t="shared" si="35"/>
        <v>5840</v>
      </c>
      <c r="V36" s="37">
        <f t="shared" si="35"/>
        <v>3950</v>
      </c>
      <c r="W36" s="37">
        <f t="shared" si="35"/>
        <v>3090</v>
      </c>
      <c r="X36" s="37">
        <f t="shared" si="23"/>
        <v>4160</v>
      </c>
      <c r="Y36" s="37">
        <f t="shared" si="35"/>
        <v>5670</v>
      </c>
      <c r="Z36" s="37">
        <f t="shared" si="35"/>
        <v>2330</v>
      </c>
      <c r="AA36" s="37">
        <f t="shared" si="35"/>
        <v>2950</v>
      </c>
      <c r="AB36" s="37">
        <f t="shared" si="27"/>
        <v>7380</v>
      </c>
      <c r="AC36" s="37">
        <f t="shared" si="28"/>
        <v>12880</v>
      </c>
      <c r="AD36" s="35">
        <f t="shared" si="29"/>
        <v>54820</v>
      </c>
      <c r="AF36" s="20">
        <f t="shared" si="1"/>
        <v>2.9</v>
      </c>
      <c r="AG36" s="20">
        <f t="shared" si="2"/>
        <v>9.15</v>
      </c>
      <c r="AH36" s="20">
        <f t="shared" si="3"/>
        <v>13.65</v>
      </c>
      <c r="AI36" s="20">
        <f t="shared" si="4"/>
        <v>7.15</v>
      </c>
      <c r="AJ36" s="20">
        <f t="shared" si="5"/>
        <v>29.2</v>
      </c>
      <c r="AK36" s="20">
        <f t="shared" si="6"/>
        <v>19.75</v>
      </c>
      <c r="AL36" s="20">
        <f t="shared" si="7"/>
        <v>15.450000000000001</v>
      </c>
      <c r="AM36" s="20">
        <f t="shared" si="8"/>
        <v>20.8</v>
      </c>
      <c r="AN36" s="20">
        <f t="shared" si="9"/>
        <v>28.35</v>
      </c>
      <c r="AO36" s="20">
        <f t="shared" si="10"/>
        <v>11.65</v>
      </c>
      <c r="AP36" s="20">
        <f t="shared" si="11"/>
        <v>14.75</v>
      </c>
      <c r="AQ36" s="20">
        <f t="shared" si="12"/>
        <v>36.9</v>
      </c>
      <c r="AR36" s="20">
        <f t="shared" si="13"/>
        <v>64.400000000000006</v>
      </c>
      <c r="AS36" s="35">
        <f>SUM(AF36:AR36)</f>
        <v>274.10000000000002</v>
      </c>
      <c r="AU36" s="74" t="s">
        <v>132</v>
      </c>
      <c r="AV36" s="37">
        <f t="shared" si="34"/>
        <v>1301</v>
      </c>
      <c r="AW36" s="37">
        <f>AV36*100*AV44</f>
        <v>492.48184099999997</v>
      </c>
      <c r="AX36" s="35">
        <f t="shared" ref="AX36:AX37" si="36">AV36*$D$40</f>
        <v>2.6019999999999999</v>
      </c>
    </row>
    <row r="37" spans="1:50" x14ac:dyDescent="0.25">
      <c r="A37" s="23">
        <v>44957</v>
      </c>
      <c r="B37" s="69">
        <v>116</v>
      </c>
      <c r="C37" s="72" t="s">
        <v>55</v>
      </c>
      <c r="D37" s="73" t="s">
        <v>61</v>
      </c>
      <c r="E37" s="73" t="s">
        <v>67</v>
      </c>
      <c r="F37" s="73" t="s">
        <v>73</v>
      </c>
      <c r="G37" s="73" t="s">
        <v>79</v>
      </c>
      <c r="H37" s="73" t="s">
        <v>85</v>
      </c>
      <c r="I37" s="73" t="s">
        <v>91</v>
      </c>
      <c r="J37" s="73" t="s">
        <v>97</v>
      </c>
      <c r="K37" s="73" t="s">
        <v>103</v>
      </c>
      <c r="L37" s="73" t="s">
        <v>109</v>
      </c>
      <c r="M37" s="73" t="s">
        <v>115</v>
      </c>
      <c r="N37" s="73" t="s">
        <v>121</v>
      </c>
      <c r="O37" s="73" t="s">
        <v>127</v>
      </c>
      <c r="Q37" s="37">
        <f t="shared" ref="Q37" si="37">IF((C37-C36&lt;0), "0",C37-C36)</f>
        <v>610</v>
      </c>
      <c r="R37" s="37">
        <f t="shared" si="18"/>
        <v>1940</v>
      </c>
      <c r="S37" s="37">
        <f t="shared" ref="S37" si="38">IF((E37-E36&lt;0), "0",E37-E36)</f>
        <v>2800</v>
      </c>
      <c r="T37" s="37">
        <f t="shared" ref="T37" si="39">IF((F37-F36&lt;0), "0",F37-F36)</f>
        <v>1500</v>
      </c>
      <c r="U37" s="37">
        <f t="shared" ref="U37" si="40">IF((G37-G36&lt;0), "0",G37-G36)</f>
        <v>6270</v>
      </c>
      <c r="V37" s="37">
        <f t="shared" ref="V37" si="41">IF((H37-H36&lt;0), "0",H37-H36)</f>
        <v>4410</v>
      </c>
      <c r="W37" s="37">
        <f t="shared" ref="W37" si="42">IF((I37-I36&lt;0), "0",I37-I36)</f>
        <v>3300</v>
      </c>
      <c r="X37" s="37">
        <f t="shared" si="23"/>
        <v>4400</v>
      </c>
      <c r="Y37" s="37">
        <f t="shared" ref="Y37" si="43">IF((K37-K36&lt;0), "0",K37-K36)</f>
        <v>6110</v>
      </c>
      <c r="Z37" s="37">
        <f t="shared" ref="Z37" si="44">IF((L37-L36&lt;0), "0",L37-L36)</f>
        <v>2570</v>
      </c>
      <c r="AA37" s="37">
        <f t="shared" ref="AA37" si="45">IF((M37-M36&lt;0), "0",M37-M36)</f>
        <v>3180</v>
      </c>
      <c r="AB37" s="37">
        <f t="shared" si="27"/>
        <v>7830</v>
      </c>
      <c r="AC37" s="37">
        <f t="shared" si="28"/>
        <v>16560</v>
      </c>
      <c r="AD37" s="35">
        <f t="shared" si="29"/>
        <v>61480</v>
      </c>
      <c r="AF37" s="20">
        <f t="shared" ref="AF37" si="46">Q37*$D$39</f>
        <v>3.0500000000000003</v>
      </c>
      <c r="AG37" s="20">
        <f t="shared" ref="AG37" si="47">R37*$D$39</f>
        <v>9.7000000000000011</v>
      </c>
      <c r="AH37" s="20">
        <f t="shared" ref="AH37" si="48">S37*$D$39</f>
        <v>14</v>
      </c>
      <c r="AI37" s="20">
        <f t="shared" ref="AI37" si="49">T37*$D$39</f>
        <v>7.5</v>
      </c>
      <c r="AJ37" s="20">
        <f t="shared" ref="AJ37" si="50">U37*$D$39</f>
        <v>31.35</v>
      </c>
      <c r="AK37" s="20">
        <f t="shared" ref="AK37" si="51">V37*$D$39</f>
        <v>22.05</v>
      </c>
      <c r="AL37" s="20">
        <f t="shared" ref="AL37" si="52">W37*$D$39</f>
        <v>16.5</v>
      </c>
      <c r="AM37" s="20">
        <f t="shared" ref="AM37" si="53">X37*$D$39</f>
        <v>22</v>
      </c>
      <c r="AN37" s="20">
        <f t="shared" ref="AN37" si="54">Y37*$D$39</f>
        <v>30.55</v>
      </c>
      <c r="AO37" s="20">
        <f t="shared" ref="AO37" si="55">Z37*$D$39</f>
        <v>12.85</v>
      </c>
      <c r="AP37" s="20">
        <f t="shared" ref="AP37" si="56">AA37*$D$39</f>
        <v>15.9</v>
      </c>
      <c r="AQ37" s="20">
        <f t="shared" ref="AQ37" si="57">AB37*$D$39</f>
        <v>39.15</v>
      </c>
      <c r="AR37" s="20">
        <f t="shared" ref="AR37" si="58">AC37*$D$39</f>
        <v>82.8</v>
      </c>
      <c r="AS37" s="35">
        <f>SUM(AF37:AR37)</f>
        <v>307.39999999999998</v>
      </c>
      <c r="AU37" s="75" t="s">
        <v>133</v>
      </c>
      <c r="AV37" s="37">
        <f t="shared" ref="AV37" si="59">IF((AU37-AU36&lt;0),"0",AU37-AU36)</f>
        <v>1561</v>
      </c>
      <c r="AW37" s="37">
        <f>AV37*100*AV44</f>
        <v>590.90250100000003</v>
      </c>
      <c r="AX37" s="35">
        <f t="shared" si="36"/>
        <v>3.1219999999999999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158020</v>
      </c>
      <c r="R38" s="38">
        <f t="shared" ref="R38:AD38" si="60">SUM(R7:R37)</f>
        <v>70410</v>
      </c>
      <c r="S38" s="38">
        <f t="shared" si="60"/>
        <v>27300</v>
      </c>
      <c r="T38" s="38">
        <f t="shared" si="60"/>
        <v>45280</v>
      </c>
      <c r="U38" s="38">
        <f t="shared" si="60"/>
        <v>179920</v>
      </c>
      <c r="V38" s="38">
        <f t="shared" si="60"/>
        <v>131980</v>
      </c>
      <c r="W38" s="38">
        <f t="shared" si="60"/>
        <v>94280</v>
      </c>
      <c r="X38" s="38">
        <f t="shared" si="60"/>
        <v>143350</v>
      </c>
      <c r="Y38" s="38">
        <f t="shared" si="60"/>
        <v>181490</v>
      </c>
      <c r="Z38" s="38">
        <f t="shared" si="60"/>
        <v>77120</v>
      </c>
      <c r="AA38" s="38">
        <f t="shared" si="60"/>
        <v>97230</v>
      </c>
      <c r="AB38" s="38">
        <f t="shared" si="60"/>
        <v>234190</v>
      </c>
      <c r="AC38" s="38">
        <f t="shared" si="60"/>
        <v>418160</v>
      </c>
      <c r="AD38" s="38">
        <f t="shared" si="60"/>
        <v>1858730</v>
      </c>
      <c r="AF38" s="35">
        <f>SUM(AF7:AF37)</f>
        <v>790.09999999999991</v>
      </c>
      <c r="AG38" s="35">
        <f t="shared" ref="AG38:AS38" si="61">SUM(AG7:AG37)</f>
        <v>352.04999999999995</v>
      </c>
      <c r="AH38" s="35">
        <f t="shared" si="61"/>
        <v>136.5</v>
      </c>
      <c r="AI38" s="35">
        <f t="shared" si="61"/>
        <v>226.4</v>
      </c>
      <c r="AJ38" s="35">
        <f t="shared" si="61"/>
        <v>899.6</v>
      </c>
      <c r="AK38" s="35">
        <f t="shared" si="61"/>
        <v>659.89999999999986</v>
      </c>
      <c r="AL38" s="35">
        <f t="shared" si="61"/>
        <v>471.4</v>
      </c>
      <c r="AM38" s="35">
        <f t="shared" si="61"/>
        <v>716.75</v>
      </c>
      <c r="AN38" s="35">
        <f t="shared" si="61"/>
        <v>907.45000000000016</v>
      </c>
      <c r="AO38" s="35">
        <f t="shared" si="61"/>
        <v>385.60000000000014</v>
      </c>
      <c r="AP38" s="35">
        <f t="shared" si="61"/>
        <v>486.15</v>
      </c>
      <c r="AQ38" s="35">
        <f t="shared" si="61"/>
        <v>1170.95</v>
      </c>
      <c r="AR38" s="35">
        <f t="shared" si="61"/>
        <v>2090.8000000000002</v>
      </c>
      <c r="AS38" s="35">
        <f t="shared" si="61"/>
        <v>9293.6500000000015</v>
      </c>
      <c r="AU38" s="46"/>
      <c r="AV38" s="34">
        <f>SUM(AV7:AV37)</f>
        <v>44607</v>
      </c>
      <c r="AW38" s="34">
        <f>SUM(AW7:AW37)</f>
        <v>16885.578387000001</v>
      </c>
      <c r="AX38" s="35">
        <f>SUM(AX7:AX37)</f>
        <v>89.213999999999999</v>
      </c>
    </row>
    <row r="39" spans="1:50" x14ac:dyDescent="0.25">
      <c r="B39" s="39">
        <f>SUM(B7:B37)</f>
        <v>2963</v>
      </c>
      <c r="D39">
        <v>5.0000000000000001E-3</v>
      </c>
      <c r="AV39" s="36"/>
      <c r="AW39" s="49">
        <f>AW38/31</f>
        <v>544.69607700000006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  <ignoredErrors>
    <ignoredError sqref="C32:C37 D32:D37 E32:E37 F32:F37 G32:G37 H32:H37 I32:I37 J32:J37 K32:K37 L32:L37 M32:M37 N32:N37 O32:O37 AU32:AU3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12" ma:contentTypeDescription="Create a new document." ma:contentTypeScope="" ma:versionID="413c3329d74974699883484e32771532">
  <xsd:schema xmlns:xsd="http://www.w3.org/2001/XMLSchema" xmlns:xs="http://www.w3.org/2001/XMLSchema" xmlns:p="http://schemas.microsoft.com/office/2006/metadata/properties" xmlns:ns2="e419f9df-0dd9-45a2-9af2-6e1ea94d9c6f" xmlns:ns3="8128c44d-ca75-4405-bcc1-fb925f2af39c" targetNamespace="http://schemas.microsoft.com/office/2006/metadata/properties" ma:root="true" ma:fieldsID="bb2f45d996a580f5156ae14fc65e929b" ns2:_="" ns3:_="">
    <xsd:import namespace="e419f9df-0dd9-45a2-9af2-6e1ea94d9c6f"/>
    <xsd:import namespace="8128c44d-ca75-4405-bcc1-fb925f2af3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8c44d-ca75-4405-bcc1-fb925f2af39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8e4ae7e-4cf7-4068-bd3f-a9323f74dc14}" ma:internalName="TaxCatchAll" ma:showField="CatchAllData" ma:web="8128c44d-ca75-4405-bcc1-fb925f2af3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28c44d-ca75-4405-bcc1-fb925f2af39c" xsi:nil="true"/>
  </documentManagement>
</p:properties>
</file>

<file path=customXml/itemProps1.xml><?xml version="1.0" encoding="utf-8"?>
<ds:datastoreItem xmlns:ds="http://schemas.openxmlformats.org/officeDocument/2006/customXml" ds:itemID="{7B31CC4B-091A-4AB2-8DBE-92E51A1EF3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8128c44d-ca75-4405-bcc1-fb925f2af3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B74FDB-1002-4BF0-8DD4-C28A6C4EB2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D54869-F00D-4E1E-B96E-B8E081FDCFC5}">
  <ds:schemaRefs>
    <ds:schemaRef ds:uri="http://www.w3.org/XML/1998/namespace"/>
    <ds:schemaRef ds:uri="e419f9df-0dd9-45a2-9af2-6e1ea94d9c6f"/>
    <ds:schemaRef ds:uri="http://schemas.microsoft.com/office/infopath/2007/PartnerControls"/>
    <ds:schemaRef ds:uri="http://schemas.microsoft.com/office/2006/metadata/properties"/>
    <ds:schemaRef ds:uri="http://purl.org/dc/dcmitype/"/>
    <ds:schemaRef ds:uri="8128c44d-ca75-4405-bcc1-fb925f2af39c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Garlando Malapad</cp:lastModifiedBy>
  <cp:revision/>
  <dcterms:created xsi:type="dcterms:W3CDTF">2017-05-22T13:08:25Z</dcterms:created>
  <dcterms:modified xsi:type="dcterms:W3CDTF">2023-02-01T05:09:39Z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</Properties>
</file>