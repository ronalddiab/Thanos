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H23" i="7" l="1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<sst xmlns="http://schemas.openxmlformats.org/spreadsheetml/2006/main" count="313" uniqueCount="148">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</sst>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67.299999999999272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61.30000000000291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72.799999999995634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32.966999999999999</v>
      </c>
      <c r="H11" s="11">
        <f t="shared" si="2"/>
        <v>0.99</v>
      </c>
      <c r="I11" s="12">
        <f>'FS Desroches Daily'!CM13</f>
        <v>73.400000000001455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14.651999999999997</v>
      </c>
      <c r="H12" s="11">
        <f t="shared" si="2"/>
        <v>0.99</v>
      </c>
      <c r="I12" s="12">
        <f>'FS Desroches Daily'!CM14</f>
        <v>65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10499.999999999676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66.799999999999272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10109.999999999898</v>
      </c>
      <c r="F14" s="11">
        <f t="shared" si="1"/>
        <v>0.58765030286592534</v>
      </c>
      <c r="G14" s="12">
        <f>(Submetering!AX14+Submetering!AY14+Submetering!AZ14+Submetering!BA14+Submetering!BB14)</f>
        <v>20.1465</v>
      </c>
      <c r="H14" s="11">
        <f t="shared" si="2"/>
        <v>0.99</v>
      </c>
      <c r="I14" s="12">
        <f>'FS Desroches Daily'!CM16</f>
        <v>72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9640.0000000004511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92.700000000000728</v>
      </c>
      <c r="J15" s="11">
        <f t="shared" si="3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10769.999999999858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127.20000000000073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>
        <f>Submetering!E17+Submetering!F17+Submetering!G17+Submetering!H17+Submetering!J17-Submetering!AV17</f>
        <v>10830.000000000295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10479.99999999936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68.5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11090.000000000588</v>
      </c>
      <c r="F19" s="11">
        <f t="shared" si="1"/>
        <v>0.58765030286592534</v>
      </c>
      <c r="G19" s="12">
        <f>(Submetering!AX19+Submetering!AY19+Submetering!AZ19+Submetering!BA19+Submetering!BB19)</f>
        <v>23.809499999999996</v>
      </c>
      <c r="H19" s="11">
        <f t="shared" si="2"/>
        <v>0.99</v>
      </c>
      <c r="I19" s="12">
        <f>'FS Desroches Daily'!CM21</f>
        <v>81.700000000000728</v>
      </c>
      <c r="J19" s="11">
        <f t="shared" si="3"/>
        <v>10.487297712684205</v>
      </c>
      <c r="K19" s="13">
        <f>'FS Desroches Daily'!CN21</f>
        <v>16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12579.999999999651</v>
      </c>
      <c r="F20" s="11">
        <f t="shared" si="1"/>
        <v>0.58765030286592534</v>
      </c>
      <c r="G20" s="12">
        <f>(Submetering!AX20+Submetering!AY20+Submetering!AZ20+Submetering!BA20+Submetering!BB20)</f>
        <v>23.809499999999996</v>
      </c>
      <c r="H20" s="11">
        <f t="shared" si="2"/>
        <v>0.99</v>
      </c>
      <c r="I20" s="12">
        <f>'FS Desroches Daily'!CM22</f>
        <v>91.099999999998545</v>
      </c>
      <c r="J20" s="11">
        <f t="shared" si="3"/>
        <v>10.487297712684205</v>
      </c>
      <c r="K20" s="13">
        <f>'FS Desroches Daily'!CN22</f>
        <v>16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12360.000000000022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101.5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 t="e">
        <f>Submetering!E22+Submetering!F22+Submetering!G22+Submetering!H22+Submetering!J22-Submetering!AV22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'FS Desroches Daily'!CM24</f>
        <v>#VALUE!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67.299999999999272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61.30000000000291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72.799999999995634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73.400000000001455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60.000000000002274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65</v>
      </c>
      <c r="AX12" s="31">
        <f>IF(LPG!F19-LPG!F18&lt;0,"0",(LPG!F19-LPG!F18)*1.8315)</f>
        <v>3.6629999999999998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1.8314999999999999</v>
      </c>
      <c r="BB12" s="31">
        <f>IF(LPG!Q20-LPG!Q18&lt;0,"0",(LPG!Q20-LPG!Q18)*1.8315)</f>
        <v>5.4944999999999995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2299.9999999999686</v>
      </c>
      <c r="F13" s="32">
        <f>'FS Desroches Daily'!F15</f>
        <v>3199.9999999996476</v>
      </c>
      <c r="G13" s="31">
        <f>'FS Desroches Daily'!H15</f>
        <v>2499.9999999999468</v>
      </c>
      <c r="H13" s="32">
        <f>'FS Desroches Daily'!J15</f>
        <v>1900.0000000000127</v>
      </c>
      <c r="I13" s="31">
        <f>'FS Desroches Daily'!L15</f>
        <v>1999.9999999997797</v>
      </c>
      <c r="J13" s="32">
        <f>'FS Desroches Daily'!N15</f>
        <v>1100.000000000101</v>
      </c>
      <c r="K13" s="13">
        <f>'FS Desroches Daily'!P15</f>
        <v>15</v>
      </c>
      <c r="L13" s="31">
        <f>'FS Desroches Daily'!R15</f>
        <v>4</v>
      </c>
      <c r="M13" s="31">
        <f>'FS Desroches Daily'!T15</f>
        <v>0.6999999999998181</v>
      </c>
      <c r="N13" s="31">
        <f>'FS Desroches Daily'!V15</f>
        <v>437.5</v>
      </c>
      <c r="O13" s="31">
        <f>'FS Desroches Daily'!X15</f>
        <v>350.00000000002274</v>
      </c>
      <c r="P13" s="31">
        <f>'FS Desroches Daily'!Z15</f>
        <v>3499.9999999998367</v>
      </c>
      <c r="Q13" s="31">
        <f>'FS Desroches Daily'!AB15</f>
        <v>350.00000000002274</v>
      </c>
      <c r="R13" s="31">
        <f>'FS Desroches Daily'!AD15</f>
        <v>230.00000000001819</v>
      </c>
      <c r="S13" s="31">
        <f>'FS Desroches Daily'!AF15</f>
        <v>440.00000000005457</v>
      </c>
      <c r="T13" s="31">
        <f>'FS Desroches Daily'!AH15</f>
        <v>41</v>
      </c>
      <c r="U13" s="35">
        <f>'FS Desroches Daily'!AJ15</f>
        <v>769.99999999998181</v>
      </c>
      <c r="V13" s="35">
        <f>'FS Desroches Daily'!AL15</f>
        <v>310.00000000000227</v>
      </c>
      <c r="W13" s="35">
        <f>'FS Desroches Daily'!AN15</f>
        <v>30.000000000001137</v>
      </c>
      <c r="X13" s="35">
        <f>'FS Desroches Daily'!AP15</f>
        <v>219.99999999999886</v>
      </c>
      <c r="Y13" s="35">
        <f>'FS Desroches Daily'!AR15</f>
        <v>160.00000000002501</v>
      </c>
      <c r="Z13" s="35">
        <f>'FS Desroches Daily'!AT15</f>
        <v>170.00000000001592</v>
      </c>
      <c r="AA13" s="35">
        <f>'FS Desroches Daily'!AT15</f>
        <v>170.00000000001592</v>
      </c>
      <c r="AB13" s="35">
        <f>'FS Desroches Daily'!AV15</f>
        <v>80.000000000040927</v>
      </c>
      <c r="AC13" s="35">
        <f>'FS Desroches Daily'!AZ15</f>
        <v>30.000000000029559</v>
      </c>
      <c r="AD13" s="35">
        <f>'FS Desroches Daily'!BB15</f>
        <v>149.99999999997726</v>
      </c>
      <c r="AE13" s="35">
        <f>'FS Desroches Daily'!BD15</f>
        <v>189.99999999999773</v>
      </c>
      <c r="AF13" s="31">
        <f>'FS Desroches Daily'!BF15</f>
        <v>35</v>
      </c>
      <c r="AG13" s="32">
        <f>'FS Desroches Daily'!BH15</f>
        <v>60.000000000002274</v>
      </c>
      <c r="AH13" s="32">
        <f>'FS Desroches Daily'!BJ15</f>
        <v>40.000000000020464</v>
      </c>
      <c r="AI13" s="32">
        <f>'FS Desroches Daily'!BL15</f>
        <v>30.000000000001137</v>
      </c>
      <c r="AJ13" s="32">
        <f>'FS Desroches Daily'!BN15</f>
        <v>30.000000000001137</v>
      </c>
      <c r="AK13" s="32">
        <f>'FS Desroches Daily'!BP15</f>
        <v>60.000000000002274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18</v>
      </c>
      <c r="AO13" s="32">
        <f>'FS Desroches Daily'!BX15</f>
        <v>19.99999999998181</v>
      </c>
      <c r="AP13" s="32">
        <f>'FS Desroches Daily'!BZ15</f>
        <v>45</v>
      </c>
      <c r="AQ13" s="31">
        <f>'FS Desroches Daily'!CB15</f>
        <v>64</v>
      </c>
      <c r="AR13" s="31">
        <f>'FS Desroches Daily'!CD15</f>
        <v>7.1999999999989086</v>
      </c>
      <c r="AS13" s="31">
        <f>'FS Desroches Daily'!CF15</f>
        <v>8.3000000000001819</v>
      </c>
      <c r="AT13" s="31">
        <f>'FS Desroches Daily'!CH15</f>
        <v>47.599999999991269</v>
      </c>
      <c r="AU13" s="31">
        <f>'FS Desroches Daily'!CJ15</f>
        <v>196</v>
      </c>
      <c r="AV13" s="31">
        <f>'FS Desroches Daily'!CL15</f>
        <v>500</v>
      </c>
      <c r="AW13" s="31">
        <f>'FS Desroches Daily'!CM15</f>
        <v>66.799999999999272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3.6629999999999998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2299.9999999999686</v>
      </c>
      <c r="F14" s="32">
        <f>'FS Desroches Daily'!F16</f>
        <v>3200.0000000000919</v>
      </c>
      <c r="G14" s="31">
        <f>'FS Desroches Daily'!H16</f>
        <v>2600.0000000001578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11</v>
      </c>
      <c r="L14" s="31">
        <f>'FS Desroches Daily'!R16</f>
        <v>4</v>
      </c>
      <c r="M14" s="31">
        <f>'FS Desroches Daily'!T16</f>
        <v>1</v>
      </c>
      <c r="N14" s="31">
        <f>'FS Desroches Daily'!V16</f>
        <v>381.39999999996508</v>
      </c>
      <c r="O14" s="31">
        <f>'FS Desroches Daily'!X16</f>
        <v>279.99999999997272</v>
      </c>
      <c r="P14" s="31">
        <f>'FS Desroches Daily'!Z16</f>
        <v>2900.0000000003465</v>
      </c>
      <c r="Q14" s="31">
        <f>'FS Desroches Daily'!AB16</f>
        <v>410.00000000002501</v>
      </c>
      <c r="R14" s="31">
        <f>'FS Desroches Daily'!AD16</f>
        <v>199.99999999998863</v>
      </c>
      <c r="S14" s="31">
        <f>'FS Desroches Daily'!AF16</f>
        <v>339.99999999991815</v>
      </c>
      <c r="T14" s="31">
        <f>'FS Desroches Daily'!AH16</f>
        <v>36</v>
      </c>
      <c r="U14" s="35">
        <f>'FS Desroches Daily'!AJ16</f>
        <v>610.00000000001364</v>
      </c>
      <c r="V14" s="35">
        <f>'FS Desroches Daily'!AL16</f>
        <v>260.00000000001933</v>
      </c>
      <c r="W14" s="35">
        <f>'FS Desroches Daily'!AN16</f>
        <v>109.99999999998522</v>
      </c>
      <c r="X14" s="35">
        <f>'FS Desroches Daily'!AP16</f>
        <v>210.00000000000796</v>
      </c>
      <c r="Y14" s="35">
        <f>'FS Desroches Daily'!AR16</f>
        <v>160.00000000002501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89.999999999974989</v>
      </c>
      <c r="AC14" s="35">
        <f>'FS Desroches Daily'!AZ16</f>
        <v>100.00000000002274</v>
      </c>
      <c r="AD14" s="35">
        <f>'FS Desroches Daily'!BB16</f>
        <v>120.00000000000455</v>
      </c>
      <c r="AE14" s="35">
        <f>'FS Desroches Daily'!BD16</f>
        <v>140.00000000001478</v>
      </c>
      <c r="AF14" s="31">
        <f>'FS Desroches Daily'!BF16</f>
        <v>32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50.000000000011369</v>
      </c>
      <c r="AK14" s="32">
        <f>'FS Desroches Daily'!BP16</f>
        <v>60.000000000002274</v>
      </c>
      <c r="AL14" s="32">
        <f>'FS Desroches Daily'!BR16</f>
        <v>36</v>
      </c>
      <c r="AM14" s="32">
        <f>'FS Desroches Daily'!BT16</f>
        <v>49.999999999982947</v>
      </c>
      <c r="AN14" s="32">
        <f>'FS Desroches Daily'!BV16</f>
        <v>28</v>
      </c>
      <c r="AO14" s="32">
        <f>'FS Desroches Daily'!BX16</f>
        <v>30.000000000001137</v>
      </c>
      <c r="AP14" s="32">
        <f>'FS Desroches Daily'!BZ16</f>
        <v>42</v>
      </c>
      <c r="AQ14" s="31">
        <f>'FS Desroches Daily'!CB16</f>
        <v>59.799999999995634</v>
      </c>
      <c r="AR14" s="31">
        <f>'FS Desroches Daily'!CD16</f>
        <v>8.3000000000010914</v>
      </c>
      <c r="AS14" s="31">
        <f>'FS Desroches Daily'!CF16</f>
        <v>0.8999999999996362</v>
      </c>
      <c r="AT14" s="31">
        <f>'FS Desroches Daily'!CH16</f>
        <v>38.600000000005821</v>
      </c>
      <c r="AU14" s="31">
        <f>'FS Desroches Daily'!CJ16</f>
        <v>312</v>
      </c>
      <c r="AV14" s="31">
        <f>'FS Desroches Daily'!CL16</f>
        <v>590.00000000003183</v>
      </c>
      <c r="AW14" s="31">
        <f>'FS Desroches Daily'!CM16</f>
        <v>72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2200.0000000002019</v>
      </c>
      <c r="F15" s="32">
        <f>'FS Desroches Daily'!F17</f>
        <v>3200.0000000000919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800.00000000013392</v>
      </c>
      <c r="K15" s="13">
        <f>'FS Desroches Daily'!P17</f>
        <v>1</v>
      </c>
      <c r="L15" s="31">
        <f>'FS Desroches Daily'!R17</f>
        <v>3</v>
      </c>
      <c r="M15" s="31">
        <f>'FS Desroches Daily'!T17</f>
        <v>0.90000000000009095</v>
      </c>
      <c r="N15" s="31">
        <f>'FS Desroches Daily'!V17</f>
        <v>306.20000000001164</v>
      </c>
      <c r="O15" s="31">
        <f>'FS Desroches Daily'!X17</f>
        <v>290.00000000002046</v>
      </c>
      <c r="P15" s="31">
        <f>'FS Desroches Daily'!Z17</f>
        <v>2999.9999999996694</v>
      </c>
      <c r="Q15" s="31">
        <f>'FS Desroches Daily'!AB17</f>
        <v>229.99999999996135</v>
      </c>
      <c r="R15" s="31">
        <f>'FS Desroches Daily'!AD17</f>
        <v>189.99999999999773</v>
      </c>
      <c r="S15" s="31">
        <f>'FS Desroches Daily'!AF17</f>
        <v>310.00000000005912</v>
      </c>
      <c r="T15" s="31">
        <f>'FS Desroches Daily'!AH17</f>
        <v>35</v>
      </c>
      <c r="U15" s="35">
        <f>'FS Desroches Daily'!AJ17</f>
        <v>519.99999999998181</v>
      </c>
      <c r="V15" s="35">
        <f>'FS Desroches Daily'!AL17</f>
        <v>250</v>
      </c>
      <c r="W15" s="35">
        <f>'FS Desroches Daily'!AN17</f>
        <v>110.00000000001364</v>
      </c>
      <c r="X15" s="35">
        <f>'FS Desroches Daily'!AP17</f>
        <v>219.99999999999886</v>
      </c>
      <c r="Y15" s="35">
        <f>'FS Desroches Daily'!AR17</f>
        <v>149.99999999997726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150.00000000003411</v>
      </c>
      <c r="AC15" s="35">
        <f>'FS Desroches Daily'!AZ17</f>
        <v>69.999999999993179</v>
      </c>
      <c r="AD15" s="35">
        <f>'FS Desroches Daily'!BB17</f>
        <v>80.000000000040927</v>
      </c>
      <c r="AE15" s="35">
        <f>'FS Desroches Daily'!BD17</f>
        <v>159.99999999999659</v>
      </c>
      <c r="AF15" s="31">
        <f>'FS Desroches Daily'!BF17</f>
        <v>49</v>
      </c>
      <c r="AG15" s="32">
        <f>'FS Desroches Daily'!BH17</f>
        <v>39.999999999992042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35</v>
      </c>
      <c r="AM15" s="32">
        <f>'FS Desroches Daily'!BT17</f>
        <v>40.000000000020464</v>
      </c>
      <c r="AN15" s="32">
        <f>'FS Desroches Daily'!BV17</f>
        <v>24</v>
      </c>
      <c r="AO15" s="32">
        <f>'FS Desroches Daily'!BX17</f>
        <v>20.000000000010232</v>
      </c>
      <c r="AP15" s="32">
        <f>'FS Desroches Daily'!BZ17</f>
        <v>44</v>
      </c>
      <c r="AQ15" s="31">
        <f>'FS Desroches Daily'!CB17</f>
        <v>70.700000000004366</v>
      </c>
      <c r="AR15" s="31">
        <f>'FS Desroches Daily'!CD17</f>
        <v>8.5</v>
      </c>
      <c r="AS15" s="31">
        <f>'FS Desroches Daily'!CF17</f>
        <v>0</v>
      </c>
      <c r="AT15" s="31">
        <f>'FS Desroches Daily'!CH17</f>
        <v>33.600000000005821</v>
      </c>
      <c r="AU15" s="31">
        <f>'FS Desroches Daily'!CJ17</f>
        <v>272</v>
      </c>
      <c r="AV15" s="31">
        <f>'FS Desroches Daily'!CL17</f>
        <v>659.99999999996817</v>
      </c>
      <c r="AW15" s="31">
        <f>'FS Desroches Daily'!CM17</f>
        <v>92.700000000000728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1099.9999999998788</v>
      </c>
      <c r="K16" s="13">
        <f>'FS Desroches Daily'!P18</f>
        <v>11</v>
      </c>
      <c r="L16" s="31">
        <f>'FS Desroches Daily'!R18</f>
        <v>6</v>
      </c>
      <c r="M16" s="31">
        <f>'FS Desroches Daily'!T18</f>
        <v>1.5</v>
      </c>
      <c r="N16" s="31">
        <f>'FS Desroches Daily'!V18</f>
        <v>609.20000000001164</v>
      </c>
      <c r="O16" s="31">
        <f>'FS Desroches Daily'!X18</f>
        <v>430.00000000000682</v>
      </c>
      <c r="P16" s="31">
        <f>'FS Desroches Daily'!Z18</f>
        <v>3700.0000000002588</v>
      </c>
      <c r="Q16" s="31">
        <f>'FS Desroches Daily'!AB18</f>
        <v>420.00000000001592</v>
      </c>
      <c r="R16" s="31">
        <f>'FS Desroches Daily'!AD18</f>
        <v>300.00000000001137</v>
      </c>
      <c r="S16" s="31">
        <f>'FS Desroches Daily'!AF18</f>
        <v>649.99999999997726</v>
      </c>
      <c r="T16" s="31">
        <f>'FS Desroches Daily'!AH18</f>
        <v>47</v>
      </c>
      <c r="U16" s="35">
        <f>'FS Desroches Daily'!AJ18</f>
        <v>809.99999999994543</v>
      </c>
      <c r="V16" s="35">
        <f>'FS Desroches Daily'!AL18</f>
        <v>339.99999999997499</v>
      </c>
      <c r="W16" s="35">
        <f>'FS Desroches Daily'!AN18</f>
        <v>250</v>
      </c>
      <c r="X16" s="35">
        <f>'FS Desroches Daily'!AP18</f>
        <v>330.00000000001251</v>
      </c>
      <c r="Y16" s="35">
        <f>'FS Desroches Daily'!AR18</f>
        <v>209.99999999997954</v>
      </c>
      <c r="Z16" s="35">
        <f>'FS Desroches Daily'!AT18</f>
        <v>290.00000000002046</v>
      </c>
      <c r="AA16" s="35">
        <f>'FS Desroches Daily'!AT18</f>
        <v>290.00000000002046</v>
      </c>
      <c r="AB16" s="35">
        <f>'FS Desroches Daily'!AV18</f>
        <v>189.99999999999773</v>
      </c>
      <c r="AC16" s="35">
        <f>'FS Desroches Daily'!AZ18</f>
        <v>169.99999999995907</v>
      </c>
      <c r="AD16" s="35">
        <f>'FS Desroches Daily'!BB18</f>
        <v>250</v>
      </c>
      <c r="AE16" s="35">
        <f>'FS Desroches Daily'!BD18</f>
        <v>199.99999999998863</v>
      </c>
      <c r="AF16" s="31">
        <f>'FS Desroches Daily'!BF18</f>
        <v>35</v>
      </c>
      <c r="AG16" s="32">
        <f>'FS Desroches Daily'!BH18</f>
        <v>50.000000000011369</v>
      </c>
      <c r="AH16" s="32">
        <f>'FS Desroches Daily'!BJ18</f>
        <v>50.000000000011369</v>
      </c>
      <c r="AI16" s="32">
        <f>'FS Desroches Daily'!BL18</f>
        <v>60.000000000002274</v>
      </c>
      <c r="AJ16" s="32">
        <f>'FS Desroches Daily'!BN18</f>
        <v>50.000000000011369</v>
      </c>
      <c r="AK16" s="32">
        <f>'FS Desroches Daily'!BP18</f>
        <v>60.000000000002274</v>
      </c>
      <c r="AL16" s="32">
        <f>'FS Desroches Daily'!BR18</f>
        <v>48</v>
      </c>
      <c r="AM16" s="32">
        <f>'FS Desroches Daily'!BT18</f>
        <v>60.000000000002274</v>
      </c>
      <c r="AN16" s="32">
        <f>'FS Desroches Daily'!BV18</f>
        <v>51</v>
      </c>
      <c r="AO16" s="32">
        <f>'FS Desroches Daily'!BX18</f>
        <v>39.999999999992042</v>
      </c>
      <c r="AP16" s="32">
        <f>'FS Desroches Daily'!BZ18</f>
        <v>57</v>
      </c>
      <c r="AQ16" s="31">
        <f>'FS Desroches Daily'!CB18</f>
        <v>82.299999999995634</v>
      </c>
      <c r="AR16" s="31">
        <f>'FS Desroches Daily'!CD18</f>
        <v>12.599999999998545</v>
      </c>
      <c r="AS16" s="31">
        <f>'FS Desroches Daily'!CF18</f>
        <v>11</v>
      </c>
      <c r="AT16" s="31">
        <f>'FS Desroches Daily'!CH18</f>
        <v>52.799999999988358</v>
      </c>
      <c r="AU16" s="31">
        <f>'FS Desroches Daily'!CJ18</f>
        <v>359</v>
      </c>
      <c r="AV16" s="31">
        <f>'FS Desroches Daily'!CL18</f>
        <v>629.99999999999545</v>
      </c>
      <c r="AW16" s="31">
        <f>'FS Desroches Daily'!CM18</f>
        <v>127.20000000000073</v>
      </c>
      <c r="AX16" s="31">
        <f>IF(LPG!F23-LPG!F22&lt;0,"0",(LPG!F23-LPG!F22)*1.8315)</f>
        <v>5.4944999999999995</v>
      </c>
      <c r="AY16" s="31">
        <f>IF(LPG!H23-LPG!H22&lt;0,"0",(LPG!H23-LPG!H22)*1.8315)</f>
        <v>1.8314999999999999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>
        <f>'FS Desroches Daily'!D19</f>
        <v>2899.9999999999027</v>
      </c>
      <c r="F17" s="32">
        <f>'FS Desroches Daily'!F19</f>
        <v>3200.0000000000919</v>
      </c>
      <c r="G17" s="31">
        <f>'FS Desroches Daily'!H19</f>
        <v>2800.0000000001355</v>
      </c>
      <c r="H17" s="32">
        <f>'FS Desroches Daily'!J19</f>
        <v>1500.0000000000568</v>
      </c>
      <c r="I17" s="31">
        <f>'FS Desroches Daily'!L19</f>
        <v>2000.0000000002237</v>
      </c>
      <c r="J17" s="32">
        <f>'FS Desroches Daily'!N19</f>
        <v>1200.0000000000898</v>
      </c>
      <c r="K17" s="13">
        <f>'FS Desroches Daily'!P19</f>
        <v>8</v>
      </c>
      <c r="L17" s="31">
        <f>'FS Desroches Daily'!R19</f>
        <v>3</v>
      </c>
      <c r="M17" s="31">
        <f>'FS Desroches Daily'!T19</f>
        <v>0.20000000000004547</v>
      </c>
      <c r="N17" s="31">
        <f>'FS Desroches Daily'!V19</f>
        <v>132.09999999997672</v>
      </c>
      <c r="O17" s="31">
        <f>'FS Desroches Daily'!X19</f>
        <v>209.99999999997954</v>
      </c>
      <c r="P17" s="31">
        <f>'FS Desroches Daily'!Z19</f>
        <v>1900.0000000000127</v>
      </c>
      <c r="Q17" s="31">
        <f>'FS Desroches Daily'!AB19</f>
        <v>189.99999999999773</v>
      </c>
      <c r="R17" s="31">
        <f>'FS Desroches Daily'!AD19</f>
        <v>169.99999999995907</v>
      </c>
      <c r="S17" s="31">
        <f>'FS Desroches Daily'!AF19</f>
        <v>330.00000000004093</v>
      </c>
      <c r="T17" s="31">
        <f>'FS Desroches Daily'!AH19</f>
        <v>29</v>
      </c>
      <c r="U17" s="35">
        <f>'FS Desroches Daily'!AJ19</f>
        <v>440.00000000005457</v>
      </c>
      <c r="V17" s="35">
        <f>'FS Desroches Daily'!AL19</f>
        <v>170.00000000001592</v>
      </c>
      <c r="W17" s="35">
        <f>'FS Desroches Daily'!AN19</f>
        <v>250</v>
      </c>
      <c r="X17" s="35">
        <f>'FS Desroches Daily'!AP19</f>
        <v>189.99999999999773</v>
      </c>
      <c r="Y17" s="35">
        <f>'FS Desroches Daily'!AR19</f>
        <v>100.00000000002274</v>
      </c>
      <c r="Z17" s="35">
        <f>'FS Desroches Daily'!AU20</f>
        <v>310.83</v>
      </c>
      <c r="AA17" s="35">
        <f>'FS Desroches Daily'!AU20</f>
        <v>310.83</v>
      </c>
      <c r="AB17" s="35">
        <f>'FS Desroches Daily'!AV19</f>
        <v>69.999999999993179</v>
      </c>
      <c r="AC17" s="35">
        <f>'FS Desroches Daily'!AZ19</f>
        <v>80.000000000040927</v>
      </c>
      <c r="AD17" s="35">
        <f>'FS Desroches Daily'!BB19</f>
        <v>129.99999999999545</v>
      </c>
      <c r="AE17" s="35">
        <f>'FS Desroches Daily'!BD19</f>
        <v>99.999999999994316</v>
      </c>
      <c r="AF17" s="31">
        <f>'FS Desroches Daily'!BF19</f>
        <v>40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20.000000000010232</v>
      </c>
      <c r="AJ17" s="32">
        <f>'FS Desroches Daily'!BN19</f>
        <v>29.999999999972715</v>
      </c>
      <c r="AK17" s="32">
        <f>'FS Desroches Daily'!BP19</f>
        <v>50.000000000011369</v>
      </c>
      <c r="AL17" s="32">
        <f>'FS Desroches Daily'!BR19</f>
        <v>18</v>
      </c>
      <c r="AM17" s="32">
        <f>'FS Desroches Daily'!BT19</f>
        <v>30.000000000001137</v>
      </c>
      <c r="AN17" s="32">
        <f>'FS Desroches Daily'!BV19</f>
        <v>24</v>
      </c>
      <c r="AO17" s="32">
        <f>'FS Desroches Daily'!BX19</f>
        <v>20.000000000010232</v>
      </c>
      <c r="AP17" s="32">
        <f>'FS Desroches Daily'!BZ19</f>
        <v>26</v>
      </c>
      <c r="AQ17" s="31">
        <f>'FS Desroches Daily'!CB19</f>
        <v>40.80000000000291</v>
      </c>
      <c r="AR17" s="31">
        <f>'FS Desroches Daily'!CD19</f>
        <v>2.5</v>
      </c>
      <c r="AS17" s="31">
        <f>'FS Desroches Daily'!CF19</f>
        <v>0</v>
      </c>
      <c r="AT17" s="31">
        <f>'FS Desroches Daily'!CH19</f>
        <v>10.700000000011642</v>
      </c>
      <c r="AU17" s="31">
        <f>'FS Desroches Daily'!CJ19</f>
        <v>211</v>
      </c>
      <c r="AV17" s="31">
        <f>'FS Desroches Daily'!CL19</f>
        <v>769.99999999998181</v>
      </c>
      <c r="AW17" s="31">
        <f>'FS Desroches Daily'!CM19</f>
        <v>87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2499.9999999999468</v>
      </c>
      <c r="F18" s="32">
        <f>'FS Desroches Daily'!F20</f>
        <v>3199.9999999996476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11</v>
      </c>
      <c r="L18" s="31">
        <f>'FS Desroches Daily'!R20</f>
        <v>4</v>
      </c>
      <c r="M18" s="31">
        <f>'FS Desroches Daily'!T20</f>
        <v>0.89999999999986358</v>
      </c>
      <c r="N18" s="31">
        <f>'FS Desroches Daily'!V20</f>
        <v>371</v>
      </c>
      <c r="O18" s="31">
        <f>'FS Desroches Daily'!X20</f>
        <v>379.99999999999545</v>
      </c>
      <c r="P18" s="31">
        <f>'FS Desroches Daily'!Z20</f>
        <v>2899.9999999999027</v>
      </c>
      <c r="Q18" s="31">
        <f>'FS Desroches Daily'!AB20</f>
        <v>410.00000000002501</v>
      </c>
      <c r="R18" s="31">
        <f>'FS Desroches Daily'!AD20</f>
        <v>250</v>
      </c>
      <c r="S18" s="31">
        <f>'FS Desroches Daily'!AF20</f>
        <v>569.99999999993634</v>
      </c>
      <c r="T18" s="31">
        <f>'FS Desroches Daily'!AH20</f>
        <v>37</v>
      </c>
      <c r="U18" s="35">
        <f>'FS Desroches Daily'!AJ20</f>
        <v>600.00000000002274</v>
      </c>
      <c r="V18" s="35">
        <f>'FS Desroches Daily'!AL20</f>
        <v>280.00000000000114</v>
      </c>
      <c r="W18" s="35">
        <f>'FS Desroches Daily'!AN20</f>
        <v>250</v>
      </c>
      <c r="X18" s="35">
        <f>'FS Desroches Daily'!AP20</f>
        <v>259.99999999999091</v>
      </c>
      <c r="Y18" s="35">
        <f>'FS Desroches Daily'!AR20</f>
        <v>180.00000000000682</v>
      </c>
      <c r="Z18" s="35">
        <f>'FS Desroches Daily'!AT20</f>
        <v>140.0000000000432</v>
      </c>
      <c r="AA18" s="35">
        <f>'FS Desroches Daily'!AT20</f>
        <v>140.0000000000432</v>
      </c>
      <c r="AB18" s="35">
        <f>'FS Desroches Daily'!AV20</f>
        <v>99.999999999965894</v>
      </c>
      <c r="AC18" s="35">
        <f>'FS Desroches Daily'!AZ20</f>
        <v>109.9999999999568</v>
      </c>
      <c r="AD18" s="35">
        <f>'FS Desroches Daily'!BB20</f>
        <v>159.99999999996817</v>
      </c>
      <c r="AE18" s="35">
        <f>'FS Desroches Daily'!BD20</f>
        <v>150.00000000000568</v>
      </c>
      <c r="AF18" s="31">
        <f>'FS Desroches Daily'!BF20</f>
        <v>55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50.000000000011369</v>
      </c>
      <c r="AK18" s="32">
        <f>'FS Desroches Daily'!BP20</f>
        <v>49.999999999954525</v>
      </c>
      <c r="AL18" s="32">
        <f>'FS Desroches Daily'!BR20</f>
        <v>24</v>
      </c>
      <c r="AM18" s="32">
        <f>'FS Desroches Daily'!BT20</f>
        <v>69.999999999993179</v>
      </c>
      <c r="AN18" s="32">
        <f>'FS Desroches Daily'!BV20</f>
        <v>32</v>
      </c>
      <c r="AO18" s="32">
        <f>'FS Desroches Daily'!BX20</f>
        <v>30.000000000001137</v>
      </c>
      <c r="AP18" s="32">
        <f>'FS Desroches Daily'!BZ20</f>
        <v>37</v>
      </c>
      <c r="AQ18" s="31">
        <f>'FS Desroches Daily'!CB20</f>
        <v>63.30000000000291</v>
      </c>
      <c r="AR18" s="31">
        <f>'FS Desroches Daily'!CD20</f>
        <v>7.9000000000014552</v>
      </c>
      <c r="AS18" s="31">
        <f>'FS Desroches Daily'!CF20</f>
        <v>13.399999999999636</v>
      </c>
      <c r="AT18" s="31">
        <f>'FS Desroches Daily'!CH20</f>
        <v>34.69999999999709</v>
      </c>
      <c r="AU18" s="31">
        <f>'FS Desroches Daily'!CJ20</f>
        <v>308</v>
      </c>
      <c r="AV18" s="31">
        <f>'FS Desroches Daily'!CL20</f>
        <v>520.0000000000955</v>
      </c>
      <c r="AW18" s="31">
        <f>'FS Desroches Daily'!CM20</f>
        <v>68.5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2600.0000000001578</v>
      </c>
      <c r="H19" s="32">
        <f>'FS Desroches Daily'!J21</f>
        <v>1600.0000000000459</v>
      </c>
      <c r="I19" s="31">
        <f>'FS Desroches Daily'!L21</f>
        <v>2099.9999999999909</v>
      </c>
      <c r="J19" s="32">
        <f>'FS Desroches Daily'!N21</f>
        <v>1199.9999999998679</v>
      </c>
      <c r="K19" s="13">
        <f>'FS Desroches Daily'!P21</f>
        <v>1</v>
      </c>
      <c r="L19" s="31">
        <f>'FS Desroches Daily'!R21</f>
        <v>5</v>
      </c>
      <c r="M19" s="31">
        <f>'FS Desroches Daily'!T21</f>
        <v>1.2000000000000455</v>
      </c>
      <c r="N19" s="31">
        <f>'FS Desroches Daily'!V21</f>
        <v>471.70000000001164</v>
      </c>
      <c r="O19" s="31">
        <f>'FS Desroches Daily'!X21</f>
        <v>439.99999999999773</v>
      </c>
      <c r="P19" s="31">
        <f>'FS Desroches Daily'!Z21</f>
        <v>3299.9999999998586</v>
      </c>
      <c r="Q19" s="31">
        <f>'FS Desroches Daily'!AB21</f>
        <v>310.00000000000227</v>
      </c>
      <c r="R19" s="31">
        <f>'FS Desroches Daily'!AD21</f>
        <v>280.00000000002956</v>
      </c>
      <c r="S19" s="31">
        <f>'FS Desroches Daily'!AF21</f>
        <v>530.0000000000864</v>
      </c>
      <c r="T19" s="31">
        <f>'FS Desroches Daily'!AH21</f>
        <v>36</v>
      </c>
      <c r="U19" s="35">
        <f>'FS Desroches Daily'!AJ21</f>
        <v>839.99999999991815</v>
      </c>
      <c r="V19" s="35">
        <f>'FS Desroches Daily'!AL21</f>
        <v>310.00000000000227</v>
      </c>
      <c r="W19" s="35">
        <f>'FS Desroches Daily'!AN21</f>
        <v>269.99999999998181</v>
      </c>
      <c r="X19" s="35">
        <f>'FS Desroches Daily'!AP21</f>
        <v>280.00000000000114</v>
      </c>
      <c r="Y19" s="35">
        <f>'FS Desroches Daily'!AR21</f>
        <v>279.99999999997272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259.99999999999091</v>
      </c>
      <c r="AC19" s="35">
        <f>'FS Desroches Daily'!AZ21</f>
        <v>120.00000000000455</v>
      </c>
      <c r="AD19" s="35">
        <f>'FS Desroches Daily'!BB21</f>
        <v>170.00000000001592</v>
      </c>
      <c r="AE19" s="35">
        <f>'FS Desroches Daily'!BD21</f>
        <v>170.00000000001592</v>
      </c>
      <c r="AF19" s="31">
        <f>'FS Desroches Daily'!BF21</f>
        <v>60</v>
      </c>
      <c r="AG19" s="32">
        <f>'FS Desroches Daily'!BH21</f>
        <v>49.999999999982947</v>
      </c>
      <c r="AH19" s="32">
        <f>'FS Desroches Daily'!BJ21</f>
        <v>50.000000000011369</v>
      </c>
      <c r="AI19" s="32">
        <f>'FS Desroches Daily'!BL21</f>
        <v>39.999999999992042</v>
      </c>
      <c r="AJ19" s="32">
        <f>'FS Desroches Daily'!BN21</f>
        <v>69.999999999993179</v>
      </c>
      <c r="AK19" s="32">
        <f>'FS Desroches Daily'!BP21</f>
        <v>60.000000000002274</v>
      </c>
      <c r="AL19" s="32">
        <f>'FS Desroches Daily'!BR21</f>
        <v>30</v>
      </c>
      <c r="AM19" s="32">
        <f>'FS Desroches Daily'!BT21</f>
        <v>60.000000000002274</v>
      </c>
      <c r="AN19" s="32">
        <f>'FS Desroches Daily'!BV21</f>
        <v>42</v>
      </c>
      <c r="AO19" s="32">
        <f>'FS Desroches Daily'!BX21</f>
        <v>30.000000000001137</v>
      </c>
      <c r="AP19" s="32">
        <f>'FS Desroches Daily'!BZ21</f>
        <v>43</v>
      </c>
      <c r="AQ19" s="31">
        <f>'FS Desroches Daily'!CB21</f>
        <v>63.5</v>
      </c>
      <c r="AR19" s="31">
        <f>'FS Desroches Daily'!CD21</f>
        <v>8.7999999999992724</v>
      </c>
      <c r="AS19" s="31">
        <f>'FS Desroches Daily'!CF21</f>
        <v>0.6000000000003638</v>
      </c>
      <c r="AT19" s="31">
        <f>'FS Desroches Daily'!CH21</f>
        <v>39</v>
      </c>
      <c r="AU19" s="31">
        <f>'FS Desroches Daily'!CJ21</f>
        <v>324</v>
      </c>
      <c r="AV19" s="31">
        <f>'FS Desroches Daily'!CL21</f>
        <v>609.99999999989996</v>
      </c>
      <c r="AW19" s="31">
        <f>'FS Desroches Daily'!CM21</f>
        <v>81.700000000000728</v>
      </c>
      <c r="AX19" s="31">
        <f>IF(LPG!F26-LPG!F25&lt;0,"0",(LPG!F26-LPG!F25)*1.8315)</f>
        <v>7.3259999999999996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5.4944999999999995</v>
      </c>
      <c r="BC19" s="13">
        <f>'FS Desroches Daily'!CN21</f>
        <v>16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3800.0000000000255</v>
      </c>
      <c r="F20" s="32">
        <f>'FS Desroches Daily'!F22</f>
        <v>3499.9999999998367</v>
      </c>
      <c r="G20" s="31">
        <f>'FS Desroches Daily'!H22</f>
        <v>2999.9999999996694</v>
      </c>
      <c r="H20" s="32">
        <f>'FS Desroches Daily'!J22</f>
        <v>1700.0000000000348</v>
      </c>
      <c r="I20" s="31">
        <f>'FS Desroches Daily'!L22</f>
        <v>2400.0000000001796</v>
      </c>
      <c r="J20" s="32">
        <f>'FS Desroches Daily'!N22</f>
        <v>1200.0000000000898</v>
      </c>
      <c r="K20" s="13">
        <f>'FS Desroches Daily'!P22</f>
        <v>16</v>
      </c>
      <c r="L20" s="31">
        <f>'FS Desroches Daily'!R22</f>
        <v>6</v>
      </c>
      <c r="M20" s="31">
        <f>'FS Desroches Daily'!T22</f>
        <v>1.1000000000001364</v>
      </c>
      <c r="N20" s="31">
        <f>'FS Desroches Daily'!V22</f>
        <v>514</v>
      </c>
      <c r="O20" s="31">
        <f>'FS Desroches Daily'!X22</f>
        <v>420.00000000001592</v>
      </c>
      <c r="P20" s="31">
        <f>'FS Desroches Daily'!Z22</f>
        <v>3000.0000000001137</v>
      </c>
      <c r="Q20" s="31">
        <f>'FS Desroches Daily'!AB22</f>
        <v>469.99999999997044</v>
      </c>
      <c r="R20" s="31">
        <f>'FS Desroches Daily'!AD22</f>
        <v>269.99999999998181</v>
      </c>
      <c r="S20" s="31">
        <f>'FS Desroches Daily'!AF22</f>
        <v>429.99999999994998</v>
      </c>
      <c r="T20" s="31">
        <f>'FS Desroches Daily'!AH22</f>
        <v>39</v>
      </c>
      <c r="U20" s="35">
        <f>'FS Desroches Daily'!AJ22</f>
        <v>910.00000000008185</v>
      </c>
      <c r="V20" s="35">
        <f>'FS Desroches Daily'!AL22</f>
        <v>289.99999999999204</v>
      </c>
      <c r="W20" s="35">
        <f>'FS Desroches Daily'!AN22</f>
        <v>320.0000000000216</v>
      </c>
      <c r="X20" s="35">
        <f>'FS Desroches Daily'!AP22</f>
        <v>289.99999999999204</v>
      </c>
      <c r="Y20" s="35">
        <f>'FS Desroches Daily'!AR22</f>
        <v>370.00000000000455</v>
      </c>
      <c r="Z20" s="35">
        <f>'FS Desroches Daily'!AT22</f>
        <v>189.99999999999773</v>
      </c>
      <c r="AA20" s="35">
        <f>'FS Desroches Daily'!AT22</f>
        <v>189.99999999999773</v>
      </c>
      <c r="AB20" s="35">
        <f>'FS Desroches Daily'!AV22</f>
        <v>330.00000000004093</v>
      </c>
      <c r="AC20" s="35">
        <f>'FS Desroches Daily'!AZ22</f>
        <v>129.99999999999545</v>
      </c>
      <c r="AD20" s="35">
        <f>'FS Desroches Daily'!BB22</f>
        <v>189.99999999999773</v>
      </c>
      <c r="AE20" s="35">
        <f>'FS Desroches Daily'!BD22</f>
        <v>189.99999999999773</v>
      </c>
      <c r="AF20" s="31">
        <f>'FS Desroches Daily'!BF22</f>
        <v>26</v>
      </c>
      <c r="AG20" s="32">
        <f>'FS Desroches Daily'!BH22</f>
        <v>50.000000000011369</v>
      </c>
      <c r="AH20" s="32">
        <f>'FS Desroches Daily'!BJ22</f>
        <v>39.99999999996362</v>
      </c>
      <c r="AI20" s="32">
        <f>'FS Desroches Daily'!BL22</f>
        <v>40.000000000020464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69.999999999993179</v>
      </c>
      <c r="AN20" s="32">
        <f>'FS Desroches Daily'!BV22</f>
        <v>42</v>
      </c>
      <c r="AO20" s="32">
        <f>'FS Desroches Daily'!BX22</f>
        <v>30.000000000001137</v>
      </c>
      <c r="AP20" s="32">
        <f>'FS Desroches Daily'!BZ22</f>
        <v>47</v>
      </c>
      <c r="AQ20" s="31">
        <f>'FS Desroches Daily'!CB22</f>
        <v>66.899999999994179</v>
      </c>
      <c r="AR20" s="31">
        <f>'FS Desroches Daily'!CD22</f>
        <v>4.3999999999996362</v>
      </c>
      <c r="AS20" s="31">
        <f>'FS Desroches Daily'!CF22</f>
        <v>9.6999999999998181</v>
      </c>
      <c r="AT20" s="31">
        <f>'FS Desroches Daily'!CH22</f>
        <v>37.099999999991269</v>
      </c>
      <c r="AU20" s="31">
        <f>'FS Desroches Daily'!CJ22</f>
        <v>291</v>
      </c>
      <c r="AV20" s="31">
        <f>'FS Desroches Daily'!CL22</f>
        <v>620.00000000000455</v>
      </c>
      <c r="AW20" s="31">
        <f>'FS Desroches Daily'!CM22</f>
        <v>91.099999999998545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5.4944999999999995</v>
      </c>
      <c r="BC20" s="13">
        <f>'FS Desroches Daily'!CN22</f>
        <v>16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3400.0000000000696</v>
      </c>
      <c r="F21" s="32">
        <f>'FS Desroches Daily'!F23</f>
        <v>3499.9999999998367</v>
      </c>
      <c r="G21" s="31">
        <f>'FS Desroches Daily'!H23</f>
        <v>3100.0000000003247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1299.9999999998568</v>
      </c>
      <c r="K21" s="13" t="str">
        <f>'FS Desroches Daily'!P23</f>
        <v/>
      </c>
      <c r="L21" s="31">
        <f>'FS Desroches Daily'!R23</f>
        <v>5</v>
      </c>
      <c r="M21" s="31">
        <f>'FS Desroches Daily'!T23</f>
        <v>1.1999999999998181</v>
      </c>
      <c r="N21" s="31">
        <f>'FS Desroches Daily'!V23</f>
        <v>559.5</v>
      </c>
      <c r="O21" s="31">
        <f>'FS Desroches Daily'!X23</f>
        <v>370.00000000000455</v>
      </c>
      <c r="P21" s="31">
        <f>'FS Desroches Daily'!Z23</f>
        <v>3200.0000000000919</v>
      </c>
      <c r="Q21" s="31">
        <f>'FS Desroches Daily'!AB23</f>
        <v>430.00000000000682</v>
      </c>
      <c r="R21" s="31">
        <f>'FS Desroches Daily'!AD23</f>
        <v>269.99999999998181</v>
      </c>
      <c r="S21" s="31">
        <f>'FS Desroches Daily'!AF23</f>
        <v>490.00000000000909</v>
      </c>
      <c r="T21" s="31">
        <f>'FS Desroches Daily'!AH23</f>
        <v>37</v>
      </c>
      <c r="U21" s="35">
        <f>'FS Desroches Daily'!AJ23</f>
        <v>879.99999999999545</v>
      </c>
      <c r="V21" s="35">
        <f>'FS Desroches Daily'!AL23</f>
        <v>259.99999999999091</v>
      </c>
      <c r="W21" s="35">
        <f>'FS Desroches Daily'!AN23</f>
        <v>299.99999999998295</v>
      </c>
      <c r="X21" s="35">
        <f>'FS Desroches Daily'!AP23</f>
        <v>250</v>
      </c>
      <c r="Y21" s="35">
        <f>'FS Desroches Daily'!AR23</f>
        <v>319.99999999999318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229.99999999996135</v>
      </c>
      <c r="AC21" s="35">
        <f>'FS Desroches Daily'!AZ23</f>
        <v>110.00000000001364</v>
      </c>
      <c r="AD21" s="35">
        <f>'FS Desroches Daily'!BB23</f>
        <v>160.00000000002501</v>
      </c>
      <c r="AE21" s="35">
        <f>'FS Desroches Daily'!BD23</f>
        <v>169.99999999998749</v>
      </c>
      <c r="AF21" s="31">
        <f>'FS Desroches Daily'!BF23</f>
        <v>49</v>
      </c>
      <c r="AG21" s="32">
        <f>'FS Desroches Daily'!BH23</f>
        <v>49.999999999982947</v>
      </c>
      <c r="AH21" s="32">
        <f>'FS Desroches Daily'!BJ23</f>
        <v>40.000000000020464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89.999999999974989</v>
      </c>
      <c r="AL21" s="32">
        <f>'FS Desroches Daily'!BR23</f>
        <v>31</v>
      </c>
      <c r="AM21" s="32">
        <f>'FS Desroches Daily'!BT23</f>
        <v>50.000000000011369</v>
      </c>
      <c r="AN21" s="32">
        <f>'FS Desroches Daily'!BV23</f>
        <v>47</v>
      </c>
      <c r="AO21" s="32">
        <f>'FS Desroches Daily'!BX23</f>
        <v>39.999999999992042</v>
      </c>
      <c r="AP21" s="32">
        <f>'FS Desroches Daily'!BZ23</f>
        <v>41</v>
      </c>
      <c r="AQ21" s="31">
        <f>'FS Desroches Daily'!CB23</f>
        <v>65.700000000004366</v>
      </c>
      <c r="AR21" s="31">
        <f>'FS Desroches Daily'!CD23</f>
        <v>5.8000000000010914</v>
      </c>
      <c r="AS21" s="31" t="str">
        <f>'FS Desroches Daily'!CF23</f>
        <v/>
      </c>
      <c r="AT21" s="31">
        <f>'FS Desroches Daily'!CH23</f>
        <v>44.5</v>
      </c>
      <c r="AU21" s="31">
        <f>'FS Desroches Daily'!CJ23</f>
        <v>308</v>
      </c>
      <c r="AV21" s="31">
        <f>'FS Desroches Daily'!CL23</f>
        <v>640.00000000010004</v>
      </c>
      <c r="AW21" s="31">
        <f>'FS Desroches Daily'!CM23</f>
        <v>101.5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>
        <f>'FS Desroches Daily'!P24</f>
        <v>0</v>
      </c>
      <c r="L22" s="31" t="str">
        <f>'FS Desroches Daily'!R24</f>
        <v/>
      </c>
      <c r="M22" s="31" t="str">
        <f>'FS Desroches Daily'!T24</f>
        <v/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>
        <f>'FS Desroches Daily'!CF24</f>
        <v>0</v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53700.000000000102</v>
      </c>
      <c r="F33" s="17">
        <f t="shared" ref="F33:BC33" si="1">SUM(F2:F32)</f>
        <v>63299.999999999935</v>
      </c>
      <c r="G33" s="17">
        <f t="shared" si="1"/>
        <v>52900.000000000182</v>
      </c>
      <c r="H33" s="17">
        <f t="shared" si="1"/>
        <v>30599.999999999971</v>
      </c>
      <c r="I33" s="17">
        <f t="shared" si="1"/>
        <v>40700.000000000196</v>
      </c>
      <c r="J33" s="17">
        <f t="shared" si="1"/>
        <v>24299.999999999993</v>
      </c>
      <c r="K33" s="17">
        <f t="shared" si="1"/>
        <v>151</v>
      </c>
      <c r="L33" s="17">
        <f t="shared" si="1"/>
        <v>98</v>
      </c>
      <c r="M33" s="17">
        <f t="shared" si="1"/>
        <v>18.5</v>
      </c>
      <c r="N33" s="17">
        <f t="shared" si="1"/>
        <v>7618.3999999999651</v>
      </c>
      <c r="O33" s="17">
        <f t="shared" si="1"/>
        <v>5960.0000000000373</v>
      </c>
      <c r="P33" s="17">
        <f t="shared" si="1"/>
        <v>58100.000000000058</v>
      </c>
      <c r="Q33" s="17">
        <f t="shared" si="1"/>
        <v>7209.9999999999818</v>
      </c>
      <c r="R33" s="17">
        <f t="shared" si="1"/>
        <v>5209.99999999998</v>
      </c>
      <c r="S33" s="17">
        <f t="shared" si="1"/>
        <v>9909.9999999999691</v>
      </c>
      <c r="T33" s="17">
        <f t="shared" si="1"/>
        <v>800</v>
      </c>
      <c r="U33" s="35">
        <f t="shared" si="1"/>
        <v>13690.000000000055</v>
      </c>
      <c r="V33" s="35">
        <f t="shared" si="1"/>
        <v>5099.9999999999936</v>
      </c>
      <c r="W33" s="35">
        <f t="shared" si="1"/>
        <v>4079.9999999999845</v>
      </c>
      <c r="X33" s="35">
        <f t="shared" si="1"/>
        <v>3969.9999999999991</v>
      </c>
      <c r="Y33" s="35">
        <f t="shared" si="1"/>
        <v>4680.0000000000073</v>
      </c>
      <c r="Z33" s="35">
        <f t="shared" si="1"/>
        <v>3950.8300000000431</v>
      </c>
      <c r="AA33" s="35">
        <f t="shared" si="1"/>
        <v>3950.8300000000431</v>
      </c>
      <c r="AB33" s="35">
        <f t="shared" si="1"/>
        <v>2929.99999999995</v>
      </c>
      <c r="AC33" s="35">
        <f t="shared" si="1"/>
        <v>2349.9999999999659</v>
      </c>
      <c r="AD33" s="35">
        <f t="shared" si="1"/>
        <v>3060.0000000000023</v>
      </c>
      <c r="AE33" s="35">
        <f t="shared" si="1"/>
        <v>2289.9999999999918</v>
      </c>
      <c r="AF33" s="17">
        <f t="shared" si="1"/>
        <v>779</v>
      </c>
      <c r="AG33" s="32">
        <f t="shared" si="1"/>
        <v>879.99999999999545</v>
      </c>
      <c r="AH33" s="32">
        <f t="shared" si="1"/>
        <v>720.00000000002728</v>
      </c>
      <c r="AI33" s="32">
        <f t="shared" si="1"/>
        <v>770.00000000001023</v>
      </c>
      <c r="AJ33" s="32">
        <f t="shared" si="1"/>
        <v>879.99999999999545</v>
      </c>
      <c r="AK33" s="32">
        <f t="shared" si="1"/>
        <v>1189.9999999999977</v>
      </c>
      <c r="AL33" s="32">
        <f t="shared" si="1"/>
        <v>664</v>
      </c>
      <c r="AM33" s="32">
        <f t="shared" si="1"/>
        <v>1020.0000000000102</v>
      </c>
      <c r="AN33" s="32">
        <f t="shared" si="1"/>
        <v>707</v>
      </c>
      <c r="AO33" s="32">
        <f t="shared" si="1"/>
        <v>599.99999999999432</v>
      </c>
      <c r="AP33" s="32">
        <f t="shared" si="1"/>
        <v>900</v>
      </c>
      <c r="AQ33" s="17">
        <f t="shared" si="1"/>
        <v>1269.2000000000044</v>
      </c>
      <c r="AR33" s="17">
        <f t="shared" si="1"/>
        <v>177.80000000000109</v>
      </c>
      <c r="AS33" s="17">
        <f t="shared" si="1"/>
        <v>104.89999999999964</v>
      </c>
      <c r="AT33" s="17">
        <f t="shared" si="1"/>
        <v>728.69999999999709</v>
      </c>
      <c r="AU33" s="17">
        <f t="shared" si="1"/>
        <v>6074</v>
      </c>
      <c r="AV33" s="17">
        <f t="shared" si="1"/>
        <v>12060.00000000006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113.553</v>
      </c>
      <c r="BC33" s="17">
        <f t="shared" si="1"/>
        <v>266</v>
      </c>
    </row>
    <row r="35" spans="5:55" x14ac:dyDescent="0.25">
      <c r="E35" s="38">
        <f>E33/E37</f>
        <v>0.24868249219683455</v>
      </c>
      <c r="G35" s="29">
        <f>G33-M36</f>
        <v>45263.100000000217</v>
      </c>
      <c r="AE35" s="35">
        <f>SUM(U33:AE33)</f>
        <v>50051.660000000033</v>
      </c>
      <c r="AG35" s="32">
        <f>SUM(AG33:AP33)</f>
        <v>8331.0000000000291</v>
      </c>
    </row>
    <row r="36" spans="5:55" x14ac:dyDescent="0.25">
      <c r="G36" s="29">
        <f>G35-633*14</f>
        <v>36401.100000000217</v>
      </c>
      <c r="M36" s="29">
        <f>M33+N33</f>
        <v>7636.8999999999651</v>
      </c>
    </row>
    <row r="37" spans="5:55" x14ac:dyDescent="0.25">
      <c r="E37" s="17">
        <f>E33+F33+G33+H33+J33-633*14</f>
        <v>215938.00000000017</v>
      </c>
      <c r="G37" s="37">
        <f>M36/E37</f>
        <v>3.5366169919143264E-2</v>
      </c>
      <c r="M37" s="35">
        <f>AE35</f>
        <v>50051.660000000033</v>
      </c>
    </row>
    <row r="38" spans="5:55" x14ac:dyDescent="0.25">
      <c r="L38" s="27">
        <f>M38/E37</f>
        <v>3.8580518482157017E-2</v>
      </c>
      <c r="M38" s="29">
        <f>AG35</f>
        <v>8331.0000000000291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zoomScale="90" zoomScaleNormal="90" workbookViewId="0">
      <pane ySplit="1" topLeftCell="A9" activePane="bottomLeft" state="frozen"/>
      <selection pane="bottomLeft" activeCell="CO24" sqref="CO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67.299999999999272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17704.8</v>
      </c>
      <c r="CS10" s="67">
        <f t="shared" si="46"/>
        <v>5.7999999999992724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61.30000000000291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17718.7</v>
      </c>
      <c r="CS11" s="67">
        <f t="shared" si="46"/>
        <v>13.900000000001455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72.799999999995634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17732.8</v>
      </c>
      <c r="CS12" s="67">
        <f t="shared" si="46"/>
        <v>14.099999999998545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73.400000000001455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17746.7</v>
      </c>
      <c r="CS13" s="67">
        <f t="shared" si="46"/>
        <v>13.900000000001455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380.09</v>
      </c>
      <c r="AZ14" s="65">
        <f t="shared" si="24"/>
        <v>60.000000000002274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65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17760.099999999999</v>
      </c>
      <c r="CS14" s="67">
        <f t="shared" si="46"/>
        <v>13.399999999997817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>
        <v>2.6934</v>
      </c>
      <c r="D15" s="64">
        <f t="shared" si="0"/>
        <v>2299.9999999999686</v>
      </c>
      <c r="E15" s="58">
        <v>3.7515999999999998</v>
      </c>
      <c r="F15" s="64">
        <f t="shared" si="1"/>
        <v>3199.9999999996476</v>
      </c>
      <c r="G15" s="58">
        <v>3.7665999999999999</v>
      </c>
      <c r="H15" s="64">
        <f t="shared" si="2"/>
        <v>2499.9999999999468</v>
      </c>
      <c r="I15" s="58">
        <v>1.8722000000000001</v>
      </c>
      <c r="J15" s="64">
        <f t="shared" si="3"/>
        <v>1900.0000000000127</v>
      </c>
      <c r="K15" s="58">
        <v>2.9788999999999999</v>
      </c>
      <c r="L15" s="64">
        <f t="shared" si="4"/>
        <v>1999.9999999997797</v>
      </c>
      <c r="M15" s="58">
        <v>1.649</v>
      </c>
      <c r="N15" s="64">
        <f t="shared" si="5"/>
        <v>1100.000000000101</v>
      </c>
      <c r="O15" s="58">
        <v>15706</v>
      </c>
      <c r="P15" s="67">
        <f t="shared" si="6"/>
        <v>15</v>
      </c>
      <c r="Q15" s="58">
        <v>1680</v>
      </c>
      <c r="R15" s="67">
        <f t="shared" si="7"/>
        <v>4</v>
      </c>
      <c r="S15" s="58">
        <v>1147.5999999999999</v>
      </c>
      <c r="T15" s="67">
        <f t="shared" si="8"/>
        <v>0.6999999999998181</v>
      </c>
      <c r="U15" s="58">
        <v>476369.7</v>
      </c>
      <c r="V15" s="67">
        <f t="shared" si="9"/>
        <v>437.5</v>
      </c>
      <c r="W15" s="58">
        <v>447.35</v>
      </c>
      <c r="X15" s="65">
        <f t="shared" si="10"/>
        <v>350.00000000002274</v>
      </c>
      <c r="Y15" s="58">
        <v>3.2915999999999999</v>
      </c>
      <c r="Z15" s="65">
        <f t="shared" si="11"/>
        <v>3499.9999999998367</v>
      </c>
      <c r="AA15" s="58">
        <v>449.94</v>
      </c>
      <c r="AB15" s="65">
        <f t="shared" si="12"/>
        <v>350.00000000002274</v>
      </c>
      <c r="AC15" s="58">
        <v>428.72</v>
      </c>
      <c r="AD15" s="65">
        <f t="shared" si="13"/>
        <v>230.00000000001819</v>
      </c>
      <c r="AE15" s="58">
        <v>628.09</v>
      </c>
      <c r="AF15" s="65">
        <f t="shared" si="14"/>
        <v>440.00000000005457</v>
      </c>
      <c r="AG15" s="58">
        <v>10607</v>
      </c>
      <c r="AH15" s="67">
        <f t="shared" si="15"/>
        <v>41</v>
      </c>
      <c r="AI15" s="58">
        <v>723.96</v>
      </c>
      <c r="AJ15" s="65">
        <f t="shared" si="16"/>
        <v>769.99999999998181</v>
      </c>
      <c r="AK15" s="58">
        <v>241.1</v>
      </c>
      <c r="AL15" s="65">
        <f t="shared" si="17"/>
        <v>310.00000000000227</v>
      </c>
      <c r="AM15" s="58">
        <v>224.74</v>
      </c>
      <c r="AN15" s="65">
        <f t="shared" si="18"/>
        <v>30.000000000001137</v>
      </c>
      <c r="AO15" s="58">
        <v>218.51</v>
      </c>
      <c r="AP15" s="65">
        <f t="shared" si="19"/>
        <v>219.99999999999886</v>
      </c>
      <c r="AQ15" s="58">
        <v>276.81</v>
      </c>
      <c r="AR15" s="65">
        <f t="shared" si="20"/>
        <v>160.00000000002501</v>
      </c>
      <c r="AS15" s="58">
        <v>404.36</v>
      </c>
      <c r="AT15" s="65">
        <f t="shared" si="21"/>
        <v>170.00000000001592</v>
      </c>
      <c r="AU15" s="58">
        <v>310.23</v>
      </c>
      <c r="AV15" s="65">
        <f t="shared" si="22"/>
        <v>80.000000000040927</v>
      </c>
      <c r="AW15" s="58">
        <v>342.14</v>
      </c>
      <c r="AX15" s="65">
        <f t="shared" si="23"/>
        <v>149.99999999997726</v>
      </c>
      <c r="AY15" s="58">
        <v>380.12</v>
      </c>
      <c r="AZ15" s="65">
        <f t="shared" si="24"/>
        <v>30.000000000029559</v>
      </c>
      <c r="BA15" s="58">
        <v>397.03</v>
      </c>
      <c r="BB15" s="65">
        <f t="shared" si="25"/>
        <v>149.99999999997726</v>
      </c>
      <c r="BC15" s="58">
        <v>254.38</v>
      </c>
      <c r="BD15" s="65">
        <f t="shared" si="26"/>
        <v>189.99999999999773</v>
      </c>
      <c r="BE15" s="59">
        <v>45531</v>
      </c>
      <c r="BF15" s="67">
        <f t="shared" si="27"/>
        <v>35</v>
      </c>
      <c r="BG15" s="60">
        <v>240.85</v>
      </c>
      <c r="BH15" s="65">
        <f t="shared" si="28"/>
        <v>60.000000000002274</v>
      </c>
      <c r="BI15" s="60">
        <v>297.56</v>
      </c>
      <c r="BJ15" s="65">
        <f t="shared" si="29"/>
        <v>40.000000000020464</v>
      </c>
      <c r="BK15" s="60">
        <v>243.5</v>
      </c>
      <c r="BL15" s="65">
        <f t="shared" si="30"/>
        <v>30.000000000001137</v>
      </c>
      <c r="BM15" s="60">
        <v>230.72</v>
      </c>
      <c r="BN15" s="65">
        <f t="shared" si="31"/>
        <v>30.000000000001137</v>
      </c>
      <c r="BO15" s="60">
        <v>295.69</v>
      </c>
      <c r="BP15" s="65">
        <f t="shared" si="32"/>
        <v>60.000000000002274</v>
      </c>
      <c r="BQ15" s="60">
        <v>50334</v>
      </c>
      <c r="BR15" s="65">
        <f t="shared" si="33"/>
        <v>40</v>
      </c>
      <c r="BS15" s="60">
        <v>206.84</v>
      </c>
      <c r="BT15" s="65">
        <f t="shared" si="34"/>
        <v>39.999999999992042</v>
      </c>
      <c r="BU15" s="60">
        <v>46969</v>
      </c>
      <c r="BV15" s="65">
        <f t="shared" si="35"/>
        <v>18</v>
      </c>
      <c r="BW15" s="60">
        <v>236.76</v>
      </c>
      <c r="BX15" s="65">
        <f t="shared" si="36"/>
        <v>19.99999999998181</v>
      </c>
      <c r="BY15" s="60">
        <v>66745</v>
      </c>
      <c r="BZ15" s="67">
        <f t="shared" si="37"/>
        <v>45</v>
      </c>
      <c r="CA15" s="60">
        <v>39493.9</v>
      </c>
      <c r="CB15" s="67">
        <f t="shared" si="38"/>
        <v>64</v>
      </c>
      <c r="CC15" s="60">
        <v>13768.4</v>
      </c>
      <c r="CD15" s="67">
        <f t="shared" si="39"/>
        <v>7.1999999999989086</v>
      </c>
      <c r="CE15" s="60">
        <v>7271.1</v>
      </c>
      <c r="CF15" s="67">
        <f t="shared" si="40"/>
        <v>8.3000000000001819</v>
      </c>
      <c r="CG15" s="60">
        <v>66969.399999999994</v>
      </c>
      <c r="CH15" s="67">
        <f t="shared" si="41"/>
        <v>47.599999999991269</v>
      </c>
      <c r="CI15" s="60">
        <v>996069</v>
      </c>
      <c r="CJ15" s="67">
        <f t="shared" si="42"/>
        <v>196</v>
      </c>
      <c r="CK15" s="60">
        <v>871.78</v>
      </c>
      <c r="CL15" s="64">
        <f t="shared" si="43"/>
        <v>500</v>
      </c>
      <c r="CM15" s="65">
        <f t="shared" si="44"/>
        <v>66.799999999999272</v>
      </c>
      <c r="CN15" s="62">
        <v>13</v>
      </c>
      <c r="CO15" s="62">
        <v>36</v>
      </c>
      <c r="CP15" s="68">
        <v>17908</v>
      </c>
      <c r="CQ15" s="67">
        <f t="shared" si="45"/>
        <v>52.799999999999272</v>
      </c>
      <c r="CR15" s="68">
        <v>17774.099999999999</v>
      </c>
      <c r="CS15" s="67">
        <f t="shared" si="46"/>
        <v>14</v>
      </c>
      <c r="CT15" s="75">
        <v>8324</v>
      </c>
      <c r="CU15" s="67">
        <f t="shared" si="47"/>
        <v>4</v>
      </c>
      <c r="CV15" s="68">
        <v>20086</v>
      </c>
      <c r="CW15" s="67">
        <f t="shared" si="48"/>
        <v>21</v>
      </c>
    </row>
    <row r="16" spans="1:101" ht="25.5" customHeight="1" thickBot="1" x14ac:dyDescent="0.45">
      <c r="A16" s="63">
        <v>44543</v>
      </c>
      <c r="B16" s="44"/>
      <c r="C16" s="58">
        <v>2.6957</v>
      </c>
      <c r="D16" s="64">
        <f t="shared" si="0"/>
        <v>2299.9999999999686</v>
      </c>
      <c r="E16" s="58">
        <v>3.7547999999999999</v>
      </c>
      <c r="F16" s="64">
        <f t="shared" si="1"/>
        <v>3200.0000000000919</v>
      </c>
      <c r="G16" s="58">
        <v>3.7692000000000001</v>
      </c>
      <c r="H16" s="64">
        <f t="shared" si="2"/>
        <v>2600.0000000001578</v>
      </c>
      <c r="I16" s="58">
        <v>1.8736999999999999</v>
      </c>
      <c r="J16" s="64">
        <f t="shared" si="3"/>
        <v>1499.9999999998347</v>
      </c>
      <c r="K16" s="58">
        <v>2.9807999999999999</v>
      </c>
      <c r="L16" s="64">
        <f t="shared" si="4"/>
        <v>1900.0000000000127</v>
      </c>
      <c r="M16" s="58">
        <v>1.6500999999999999</v>
      </c>
      <c r="N16" s="64">
        <f t="shared" si="5"/>
        <v>1099.9999999998788</v>
      </c>
      <c r="O16" s="58">
        <v>15717</v>
      </c>
      <c r="P16" s="67">
        <f t="shared" si="6"/>
        <v>11</v>
      </c>
      <c r="Q16" s="58">
        <v>1684</v>
      </c>
      <c r="R16" s="67">
        <f t="shared" si="7"/>
        <v>4</v>
      </c>
      <c r="S16" s="58">
        <v>1148.5999999999999</v>
      </c>
      <c r="T16" s="67">
        <f t="shared" si="8"/>
        <v>1</v>
      </c>
      <c r="U16" s="58">
        <v>476751.1</v>
      </c>
      <c r="V16" s="67">
        <f t="shared" si="9"/>
        <v>381.39999999996508</v>
      </c>
      <c r="W16" s="58">
        <v>447.63</v>
      </c>
      <c r="X16" s="65">
        <f t="shared" si="10"/>
        <v>279.99999999997272</v>
      </c>
      <c r="Y16" s="58">
        <v>3.2945000000000002</v>
      </c>
      <c r="Z16" s="65">
        <f t="shared" si="11"/>
        <v>2900.0000000003465</v>
      </c>
      <c r="AA16" s="58">
        <v>450.35</v>
      </c>
      <c r="AB16" s="65">
        <f t="shared" si="12"/>
        <v>410.00000000002501</v>
      </c>
      <c r="AC16" s="58">
        <v>428.92</v>
      </c>
      <c r="AD16" s="65">
        <f t="shared" si="13"/>
        <v>199.99999999998863</v>
      </c>
      <c r="AE16" s="58">
        <v>628.42999999999995</v>
      </c>
      <c r="AF16" s="65">
        <f t="shared" si="14"/>
        <v>339.99999999991815</v>
      </c>
      <c r="AG16" s="58">
        <v>10643</v>
      </c>
      <c r="AH16" s="67">
        <f t="shared" si="15"/>
        <v>36</v>
      </c>
      <c r="AI16" s="58">
        <v>724.57</v>
      </c>
      <c r="AJ16" s="65">
        <f t="shared" si="16"/>
        <v>610.00000000001364</v>
      </c>
      <c r="AK16" s="58">
        <v>241.36</v>
      </c>
      <c r="AL16" s="65">
        <f t="shared" si="17"/>
        <v>260.00000000001933</v>
      </c>
      <c r="AM16" s="58">
        <v>224.85</v>
      </c>
      <c r="AN16" s="65">
        <f t="shared" si="18"/>
        <v>109.99999999998522</v>
      </c>
      <c r="AO16" s="58">
        <v>218.72</v>
      </c>
      <c r="AP16" s="65">
        <f t="shared" si="19"/>
        <v>210.00000000000796</v>
      </c>
      <c r="AQ16" s="58">
        <v>276.97000000000003</v>
      </c>
      <c r="AR16" s="65">
        <f t="shared" si="20"/>
        <v>160.00000000002501</v>
      </c>
      <c r="AS16" s="58">
        <v>404.49</v>
      </c>
      <c r="AT16" s="65">
        <f t="shared" si="21"/>
        <v>129.99999999999545</v>
      </c>
      <c r="AU16" s="58">
        <v>310.32</v>
      </c>
      <c r="AV16" s="65">
        <f t="shared" si="22"/>
        <v>89.999999999974989</v>
      </c>
      <c r="AW16" s="58">
        <v>342.29</v>
      </c>
      <c r="AX16" s="65">
        <f t="shared" si="23"/>
        <v>150.00000000003411</v>
      </c>
      <c r="AY16" s="58">
        <v>380.22</v>
      </c>
      <c r="AZ16" s="65">
        <f t="shared" si="24"/>
        <v>100.00000000002274</v>
      </c>
      <c r="BA16" s="58">
        <v>397.15</v>
      </c>
      <c r="BB16" s="65">
        <f t="shared" si="25"/>
        <v>120.00000000000455</v>
      </c>
      <c r="BC16" s="58">
        <v>254.52</v>
      </c>
      <c r="BD16" s="65">
        <f t="shared" si="26"/>
        <v>140.00000000001478</v>
      </c>
      <c r="BE16" s="59">
        <v>45563</v>
      </c>
      <c r="BF16" s="67">
        <f t="shared" si="27"/>
        <v>32</v>
      </c>
      <c r="BG16" s="60">
        <v>240.9</v>
      </c>
      <c r="BH16" s="65">
        <f t="shared" si="28"/>
        <v>50.000000000011369</v>
      </c>
      <c r="BI16" s="60">
        <v>297.60000000000002</v>
      </c>
      <c r="BJ16" s="65">
        <f t="shared" si="29"/>
        <v>40.000000000020464</v>
      </c>
      <c r="BK16" s="60">
        <v>243.54</v>
      </c>
      <c r="BL16" s="65">
        <f t="shared" si="30"/>
        <v>39.999999999992042</v>
      </c>
      <c r="BM16" s="60">
        <v>230.77</v>
      </c>
      <c r="BN16" s="65">
        <f t="shared" si="31"/>
        <v>50.000000000011369</v>
      </c>
      <c r="BO16" s="60">
        <v>295.75</v>
      </c>
      <c r="BP16" s="65">
        <f t="shared" si="32"/>
        <v>60.000000000002274</v>
      </c>
      <c r="BQ16" s="60">
        <v>50370</v>
      </c>
      <c r="BR16" s="65">
        <f t="shared" si="33"/>
        <v>36</v>
      </c>
      <c r="BS16" s="60">
        <v>206.89</v>
      </c>
      <c r="BT16" s="65">
        <f t="shared" si="34"/>
        <v>49.999999999982947</v>
      </c>
      <c r="BU16" s="60">
        <v>46997</v>
      </c>
      <c r="BV16" s="65">
        <f t="shared" si="35"/>
        <v>28</v>
      </c>
      <c r="BW16" s="60">
        <v>236.79</v>
      </c>
      <c r="BX16" s="65">
        <f t="shared" si="36"/>
        <v>30.000000000001137</v>
      </c>
      <c r="BY16" s="60">
        <v>66787</v>
      </c>
      <c r="BZ16" s="67">
        <f t="shared" si="37"/>
        <v>42</v>
      </c>
      <c r="CA16" s="60">
        <v>39553.699999999997</v>
      </c>
      <c r="CB16" s="67">
        <f t="shared" si="38"/>
        <v>59.799999999995634</v>
      </c>
      <c r="CC16" s="60">
        <v>13776.7</v>
      </c>
      <c r="CD16" s="67">
        <f t="shared" si="39"/>
        <v>8.3000000000010914</v>
      </c>
      <c r="CE16" s="60">
        <v>7272</v>
      </c>
      <c r="CF16" s="67">
        <f t="shared" si="40"/>
        <v>0.8999999999996362</v>
      </c>
      <c r="CG16" s="60">
        <v>67008</v>
      </c>
      <c r="CH16" s="67">
        <f t="shared" si="41"/>
        <v>38.600000000005821</v>
      </c>
      <c r="CI16" s="60">
        <v>996381</v>
      </c>
      <c r="CJ16" s="67">
        <f t="shared" si="42"/>
        <v>312</v>
      </c>
      <c r="CK16" s="60">
        <v>872.37</v>
      </c>
      <c r="CL16" s="64">
        <f t="shared" si="43"/>
        <v>590.00000000003183</v>
      </c>
      <c r="CM16" s="65">
        <f t="shared" si="44"/>
        <v>72</v>
      </c>
      <c r="CN16" s="62">
        <v>13</v>
      </c>
      <c r="CO16" s="62">
        <v>36</v>
      </c>
      <c r="CP16" s="68">
        <v>17966</v>
      </c>
      <c r="CQ16" s="67">
        <f t="shared" si="45"/>
        <v>58</v>
      </c>
      <c r="CR16" s="68">
        <v>17788.099999999999</v>
      </c>
      <c r="CS16" s="67">
        <f t="shared" si="46"/>
        <v>14</v>
      </c>
      <c r="CT16" s="75">
        <v>8332</v>
      </c>
      <c r="CU16" s="67">
        <f t="shared" si="47"/>
        <v>8</v>
      </c>
      <c r="CV16" s="68">
        <v>20108</v>
      </c>
      <c r="CW16" s="67">
        <f t="shared" si="48"/>
        <v>22</v>
      </c>
    </row>
    <row r="17" spans="1:101" ht="25.5" customHeight="1" thickBot="1" x14ac:dyDescent="0.45">
      <c r="A17" s="63">
        <v>44544</v>
      </c>
      <c r="B17" s="44"/>
      <c r="C17" s="58">
        <v>2.6979000000000002</v>
      </c>
      <c r="D17" s="64">
        <f t="shared" si="0"/>
        <v>2200.0000000002019</v>
      </c>
      <c r="E17" s="58">
        <v>3.758</v>
      </c>
      <c r="F17" s="64">
        <f t="shared" si="1"/>
        <v>3200.0000000000919</v>
      </c>
      <c r="G17" s="58">
        <v>3.7719</v>
      </c>
      <c r="H17" s="64">
        <f t="shared" si="2"/>
        <v>2699.9999999999245</v>
      </c>
      <c r="I17" s="58">
        <v>1.8751</v>
      </c>
      <c r="J17" s="64">
        <f t="shared" si="3"/>
        <v>1400.0000000000678</v>
      </c>
      <c r="K17" s="58">
        <v>2.9826999999999999</v>
      </c>
      <c r="L17" s="64">
        <f t="shared" si="4"/>
        <v>1900.0000000000127</v>
      </c>
      <c r="M17" s="58">
        <v>1.6509</v>
      </c>
      <c r="N17" s="64">
        <f t="shared" si="5"/>
        <v>800.00000000013392</v>
      </c>
      <c r="O17" s="58">
        <v>15718</v>
      </c>
      <c r="P17" s="67">
        <f t="shared" si="6"/>
        <v>1</v>
      </c>
      <c r="Q17" s="58">
        <v>1687</v>
      </c>
      <c r="R17" s="67">
        <f t="shared" si="7"/>
        <v>3</v>
      </c>
      <c r="S17" s="58">
        <v>1149.5</v>
      </c>
      <c r="T17" s="67">
        <f t="shared" si="8"/>
        <v>0.90000000000009095</v>
      </c>
      <c r="U17" s="58">
        <v>477057.3</v>
      </c>
      <c r="V17" s="67">
        <f t="shared" si="9"/>
        <v>306.20000000001164</v>
      </c>
      <c r="W17" s="58">
        <v>447.92</v>
      </c>
      <c r="X17" s="65">
        <f t="shared" si="10"/>
        <v>290.00000000002046</v>
      </c>
      <c r="Y17" s="58">
        <v>3.2974999999999999</v>
      </c>
      <c r="Z17" s="65">
        <f t="shared" si="11"/>
        <v>2999.9999999996694</v>
      </c>
      <c r="AA17" s="58">
        <v>450.58</v>
      </c>
      <c r="AB17" s="65">
        <f t="shared" si="12"/>
        <v>229.99999999996135</v>
      </c>
      <c r="AC17" s="58">
        <v>429.11</v>
      </c>
      <c r="AD17" s="65">
        <f t="shared" si="13"/>
        <v>189.99999999999773</v>
      </c>
      <c r="AE17" s="58">
        <v>628.74</v>
      </c>
      <c r="AF17" s="65">
        <f t="shared" si="14"/>
        <v>310.00000000005912</v>
      </c>
      <c r="AG17" s="58">
        <v>10678</v>
      </c>
      <c r="AH17" s="67">
        <f t="shared" si="15"/>
        <v>35</v>
      </c>
      <c r="AI17" s="58">
        <v>725.09</v>
      </c>
      <c r="AJ17" s="65">
        <f t="shared" si="16"/>
        <v>519.99999999998181</v>
      </c>
      <c r="AK17" s="58">
        <v>241.61</v>
      </c>
      <c r="AL17" s="65">
        <f t="shared" si="17"/>
        <v>250</v>
      </c>
      <c r="AM17" s="58">
        <v>224.96</v>
      </c>
      <c r="AN17" s="65">
        <f t="shared" si="18"/>
        <v>110.00000000001364</v>
      </c>
      <c r="AO17" s="58">
        <v>218.94</v>
      </c>
      <c r="AP17" s="65">
        <f t="shared" si="19"/>
        <v>219.99999999999886</v>
      </c>
      <c r="AQ17" s="58">
        <v>277.12</v>
      </c>
      <c r="AR17" s="65">
        <f t="shared" si="20"/>
        <v>149.99999999997726</v>
      </c>
      <c r="AS17" s="58">
        <v>404.62</v>
      </c>
      <c r="AT17" s="65">
        <f t="shared" si="21"/>
        <v>129.99999999999545</v>
      </c>
      <c r="AU17" s="58">
        <v>310.47000000000003</v>
      </c>
      <c r="AV17" s="65">
        <f t="shared" si="22"/>
        <v>150.00000000003411</v>
      </c>
      <c r="AW17" s="58">
        <v>342.42</v>
      </c>
      <c r="AX17" s="65">
        <f t="shared" si="23"/>
        <v>129.99999999999545</v>
      </c>
      <c r="AY17" s="58">
        <v>380.29</v>
      </c>
      <c r="AZ17" s="65">
        <f t="shared" si="24"/>
        <v>69.999999999993179</v>
      </c>
      <c r="BA17" s="58">
        <v>397.23</v>
      </c>
      <c r="BB17" s="65">
        <f t="shared" si="25"/>
        <v>80.000000000040927</v>
      </c>
      <c r="BC17" s="58">
        <v>254.68</v>
      </c>
      <c r="BD17" s="65">
        <f t="shared" si="26"/>
        <v>159.99999999999659</v>
      </c>
      <c r="BE17" s="59">
        <v>45612</v>
      </c>
      <c r="BF17" s="67">
        <f t="shared" si="27"/>
        <v>49</v>
      </c>
      <c r="BG17" s="60">
        <v>240.94</v>
      </c>
      <c r="BH17" s="65">
        <f t="shared" si="28"/>
        <v>39.999999999992042</v>
      </c>
      <c r="BI17" s="60">
        <v>297.63</v>
      </c>
      <c r="BJ17" s="65">
        <f t="shared" si="29"/>
        <v>29.999999999972715</v>
      </c>
      <c r="BK17" s="60">
        <v>243.57</v>
      </c>
      <c r="BL17" s="65">
        <f t="shared" si="30"/>
        <v>30.000000000001137</v>
      </c>
      <c r="BM17" s="60">
        <v>230.81</v>
      </c>
      <c r="BN17" s="65">
        <f t="shared" si="31"/>
        <v>39.999999999992042</v>
      </c>
      <c r="BO17" s="60">
        <v>295.8</v>
      </c>
      <c r="BP17" s="65">
        <f t="shared" si="32"/>
        <v>50.000000000011369</v>
      </c>
      <c r="BQ17" s="60">
        <v>50405</v>
      </c>
      <c r="BR17" s="65">
        <f t="shared" si="33"/>
        <v>35</v>
      </c>
      <c r="BS17" s="60">
        <v>206.93</v>
      </c>
      <c r="BT17" s="65">
        <f t="shared" si="34"/>
        <v>40.000000000020464</v>
      </c>
      <c r="BU17" s="60">
        <v>47021</v>
      </c>
      <c r="BV17" s="65">
        <f t="shared" si="35"/>
        <v>24</v>
      </c>
      <c r="BW17" s="60">
        <v>236.81</v>
      </c>
      <c r="BX17" s="65">
        <f t="shared" si="36"/>
        <v>20.000000000010232</v>
      </c>
      <c r="BY17" s="60">
        <v>66831</v>
      </c>
      <c r="BZ17" s="67">
        <f t="shared" si="37"/>
        <v>44</v>
      </c>
      <c r="CA17" s="60">
        <v>39624.400000000001</v>
      </c>
      <c r="CB17" s="67">
        <f t="shared" si="38"/>
        <v>70.700000000004366</v>
      </c>
      <c r="CC17" s="60">
        <v>13785.2</v>
      </c>
      <c r="CD17" s="67">
        <f t="shared" si="39"/>
        <v>8.5</v>
      </c>
      <c r="CE17" s="60">
        <v>7272</v>
      </c>
      <c r="CF17" s="67">
        <f t="shared" si="40"/>
        <v>0</v>
      </c>
      <c r="CG17" s="60">
        <v>67041.600000000006</v>
      </c>
      <c r="CH17" s="67">
        <f t="shared" si="41"/>
        <v>33.600000000005821</v>
      </c>
      <c r="CI17" s="60">
        <v>996653</v>
      </c>
      <c r="CJ17" s="67">
        <f t="shared" si="42"/>
        <v>272</v>
      </c>
      <c r="CK17" s="60">
        <v>873.03</v>
      </c>
      <c r="CL17" s="64">
        <f t="shared" si="43"/>
        <v>659.99999999996817</v>
      </c>
      <c r="CM17" s="65">
        <f t="shared" si="44"/>
        <v>92.700000000000728</v>
      </c>
      <c r="CN17" s="62">
        <v>13</v>
      </c>
      <c r="CO17" s="62">
        <v>36</v>
      </c>
      <c r="CP17" s="68">
        <v>18029.2</v>
      </c>
      <c r="CQ17" s="67">
        <f t="shared" si="45"/>
        <v>63.200000000000728</v>
      </c>
      <c r="CR17" s="68">
        <v>17817.599999999999</v>
      </c>
      <c r="CS17" s="67">
        <f t="shared" si="46"/>
        <v>29.5</v>
      </c>
      <c r="CT17" s="75">
        <v>8341</v>
      </c>
      <c r="CU17" s="67">
        <f t="shared" si="47"/>
        <v>9</v>
      </c>
      <c r="CV17" s="68">
        <v>20129</v>
      </c>
      <c r="CW17" s="67">
        <f t="shared" si="48"/>
        <v>21</v>
      </c>
    </row>
    <row r="18" spans="1:101" ht="25.5" customHeight="1" thickBot="1" x14ac:dyDescent="0.45">
      <c r="A18" s="63">
        <v>44545</v>
      </c>
      <c r="B18" s="44"/>
      <c r="C18" s="58">
        <v>2.7006000000000001</v>
      </c>
      <c r="D18" s="64">
        <f t="shared" si="0"/>
        <v>2699.9999999999245</v>
      </c>
      <c r="E18" s="58">
        <v>3.7612000000000001</v>
      </c>
      <c r="F18" s="64">
        <f t="shared" si="1"/>
        <v>3200.0000000000919</v>
      </c>
      <c r="G18" s="58">
        <v>3.7747999999999999</v>
      </c>
      <c r="H18" s="64">
        <f t="shared" si="2"/>
        <v>2899.9999999999027</v>
      </c>
      <c r="I18" s="58">
        <v>1.8766</v>
      </c>
      <c r="J18" s="64">
        <f t="shared" si="3"/>
        <v>1500.0000000000568</v>
      </c>
      <c r="K18" s="58">
        <v>2.9845999999999999</v>
      </c>
      <c r="L18" s="64">
        <f t="shared" si="4"/>
        <v>1900.0000000000127</v>
      </c>
      <c r="M18" s="58">
        <v>1.6519999999999999</v>
      </c>
      <c r="N18" s="64">
        <f t="shared" si="5"/>
        <v>1099.9999999998788</v>
      </c>
      <c r="O18" s="58">
        <v>15729</v>
      </c>
      <c r="P18" s="67">
        <f t="shared" si="6"/>
        <v>11</v>
      </c>
      <c r="Q18" s="58">
        <v>1693</v>
      </c>
      <c r="R18" s="67">
        <f t="shared" si="7"/>
        <v>6</v>
      </c>
      <c r="S18" s="58">
        <v>1151</v>
      </c>
      <c r="T18" s="67">
        <f t="shared" si="8"/>
        <v>1.5</v>
      </c>
      <c r="U18" s="58">
        <v>477666.5</v>
      </c>
      <c r="V18" s="67">
        <f t="shared" si="9"/>
        <v>609.20000000001164</v>
      </c>
      <c r="W18" s="58">
        <v>448.35</v>
      </c>
      <c r="X18" s="65">
        <f t="shared" si="10"/>
        <v>430.00000000000682</v>
      </c>
      <c r="Y18" s="58">
        <v>3.3012000000000001</v>
      </c>
      <c r="Z18" s="65">
        <f t="shared" si="11"/>
        <v>3700.0000000002588</v>
      </c>
      <c r="AA18" s="58">
        <v>451</v>
      </c>
      <c r="AB18" s="65">
        <f t="shared" si="12"/>
        <v>420.00000000001592</v>
      </c>
      <c r="AC18" s="58">
        <v>429.41</v>
      </c>
      <c r="AD18" s="65">
        <f t="shared" si="13"/>
        <v>300.00000000001137</v>
      </c>
      <c r="AE18" s="58">
        <v>629.39</v>
      </c>
      <c r="AF18" s="65">
        <f t="shared" si="14"/>
        <v>649.99999999997726</v>
      </c>
      <c r="AG18" s="58">
        <v>10725</v>
      </c>
      <c r="AH18" s="67">
        <f t="shared" si="15"/>
        <v>47</v>
      </c>
      <c r="AI18" s="58">
        <v>725.9</v>
      </c>
      <c r="AJ18" s="65">
        <f t="shared" si="16"/>
        <v>809.99999999994543</v>
      </c>
      <c r="AK18" s="58">
        <v>241.95</v>
      </c>
      <c r="AL18" s="65">
        <f t="shared" si="17"/>
        <v>339.99999999997499</v>
      </c>
      <c r="AM18" s="58">
        <v>225.21</v>
      </c>
      <c r="AN18" s="65">
        <f t="shared" si="18"/>
        <v>250</v>
      </c>
      <c r="AO18" s="58">
        <v>219.27</v>
      </c>
      <c r="AP18" s="65">
        <f t="shared" si="19"/>
        <v>330.00000000001251</v>
      </c>
      <c r="AQ18" s="58">
        <v>277.33</v>
      </c>
      <c r="AR18" s="65">
        <f t="shared" si="20"/>
        <v>209.99999999997954</v>
      </c>
      <c r="AS18" s="58">
        <v>404.91</v>
      </c>
      <c r="AT18" s="65">
        <f t="shared" si="21"/>
        <v>290.00000000002046</v>
      </c>
      <c r="AU18" s="58">
        <v>310.66000000000003</v>
      </c>
      <c r="AV18" s="65">
        <f t="shared" si="22"/>
        <v>189.99999999999773</v>
      </c>
      <c r="AW18" s="58">
        <v>342.66</v>
      </c>
      <c r="AX18" s="65">
        <f t="shared" si="23"/>
        <v>240.00000000000909</v>
      </c>
      <c r="AY18" s="58">
        <v>380.46</v>
      </c>
      <c r="AZ18" s="65">
        <f t="shared" si="24"/>
        <v>169.99999999995907</v>
      </c>
      <c r="BA18" s="58">
        <v>397.48</v>
      </c>
      <c r="BB18" s="65">
        <f t="shared" si="25"/>
        <v>250</v>
      </c>
      <c r="BC18" s="58">
        <v>254.88</v>
      </c>
      <c r="BD18" s="65">
        <f t="shared" si="26"/>
        <v>199.99999999998863</v>
      </c>
      <c r="BE18" s="59">
        <v>45647</v>
      </c>
      <c r="BF18" s="67">
        <f t="shared" si="27"/>
        <v>35</v>
      </c>
      <c r="BG18" s="60">
        <v>240.99</v>
      </c>
      <c r="BH18" s="65">
        <f t="shared" si="28"/>
        <v>50.000000000011369</v>
      </c>
      <c r="BI18" s="60">
        <v>297.68</v>
      </c>
      <c r="BJ18" s="65">
        <f t="shared" si="29"/>
        <v>50.000000000011369</v>
      </c>
      <c r="BK18" s="60">
        <v>243.63</v>
      </c>
      <c r="BL18" s="65">
        <f t="shared" si="30"/>
        <v>60.000000000002274</v>
      </c>
      <c r="BM18" s="60">
        <v>230.86</v>
      </c>
      <c r="BN18" s="65">
        <f t="shared" si="31"/>
        <v>50.000000000011369</v>
      </c>
      <c r="BO18" s="60">
        <v>295.86</v>
      </c>
      <c r="BP18" s="65">
        <f t="shared" si="32"/>
        <v>60.000000000002274</v>
      </c>
      <c r="BQ18" s="60">
        <v>50453</v>
      </c>
      <c r="BR18" s="65">
        <f t="shared" si="33"/>
        <v>48</v>
      </c>
      <c r="BS18" s="60">
        <v>206.99</v>
      </c>
      <c r="BT18" s="65">
        <f t="shared" si="34"/>
        <v>60.000000000002274</v>
      </c>
      <c r="BU18" s="60">
        <v>47072</v>
      </c>
      <c r="BV18" s="65">
        <f t="shared" si="35"/>
        <v>51</v>
      </c>
      <c r="BW18" s="60">
        <v>236.85</v>
      </c>
      <c r="BX18" s="65">
        <f t="shared" si="36"/>
        <v>39.999999999992042</v>
      </c>
      <c r="BY18" s="60">
        <v>66888</v>
      </c>
      <c r="BZ18" s="67">
        <f t="shared" si="37"/>
        <v>57</v>
      </c>
      <c r="CA18" s="60">
        <v>39706.699999999997</v>
      </c>
      <c r="CB18" s="67">
        <f t="shared" si="38"/>
        <v>82.299999999995634</v>
      </c>
      <c r="CC18" s="60">
        <v>13797.8</v>
      </c>
      <c r="CD18" s="67">
        <f t="shared" si="39"/>
        <v>12.599999999998545</v>
      </c>
      <c r="CE18" s="60">
        <v>7283</v>
      </c>
      <c r="CF18" s="67">
        <f t="shared" si="40"/>
        <v>11</v>
      </c>
      <c r="CG18" s="60">
        <v>67094.399999999994</v>
      </c>
      <c r="CH18" s="67">
        <f t="shared" si="41"/>
        <v>52.799999999988358</v>
      </c>
      <c r="CI18" s="60">
        <v>997012</v>
      </c>
      <c r="CJ18" s="67">
        <f t="shared" si="42"/>
        <v>359</v>
      </c>
      <c r="CK18" s="60">
        <v>873.66</v>
      </c>
      <c r="CL18" s="64">
        <f t="shared" si="43"/>
        <v>629.99999999999545</v>
      </c>
      <c r="CM18" s="65">
        <f t="shared" si="44"/>
        <v>127.20000000000073</v>
      </c>
      <c r="CN18" s="62">
        <v>16</v>
      </c>
      <c r="CO18" s="62">
        <v>42</v>
      </c>
      <c r="CP18" s="68">
        <v>18092</v>
      </c>
      <c r="CQ18" s="67">
        <f t="shared" si="45"/>
        <v>62.799999999999272</v>
      </c>
      <c r="CR18" s="68">
        <v>17882</v>
      </c>
      <c r="CS18" s="67">
        <f t="shared" si="46"/>
        <v>64.400000000001455</v>
      </c>
      <c r="CT18" s="75">
        <v>8351</v>
      </c>
      <c r="CU18" s="67">
        <f t="shared" si="47"/>
        <v>10</v>
      </c>
      <c r="CV18" s="68">
        <v>20170</v>
      </c>
      <c r="CW18" s="67">
        <f t="shared" si="48"/>
        <v>41</v>
      </c>
    </row>
    <row r="19" spans="1:101" ht="25.5" customHeight="1" thickBot="1" x14ac:dyDescent="0.45">
      <c r="A19" s="63">
        <v>44546</v>
      </c>
      <c r="B19" s="44"/>
      <c r="C19" s="58">
        <v>2.7035</v>
      </c>
      <c r="D19" s="64">
        <f t="shared" si="0"/>
        <v>2899.9999999999027</v>
      </c>
      <c r="E19" s="58">
        <v>3.7644000000000002</v>
      </c>
      <c r="F19" s="64">
        <f t="shared" si="1"/>
        <v>3200.0000000000919</v>
      </c>
      <c r="G19" s="58">
        <v>3.7776000000000001</v>
      </c>
      <c r="H19" s="64">
        <f t="shared" si="2"/>
        <v>2800.0000000001355</v>
      </c>
      <c r="I19" s="58">
        <v>1.8781000000000001</v>
      </c>
      <c r="J19" s="64">
        <f t="shared" si="3"/>
        <v>1500.0000000000568</v>
      </c>
      <c r="K19" s="58">
        <v>2.9866000000000001</v>
      </c>
      <c r="L19" s="64">
        <f t="shared" si="4"/>
        <v>2000.0000000002237</v>
      </c>
      <c r="M19" s="58">
        <v>1.6532</v>
      </c>
      <c r="N19" s="64">
        <f t="shared" si="5"/>
        <v>1200.0000000000898</v>
      </c>
      <c r="O19" s="58">
        <v>15737</v>
      </c>
      <c r="P19" s="67">
        <f t="shared" si="6"/>
        <v>8</v>
      </c>
      <c r="Q19" s="58">
        <v>1696</v>
      </c>
      <c r="R19" s="67">
        <f t="shared" si="7"/>
        <v>3</v>
      </c>
      <c r="S19" s="58">
        <v>1151.2</v>
      </c>
      <c r="T19" s="67">
        <f t="shared" si="8"/>
        <v>0.20000000000004547</v>
      </c>
      <c r="U19" s="58">
        <v>477798.6</v>
      </c>
      <c r="V19" s="67">
        <f t="shared" si="9"/>
        <v>132.09999999997672</v>
      </c>
      <c r="W19" s="58">
        <v>448.56</v>
      </c>
      <c r="X19" s="65">
        <f t="shared" si="10"/>
        <v>209.99999999997954</v>
      </c>
      <c r="Y19" s="58">
        <v>3.3031000000000001</v>
      </c>
      <c r="Z19" s="65">
        <f t="shared" si="11"/>
        <v>1900.0000000000127</v>
      </c>
      <c r="AA19" s="58">
        <v>451.19</v>
      </c>
      <c r="AB19" s="65">
        <f t="shared" si="12"/>
        <v>189.99999999999773</v>
      </c>
      <c r="AC19" s="58">
        <v>429.58</v>
      </c>
      <c r="AD19" s="65">
        <f t="shared" si="13"/>
        <v>169.99999999995907</v>
      </c>
      <c r="AE19" s="58">
        <v>629.72</v>
      </c>
      <c r="AF19" s="65">
        <f t="shared" si="14"/>
        <v>330.00000000004093</v>
      </c>
      <c r="AG19" s="58">
        <v>10754</v>
      </c>
      <c r="AH19" s="67">
        <f t="shared" si="15"/>
        <v>29</v>
      </c>
      <c r="AI19" s="58">
        <v>726.34</v>
      </c>
      <c r="AJ19" s="65">
        <f t="shared" si="16"/>
        <v>440.00000000005457</v>
      </c>
      <c r="AK19" s="58">
        <v>242.12</v>
      </c>
      <c r="AL19" s="65">
        <f t="shared" si="17"/>
        <v>170.00000000001592</v>
      </c>
      <c r="AM19" s="58">
        <v>225.46</v>
      </c>
      <c r="AN19" s="65">
        <f t="shared" si="18"/>
        <v>250</v>
      </c>
      <c r="AO19" s="58">
        <v>219.46</v>
      </c>
      <c r="AP19" s="65">
        <f t="shared" si="19"/>
        <v>189.99999999999773</v>
      </c>
      <c r="AQ19" s="58">
        <v>277.43</v>
      </c>
      <c r="AR19" s="65">
        <f t="shared" si="20"/>
        <v>100.00000000002274</v>
      </c>
      <c r="AS19" s="58">
        <v>405.02</v>
      </c>
      <c r="AT19" s="65">
        <f t="shared" si="21"/>
        <v>109.9999999999568</v>
      </c>
      <c r="AU19" s="58">
        <v>310.73</v>
      </c>
      <c r="AV19" s="65">
        <f t="shared" si="22"/>
        <v>69.999999999993179</v>
      </c>
      <c r="AW19" s="58">
        <v>342.77</v>
      </c>
      <c r="AX19" s="65">
        <f t="shared" si="23"/>
        <v>109.9999999999568</v>
      </c>
      <c r="AY19" s="58">
        <v>380.54</v>
      </c>
      <c r="AZ19" s="65">
        <f t="shared" si="24"/>
        <v>80.000000000040927</v>
      </c>
      <c r="BA19" s="58">
        <v>397.61</v>
      </c>
      <c r="BB19" s="65">
        <f t="shared" si="25"/>
        <v>129.99999999999545</v>
      </c>
      <c r="BC19" s="58">
        <v>254.98</v>
      </c>
      <c r="BD19" s="65">
        <f t="shared" si="26"/>
        <v>99.999999999994316</v>
      </c>
      <c r="BE19" s="59">
        <v>45687</v>
      </c>
      <c r="BF19" s="67">
        <f t="shared" si="27"/>
        <v>40</v>
      </c>
      <c r="BG19" s="60">
        <v>241.02</v>
      </c>
      <c r="BH19" s="65">
        <f t="shared" si="28"/>
        <v>30.000000000001137</v>
      </c>
      <c r="BI19" s="60">
        <v>297.7</v>
      </c>
      <c r="BJ19" s="65">
        <f t="shared" si="29"/>
        <v>19.99999999998181</v>
      </c>
      <c r="BK19" s="60">
        <v>243.65</v>
      </c>
      <c r="BL19" s="65">
        <f t="shared" si="30"/>
        <v>20.000000000010232</v>
      </c>
      <c r="BM19" s="60">
        <v>230.89</v>
      </c>
      <c r="BN19" s="65">
        <f t="shared" si="31"/>
        <v>29.999999999972715</v>
      </c>
      <c r="BO19" s="60">
        <v>295.91000000000003</v>
      </c>
      <c r="BP19" s="65">
        <f t="shared" si="32"/>
        <v>50.000000000011369</v>
      </c>
      <c r="BQ19" s="60">
        <v>50471</v>
      </c>
      <c r="BR19" s="65">
        <f t="shared" si="33"/>
        <v>18</v>
      </c>
      <c r="BS19" s="60">
        <v>207.02</v>
      </c>
      <c r="BT19" s="65">
        <f t="shared" si="34"/>
        <v>30.000000000001137</v>
      </c>
      <c r="BU19" s="60">
        <v>47096</v>
      </c>
      <c r="BV19" s="65">
        <f t="shared" si="35"/>
        <v>24</v>
      </c>
      <c r="BW19" s="60">
        <v>236.87</v>
      </c>
      <c r="BX19" s="65">
        <f t="shared" si="36"/>
        <v>20.000000000010232</v>
      </c>
      <c r="BY19" s="60">
        <v>66914</v>
      </c>
      <c r="BZ19" s="67">
        <f t="shared" si="37"/>
        <v>26</v>
      </c>
      <c r="CA19" s="60">
        <v>39747.5</v>
      </c>
      <c r="CB19" s="67">
        <f t="shared" si="38"/>
        <v>40.80000000000291</v>
      </c>
      <c r="CC19" s="60">
        <v>13800.3</v>
      </c>
      <c r="CD19" s="67">
        <f t="shared" si="39"/>
        <v>2.5</v>
      </c>
      <c r="CE19" s="60">
        <v>7283</v>
      </c>
      <c r="CF19" s="67">
        <f t="shared" si="40"/>
        <v>0</v>
      </c>
      <c r="CG19" s="60">
        <v>67105.100000000006</v>
      </c>
      <c r="CH19" s="67">
        <f t="shared" si="41"/>
        <v>10.700000000011642</v>
      </c>
      <c r="CI19" s="60">
        <v>997223</v>
      </c>
      <c r="CJ19" s="67">
        <f t="shared" si="42"/>
        <v>211</v>
      </c>
      <c r="CK19" s="60">
        <v>874.43</v>
      </c>
      <c r="CL19" s="64">
        <f t="shared" si="43"/>
        <v>769.99999999998181</v>
      </c>
      <c r="CM19" s="65">
        <f t="shared" si="44"/>
        <v>87</v>
      </c>
      <c r="CN19" s="62">
        <v>16</v>
      </c>
      <c r="CO19" s="62">
        <v>42</v>
      </c>
      <c r="CP19" s="68">
        <v>18152</v>
      </c>
      <c r="CQ19" s="67">
        <f t="shared" si="45"/>
        <v>60</v>
      </c>
      <c r="CR19" s="68">
        <v>17909</v>
      </c>
      <c r="CS19" s="67">
        <f t="shared" si="46"/>
        <v>27</v>
      </c>
      <c r="CT19" s="75">
        <v>8357</v>
      </c>
      <c r="CU19" s="67">
        <f t="shared" si="47"/>
        <v>6</v>
      </c>
      <c r="CV19" s="68">
        <v>20181</v>
      </c>
      <c r="CW19" s="67">
        <f t="shared" si="48"/>
        <v>11</v>
      </c>
    </row>
    <row r="20" spans="1:101" ht="25.5" customHeight="1" thickBot="1" x14ac:dyDescent="0.45">
      <c r="A20" s="63">
        <v>44547</v>
      </c>
      <c r="B20" s="44"/>
      <c r="C20" s="58">
        <v>2.706</v>
      </c>
      <c r="D20" s="64">
        <f t="shared" si="0"/>
        <v>2499.9999999999468</v>
      </c>
      <c r="E20" s="58">
        <v>3.7675999999999998</v>
      </c>
      <c r="F20" s="64">
        <f t="shared" si="1"/>
        <v>3199.9999999996476</v>
      </c>
      <c r="G20" s="58">
        <v>3.7801</v>
      </c>
      <c r="H20" s="64">
        <f t="shared" si="2"/>
        <v>2499.9999999999468</v>
      </c>
      <c r="I20" s="58">
        <v>1.8795999999999999</v>
      </c>
      <c r="J20" s="64">
        <f t="shared" si="3"/>
        <v>1499.9999999998347</v>
      </c>
      <c r="K20" s="58">
        <v>2.9885999999999999</v>
      </c>
      <c r="L20" s="64">
        <f t="shared" si="4"/>
        <v>1999.9999999997797</v>
      </c>
      <c r="M20" s="58">
        <v>1.6545000000000001</v>
      </c>
      <c r="N20" s="64">
        <f t="shared" si="5"/>
        <v>1300.0000000000789</v>
      </c>
      <c r="O20" s="58">
        <v>15748</v>
      </c>
      <c r="P20" s="67">
        <f t="shared" si="6"/>
        <v>11</v>
      </c>
      <c r="Q20" s="58">
        <v>1700</v>
      </c>
      <c r="R20" s="67">
        <f t="shared" si="7"/>
        <v>4</v>
      </c>
      <c r="S20" s="58">
        <v>1152.0999999999999</v>
      </c>
      <c r="T20" s="67">
        <f t="shared" si="8"/>
        <v>0.89999999999986358</v>
      </c>
      <c r="U20" s="58">
        <v>478169.59999999998</v>
      </c>
      <c r="V20" s="67">
        <f t="shared" si="9"/>
        <v>371</v>
      </c>
      <c r="W20" s="58">
        <v>448.94</v>
      </c>
      <c r="X20" s="65">
        <f t="shared" si="10"/>
        <v>379.99999999999545</v>
      </c>
      <c r="Y20" s="58">
        <v>3.306</v>
      </c>
      <c r="Z20" s="65">
        <f t="shared" si="11"/>
        <v>2899.9999999999027</v>
      </c>
      <c r="AA20" s="58">
        <v>451.6</v>
      </c>
      <c r="AB20" s="65">
        <f t="shared" si="12"/>
        <v>410.00000000002501</v>
      </c>
      <c r="AC20" s="58">
        <v>429.83</v>
      </c>
      <c r="AD20" s="65">
        <f t="shared" si="13"/>
        <v>250</v>
      </c>
      <c r="AE20" s="58">
        <v>630.29</v>
      </c>
      <c r="AF20" s="65">
        <f t="shared" si="14"/>
        <v>569.99999999993634</v>
      </c>
      <c r="AG20" s="58">
        <v>10791</v>
      </c>
      <c r="AH20" s="67">
        <f t="shared" si="15"/>
        <v>37</v>
      </c>
      <c r="AI20" s="58">
        <v>726.94</v>
      </c>
      <c r="AJ20" s="65">
        <f t="shared" si="16"/>
        <v>600.00000000002274</v>
      </c>
      <c r="AK20" s="58">
        <v>242.4</v>
      </c>
      <c r="AL20" s="65">
        <f t="shared" si="17"/>
        <v>280.00000000000114</v>
      </c>
      <c r="AM20" s="58">
        <v>225.71</v>
      </c>
      <c r="AN20" s="65">
        <f t="shared" si="18"/>
        <v>250</v>
      </c>
      <c r="AO20" s="58">
        <v>219.72</v>
      </c>
      <c r="AP20" s="65">
        <f t="shared" si="19"/>
        <v>259.99999999999091</v>
      </c>
      <c r="AQ20" s="58">
        <v>277.61</v>
      </c>
      <c r="AR20" s="65">
        <f t="shared" si="20"/>
        <v>180.00000000000682</v>
      </c>
      <c r="AS20" s="58">
        <v>405.16</v>
      </c>
      <c r="AT20" s="65">
        <f t="shared" si="21"/>
        <v>140.0000000000432</v>
      </c>
      <c r="AU20" s="58">
        <v>310.83</v>
      </c>
      <c r="AV20" s="65">
        <f t="shared" si="22"/>
        <v>99.999999999965894</v>
      </c>
      <c r="AW20" s="58">
        <v>342.93</v>
      </c>
      <c r="AX20" s="65">
        <f t="shared" si="23"/>
        <v>160.00000000002501</v>
      </c>
      <c r="AY20" s="58">
        <v>380.65</v>
      </c>
      <c r="AZ20" s="65">
        <f t="shared" si="24"/>
        <v>109.9999999999568</v>
      </c>
      <c r="BA20" s="58">
        <v>397.77</v>
      </c>
      <c r="BB20" s="65">
        <f t="shared" si="25"/>
        <v>159.99999999996817</v>
      </c>
      <c r="BC20" s="58">
        <v>255.13</v>
      </c>
      <c r="BD20" s="65">
        <f t="shared" si="26"/>
        <v>150.00000000000568</v>
      </c>
      <c r="BE20" s="59">
        <v>45742</v>
      </c>
      <c r="BF20" s="67">
        <f t="shared" si="27"/>
        <v>55</v>
      </c>
      <c r="BG20" s="60">
        <v>241.05</v>
      </c>
      <c r="BH20" s="65">
        <f t="shared" si="28"/>
        <v>30.000000000001137</v>
      </c>
      <c r="BI20" s="60">
        <v>297.74</v>
      </c>
      <c r="BJ20" s="65">
        <f t="shared" si="29"/>
        <v>40.000000000020464</v>
      </c>
      <c r="BK20" s="60">
        <v>243.69</v>
      </c>
      <c r="BL20" s="65">
        <f t="shared" si="30"/>
        <v>39.999999999992042</v>
      </c>
      <c r="BM20" s="60">
        <v>230.94</v>
      </c>
      <c r="BN20" s="65">
        <f t="shared" si="31"/>
        <v>50.000000000011369</v>
      </c>
      <c r="BO20" s="60">
        <v>295.95999999999998</v>
      </c>
      <c r="BP20" s="65">
        <f t="shared" si="32"/>
        <v>49.999999999954525</v>
      </c>
      <c r="BQ20" s="60">
        <v>50495</v>
      </c>
      <c r="BR20" s="65">
        <f t="shared" si="33"/>
        <v>24</v>
      </c>
      <c r="BS20" s="60">
        <v>207.09</v>
      </c>
      <c r="BT20" s="65">
        <f t="shared" si="34"/>
        <v>69.999999999993179</v>
      </c>
      <c r="BU20" s="60">
        <v>47128</v>
      </c>
      <c r="BV20" s="65">
        <f t="shared" si="35"/>
        <v>32</v>
      </c>
      <c r="BW20" s="60">
        <v>236.9</v>
      </c>
      <c r="BX20" s="65">
        <f t="shared" si="36"/>
        <v>30.000000000001137</v>
      </c>
      <c r="BY20" s="60">
        <v>66951</v>
      </c>
      <c r="BZ20" s="67">
        <f t="shared" si="37"/>
        <v>37</v>
      </c>
      <c r="CA20" s="60">
        <v>39810.800000000003</v>
      </c>
      <c r="CB20" s="67">
        <f t="shared" si="38"/>
        <v>63.30000000000291</v>
      </c>
      <c r="CC20" s="60">
        <v>13808.2</v>
      </c>
      <c r="CD20" s="67">
        <f t="shared" si="39"/>
        <v>7.9000000000014552</v>
      </c>
      <c r="CE20" s="60">
        <v>7296.4</v>
      </c>
      <c r="CF20" s="67">
        <f t="shared" si="40"/>
        <v>13.399999999999636</v>
      </c>
      <c r="CG20" s="60">
        <v>67139.8</v>
      </c>
      <c r="CH20" s="67">
        <f t="shared" si="41"/>
        <v>34.69999999999709</v>
      </c>
      <c r="CI20" s="60">
        <v>997531</v>
      </c>
      <c r="CJ20" s="67">
        <f t="shared" si="42"/>
        <v>308</v>
      </c>
      <c r="CK20" s="60">
        <v>874.95</v>
      </c>
      <c r="CL20" s="64">
        <f t="shared" si="43"/>
        <v>520.0000000000955</v>
      </c>
      <c r="CM20" s="65">
        <f t="shared" si="44"/>
        <v>68.5</v>
      </c>
      <c r="CN20" s="62">
        <v>16</v>
      </c>
      <c r="CO20" s="62">
        <v>42</v>
      </c>
      <c r="CP20" s="68">
        <v>18215.5</v>
      </c>
      <c r="CQ20" s="67">
        <f t="shared" si="45"/>
        <v>63.5</v>
      </c>
      <c r="CR20" s="68">
        <v>17914</v>
      </c>
      <c r="CS20" s="67">
        <f t="shared" si="46"/>
        <v>5</v>
      </c>
      <c r="CT20" s="75">
        <v>8365</v>
      </c>
      <c r="CU20" s="67">
        <f t="shared" si="47"/>
        <v>8</v>
      </c>
      <c r="CV20" s="68">
        <v>20194</v>
      </c>
      <c r="CW20" s="67">
        <f t="shared" si="48"/>
        <v>13</v>
      </c>
    </row>
    <row r="21" spans="1:101" ht="25.5" customHeight="1" thickBot="1" x14ac:dyDescent="0.45">
      <c r="A21" s="63">
        <v>44548</v>
      </c>
      <c r="B21" s="44"/>
      <c r="C21" s="58">
        <v>2.7090000000000001</v>
      </c>
      <c r="D21" s="64">
        <f t="shared" si="0"/>
        <v>3000.0000000001137</v>
      </c>
      <c r="E21" s="58">
        <v>3.7709000000000001</v>
      </c>
      <c r="F21" s="64">
        <f t="shared" si="1"/>
        <v>3300.0000000003029</v>
      </c>
      <c r="G21" s="58">
        <v>3.7827000000000002</v>
      </c>
      <c r="H21" s="64">
        <f t="shared" si="2"/>
        <v>2600.0000000001578</v>
      </c>
      <c r="I21" s="58">
        <v>1.8812</v>
      </c>
      <c r="J21" s="64">
        <f t="shared" si="3"/>
        <v>1600.0000000000459</v>
      </c>
      <c r="K21" s="58">
        <v>2.9906999999999999</v>
      </c>
      <c r="L21" s="64">
        <f t="shared" si="4"/>
        <v>2099.9999999999909</v>
      </c>
      <c r="M21" s="58">
        <v>1.6556999999999999</v>
      </c>
      <c r="N21" s="64">
        <f t="shared" si="5"/>
        <v>1199.9999999998679</v>
      </c>
      <c r="O21" s="58">
        <v>15749</v>
      </c>
      <c r="P21" s="67">
        <f t="shared" si="6"/>
        <v>1</v>
      </c>
      <c r="Q21" s="58">
        <v>1705</v>
      </c>
      <c r="R21" s="67">
        <f t="shared" si="7"/>
        <v>5</v>
      </c>
      <c r="S21" s="58">
        <v>1153.3</v>
      </c>
      <c r="T21" s="67">
        <f t="shared" si="8"/>
        <v>1.2000000000000455</v>
      </c>
      <c r="U21" s="58">
        <v>478641.3</v>
      </c>
      <c r="V21" s="67">
        <f t="shared" si="9"/>
        <v>471.70000000001164</v>
      </c>
      <c r="W21" s="58">
        <v>449.38</v>
      </c>
      <c r="X21" s="65">
        <f t="shared" si="10"/>
        <v>439.99999999999773</v>
      </c>
      <c r="Y21" s="58">
        <v>3.3092999999999999</v>
      </c>
      <c r="Z21" s="65">
        <f t="shared" si="11"/>
        <v>3299.9999999998586</v>
      </c>
      <c r="AA21" s="58">
        <v>451.91</v>
      </c>
      <c r="AB21" s="65">
        <f t="shared" si="12"/>
        <v>310.00000000000227</v>
      </c>
      <c r="AC21" s="58">
        <v>430.11</v>
      </c>
      <c r="AD21" s="65">
        <f t="shared" si="13"/>
        <v>280.00000000002956</v>
      </c>
      <c r="AE21" s="58">
        <v>630.82000000000005</v>
      </c>
      <c r="AF21" s="65">
        <f t="shared" si="14"/>
        <v>530.0000000000864</v>
      </c>
      <c r="AG21" s="58">
        <v>10827</v>
      </c>
      <c r="AH21" s="67">
        <f t="shared" si="15"/>
        <v>36</v>
      </c>
      <c r="AI21" s="58">
        <v>727.78</v>
      </c>
      <c r="AJ21" s="65">
        <f t="shared" si="16"/>
        <v>839.99999999991815</v>
      </c>
      <c r="AK21" s="58">
        <v>242.71</v>
      </c>
      <c r="AL21" s="65">
        <f t="shared" si="17"/>
        <v>310.00000000000227</v>
      </c>
      <c r="AM21" s="58">
        <v>225.98</v>
      </c>
      <c r="AN21" s="65">
        <f t="shared" si="18"/>
        <v>269.99999999998181</v>
      </c>
      <c r="AO21" s="58">
        <v>220</v>
      </c>
      <c r="AP21" s="65">
        <f t="shared" si="19"/>
        <v>280.00000000000114</v>
      </c>
      <c r="AQ21" s="58">
        <v>277.89</v>
      </c>
      <c r="AR21" s="65">
        <f t="shared" si="20"/>
        <v>279.99999999997272</v>
      </c>
      <c r="AS21" s="58">
        <v>405.35</v>
      </c>
      <c r="AT21" s="65">
        <f t="shared" si="21"/>
        <v>189.99999999999773</v>
      </c>
      <c r="AU21" s="58">
        <v>311.08999999999997</v>
      </c>
      <c r="AV21" s="65">
        <f t="shared" si="22"/>
        <v>259.99999999999091</v>
      </c>
      <c r="AW21" s="58">
        <v>343.18</v>
      </c>
      <c r="AX21" s="65">
        <f t="shared" si="23"/>
        <v>250</v>
      </c>
      <c r="AY21" s="58">
        <v>380.77</v>
      </c>
      <c r="AZ21" s="65">
        <f t="shared" si="24"/>
        <v>120.00000000000455</v>
      </c>
      <c r="BA21" s="58">
        <v>397.94</v>
      </c>
      <c r="BB21" s="65">
        <f t="shared" si="25"/>
        <v>170.00000000001592</v>
      </c>
      <c r="BC21" s="58">
        <v>255.3</v>
      </c>
      <c r="BD21" s="65">
        <f t="shared" si="26"/>
        <v>170.00000000001592</v>
      </c>
      <c r="BE21" s="59">
        <v>45802</v>
      </c>
      <c r="BF21" s="67">
        <f t="shared" si="27"/>
        <v>60</v>
      </c>
      <c r="BG21" s="60">
        <v>241.1</v>
      </c>
      <c r="BH21" s="65">
        <f t="shared" si="28"/>
        <v>49.999999999982947</v>
      </c>
      <c r="BI21" s="60">
        <v>297.79000000000002</v>
      </c>
      <c r="BJ21" s="65">
        <f t="shared" si="29"/>
        <v>50.000000000011369</v>
      </c>
      <c r="BK21" s="60">
        <v>243.73</v>
      </c>
      <c r="BL21" s="65">
        <f t="shared" si="30"/>
        <v>39.999999999992042</v>
      </c>
      <c r="BM21" s="60">
        <v>231.01</v>
      </c>
      <c r="BN21" s="65">
        <f t="shared" si="31"/>
        <v>69.999999999993179</v>
      </c>
      <c r="BO21" s="60">
        <v>296.02</v>
      </c>
      <c r="BP21" s="65">
        <f t="shared" si="32"/>
        <v>60.000000000002274</v>
      </c>
      <c r="BQ21" s="60">
        <v>50525</v>
      </c>
      <c r="BR21" s="65">
        <f t="shared" si="33"/>
        <v>30</v>
      </c>
      <c r="BS21" s="60">
        <v>207.15</v>
      </c>
      <c r="BT21" s="65">
        <f t="shared" si="34"/>
        <v>60.000000000002274</v>
      </c>
      <c r="BU21" s="60">
        <v>47170</v>
      </c>
      <c r="BV21" s="65">
        <f t="shared" si="35"/>
        <v>42</v>
      </c>
      <c r="BW21" s="60">
        <v>236.93</v>
      </c>
      <c r="BX21" s="65">
        <f t="shared" si="36"/>
        <v>30.000000000001137</v>
      </c>
      <c r="BY21" s="60">
        <v>66994</v>
      </c>
      <c r="BZ21" s="67">
        <f t="shared" si="37"/>
        <v>43</v>
      </c>
      <c r="CA21" s="60">
        <v>39874.300000000003</v>
      </c>
      <c r="CB21" s="67">
        <f t="shared" si="38"/>
        <v>63.5</v>
      </c>
      <c r="CC21" s="60">
        <v>13817</v>
      </c>
      <c r="CD21" s="67">
        <f t="shared" si="39"/>
        <v>8.7999999999992724</v>
      </c>
      <c r="CE21" s="60">
        <v>7297</v>
      </c>
      <c r="CF21" s="67">
        <f t="shared" si="40"/>
        <v>0.6000000000003638</v>
      </c>
      <c r="CG21" s="60">
        <v>67178.8</v>
      </c>
      <c r="CH21" s="67">
        <f t="shared" si="41"/>
        <v>39</v>
      </c>
      <c r="CI21" s="60">
        <v>997855</v>
      </c>
      <c r="CJ21" s="67">
        <f t="shared" si="42"/>
        <v>324</v>
      </c>
      <c r="CK21" s="60">
        <v>875.56</v>
      </c>
      <c r="CL21" s="64">
        <f t="shared" si="43"/>
        <v>609.99999999989996</v>
      </c>
      <c r="CM21" s="65">
        <f t="shared" si="44"/>
        <v>81.700000000000728</v>
      </c>
      <c r="CN21" s="62">
        <v>16</v>
      </c>
      <c r="CO21" s="62">
        <v>44</v>
      </c>
      <c r="CP21" s="68">
        <v>18278.2</v>
      </c>
      <c r="CQ21" s="67">
        <f t="shared" si="45"/>
        <v>62.700000000000728</v>
      </c>
      <c r="CR21" s="68">
        <v>17933</v>
      </c>
      <c r="CS21" s="67">
        <f t="shared" si="46"/>
        <v>19</v>
      </c>
      <c r="CT21" s="75">
        <v>8374</v>
      </c>
      <c r="CU21" s="67">
        <f t="shared" si="47"/>
        <v>9</v>
      </c>
      <c r="CV21" s="68">
        <v>20209</v>
      </c>
      <c r="CW21" s="67">
        <f t="shared" si="48"/>
        <v>15</v>
      </c>
    </row>
    <row r="22" spans="1:101" ht="25.5" customHeight="1" thickBot="1" x14ac:dyDescent="0.45">
      <c r="A22" s="63">
        <v>44549</v>
      </c>
      <c r="B22" s="44"/>
      <c r="C22" s="58">
        <v>2.7128000000000001</v>
      </c>
      <c r="D22" s="64">
        <f t="shared" si="0"/>
        <v>3800.0000000000255</v>
      </c>
      <c r="E22" s="58">
        <v>3.7744</v>
      </c>
      <c r="F22" s="64">
        <f t="shared" si="1"/>
        <v>3499.9999999998367</v>
      </c>
      <c r="G22" s="58">
        <v>3.7856999999999998</v>
      </c>
      <c r="H22" s="64">
        <f t="shared" si="2"/>
        <v>2999.9999999996694</v>
      </c>
      <c r="I22" s="58">
        <v>1.8829</v>
      </c>
      <c r="J22" s="64">
        <f t="shared" si="3"/>
        <v>1700.0000000000348</v>
      </c>
      <c r="K22" s="58">
        <v>2.9931000000000001</v>
      </c>
      <c r="L22" s="64">
        <f t="shared" si="4"/>
        <v>2400.0000000001796</v>
      </c>
      <c r="M22" s="58">
        <v>1.6569</v>
      </c>
      <c r="N22" s="64">
        <f t="shared" si="5"/>
        <v>1200.0000000000898</v>
      </c>
      <c r="O22" s="58">
        <v>15765</v>
      </c>
      <c r="P22" s="67">
        <f t="shared" si="6"/>
        <v>16</v>
      </c>
      <c r="Q22" s="58">
        <v>1711</v>
      </c>
      <c r="R22" s="67">
        <f t="shared" si="7"/>
        <v>6</v>
      </c>
      <c r="S22" s="58">
        <v>1154.4000000000001</v>
      </c>
      <c r="T22" s="67">
        <f t="shared" si="8"/>
        <v>1.1000000000001364</v>
      </c>
      <c r="U22" s="58">
        <v>479155.3</v>
      </c>
      <c r="V22" s="67">
        <f t="shared" si="9"/>
        <v>514</v>
      </c>
      <c r="W22" s="58">
        <v>449.8</v>
      </c>
      <c r="X22" s="65">
        <f t="shared" si="10"/>
        <v>420.00000000001592</v>
      </c>
      <c r="Y22" s="58">
        <v>3.3123</v>
      </c>
      <c r="Z22" s="65">
        <f t="shared" si="11"/>
        <v>3000.0000000001137</v>
      </c>
      <c r="AA22" s="58">
        <v>452.38</v>
      </c>
      <c r="AB22" s="65">
        <f t="shared" si="12"/>
        <v>469.99999999997044</v>
      </c>
      <c r="AC22" s="58">
        <v>430.38</v>
      </c>
      <c r="AD22" s="65">
        <f t="shared" si="13"/>
        <v>269.99999999998181</v>
      </c>
      <c r="AE22" s="58">
        <v>631.25</v>
      </c>
      <c r="AF22" s="65">
        <f t="shared" si="14"/>
        <v>429.99999999994998</v>
      </c>
      <c r="AG22" s="58">
        <v>10866</v>
      </c>
      <c r="AH22" s="67">
        <f t="shared" si="15"/>
        <v>39</v>
      </c>
      <c r="AI22" s="58">
        <v>728.69</v>
      </c>
      <c r="AJ22" s="65">
        <f t="shared" si="16"/>
        <v>910.00000000008185</v>
      </c>
      <c r="AK22" s="58">
        <v>243</v>
      </c>
      <c r="AL22" s="65">
        <f t="shared" si="17"/>
        <v>289.99999999999204</v>
      </c>
      <c r="AM22" s="58">
        <v>226.3</v>
      </c>
      <c r="AN22" s="65">
        <f t="shared" si="18"/>
        <v>320.0000000000216</v>
      </c>
      <c r="AO22" s="58">
        <v>220.29</v>
      </c>
      <c r="AP22" s="65">
        <f t="shared" si="19"/>
        <v>289.99999999999204</v>
      </c>
      <c r="AQ22" s="58">
        <v>278.26</v>
      </c>
      <c r="AR22" s="65">
        <f t="shared" si="20"/>
        <v>370.00000000000455</v>
      </c>
      <c r="AS22" s="58">
        <v>405.54</v>
      </c>
      <c r="AT22" s="65">
        <f t="shared" si="21"/>
        <v>189.99999999999773</v>
      </c>
      <c r="AU22" s="58">
        <v>311.42</v>
      </c>
      <c r="AV22" s="65">
        <f t="shared" si="22"/>
        <v>330.00000000004093</v>
      </c>
      <c r="AW22" s="58">
        <v>343.35</v>
      </c>
      <c r="AX22" s="65">
        <f t="shared" si="23"/>
        <v>170.00000000001592</v>
      </c>
      <c r="AY22" s="58">
        <v>380.9</v>
      </c>
      <c r="AZ22" s="65">
        <f t="shared" si="24"/>
        <v>129.99999999999545</v>
      </c>
      <c r="BA22" s="58">
        <v>398.13</v>
      </c>
      <c r="BB22" s="65">
        <f t="shared" si="25"/>
        <v>189.99999999999773</v>
      </c>
      <c r="BC22" s="58">
        <v>255.49</v>
      </c>
      <c r="BD22" s="65">
        <f t="shared" si="26"/>
        <v>189.99999999999773</v>
      </c>
      <c r="BE22" s="59">
        <v>45828</v>
      </c>
      <c r="BF22" s="67">
        <f t="shared" si="27"/>
        <v>26</v>
      </c>
      <c r="BG22" s="60">
        <v>241.15</v>
      </c>
      <c r="BH22" s="65">
        <f t="shared" si="28"/>
        <v>50.000000000011369</v>
      </c>
      <c r="BI22" s="60">
        <v>297.83</v>
      </c>
      <c r="BJ22" s="65">
        <f t="shared" si="29"/>
        <v>39.99999999996362</v>
      </c>
      <c r="BK22" s="60">
        <v>243.77</v>
      </c>
      <c r="BL22" s="65">
        <f t="shared" si="30"/>
        <v>40.000000000020464</v>
      </c>
      <c r="BM22" s="60">
        <v>231.06</v>
      </c>
      <c r="BN22" s="65">
        <f t="shared" si="31"/>
        <v>50.000000000011369</v>
      </c>
      <c r="BO22" s="60">
        <v>296.06</v>
      </c>
      <c r="BP22" s="65">
        <f t="shared" si="32"/>
        <v>40.000000000020464</v>
      </c>
      <c r="BQ22" s="60">
        <v>50556</v>
      </c>
      <c r="BR22" s="65">
        <f t="shared" si="33"/>
        <v>31</v>
      </c>
      <c r="BS22" s="60">
        <v>207.22</v>
      </c>
      <c r="BT22" s="65">
        <f t="shared" si="34"/>
        <v>69.999999999993179</v>
      </c>
      <c r="BU22" s="60">
        <v>47212</v>
      </c>
      <c r="BV22" s="65">
        <f t="shared" si="35"/>
        <v>42</v>
      </c>
      <c r="BW22" s="60">
        <v>236.96</v>
      </c>
      <c r="BX22" s="65">
        <f t="shared" si="36"/>
        <v>30.000000000001137</v>
      </c>
      <c r="BY22" s="60">
        <v>67041</v>
      </c>
      <c r="BZ22" s="67">
        <f t="shared" si="37"/>
        <v>47</v>
      </c>
      <c r="CA22" s="60">
        <v>39941.199999999997</v>
      </c>
      <c r="CB22" s="67">
        <f t="shared" si="38"/>
        <v>66.899999999994179</v>
      </c>
      <c r="CC22" s="60">
        <v>13821.4</v>
      </c>
      <c r="CD22" s="67">
        <f t="shared" si="39"/>
        <v>4.3999999999996362</v>
      </c>
      <c r="CE22" s="60">
        <v>7306.7</v>
      </c>
      <c r="CF22" s="67">
        <f t="shared" si="40"/>
        <v>9.6999999999998181</v>
      </c>
      <c r="CG22" s="60">
        <v>67215.899999999994</v>
      </c>
      <c r="CH22" s="67">
        <f t="shared" si="41"/>
        <v>37.099999999991269</v>
      </c>
      <c r="CI22" s="60">
        <v>998146</v>
      </c>
      <c r="CJ22" s="67">
        <f t="shared" si="42"/>
        <v>291</v>
      </c>
      <c r="CK22" s="60">
        <v>876.18</v>
      </c>
      <c r="CL22" s="64">
        <f t="shared" si="43"/>
        <v>620.00000000000455</v>
      </c>
      <c r="CM22" s="65">
        <f t="shared" si="44"/>
        <v>91.099999999998545</v>
      </c>
      <c r="CN22" s="62">
        <v>16</v>
      </c>
      <c r="CO22" s="62">
        <v>44</v>
      </c>
      <c r="CP22" s="68">
        <v>18343.3</v>
      </c>
      <c r="CQ22" s="67">
        <f t="shared" si="45"/>
        <v>65.099999999998545</v>
      </c>
      <c r="CR22" s="68">
        <v>17959</v>
      </c>
      <c r="CS22" s="67">
        <f t="shared" si="46"/>
        <v>26</v>
      </c>
      <c r="CT22" s="75">
        <v>8382</v>
      </c>
      <c r="CU22" s="67">
        <f t="shared" si="47"/>
        <v>8</v>
      </c>
      <c r="CV22" s="68">
        <v>20223</v>
      </c>
      <c r="CW22" s="67">
        <f t="shared" si="48"/>
        <v>14</v>
      </c>
    </row>
    <row r="23" spans="1:101" ht="25.5" customHeight="1" thickBot="1" x14ac:dyDescent="0.45">
      <c r="A23" s="63">
        <v>44550</v>
      </c>
      <c r="B23" s="44"/>
      <c r="C23" s="58">
        <v>2.7162000000000002</v>
      </c>
      <c r="D23" s="64">
        <f t="shared" si="0"/>
        <v>3400.0000000000696</v>
      </c>
      <c r="E23" s="58">
        <v>3.7778999999999998</v>
      </c>
      <c r="F23" s="64">
        <f t="shared" si="1"/>
        <v>3499.9999999998367</v>
      </c>
      <c r="G23" s="58">
        <v>3.7888000000000002</v>
      </c>
      <c r="H23" s="64">
        <f t="shared" si="2"/>
        <v>3100.0000000003247</v>
      </c>
      <c r="I23" s="58">
        <v>1.8846000000000001</v>
      </c>
      <c r="J23" s="64">
        <f t="shared" si="3"/>
        <v>1700.0000000000348</v>
      </c>
      <c r="K23" s="58">
        <v>2.9954000000000001</v>
      </c>
      <c r="L23" s="64">
        <f t="shared" si="4"/>
        <v>2299.9999999999686</v>
      </c>
      <c r="M23" s="58">
        <v>1.6581999999999999</v>
      </c>
      <c r="N23" s="64">
        <f t="shared" si="5"/>
        <v>1299.9999999998568</v>
      </c>
      <c r="O23" s="58"/>
      <c r="P23" s="67" t="str">
        <f t="shared" si="6"/>
        <v/>
      </c>
      <c r="Q23" s="58">
        <v>1716</v>
      </c>
      <c r="R23" s="67">
        <f t="shared" si="7"/>
        <v>5</v>
      </c>
      <c r="S23" s="58">
        <v>1155.5999999999999</v>
      </c>
      <c r="T23" s="67">
        <f t="shared" si="8"/>
        <v>1.1999999999998181</v>
      </c>
      <c r="U23" s="58">
        <v>479714.8</v>
      </c>
      <c r="V23" s="67">
        <f t="shared" si="9"/>
        <v>559.5</v>
      </c>
      <c r="W23" s="58">
        <v>450.17</v>
      </c>
      <c r="X23" s="65">
        <f t="shared" si="10"/>
        <v>370.00000000000455</v>
      </c>
      <c r="Y23" s="58">
        <v>3.3155000000000001</v>
      </c>
      <c r="Z23" s="65">
        <f t="shared" si="11"/>
        <v>3200.0000000000919</v>
      </c>
      <c r="AA23" s="58">
        <v>452.81</v>
      </c>
      <c r="AB23" s="65">
        <f t="shared" si="12"/>
        <v>430.00000000000682</v>
      </c>
      <c r="AC23" s="58">
        <v>430.65</v>
      </c>
      <c r="AD23" s="65">
        <f t="shared" si="13"/>
        <v>269.99999999998181</v>
      </c>
      <c r="AE23" s="58">
        <v>631.74</v>
      </c>
      <c r="AF23" s="65">
        <f t="shared" si="14"/>
        <v>490.00000000000909</v>
      </c>
      <c r="AG23" s="58">
        <v>10903</v>
      </c>
      <c r="AH23" s="67">
        <f t="shared" si="15"/>
        <v>37</v>
      </c>
      <c r="AI23" s="58">
        <v>729.57</v>
      </c>
      <c r="AJ23" s="65">
        <f t="shared" si="16"/>
        <v>879.99999999999545</v>
      </c>
      <c r="AK23" s="58">
        <v>243.26</v>
      </c>
      <c r="AL23" s="65">
        <f t="shared" si="17"/>
        <v>259.99999999999091</v>
      </c>
      <c r="AM23" s="58">
        <v>226.6</v>
      </c>
      <c r="AN23" s="65">
        <f t="shared" si="18"/>
        <v>299.99999999998295</v>
      </c>
      <c r="AO23" s="58">
        <v>220.54</v>
      </c>
      <c r="AP23" s="65">
        <f t="shared" si="19"/>
        <v>250</v>
      </c>
      <c r="AQ23" s="58">
        <v>278.58</v>
      </c>
      <c r="AR23" s="65">
        <f t="shared" si="20"/>
        <v>319.99999999999318</v>
      </c>
      <c r="AS23" s="58">
        <v>405.72</v>
      </c>
      <c r="AT23" s="65">
        <f t="shared" si="21"/>
        <v>180.00000000000682</v>
      </c>
      <c r="AU23" s="58">
        <v>311.64999999999998</v>
      </c>
      <c r="AV23" s="65">
        <f t="shared" si="22"/>
        <v>229.99999999996135</v>
      </c>
      <c r="AW23" s="58">
        <v>343.49</v>
      </c>
      <c r="AX23" s="65">
        <f t="shared" si="23"/>
        <v>139.99999999998636</v>
      </c>
      <c r="AY23" s="58">
        <v>381.01</v>
      </c>
      <c r="AZ23" s="65">
        <f t="shared" si="24"/>
        <v>110.00000000001364</v>
      </c>
      <c r="BA23" s="58">
        <v>398.29</v>
      </c>
      <c r="BB23" s="65">
        <f t="shared" si="25"/>
        <v>160.00000000002501</v>
      </c>
      <c r="BC23" s="58">
        <v>255.66</v>
      </c>
      <c r="BD23" s="65">
        <f t="shared" si="26"/>
        <v>169.99999999998749</v>
      </c>
      <c r="BE23" s="59">
        <v>45877</v>
      </c>
      <c r="BF23" s="67">
        <f t="shared" si="27"/>
        <v>49</v>
      </c>
      <c r="BG23" s="60">
        <v>241.2</v>
      </c>
      <c r="BH23" s="65">
        <f t="shared" si="28"/>
        <v>49.999999999982947</v>
      </c>
      <c r="BI23" s="60">
        <v>297.87</v>
      </c>
      <c r="BJ23" s="65">
        <f t="shared" si="29"/>
        <v>40.000000000020464</v>
      </c>
      <c r="BK23" s="60">
        <v>243.81</v>
      </c>
      <c r="BL23" s="65">
        <f t="shared" si="30"/>
        <v>39.999999999992042</v>
      </c>
      <c r="BM23" s="60">
        <v>231.1</v>
      </c>
      <c r="BN23" s="65">
        <f t="shared" si="31"/>
        <v>39.999999999992042</v>
      </c>
      <c r="BO23" s="60">
        <v>296.14999999999998</v>
      </c>
      <c r="BP23" s="65">
        <f t="shared" si="32"/>
        <v>89.999999999974989</v>
      </c>
      <c r="BQ23" s="60">
        <v>50587</v>
      </c>
      <c r="BR23" s="65">
        <f t="shared" si="33"/>
        <v>31</v>
      </c>
      <c r="BS23" s="60">
        <v>207.27</v>
      </c>
      <c r="BT23" s="65">
        <f t="shared" si="34"/>
        <v>50.000000000011369</v>
      </c>
      <c r="BU23" s="60">
        <v>47259</v>
      </c>
      <c r="BV23" s="65">
        <f t="shared" si="35"/>
        <v>47</v>
      </c>
      <c r="BW23" s="60">
        <v>237</v>
      </c>
      <c r="BX23" s="65">
        <f t="shared" si="36"/>
        <v>39.999999999992042</v>
      </c>
      <c r="BY23" s="60">
        <v>67082</v>
      </c>
      <c r="BZ23" s="67">
        <f t="shared" si="37"/>
        <v>41</v>
      </c>
      <c r="CA23" s="60">
        <v>40006.9</v>
      </c>
      <c r="CB23" s="67">
        <f t="shared" si="38"/>
        <v>65.700000000004366</v>
      </c>
      <c r="CC23" s="60">
        <v>13827.2</v>
      </c>
      <c r="CD23" s="67">
        <f t="shared" si="39"/>
        <v>5.8000000000010914</v>
      </c>
      <c r="CE23" s="60"/>
      <c r="CF23" s="67" t="str">
        <f t="shared" si="40"/>
        <v/>
      </c>
      <c r="CG23" s="60">
        <v>67260.399999999994</v>
      </c>
      <c r="CH23" s="67">
        <f t="shared" si="41"/>
        <v>44.5</v>
      </c>
      <c r="CI23" s="60">
        <v>998454</v>
      </c>
      <c r="CJ23" s="67">
        <f t="shared" si="42"/>
        <v>308</v>
      </c>
      <c r="CK23" s="60">
        <v>876.82</v>
      </c>
      <c r="CL23" s="64">
        <f t="shared" si="43"/>
        <v>640.00000000010004</v>
      </c>
      <c r="CM23" s="65">
        <f t="shared" si="44"/>
        <v>101.5</v>
      </c>
      <c r="CN23" s="62">
        <v>17</v>
      </c>
      <c r="CO23" s="62">
        <v>50</v>
      </c>
      <c r="CP23" s="68">
        <v>18420.8</v>
      </c>
      <c r="CQ23" s="67">
        <f t="shared" si="45"/>
        <v>77.5</v>
      </c>
      <c r="CR23" s="68">
        <v>17983</v>
      </c>
      <c r="CS23" s="67">
        <f t="shared" si="46"/>
        <v>24</v>
      </c>
      <c r="CT23" s="75">
        <v>8391</v>
      </c>
      <c r="CU23" s="67">
        <f t="shared" si="47"/>
        <v>9</v>
      </c>
      <c r="CV23" s="68">
        <v>20238</v>
      </c>
      <c r="CW23" s="67">
        <f t="shared" si="48"/>
        <v>15</v>
      </c>
    </row>
    <row r="24" spans="1:101" ht="25.5" customHeight="1" thickBot="1" x14ac:dyDescent="0.45">
      <c r="A24" s="63">
        <v>44551</v>
      </c>
      <c r="B24" s="44"/>
      <c r="C24" s="58"/>
      <c r="D24" s="64" t="str">
        <f t="shared" si="0"/>
        <v>0</v>
      </c>
      <c r="E24" s="58"/>
      <c r="F24" s="64" t="str">
        <f t="shared" si="1"/>
        <v>0</v>
      </c>
      <c r="G24" s="58"/>
      <c r="H24" s="64" t="str">
        <f t="shared" si="2"/>
        <v>0</v>
      </c>
      <c r="I24" s="58"/>
      <c r="J24" s="64" t="str">
        <f t="shared" si="3"/>
        <v>0</v>
      </c>
      <c r="K24" s="58"/>
      <c r="L24" s="64" t="str">
        <f t="shared" si="4"/>
        <v>0</v>
      </c>
      <c r="M24" s="58"/>
      <c r="N24" s="64" t="str">
        <f t="shared" si="5"/>
        <v/>
      </c>
      <c r="O24" s="58"/>
      <c r="P24" s="67">
        <f t="shared" si="6"/>
        <v>0</v>
      </c>
      <c r="Q24" s="58"/>
      <c r="R24" s="67" t="str">
        <f t="shared" si="7"/>
        <v/>
      </c>
      <c r="S24" s="58"/>
      <c r="T24" s="67" t="str">
        <f t="shared" si="8"/>
        <v/>
      </c>
      <c r="U24" s="58"/>
      <c r="V24" s="67" t="str">
        <f t="shared" si="9"/>
        <v/>
      </c>
      <c r="W24" s="58"/>
      <c r="X24" s="65" t="str">
        <f t="shared" si="10"/>
        <v/>
      </c>
      <c r="Y24" s="58"/>
      <c r="Z24" s="65" t="str">
        <f t="shared" si="11"/>
        <v/>
      </c>
      <c r="AA24" s="58"/>
      <c r="AB24" s="65" t="str">
        <f t="shared" si="12"/>
        <v/>
      </c>
      <c r="AC24" s="58"/>
      <c r="AD24" s="65" t="str">
        <f t="shared" si="13"/>
        <v/>
      </c>
      <c r="AE24" s="58"/>
      <c r="AF24" s="65" t="str">
        <f t="shared" si="14"/>
        <v/>
      </c>
      <c r="AG24" s="58"/>
      <c r="AH24" s="67" t="str">
        <f t="shared" si="15"/>
        <v/>
      </c>
      <c r="AI24" s="58"/>
      <c r="AJ24" s="65" t="str">
        <f t="shared" si="16"/>
        <v/>
      </c>
      <c r="AK24" s="58"/>
      <c r="AL24" s="65" t="str">
        <f t="shared" si="17"/>
        <v/>
      </c>
      <c r="AM24" s="58"/>
      <c r="AN24" s="65" t="str">
        <f t="shared" si="18"/>
        <v/>
      </c>
      <c r="AO24" s="58"/>
      <c r="AP24" s="65" t="str">
        <f t="shared" si="19"/>
        <v/>
      </c>
      <c r="AQ24" s="58"/>
      <c r="AR24" s="65" t="str">
        <f t="shared" si="20"/>
        <v/>
      </c>
      <c r="AS24" s="58"/>
      <c r="AT24" s="65" t="str">
        <f t="shared" si="21"/>
        <v/>
      </c>
      <c r="AU24" s="58"/>
      <c r="AV24" s="65" t="str">
        <f t="shared" si="22"/>
        <v/>
      </c>
      <c r="AW24" s="58"/>
      <c r="AX24" s="65" t="str">
        <f t="shared" si="23"/>
        <v/>
      </c>
      <c r="AY24" s="58"/>
      <c r="AZ24" s="65" t="str">
        <f t="shared" si="24"/>
        <v/>
      </c>
      <c r="BA24" s="58"/>
      <c r="BB24" s="65" t="str">
        <f t="shared" si="25"/>
        <v/>
      </c>
      <c r="BC24" s="58"/>
      <c r="BD24" s="65" t="str">
        <f t="shared" si="26"/>
        <v/>
      </c>
      <c r="BE24" s="59"/>
      <c r="BF24" s="67" t="str">
        <f t="shared" si="27"/>
        <v/>
      </c>
      <c r="BG24" s="60"/>
      <c r="BH24" s="65" t="str">
        <f t="shared" si="28"/>
        <v/>
      </c>
      <c r="BI24" s="60"/>
      <c r="BJ24" s="65" t="str">
        <f t="shared" si="29"/>
        <v/>
      </c>
      <c r="BK24" s="60"/>
      <c r="BL24" s="65" t="str">
        <f t="shared" si="30"/>
        <v/>
      </c>
      <c r="BM24" s="60"/>
      <c r="BN24" s="65" t="str">
        <f t="shared" si="31"/>
        <v/>
      </c>
      <c r="BO24" s="60"/>
      <c r="BP24" s="65" t="str">
        <f t="shared" si="32"/>
        <v/>
      </c>
      <c r="BQ24" s="60"/>
      <c r="BR24" s="65" t="str">
        <f t="shared" si="33"/>
        <v/>
      </c>
      <c r="BS24" s="60"/>
      <c r="BT24" s="65" t="str">
        <f t="shared" si="34"/>
        <v/>
      </c>
      <c r="BU24" s="60"/>
      <c r="BV24" s="65" t="str">
        <f t="shared" si="35"/>
        <v/>
      </c>
      <c r="BW24" s="60"/>
      <c r="BX24" s="65" t="str">
        <f t="shared" si="36"/>
        <v/>
      </c>
      <c r="BY24" s="60"/>
      <c r="BZ24" s="67" t="str">
        <f t="shared" si="37"/>
        <v/>
      </c>
      <c r="CA24" s="60"/>
      <c r="CB24" s="67" t="str">
        <f t="shared" si="38"/>
        <v/>
      </c>
      <c r="CC24" s="60"/>
      <c r="CD24" s="67" t="str">
        <f t="shared" si="39"/>
        <v/>
      </c>
      <c r="CE24" s="60"/>
      <c r="CF24" s="67">
        <f t="shared" si="40"/>
        <v>0</v>
      </c>
      <c r="CG24" s="60"/>
      <c r="CH24" s="67" t="str">
        <f t="shared" si="41"/>
        <v/>
      </c>
      <c r="CI24" s="60"/>
      <c r="CJ24" s="67" t="str">
        <f t="shared" si="42"/>
        <v/>
      </c>
      <c r="CK24" s="60"/>
      <c r="CL24" s="64" t="str">
        <f t="shared" si="43"/>
        <v/>
      </c>
      <c r="CM24" s="65" t="e">
        <f t="shared" si="44"/>
        <v>#VALUE!</v>
      </c>
      <c r="CN24" s="62"/>
      <c r="CO24" s="62"/>
      <c r="CP24" s="68"/>
      <c r="CQ24" s="67" t="str">
        <f t="shared" si="45"/>
        <v/>
      </c>
      <c r="CR24" s="68"/>
      <c r="CS24" s="67" t="str">
        <f t="shared" si="46"/>
        <v/>
      </c>
      <c r="CT24" s="75"/>
      <c r="CU24" s="67" t="str">
        <f t="shared" si="47"/>
        <v/>
      </c>
      <c r="CV24" s="68"/>
      <c r="CW24" s="67" t="str">
        <f t="shared" si="48"/>
        <v/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6" zoomScaleNormal="100" workbookViewId="0">
      <selection activeCell="B28" sqref="B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>
        <v>0</v>
      </c>
      <c r="C19" s="40">
        <v>13</v>
      </c>
      <c r="D19" s="40">
        <v>36</v>
      </c>
      <c r="E19" s="41">
        <v>65</v>
      </c>
      <c r="F19" s="41">
        <v>6185</v>
      </c>
      <c r="G19" s="41">
        <v>85</v>
      </c>
      <c r="H19" s="41">
        <v>1902</v>
      </c>
      <c r="I19" s="41">
        <v>85</v>
      </c>
      <c r="J19" s="41">
        <v>519</v>
      </c>
      <c r="K19" s="42">
        <v>85</v>
      </c>
      <c r="L19" s="42">
        <v>10</v>
      </c>
      <c r="M19" s="42">
        <v>1501</v>
      </c>
      <c r="N19" s="39">
        <v>80</v>
      </c>
      <c r="O19" s="39">
        <v>85</v>
      </c>
      <c r="P19" s="39">
        <v>85</v>
      </c>
      <c r="Q19" s="39">
        <v>4473</v>
      </c>
      <c r="R19" s="77">
        <v>85</v>
      </c>
      <c r="S19" s="77">
        <v>219</v>
      </c>
      <c r="T19">
        <f t="shared" si="0"/>
        <v>0</v>
      </c>
    </row>
    <row r="20" spans="1:20" x14ac:dyDescent="0.25">
      <c r="A20" s="73">
        <v>44543</v>
      </c>
      <c r="B20" s="40">
        <v>0</v>
      </c>
      <c r="C20" s="40">
        <v>13</v>
      </c>
      <c r="D20" s="40">
        <v>36</v>
      </c>
      <c r="E20" s="41">
        <v>55</v>
      </c>
      <c r="F20" s="41">
        <v>6190</v>
      </c>
      <c r="G20" s="41">
        <v>85</v>
      </c>
      <c r="H20" s="41">
        <v>1904</v>
      </c>
      <c r="I20" s="41">
        <v>85</v>
      </c>
      <c r="J20" s="41">
        <v>520</v>
      </c>
      <c r="K20" s="42">
        <v>85</v>
      </c>
      <c r="L20" s="42">
        <v>10</v>
      </c>
      <c r="M20" s="42">
        <v>1503</v>
      </c>
      <c r="N20" s="39">
        <v>79</v>
      </c>
      <c r="O20" s="39">
        <v>85</v>
      </c>
      <c r="P20" s="39">
        <v>85</v>
      </c>
      <c r="Q20" s="39">
        <v>4475</v>
      </c>
      <c r="R20" s="77">
        <v>85</v>
      </c>
      <c r="S20" s="77">
        <v>219</v>
      </c>
      <c r="T20">
        <f t="shared" si="0"/>
        <v>0</v>
      </c>
    </row>
    <row r="21" spans="1:20" x14ac:dyDescent="0.25">
      <c r="A21" s="73">
        <v>44544</v>
      </c>
      <c r="B21" s="40">
        <v>0</v>
      </c>
      <c r="C21" s="40">
        <v>13</v>
      </c>
      <c r="D21" s="40">
        <v>36</v>
      </c>
      <c r="E21" s="41">
        <v>45</v>
      </c>
      <c r="F21" s="41">
        <v>6195</v>
      </c>
      <c r="G21" s="41">
        <v>85</v>
      </c>
      <c r="H21" s="41">
        <v>1906</v>
      </c>
      <c r="I21" s="41">
        <v>85</v>
      </c>
      <c r="J21" s="41">
        <v>521</v>
      </c>
      <c r="K21" s="42">
        <v>85</v>
      </c>
      <c r="L21" s="42">
        <v>10</v>
      </c>
      <c r="M21" s="42">
        <v>1503</v>
      </c>
      <c r="N21" s="39">
        <v>75</v>
      </c>
      <c r="O21" s="39">
        <v>85</v>
      </c>
      <c r="P21" s="39">
        <v>85</v>
      </c>
      <c r="Q21" s="39">
        <v>4478</v>
      </c>
      <c r="R21" s="77">
        <v>85</v>
      </c>
      <c r="S21" s="77">
        <v>219</v>
      </c>
      <c r="T21">
        <f t="shared" si="0"/>
        <v>0</v>
      </c>
    </row>
    <row r="22" spans="1:20" x14ac:dyDescent="0.25">
      <c r="A22" s="73">
        <v>44545</v>
      </c>
      <c r="B22" s="40">
        <v>0</v>
      </c>
      <c r="C22" s="40">
        <v>16</v>
      </c>
      <c r="D22" s="40">
        <v>42</v>
      </c>
      <c r="E22" s="41">
        <v>34</v>
      </c>
      <c r="F22" s="41">
        <v>6201</v>
      </c>
      <c r="G22" s="41">
        <v>85</v>
      </c>
      <c r="H22" s="41">
        <v>1908</v>
      </c>
      <c r="I22" s="41">
        <v>85</v>
      </c>
      <c r="J22" s="41">
        <v>522</v>
      </c>
      <c r="K22" s="42">
        <v>85</v>
      </c>
      <c r="L22" s="42">
        <v>9</v>
      </c>
      <c r="M22" s="42">
        <v>1504</v>
      </c>
      <c r="N22" s="39">
        <v>69</v>
      </c>
      <c r="O22" s="39">
        <v>85</v>
      </c>
      <c r="P22" s="39">
        <v>85</v>
      </c>
      <c r="Q22" s="39">
        <v>4484</v>
      </c>
      <c r="R22" s="77">
        <v>85</v>
      </c>
      <c r="S22" s="77">
        <v>219</v>
      </c>
      <c r="T22">
        <f t="shared" si="0"/>
        <v>0</v>
      </c>
    </row>
    <row r="23" spans="1:20" x14ac:dyDescent="0.25">
      <c r="A23" s="73">
        <v>44546</v>
      </c>
      <c r="B23" s="40">
        <v>0</v>
      </c>
      <c r="C23" s="40">
        <v>16</v>
      </c>
      <c r="D23" s="40">
        <v>42</v>
      </c>
      <c r="E23" s="41">
        <v>25</v>
      </c>
      <c r="F23" s="41">
        <v>6204</v>
      </c>
      <c r="G23" s="41">
        <v>85</v>
      </c>
      <c r="H23" s="41">
        <v>1909</v>
      </c>
      <c r="I23" s="41">
        <v>85</v>
      </c>
      <c r="J23" s="41">
        <v>523</v>
      </c>
      <c r="K23" s="42">
        <v>85</v>
      </c>
      <c r="L23" s="42">
        <v>10</v>
      </c>
      <c r="M23" s="42">
        <v>1504</v>
      </c>
      <c r="N23" s="39">
        <v>65</v>
      </c>
      <c r="O23" s="39">
        <v>85</v>
      </c>
      <c r="P23" s="39">
        <v>85</v>
      </c>
      <c r="Q23" s="39">
        <v>4485</v>
      </c>
      <c r="R23" s="77">
        <v>85</v>
      </c>
      <c r="S23" s="77">
        <v>219</v>
      </c>
      <c r="T23">
        <f t="shared" si="0"/>
        <v>0</v>
      </c>
    </row>
    <row r="24" spans="1:20" x14ac:dyDescent="0.25">
      <c r="A24" s="73">
        <v>44547</v>
      </c>
      <c r="B24" s="40">
        <v>0</v>
      </c>
      <c r="C24" s="40">
        <v>16</v>
      </c>
      <c r="D24" s="40">
        <v>42</v>
      </c>
      <c r="E24" s="41">
        <v>20</v>
      </c>
      <c r="F24" s="41">
        <v>6209</v>
      </c>
      <c r="G24" s="41">
        <v>85</v>
      </c>
      <c r="H24" s="41">
        <v>1911</v>
      </c>
      <c r="I24" s="41">
        <v>85</v>
      </c>
      <c r="J24" s="41">
        <v>524</v>
      </c>
      <c r="K24" s="42">
        <v>85</v>
      </c>
      <c r="L24" s="42">
        <v>0</v>
      </c>
      <c r="M24" s="42">
        <v>1507</v>
      </c>
      <c r="N24" s="39">
        <v>60</v>
      </c>
      <c r="O24" s="39">
        <v>85</v>
      </c>
      <c r="P24" s="39">
        <v>85</v>
      </c>
      <c r="Q24" s="39">
        <v>4489</v>
      </c>
      <c r="R24" s="77">
        <v>85</v>
      </c>
      <c r="S24" s="77">
        <v>219</v>
      </c>
      <c r="T24">
        <f t="shared" si="0"/>
        <v>0</v>
      </c>
    </row>
    <row r="25" spans="1:20" x14ac:dyDescent="0.25">
      <c r="A25" s="73">
        <v>44548</v>
      </c>
      <c r="B25" s="40">
        <v>0</v>
      </c>
      <c r="C25" s="40">
        <v>16</v>
      </c>
      <c r="D25" s="40">
        <v>44</v>
      </c>
      <c r="E25" s="41">
        <v>10</v>
      </c>
      <c r="F25" s="41">
        <v>6213</v>
      </c>
      <c r="G25" s="41">
        <v>85</v>
      </c>
      <c r="H25" s="41">
        <v>1913</v>
      </c>
      <c r="I25" s="41">
        <v>85</v>
      </c>
      <c r="J25" s="41">
        <v>525</v>
      </c>
      <c r="K25" s="42">
        <v>85</v>
      </c>
      <c r="L25" s="42">
        <v>5</v>
      </c>
      <c r="M25" s="42">
        <v>1507</v>
      </c>
      <c r="N25" s="39">
        <v>58</v>
      </c>
      <c r="O25" s="39">
        <v>85</v>
      </c>
      <c r="P25" s="39">
        <v>85</v>
      </c>
      <c r="Q25" s="39">
        <v>4492</v>
      </c>
      <c r="R25" s="77">
        <v>85</v>
      </c>
      <c r="S25" s="77">
        <v>219</v>
      </c>
      <c r="T25">
        <f t="shared" si="0"/>
        <v>0</v>
      </c>
    </row>
    <row r="26" spans="1:20" x14ac:dyDescent="0.25">
      <c r="A26" s="73">
        <v>44549</v>
      </c>
      <c r="B26" s="40">
        <v>0</v>
      </c>
      <c r="C26" s="79">
        <v>16</v>
      </c>
      <c r="D26" s="79">
        <v>44</v>
      </c>
      <c r="E26" s="41">
        <v>5</v>
      </c>
      <c r="F26" s="41">
        <v>6217</v>
      </c>
      <c r="G26" s="41">
        <v>85</v>
      </c>
      <c r="H26" s="41">
        <v>1916</v>
      </c>
      <c r="I26" s="41">
        <v>85</v>
      </c>
      <c r="J26" s="41">
        <v>526</v>
      </c>
      <c r="K26" s="42">
        <v>85</v>
      </c>
      <c r="L26" s="42">
        <v>5</v>
      </c>
      <c r="M26" s="42">
        <v>1509</v>
      </c>
      <c r="N26" s="39">
        <v>54</v>
      </c>
      <c r="O26" s="39">
        <v>85</v>
      </c>
      <c r="P26" s="39">
        <v>85</v>
      </c>
      <c r="Q26" s="39">
        <v>4495</v>
      </c>
      <c r="R26" s="77">
        <v>85</v>
      </c>
      <c r="S26" s="77">
        <v>219</v>
      </c>
      <c r="T26">
        <f t="shared" si="0"/>
        <v>0</v>
      </c>
    </row>
    <row r="27" spans="1:20" x14ac:dyDescent="0.25">
      <c r="A27" s="73">
        <v>44550</v>
      </c>
      <c r="B27" s="40">
        <v>0</v>
      </c>
      <c r="C27" s="40">
        <v>17</v>
      </c>
      <c r="D27" s="40">
        <v>50</v>
      </c>
      <c r="E27" s="41">
        <v>0</v>
      </c>
      <c r="F27" s="41">
        <v>6223</v>
      </c>
      <c r="G27" s="41">
        <v>80</v>
      </c>
      <c r="H27" s="41">
        <v>1918</v>
      </c>
      <c r="I27" s="41">
        <v>85</v>
      </c>
      <c r="J27" s="41">
        <v>527</v>
      </c>
      <c r="K27" s="42">
        <v>85</v>
      </c>
      <c r="L27" s="42">
        <v>5</v>
      </c>
      <c r="M27" s="42">
        <v>1510</v>
      </c>
      <c r="N27" s="39">
        <v>50</v>
      </c>
      <c r="O27" s="39">
        <v>85</v>
      </c>
      <c r="P27" s="39">
        <v>85</v>
      </c>
      <c r="Q27" s="39">
        <v>4498</v>
      </c>
      <c r="R27" s="77">
        <v>85</v>
      </c>
      <c r="S27" s="77">
        <v>219</v>
      </c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-219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2021-12-21T19:17:21Z</dcterms:modified>
</cp:coreProperties>
</file>